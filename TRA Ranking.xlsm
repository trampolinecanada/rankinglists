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8534F8D8-A103-644F-9064-BDCF7BA019AE}" xr6:coauthVersionLast="47" xr6:coauthVersionMax="47" xr10:uidLastSave="{00000000-0000-0000-0000-000000000000}"/>
  <bookViews>
    <workbookView xWindow="0" yWindow="760" windowWidth="30240" windowHeight="18880" tabRatio="500" xr2:uid="{00000000-000D-0000-FFFF-FFFF00000000}"/>
  </bookViews>
  <sheets>
    <sheet name="Info" sheetId="11" r:id="rId1"/>
    <sheet name="Senior-M" sheetId="4" r:id="rId2"/>
    <sheet name="Senior-W" sheetId="38" r:id="rId3"/>
    <sheet name="Development-M" sheetId="42" r:id="rId4"/>
    <sheet name="Development-W" sheetId="43" r:id="rId5"/>
    <sheet name="Junior-M" sheetId="45" r:id="rId6"/>
    <sheet name="Junior-W" sheetId="46" r:id="rId7"/>
    <sheet name="TRS-M" sheetId="39" r:id="rId8"/>
    <sheet name="TRS-W" sheetId="40" r:id="rId9"/>
    <sheet name="TRS-X" sheetId="41" r:id="rId10"/>
  </sheets>
  <definedNames>
    <definedName name="_xlnm._FilterDatabase" localSheetId="3" hidden="1">'Development-M'!$A$1:$WJ$1</definedName>
    <definedName name="_xlnm._FilterDatabase" localSheetId="4" hidden="1">'Development-W'!$A$1:$WJ$1</definedName>
    <definedName name="_xlnm._FilterDatabase" localSheetId="5" hidden="1">'Junior-M'!$A$1:$VL$1</definedName>
    <definedName name="_xlnm._FilterDatabase" localSheetId="6" hidden="1">'Junior-W'!$A$1:$VL$1</definedName>
    <definedName name="_xlnm._FilterDatabase" localSheetId="1" hidden="1">'Senior-M'!$A$1:$WM$1</definedName>
    <definedName name="_xlnm._FilterDatabase" localSheetId="2" hidden="1">'Senior-W'!$A$1:$WM$1</definedName>
    <definedName name="_xlnm._FilterDatabase" localSheetId="7" hidden="1">'TRS-M'!$A$1:$WJ$1</definedName>
    <definedName name="_xlnm._FilterDatabase" localSheetId="8" hidden="1">'TRS-W'!$A$1:$WJ$1</definedName>
    <definedName name="_xlnm._FilterDatabase" localSheetId="9" hidden="1">'TRS-X'!$A$1:$WJ$1</definedName>
    <definedName name="_xleta.MAX" hidden="1" xlm="1">#NAME?</definedName>
    <definedName name="_xleta.MIN" hidden="1" xlm="1">#NAME?</definedName>
    <definedName name="_xleta.N" hidden="1" xlm="1">#NAME?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5" i="43" l="1"/>
  <c r="I6" i="43"/>
  <c r="I7" i="43"/>
  <c r="I8" i="43"/>
  <c r="I9" i="43"/>
  <c r="I10" i="43"/>
  <c r="I11" i="43"/>
  <c r="I12" i="43"/>
  <c r="I13" i="43"/>
  <c r="I4" i="43"/>
  <c r="I5" i="42"/>
  <c r="I6" i="42"/>
  <c r="I7" i="42"/>
  <c r="I8" i="42"/>
  <c r="I9" i="42"/>
  <c r="I10" i="42"/>
  <c r="I11" i="42"/>
  <c r="I12" i="42"/>
  <c r="I13" i="42"/>
  <c r="I14" i="42"/>
  <c r="I15" i="42"/>
  <c r="I16" i="42"/>
  <c r="I17" i="42"/>
  <c r="I18" i="42"/>
  <c r="I19" i="42"/>
  <c r="I20" i="42"/>
  <c r="I21" i="42"/>
  <c r="I22" i="42"/>
  <c r="I23" i="42"/>
  <c r="I24" i="42"/>
  <c r="I25" i="42"/>
  <c r="I26" i="42"/>
  <c r="I27" i="42"/>
  <c r="I4" i="42"/>
  <c r="VK5" i="46"/>
  <c r="VJ5" i="46"/>
  <c r="VI5" i="46"/>
  <c r="VH5" i="46"/>
  <c r="VG5" i="46"/>
  <c r="VF5" i="46"/>
  <c r="VD5" i="46"/>
  <c r="VC5" i="46"/>
  <c r="VB5" i="46"/>
  <c r="VA5" i="46"/>
  <c r="UZ5" i="46"/>
  <c r="UY5" i="46"/>
  <c r="UC5" i="46"/>
  <c r="UB5" i="46"/>
  <c r="UA5" i="46"/>
  <c r="TZ5" i="46"/>
  <c r="TY5" i="46"/>
  <c r="TX5" i="46"/>
  <c r="TV5" i="46"/>
  <c r="TU5" i="46"/>
  <c r="TT5" i="46"/>
  <c r="TS5" i="46"/>
  <c r="TR5" i="46"/>
  <c r="TQ5" i="46"/>
  <c r="SU5" i="46"/>
  <c r="ST5" i="46"/>
  <c r="SS5" i="46"/>
  <c r="SR5" i="46"/>
  <c r="SQ5" i="46"/>
  <c r="SP5" i="46"/>
  <c r="SN5" i="46"/>
  <c r="SM5" i="46"/>
  <c r="SL5" i="46"/>
  <c r="SK5" i="46"/>
  <c r="SO5" i="46" s="1"/>
  <c r="SJ5" i="46"/>
  <c r="SI5" i="46"/>
  <c r="RM5" i="46"/>
  <c r="RL5" i="46"/>
  <c r="RK5" i="46"/>
  <c r="RJ5" i="46"/>
  <c r="RI5" i="46"/>
  <c r="RH5" i="46"/>
  <c r="RF5" i="46"/>
  <c r="RE5" i="46"/>
  <c r="RD5" i="46"/>
  <c r="RC5" i="46"/>
  <c r="RG5" i="46" s="1"/>
  <c r="RB5" i="46"/>
  <c r="RA5" i="46"/>
  <c r="QE5" i="46"/>
  <c r="QD5" i="46"/>
  <c r="QC5" i="46"/>
  <c r="QB5" i="46"/>
  <c r="QA5" i="46"/>
  <c r="PZ5" i="46"/>
  <c r="PX5" i="46"/>
  <c r="PW5" i="46"/>
  <c r="PV5" i="46"/>
  <c r="PU5" i="46"/>
  <c r="PT5" i="46"/>
  <c r="PS5" i="46"/>
  <c r="OW5" i="46"/>
  <c r="OV5" i="46"/>
  <c r="OU5" i="46"/>
  <c r="OT5" i="46"/>
  <c r="OS5" i="46"/>
  <c r="OR5" i="46"/>
  <c r="OP5" i="46"/>
  <c r="OO5" i="46"/>
  <c r="ON5" i="46"/>
  <c r="OM5" i="46"/>
  <c r="OQ5" i="46" s="1"/>
  <c r="OL5" i="46"/>
  <c r="OK5" i="46"/>
  <c r="NO5" i="46"/>
  <c r="NN5" i="46"/>
  <c r="NM5" i="46"/>
  <c r="NL5" i="46"/>
  <c r="NK5" i="46"/>
  <c r="NJ5" i="46"/>
  <c r="NH5" i="46"/>
  <c r="NG5" i="46"/>
  <c r="NF5" i="46"/>
  <c r="NE5" i="46"/>
  <c r="NI5" i="46" s="1"/>
  <c r="ND5" i="46"/>
  <c r="NC5" i="46"/>
  <c r="MG5" i="46"/>
  <c r="MF5" i="46"/>
  <c r="ME5" i="46"/>
  <c r="MD5" i="46"/>
  <c r="MC5" i="46"/>
  <c r="MB5" i="46"/>
  <c r="LZ5" i="46"/>
  <c r="LY5" i="46"/>
  <c r="LX5" i="46"/>
  <c r="LW5" i="46"/>
  <c r="LV5" i="46"/>
  <c r="LU5" i="46"/>
  <c r="KY5" i="46"/>
  <c r="KX5" i="46"/>
  <c r="KW5" i="46"/>
  <c r="KV5" i="46"/>
  <c r="KU5" i="46"/>
  <c r="KT5" i="46"/>
  <c r="KR5" i="46"/>
  <c r="KQ5" i="46"/>
  <c r="KP5" i="46"/>
  <c r="KO5" i="46"/>
  <c r="KN5" i="46"/>
  <c r="KM5" i="46"/>
  <c r="JQ5" i="46"/>
  <c r="JP5" i="46"/>
  <c r="JO5" i="46"/>
  <c r="JN5" i="46"/>
  <c r="JM5" i="46"/>
  <c r="JL5" i="46"/>
  <c r="JJ5" i="46"/>
  <c r="JI5" i="46"/>
  <c r="JH5" i="46"/>
  <c r="JG5" i="46"/>
  <c r="JK5" i="46" s="1"/>
  <c r="JF5" i="46"/>
  <c r="JE5" i="46"/>
  <c r="II5" i="46"/>
  <c r="IH5" i="46"/>
  <c r="IG5" i="46"/>
  <c r="IF5" i="46"/>
  <c r="IE5" i="46"/>
  <c r="ID5" i="46"/>
  <c r="IB5" i="46"/>
  <c r="IA5" i="46"/>
  <c r="HZ5" i="46"/>
  <c r="HY5" i="46"/>
  <c r="IC5" i="46" s="1"/>
  <c r="HX5" i="46"/>
  <c r="HW5" i="46"/>
  <c r="HA5" i="46"/>
  <c r="GZ5" i="46"/>
  <c r="GY5" i="46"/>
  <c r="GX5" i="46"/>
  <c r="GW5" i="46"/>
  <c r="GV5" i="46"/>
  <c r="GT5" i="46"/>
  <c r="GS5" i="46"/>
  <c r="GR5" i="46"/>
  <c r="GQ5" i="46"/>
  <c r="GP5" i="46"/>
  <c r="GO5" i="46"/>
  <c r="FS5" i="46"/>
  <c r="FR5" i="46"/>
  <c r="FQ5" i="46"/>
  <c r="FP5" i="46"/>
  <c r="FO5" i="46"/>
  <c r="FN5" i="46"/>
  <c r="FL5" i="46"/>
  <c r="FK5" i="46"/>
  <c r="FJ5" i="46"/>
  <c r="FI5" i="46"/>
  <c r="FM5" i="46" s="1"/>
  <c r="FH5" i="46"/>
  <c r="FG5" i="46"/>
  <c r="EK5" i="46"/>
  <c r="EJ5" i="46"/>
  <c r="EI5" i="46"/>
  <c r="EH5" i="46"/>
  <c r="EG5" i="46"/>
  <c r="EF5" i="46"/>
  <c r="ED5" i="46"/>
  <c r="EC5" i="46"/>
  <c r="EB5" i="46"/>
  <c r="EA5" i="46"/>
  <c r="EE5" i="46" s="1"/>
  <c r="DZ5" i="46"/>
  <c r="DY5" i="46"/>
  <c r="DC5" i="46"/>
  <c r="DB5" i="46"/>
  <c r="DA5" i="46"/>
  <c r="CZ5" i="46"/>
  <c r="CY5" i="46"/>
  <c r="CX5" i="46"/>
  <c r="CV5" i="46"/>
  <c r="CU5" i="46"/>
  <c r="CT5" i="46"/>
  <c r="CS5" i="46"/>
  <c r="CR5" i="46"/>
  <c r="CQ5" i="46"/>
  <c r="BS5" i="46"/>
  <c r="BR5" i="46"/>
  <c r="BQ5" i="46"/>
  <c r="BO5" i="46"/>
  <c r="BN5" i="46"/>
  <c r="BM5" i="46"/>
  <c r="BL5" i="46"/>
  <c r="BK5" i="46"/>
  <c r="BJ5" i="46"/>
  <c r="AR5" i="46"/>
  <c r="AQ5" i="46"/>
  <c r="AP5" i="46"/>
  <c r="AN5" i="46"/>
  <c r="AM5" i="46"/>
  <c r="AL5" i="46"/>
  <c r="AK5" i="46"/>
  <c r="AJ5" i="46"/>
  <c r="AI5" i="46"/>
  <c r="VK4" i="46"/>
  <c r="VJ4" i="46"/>
  <c r="VI4" i="46"/>
  <c r="VH4" i="46"/>
  <c r="VG4" i="46"/>
  <c r="VF4" i="46"/>
  <c r="VD4" i="46"/>
  <c r="VC4" i="46"/>
  <c r="VB4" i="46"/>
  <c r="VA4" i="46"/>
  <c r="VE4" i="46" s="1"/>
  <c r="UZ4" i="46"/>
  <c r="UY4" i="46"/>
  <c r="UC4" i="46"/>
  <c r="UB4" i="46"/>
  <c r="UA4" i="46"/>
  <c r="TZ4" i="46"/>
  <c r="TY4" i="46"/>
  <c r="TX4" i="46"/>
  <c r="TV4" i="46"/>
  <c r="TU4" i="46"/>
  <c r="TT4" i="46"/>
  <c r="TS4" i="46"/>
  <c r="TR4" i="46"/>
  <c r="TQ4" i="46"/>
  <c r="SU4" i="46"/>
  <c r="ST4" i="46"/>
  <c r="SS4" i="46"/>
  <c r="SR4" i="46"/>
  <c r="SQ4" i="46"/>
  <c r="SP4" i="46"/>
  <c r="SN4" i="46"/>
  <c r="SM4" i="46"/>
  <c r="SL4" i="46"/>
  <c r="SK4" i="46"/>
  <c r="SJ4" i="46"/>
  <c r="SI4" i="46"/>
  <c r="RM4" i="46"/>
  <c r="RL4" i="46"/>
  <c r="RK4" i="46"/>
  <c r="RJ4" i="46"/>
  <c r="RI4" i="46"/>
  <c r="RH4" i="46"/>
  <c r="RF4" i="46"/>
  <c r="RE4" i="46"/>
  <c r="RD4" i="46"/>
  <c r="RC4" i="46"/>
  <c r="RG4" i="46" s="1"/>
  <c r="RB4" i="46"/>
  <c r="RA4" i="46"/>
  <c r="QE4" i="46"/>
  <c r="QD4" i="46"/>
  <c r="QC4" i="46"/>
  <c r="QB4" i="46"/>
  <c r="QA4" i="46"/>
  <c r="PZ4" i="46"/>
  <c r="PX4" i="46"/>
  <c r="PW4" i="46"/>
  <c r="PV4" i="46"/>
  <c r="PU4" i="46"/>
  <c r="PY4" i="46" s="1"/>
  <c r="PT4" i="46"/>
  <c r="PS4" i="46"/>
  <c r="OW4" i="46"/>
  <c r="OV4" i="46"/>
  <c r="OU4" i="46"/>
  <c r="OT4" i="46"/>
  <c r="OS4" i="46"/>
  <c r="OR4" i="46"/>
  <c r="OP4" i="46"/>
  <c r="OO4" i="46"/>
  <c r="ON4" i="46"/>
  <c r="OM4" i="46"/>
  <c r="OL4" i="46"/>
  <c r="OK4" i="46"/>
  <c r="NO4" i="46"/>
  <c r="NN4" i="46"/>
  <c r="NM4" i="46"/>
  <c r="NL4" i="46"/>
  <c r="NK4" i="46"/>
  <c r="NJ4" i="46"/>
  <c r="NH4" i="46"/>
  <c r="NG4" i="46"/>
  <c r="NF4" i="46"/>
  <c r="NE4" i="46"/>
  <c r="NI4" i="46" s="1"/>
  <c r="ND4" i="46"/>
  <c r="NC4" i="46"/>
  <c r="MG4" i="46"/>
  <c r="MF4" i="46"/>
  <c r="ME4" i="46"/>
  <c r="MD4" i="46"/>
  <c r="MC4" i="46"/>
  <c r="MB4" i="46"/>
  <c r="LZ4" i="46"/>
  <c r="LY4" i="46"/>
  <c r="LX4" i="46"/>
  <c r="LW4" i="46"/>
  <c r="MA4" i="46" s="1"/>
  <c r="LV4" i="46"/>
  <c r="LU4" i="46"/>
  <c r="KY4" i="46"/>
  <c r="KX4" i="46"/>
  <c r="KW4" i="46"/>
  <c r="KV4" i="46"/>
  <c r="KU4" i="46"/>
  <c r="KT4" i="46"/>
  <c r="KR4" i="46"/>
  <c r="KQ4" i="46"/>
  <c r="KP4" i="46"/>
  <c r="KO4" i="46"/>
  <c r="KN4" i="46"/>
  <c r="KM4" i="46"/>
  <c r="JQ4" i="46"/>
  <c r="JP4" i="46"/>
  <c r="JO4" i="46"/>
  <c r="JN4" i="46"/>
  <c r="JM4" i="46"/>
  <c r="JL4" i="46"/>
  <c r="JJ4" i="46"/>
  <c r="JI4" i="46"/>
  <c r="JH4" i="46"/>
  <c r="JG4" i="46"/>
  <c r="JF4" i="46"/>
  <c r="JE4" i="46"/>
  <c r="II4" i="46"/>
  <c r="IH4" i="46"/>
  <c r="IG4" i="46"/>
  <c r="IF4" i="46"/>
  <c r="IE4" i="46"/>
  <c r="ID4" i="46"/>
  <c r="IB4" i="46"/>
  <c r="IA4" i="46"/>
  <c r="HZ4" i="46"/>
  <c r="HY4" i="46"/>
  <c r="IC4" i="46" s="1"/>
  <c r="HX4" i="46"/>
  <c r="HW4" i="46"/>
  <c r="HA4" i="46"/>
  <c r="GZ4" i="46"/>
  <c r="GY4" i="46"/>
  <c r="GX4" i="46"/>
  <c r="GW4" i="46"/>
  <c r="GV4" i="46"/>
  <c r="GT4" i="46"/>
  <c r="GS4" i="46"/>
  <c r="GR4" i="46"/>
  <c r="GQ4" i="46"/>
  <c r="GU4" i="46" s="1"/>
  <c r="GP4" i="46"/>
  <c r="GO4" i="46"/>
  <c r="FS4" i="46"/>
  <c r="FR4" i="46"/>
  <c r="FQ4" i="46"/>
  <c r="FP4" i="46"/>
  <c r="FO4" i="46"/>
  <c r="FN4" i="46"/>
  <c r="FL4" i="46"/>
  <c r="FK4" i="46"/>
  <c r="FJ4" i="46"/>
  <c r="FI4" i="46"/>
  <c r="FH4" i="46"/>
  <c r="FG4" i="46"/>
  <c r="EK4" i="46"/>
  <c r="EJ4" i="46"/>
  <c r="EI4" i="46"/>
  <c r="EH4" i="46"/>
  <c r="EG4" i="46"/>
  <c r="EF4" i="46"/>
  <c r="ED4" i="46"/>
  <c r="EC4" i="46"/>
  <c r="EB4" i="46"/>
  <c r="EA4" i="46"/>
  <c r="DZ4" i="46"/>
  <c r="DY4" i="46"/>
  <c r="DC4" i="46"/>
  <c r="DB4" i="46"/>
  <c r="DA4" i="46"/>
  <c r="CZ4" i="46"/>
  <c r="CY4" i="46"/>
  <c r="CX4" i="46"/>
  <c r="CV4" i="46"/>
  <c r="CU4" i="46"/>
  <c r="CT4" i="46"/>
  <c r="CS4" i="46"/>
  <c r="CW4" i="46" s="1"/>
  <c r="CR4" i="46"/>
  <c r="CQ4" i="46"/>
  <c r="BS4" i="46"/>
  <c r="BR4" i="46"/>
  <c r="BQ4" i="46"/>
  <c r="BO4" i="46"/>
  <c r="BN4" i="46"/>
  <c r="BM4" i="46"/>
  <c r="BL4" i="46"/>
  <c r="BK4" i="46"/>
  <c r="BJ4" i="46"/>
  <c r="AR4" i="46"/>
  <c r="AQ4" i="46"/>
  <c r="AP4" i="46"/>
  <c r="AN4" i="46"/>
  <c r="AM4" i="46"/>
  <c r="AL4" i="46"/>
  <c r="AK4" i="46"/>
  <c r="AJ4" i="46"/>
  <c r="AI4" i="46"/>
  <c r="EE4" i="46" l="1"/>
  <c r="KS4" i="46"/>
  <c r="TW4" i="46"/>
  <c r="CW5" i="46"/>
  <c r="MA5" i="46"/>
  <c r="VE5" i="46"/>
  <c r="VL5" i="46" s="1"/>
  <c r="SV5" i="46"/>
  <c r="RN4" i="46"/>
  <c r="JR5" i="46"/>
  <c r="QF4" i="46"/>
  <c r="IJ5" i="46"/>
  <c r="RN5" i="46"/>
  <c r="J5" i="46"/>
  <c r="BU5" i="46" s="1"/>
  <c r="IJ4" i="46"/>
  <c r="HB4" i="46"/>
  <c r="BP4" i="46"/>
  <c r="BT4" i="46" s="1"/>
  <c r="AO4" i="46"/>
  <c r="AS4" i="46" s="1"/>
  <c r="FM4" i="46"/>
  <c r="FT4" i="46" s="1"/>
  <c r="OQ4" i="46"/>
  <c r="OX4" i="46" s="1"/>
  <c r="GU5" i="46"/>
  <c r="HB5" i="46" s="1"/>
  <c r="PY5" i="46"/>
  <c r="QF5" i="46" s="1"/>
  <c r="NP4" i="46"/>
  <c r="FT5" i="46"/>
  <c r="OX5" i="46"/>
  <c r="KZ4" i="46"/>
  <c r="UD4" i="46"/>
  <c r="DD5" i="46"/>
  <c r="MH5" i="46"/>
  <c r="DD4" i="46"/>
  <c r="VL4" i="46"/>
  <c r="MH4" i="46"/>
  <c r="EL5" i="46"/>
  <c r="JK4" i="46"/>
  <c r="JR4" i="46" s="1"/>
  <c r="SO4" i="46"/>
  <c r="SV4" i="46" s="1"/>
  <c r="KS5" i="46"/>
  <c r="KZ5" i="46" s="1"/>
  <c r="TW5" i="46"/>
  <c r="UD5" i="46" s="1"/>
  <c r="EL4" i="46"/>
  <c r="NP5" i="46"/>
  <c r="L5" i="46"/>
  <c r="O5" i="46" s="1"/>
  <c r="L4" i="46"/>
  <c r="M4" i="46" s="1"/>
  <c r="G4" i="46"/>
  <c r="BP5" i="46"/>
  <c r="BT5" i="46" s="1"/>
  <c r="J4" i="46"/>
  <c r="AO5" i="46"/>
  <c r="K5" i="46" l="1"/>
  <c r="F4" i="46"/>
  <c r="H4" i="46" s="1"/>
  <c r="A4" i="46" s="1" a="1"/>
  <c r="A4" i="46" s="1"/>
  <c r="O4" i="46"/>
  <c r="M5" i="46"/>
  <c r="N4" i="46"/>
  <c r="BV4" i="46" s="1"/>
  <c r="N5" i="46"/>
  <c r="BV5" i="46" s="1"/>
  <c r="P5" i="46" s="1"/>
  <c r="AS5" i="46"/>
  <c r="G5" i="46"/>
  <c r="F5" i="46"/>
  <c r="BU4" i="46"/>
  <c r="K4" i="46"/>
  <c r="P4" i="46" l="1"/>
  <c r="E4" i="46" s="1"/>
  <c r="H5" i="46"/>
  <c r="A5" i="46" s="1" a="1"/>
  <c r="A5" i="46" s="1"/>
  <c r="C31" i="11" s="1"/>
  <c r="Q4" i="46"/>
  <c r="Q5" i="46"/>
  <c r="R5" i="46"/>
  <c r="E5" i="46"/>
  <c r="R4" i="46" l="1"/>
  <c r="C30" i="11"/>
  <c r="D33" i="11"/>
  <c r="C32" i="11"/>
  <c r="D30" i="11"/>
  <c r="C33" i="11"/>
  <c r="D32" i="11"/>
  <c r="D31" i="11"/>
  <c r="VK6" i="45" l="1"/>
  <c r="VJ6" i="45"/>
  <c r="VI6" i="45"/>
  <c r="VH6" i="45"/>
  <c r="VG6" i="45"/>
  <c r="VF6" i="45"/>
  <c r="VD6" i="45"/>
  <c r="VC6" i="45"/>
  <c r="VB6" i="45"/>
  <c r="VA6" i="45"/>
  <c r="UZ6" i="45"/>
  <c r="UY6" i="45"/>
  <c r="UC6" i="45"/>
  <c r="UB6" i="45"/>
  <c r="UA6" i="45"/>
  <c r="TZ6" i="45"/>
  <c r="TY6" i="45"/>
  <c r="TX6" i="45"/>
  <c r="TV6" i="45"/>
  <c r="TU6" i="45"/>
  <c r="TT6" i="45"/>
  <c r="TS6" i="45"/>
  <c r="TR6" i="45"/>
  <c r="TQ6" i="45"/>
  <c r="SU6" i="45"/>
  <c r="ST6" i="45"/>
  <c r="SS6" i="45"/>
  <c r="SR6" i="45"/>
  <c r="SQ6" i="45"/>
  <c r="SP6" i="45"/>
  <c r="SN6" i="45"/>
  <c r="SM6" i="45"/>
  <c r="SL6" i="45"/>
  <c r="SK6" i="45"/>
  <c r="SJ6" i="45"/>
  <c r="SI6" i="45"/>
  <c r="RM6" i="45"/>
  <c r="RL6" i="45"/>
  <c r="RK6" i="45"/>
  <c r="RJ6" i="45"/>
  <c r="RI6" i="45"/>
  <c r="RH6" i="45"/>
  <c r="RF6" i="45"/>
  <c r="RE6" i="45"/>
  <c r="RD6" i="45"/>
  <c r="RC6" i="45"/>
  <c r="RG6" i="45" s="1"/>
  <c r="RB6" i="45"/>
  <c r="RA6" i="45"/>
  <c r="QE6" i="45"/>
  <c r="QD6" i="45"/>
  <c r="QC6" i="45"/>
  <c r="QB6" i="45"/>
  <c r="QA6" i="45"/>
  <c r="PZ6" i="45"/>
  <c r="PX6" i="45"/>
  <c r="PW6" i="45"/>
  <c r="PV6" i="45"/>
  <c r="PU6" i="45"/>
  <c r="PT6" i="45"/>
  <c r="PS6" i="45"/>
  <c r="OW6" i="45"/>
  <c r="OV6" i="45"/>
  <c r="OU6" i="45"/>
  <c r="OT6" i="45"/>
  <c r="OS6" i="45"/>
  <c r="OR6" i="45"/>
  <c r="OP6" i="45"/>
  <c r="OO6" i="45"/>
  <c r="ON6" i="45"/>
  <c r="OM6" i="45"/>
  <c r="OL6" i="45"/>
  <c r="OK6" i="45"/>
  <c r="NO6" i="45"/>
  <c r="NN6" i="45"/>
  <c r="NM6" i="45"/>
  <c r="NL6" i="45"/>
  <c r="NK6" i="45"/>
  <c r="NJ6" i="45"/>
  <c r="NH6" i="45"/>
  <c r="NG6" i="45"/>
  <c r="NF6" i="45"/>
  <c r="NE6" i="45"/>
  <c r="NI6" i="45" s="1"/>
  <c r="ND6" i="45"/>
  <c r="NC6" i="45"/>
  <c r="MG6" i="45"/>
  <c r="MF6" i="45"/>
  <c r="ME6" i="45"/>
  <c r="MD6" i="45"/>
  <c r="MC6" i="45"/>
  <c r="MB6" i="45"/>
  <c r="LZ6" i="45"/>
  <c r="LY6" i="45"/>
  <c r="LX6" i="45"/>
  <c r="LW6" i="45"/>
  <c r="LV6" i="45"/>
  <c r="LU6" i="45"/>
  <c r="KY6" i="45"/>
  <c r="KX6" i="45"/>
  <c r="KW6" i="45"/>
  <c r="KV6" i="45"/>
  <c r="KU6" i="45"/>
  <c r="KT6" i="45"/>
  <c r="KR6" i="45"/>
  <c r="KQ6" i="45"/>
  <c r="KP6" i="45"/>
  <c r="KO6" i="45"/>
  <c r="KN6" i="45"/>
  <c r="KM6" i="45"/>
  <c r="JQ6" i="45"/>
  <c r="JP6" i="45"/>
  <c r="JO6" i="45"/>
  <c r="JN6" i="45"/>
  <c r="JM6" i="45"/>
  <c r="JL6" i="45"/>
  <c r="JJ6" i="45"/>
  <c r="JI6" i="45"/>
  <c r="JH6" i="45"/>
  <c r="JG6" i="45"/>
  <c r="JF6" i="45"/>
  <c r="JE6" i="45"/>
  <c r="II6" i="45"/>
  <c r="IH6" i="45"/>
  <c r="IG6" i="45"/>
  <c r="IF6" i="45"/>
  <c r="IE6" i="45"/>
  <c r="ID6" i="45"/>
  <c r="IB6" i="45"/>
  <c r="IA6" i="45"/>
  <c r="HZ6" i="45"/>
  <c r="HY6" i="45"/>
  <c r="IC6" i="45" s="1"/>
  <c r="HX6" i="45"/>
  <c r="HW6" i="45"/>
  <c r="HA6" i="45"/>
  <c r="GZ6" i="45"/>
  <c r="GY6" i="45"/>
  <c r="GX6" i="45"/>
  <c r="GW6" i="45"/>
  <c r="GV6" i="45"/>
  <c r="GT6" i="45"/>
  <c r="GS6" i="45"/>
  <c r="GR6" i="45"/>
  <c r="GQ6" i="45"/>
  <c r="GP6" i="45"/>
  <c r="GO6" i="45"/>
  <c r="FS6" i="45"/>
  <c r="FR6" i="45"/>
  <c r="FQ6" i="45"/>
  <c r="FP6" i="45"/>
  <c r="FO6" i="45"/>
  <c r="FN6" i="45"/>
  <c r="FL6" i="45"/>
  <c r="FK6" i="45"/>
  <c r="FJ6" i="45"/>
  <c r="FI6" i="45"/>
  <c r="FH6" i="45"/>
  <c r="FG6" i="45"/>
  <c r="EK6" i="45"/>
  <c r="EJ6" i="45"/>
  <c r="EI6" i="45"/>
  <c r="EH6" i="45"/>
  <c r="EG6" i="45"/>
  <c r="EF6" i="45"/>
  <c r="ED6" i="45"/>
  <c r="EC6" i="45"/>
  <c r="EB6" i="45"/>
  <c r="EA6" i="45"/>
  <c r="EE6" i="45" s="1"/>
  <c r="DZ6" i="45"/>
  <c r="DY6" i="45"/>
  <c r="DC6" i="45"/>
  <c r="DB6" i="45"/>
  <c r="DA6" i="45"/>
  <c r="CZ6" i="45"/>
  <c r="CY6" i="45"/>
  <c r="CX6" i="45"/>
  <c r="CV6" i="45"/>
  <c r="CU6" i="45"/>
  <c r="CT6" i="45"/>
  <c r="CS6" i="45"/>
  <c r="CR6" i="45"/>
  <c r="CQ6" i="45"/>
  <c r="BS6" i="45"/>
  <c r="BR6" i="45"/>
  <c r="BQ6" i="45"/>
  <c r="BO6" i="45"/>
  <c r="BN6" i="45"/>
  <c r="BM6" i="45"/>
  <c r="BL6" i="45"/>
  <c r="BP6" i="45" s="1"/>
  <c r="BK6" i="45"/>
  <c r="BJ6" i="45"/>
  <c r="AR6" i="45"/>
  <c r="AQ6" i="45"/>
  <c r="AP6" i="45"/>
  <c r="AN6" i="45"/>
  <c r="AM6" i="45"/>
  <c r="AL6" i="45"/>
  <c r="AK6" i="45"/>
  <c r="AJ6" i="45"/>
  <c r="AI6" i="45"/>
  <c r="VK9" i="45"/>
  <c r="VJ9" i="45"/>
  <c r="VI9" i="45"/>
  <c r="VH9" i="45"/>
  <c r="VG9" i="45"/>
  <c r="VF9" i="45"/>
  <c r="VD9" i="45"/>
  <c r="VC9" i="45"/>
  <c r="VB9" i="45"/>
  <c r="VA9" i="45"/>
  <c r="VE9" i="45" s="1"/>
  <c r="UZ9" i="45"/>
  <c r="UY9" i="45"/>
  <c r="UC9" i="45"/>
  <c r="UB9" i="45"/>
  <c r="UA9" i="45"/>
  <c r="TZ9" i="45"/>
  <c r="TY9" i="45"/>
  <c r="TX9" i="45"/>
  <c r="TV9" i="45"/>
  <c r="TU9" i="45"/>
  <c r="TT9" i="45"/>
  <c r="TS9" i="45"/>
  <c r="TR9" i="45"/>
  <c r="TQ9" i="45"/>
  <c r="SU9" i="45"/>
  <c r="ST9" i="45"/>
  <c r="SS9" i="45"/>
  <c r="SR9" i="45"/>
  <c r="SQ9" i="45"/>
  <c r="SP9" i="45"/>
  <c r="SN9" i="45"/>
  <c r="SM9" i="45"/>
  <c r="SL9" i="45"/>
  <c r="SK9" i="45"/>
  <c r="SJ9" i="45"/>
  <c r="SI9" i="45"/>
  <c r="RM9" i="45"/>
  <c r="RL9" i="45"/>
  <c r="RK9" i="45"/>
  <c r="RJ9" i="45"/>
  <c r="RI9" i="45"/>
  <c r="RH9" i="45"/>
  <c r="RF9" i="45"/>
  <c r="RE9" i="45"/>
  <c r="RD9" i="45"/>
  <c r="RC9" i="45"/>
  <c r="RB9" i="45"/>
  <c r="RA9" i="45"/>
  <c r="QE9" i="45"/>
  <c r="QD9" i="45"/>
  <c r="QC9" i="45"/>
  <c r="QB9" i="45"/>
  <c r="QA9" i="45"/>
  <c r="PZ9" i="45"/>
  <c r="PX9" i="45"/>
  <c r="PW9" i="45"/>
  <c r="PV9" i="45"/>
  <c r="PU9" i="45"/>
  <c r="PT9" i="45"/>
  <c r="PS9" i="45"/>
  <c r="OW9" i="45"/>
  <c r="OV9" i="45"/>
  <c r="OU9" i="45"/>
  <c r="OT9" i="45"/>
  <c r="OS9" i="45"/>
  <c r="OR9" i="45"/>
  <c r="OP9" i="45"/>
  <c r="OO9" i="45"/>
  <c r="ON9" i="45"/>
  <c r="OM9" i="45"/>
  <c r="OL9" i="45"/>
  <c r="OK9" i="45"/>
  <c r="NO9" i="45"/>
  <c r="NN9" i="45"/>
  <c r="NM9" i="45"/>
  <c r="NL9" i="45"/>
  <c r="NK9" i="45"/>
  <c r="NJ9" i="45"/>
  <c r="NH9" i="45"/>
  <c r="NG9" i="45"/>
  <c r="NF9" i="45"/>
  <c r="NE9" i="45"/>
  <c r="ND9" i="45"/>
  <c r="NC9" i="45"/>
  <c r="MG9" i="45"/>
  <c r="MF9" i="45"/>
  <c r="ME9" i="45"/>
  <c r="MD9" i="45"/>
  <c r="MC9" i="45"/>
  <c r="MB9" i="45"/>
  <c r="LZ9" i="45"/>
  <c r="LY9" i="45"/>
  <c r="LX9" i="45"/>
  <c r="LW9" i="45"/>
  <c r="MA9" i="45" s="1"/>
  <c r="LV9" i="45"/>
  <c r="LU9" i="45"/>
  <c r="KY9" i="45"/>
  <c r="KX9" i="45"/>
  <c r="KW9" i="45"/>
  <c r="KV9" i="45"/>
  <c r="KU9" i="45"/>
  <c r="KT9" i="45"/>
  <c r="KR9" i="45"/>
  <c r="KQ9" i="45"/>
  <c r="KP9" i="45"/>
  <c r="KO9" i="45"/>
  <c r="KN9" i="45"/>
  <c r="KM9" i="45"/>
  <c r="JQ9" i="45"/>
  <c r="JP9" i="45"/>
  <c r="JO9" i="45"/>
  <c r="JN9" i="45"/>
  <c r="JM9" i="45"/>
  <c r="JL9" i="45"/>
  <c r="JJ9" i="45"/>
  <c r="JI9" i="45"/>
  <c r="JH9" i="45"/>
  <c r="JG9" i="45"/>
  <c r="JF9" i="45"/>
  <c r="JE9" i="45"/>
  <c r="II9" i="45"/>
  <c r="IH9" i="45"/>
  <c r="IG9" i="45"/>
  <c r="IF9" i="45"/>
  <c r="IE9" i="45"/>
  <c r="ID9" i="45"/>
  <c r="IB9" i="45"/>
  <c r="IA9" i="45"/>
  <c r="HZ9" i="45"/>
  <c r="HY9" i="45"/>
  <c r="HX9" i="45"/>
  <c r="HW9" i="45"/>
  <c r="HA9" i="45"/>
  <c r="GZ9" i="45"/>
  <c r="GY9" i="45"/>
  <c r="GX9" i="45"/>
  <c r="GW9" i="45"/>
  <c r="GV9" i="45"/>
  <c r="GT9" i="45"/>
  <c r="GS9" i="45"/>
  <c r="GR9" i="45"/>
  <c r="GQ9" i="45"/>
  <c r="GU9" i="45" s="1"/>
  <c r="GP9" i="45"/>
  <c r="GO9" i="45"/>
  <c r="FS9" i="45"/>
  <c r="FR9" i="45"/>
  <c r="FQ9" i="45"/>
  <c r="FP9" i="45"/>
  <c r="FO9" i="45"/>
  <c r="FN9" i="45"/>
  <c r="FL9" i="45"/>
  <c r="FK9" i="45"/>
  <c r="FJ9" i="45"/>
  <c r="FI9" i="45"/>
  <c r="FH9" i="45"/>
  <c r="FG9" i="45"/>
  <c r="EK9" i="45"/>
  <c r="EJ9" i="45"/>
  <c r="EI9" i="45"/>
  <c r="EH9" i="45"/>
  <c r="EG9" i="45"/>
  <c r="EF9" i="45"/>
  <c r="ED9" i="45"/>
  <c r="EC9" i="45"/>
  <c r="EB9" i="45"/>
  <c r="EA9" i="45"/>
  <c r="DZ9" i="45"/>
  <c r="DY9" i="45"/>
  <c r="DC9" i="45"/>
  <c r="DB9" i="45"/>
  <c r="DA9" i="45"/>
  <c r="CZ9" i="45"/>
  <c r="CY9" i="45"/>
  <c r="CX9" i="45"/>
  <c r="CV9" i="45"/>
  <c r="CU9" i="45"/>
  <c r="CT9" i="45"/>
  <c r="CS9" i="45"/>
  <c r="CW9" i="45" s="1"/>
  <c r="CR9" i="45"/>
  <c r="CQ9" i="45"/>
  <c r="BS9" i="45"/>
  <c r="BR9" i="45"/>
  <c r="BQ9" i="45"/>
  <c r="BO9" i="45"/>
  <c r="BN9" i="45"/>
  <c r="BM9" i="45"/>
  <c r="BL9" i="45"/>
  <c r="BK9" i="45"/>
  <c r="BJ9" i="45"/>
  <c r="AR9" i="45"/>
  <c r="AQ9" i="45"/>
  <c r="AP9" i="45"/>
  <c r="AN9" i="45"/>
  <c r="AM9" i="45"/>
  <c r="AL9" i="45"/>
  <c r="AK9" i="45"/>
  <c r="AJ9" i="45"/>
  <c r="AI9" i="45"/>
  <c r="VK8" i="45"/>
  <c r="VJ8" i="45"/>
  <c r="VI8" i="45"/>
  <c r="VH8" i="45"/>
  <c r="VG8" i="45"/>
  <c r="VF8" i="45"/>
  <c r="VD8" i="45"/>
  <c r="VC8" i="45"/>
  <c r="VB8" i="45"/>
  <c r="VA8" i="45"/>
  <c r="UZ8" i="45"/>
  <c r="UY8" i="45"/>
  <c r="UC8" i="45"/>
  <c r="UB8" i="45"/>
  <c r="UA8" i="45"/>
  <c r="TZ8" i="45"/>
  <c r="TY8" i="45"/>
  <c r="TX8" i="45"/>
  <c r="TV8" i="45"/>
  <c r="TU8" i="45"/>
  <c r="TT8" i="45"/>
  <c r="TS8" i="45"/>
  <c r="TR8" i="45"/>
  <c r="TQ8" i="45"/>
  <c r="SU8" i="45"/>
  <c r="ST8" i="45"/>
  <c r="SS8" i="45"/>
  <c r="SR8" i="45"/>
  <c r="SQ8" i="45"/>
  <c r="SP8" i="45"/>
  <c r="SN8" i="45"/>
  <c r="SM8" i="45"/>
  <c r="SL8" i="45"/>
  <c r="SK8" i="45"/>
  <c r="SJ8" i="45"/>
  <c r="SI8" i="45"/>
  <c r="RM8" i="45"/>
  <c r="RL8" i="45"/>
  <c r="RK8" i="45"/>
  <c r="RJ8" i="45"/>
  <c r="RI8" i="45"/>
  <c r="RH8" i="45"/>
  <c r="RF8" i="45"/>
  <c r="RE8" i="45"/>
  <c r="RD8" i="45"/>
  <c r="RC8" i="45"/>
  <c r="RB8" i="45"/>
  <c r="RA8" i="45"/>
  <c r="QE8" i="45"/>
  <c r="QD8" i="45"/>
  <c r="QC8" i="45"/>
  <c r="QB8" i="45"/>
  <c r="QA8" i="45"/>
  <c r="PZ8" i="45"/>
  <c r="PX8" i="45"/>
  <c r="PW8" i="45"/>
  <c r="PV8" i="45"/>
  <c r="PU8" i="45"/>
  <c r="PT8" i="45"/>
  <c r="PS8" i="45"/>
  <c r="OW8" i="45"/>
  <c r="OV8" i="45"/>
  <c r="OU8" i="45"/>
  <c r="OT8" i="45"/>
  <c r="OS8" i="45"/>
  <c r="OR8" i="45"/>
  <c r="OP8" i="45"/>
  <c r="OO8" i="45"/>
  <c r="ON8" i="45"/>
  <c r="OM8" i="45"/>
  <c r="OL8" i="45"/>
  <c r="OK8" i="45"/>
  <c r="NO8" i="45"/>
  <c r="NN8" i="45"/>
  <c r="NM8" i="45"/>
  <c r="NL8" i="45"/>
  <c r="NK8" i="45"/>
  <c r="NJ8" i="45"/>
  <c r="NH8" i="45"/>
  <c r="NG8" i="45"/>
  <c r="NF8" i="45"/>
  <c r="NE8" i="45"/>
  <c r="ND8" i="45"/>
  <c r="NC8" i="45"/>
  <c r="MG8" i="45"/>
  <c r="MF8" i="45"/>
  <c r="ME8" i="45"/>
  <c r="MD8" i="45"/>
  <c r="MC8" i="45"/>
  <c r="MB8" i="45"/>
  <c r="LZ8" i="45"/>
  <c r="LY8" i="45"/>
  <c r="LX8" i="45"/>
  <c r="LW8" i="45"/>
  <c r="LV8" i="45"/>
  <c r="LU8" i="45"/>
  <c r="KY8" i="45"/>
  <c r="KX8" i="45"/>
  <c r="KW8" i="45"/>
  <c r="KV8" i="45"/>
  <c r="KU8" i="45"/>
  <c r="KT8" i="45"/>
  <c r="KR8" i="45"/>
  <c r="KQ8" i="45"/>
  <c r="KP8" i="45"/>
  <c r="KO8" i="45"/>
  <c r="KN8" i="45"/>
  <c r="KM8" i="45"/>
  <c r="JQ8" i="45"/>
  <c r="JP8" i="45"/>
  <c r="JO8" i="45"/>
  <c r="JN8" i="45"/>
  <c r="JM8" i="45"/>
  <c r="JL8" i="45"/>
  <c r="JJ8" i="45"/>
  <c r="JI8" i="45"/>
  <c r="JH8" i="45"/>
  <c r="JG8" i="45"/>
  <c r="JF8" i="45"/>
  <c r="JE8" i="45"/>
  <c r="II8" i="45"/>
  <c r="IH8" i="45"/>
  <c r="IG8" i="45"/>
  <c r="IF8" i="45"/>
  <c r="IE8" i="45"/>
  <c r="ID8" i="45"/>
  <c r="IB8" i="45"/>
  <c r="IA8" i="45"/>
  <c r="HZ8" i="45"/>
  <c r="HY8" i="45"/>
  <c r="HX8" i="45"/>
  <c r="HW8" i="45"/>
  <c r="HA8" i="45"/>
  <c r="GZ8" i="45"/>
  <c r="GY8" i="45"/>
  <c r="GX8" i="45"/>
  <c r="GW8" i="45"/>
  <c r="GV8" i="45"/>
  <c r="GT8" i="45"/>
  <c r="GS8" i="45"/>
  <c r="GR8" i="45"/>
  <c r="GQ8" i="45"/>
  <c r="GP8" i="45"/>
  <c r="GO8" i="45"/>
  <c r="FS8" i="45"/>
  <c r="FR8" i="45"/>
  <c r="FQ8" i="45"/>
  <c r="FP8" i="45"/>
  <c r="FO8" i="45"/>
  <c r="FN8" i="45"/>
  <c r="FL8" i="45"/>
  <c r="FK8" i="45"/>
  <c r="FJ8" i="45"/>
  <c r="FI8" i="45"/>
  <c r="FH8" i="45"/>
  <c r="FG8" i="45"/>
  <c r="EK8" i="45"/>
  <c r="EJ8" i="45"/>
  <c r="EI8" i="45"/>
  <c r="EH8" i="45"/>
  <c r="EG8" i="45"/>
  <c r="EF8" i="45"/>
  <c r="ED8" i="45"/>
  <c r="EC8" i="45"/>
  <c r="EB8" i="45"/>
  <c r="EA8" i="45"/>
  <c r="DZ8" i="45"/>
  <c r="DY8" i="45"/>
  <c r="DC8" i="45"/>
  <c r="DB8" i="45"/>
  <c r="DA8" i="45"/>
  <c r="CZ8" i="45"/>
  <c r="CY8" i="45"/>
  <c r="CX8" i="45"/>
  <c r="CV8" i="45"/>
  <c r="CU8" i="45"/>
  <c r="CT8" i="45"/>
  <c r="CS8" i="45"/>
  <c r="CR8" i="45"/>
  <c r="CQ8" i="45"/>
  <c r="BS8" i="45"/>
  <c r="BR8" i="45"/>
  <c r="BQ8" i="45"/>
  <c r="BO8" i="45"/>
  <c r="BN8" i="45"/>
  <c r="BM8" i="45"/>
  <c r="BL8" i="45"/>
  <c r="BK8" i="45"/>
  <c r="BJ8" i="45"/>
  <c r="AR8" i="45"/>
  <c r="AQ8" i="45"/>
  <c r="AP8" i="45"/>
  <c r="AN8" i="45"/>
  <c r="AM8" i="45"/>
  <c r="AL8" i="45"/>
  <c r="AK8" i="45"/>
  <c r="AJ8" i="45"/>
  <c r="AI8" i="45"/>
  <c r="VK7" i="45"/>
  <c r="VJ7" i="45"/>
  <c r="VI7" i="45"/>
  <c r="VH7" i="45"/>
  <c r="VG7" i="45"/>
  <c r="VF7" i="45"/>
  <c r="VD7" i="45"/>
  <c r="VC7" i="45"/>
  <c r="VB7" i="45"/>
  <c r="VA7" i="45"/>
  <c r="UZ7" i="45"/>
  <c r="UY7" i="45"/>
  <c r="UC7" i="45"/>
  <c r="UB7" i="45"/>
  <c r="UA7" i="45"/>
  <c r="TZ7" i="45"/>
  <c r="TY7" i="45"/>
  <c r="TX7" i="45"/>
  <c r="TV7" i="45"/>
  <c r="TU7" i="45"/>
  <c r="TT7" i="45"/>
  <c r="TS7" i="45"/>
  <c r="TR7" i="45"/>
  <c r="TQ7" i="45"/>
  <c r="SU7" i="45"/>
  <c r="ST7" i="45"/>
  <c r="SS7" i="45"/>
  <c r="SR7" i="45"/>
  <c r="SQ7" i="45"/>
  <c r="SP7" i="45"/>
  <c r="SN7" i="45"/>
  <c r="SM7" i="45"/>
  <c r="SL7" i="45"/>
  <c r="SK7" i="45"/>
  <c r="SJ7" i="45"/>
  <c r="SI7" i="45"/>
  <c r="RM7" i="45"/>
  <c r="RL7" i="45"/>
  <c r="RK7" i="45"/>
  <c r="RJ7" i="45"/>
  <c r="RI7" i="45"/>
  <c r="RH7" i="45"/>
  <c r="RF7" i="45"/>
  <c r="RE7" i="45"/>
  <c r="RD7" i="45"/>
  <c r="RC7" i="45"/>
  <c r="RB7" i="45"/>
  <c r="RA7" i="45"/>
  <c r="QE7" i="45"/>
  <c r="QD7" i="45"/>
  <c r="QC7" i="45"/>
  <c r="QB7" i="45"/>
  <c r="QA7" i="45"/>
  <c r="PZ7" i="45"/>
  <c r="PX7" i="45"/>
  <c r="PW7" i="45"/>
  <c r="PV7" i="45"/>
  <c r="PU7" i="45"/>
  <c r="PT7" i="45"/>
  <c r="PS7" i="45"/>
  <c r="OW7" i="45"/>
  <c r="OV7" i="45"/>
  <c r="OU7" i="45"/>
  <c r="OT7" i="45"/>
  <c r="OS7" i="45"/>
  <c r="OR7" i="45"/>
  <c r="OP7" i="45"/>
  <c r="OO7" i="45"/>
  <c r="ON7" i="45"/>
  <c r="OM7" i="45"/>
  <c r="OL7" i="45"/>
  <c r="OK7" i="45"/>
  <c r="NO7" i="45"/>
  <c r="NN7" i="45"/>
  <c r="NM7" i="45"/>
  <c r="NL7" i="45"/>
  <c r="NK7" i="45"/>
  <c r="NJ7" i="45"/>
  <c r="NH7" i="45"/>
  <c r="NG7" i="45"/>
  <c r="NF7" i="45"/>
  <c r="NE7" i="45"/>
  <c r="ND7" i="45"/>
  <c r="NC7" i="45"/>
  <c r="MG7" i="45"/>
  <c r="MF7" i="45"/>
  <c r="ME7" i="45"/>
  <c r="MD7" i="45"/>
  <c r="MC7" i="45"/>
  <c r="MB7" i="45"/>
  <c r="LZ7" i="45"/>
  <c r="LY7" i="45"/>
  <c r="LX7" i="45"/>
  <c r="LW7" i="45"/>
  <c r="LV7" i="45"/>
  <c r="LU7" i="45"/>
  <c r="KY7" i="45"/>
  <c r="KX7" i="45"/>
  <c r="KW7" i="45"/>
  <c r="KV7" i="45"/>
  <c r="KU7" i="45"/>
  <c r="KT7" i="45"/>
  <c r="KR7" i="45"/>
  <c r="KQ7" i="45"/>
  <c r="KP7" i="45"/>
  <c r="KO7" i="45"/>
  <c r="KN7" i="45"/>
  <c r="KM7" i="45"/>
  <c r="JQ7" i="45"/>
  <c r="JP7" i="45"/>
  <c r="JO7" i="45"/>
  <c r="JN7" i="45"/>
  <c r="JM7" i="45"/>
  <c r="JL7" i="45"/>
  <c r="JJ7" i="45"/>
  <c r="JI7" i="45"/>
  <c r="JH7" i="45"/>
  <c r="JG7" i="45"/>
  <c r="JF7" i="45"/>
  <c r="JE7" i="45"/>
  <c r="II7" i="45"/>
  <c r="IH7" i="45"/>
  <c r="IG7" i="45"/>
  <c r="IF7" i="45"/>
  <c r="IE7" i="45"/>
  <c r="ID7" i="45"/>
  <c r="IB7" i="45"/>
  <c r="IA7" i="45"/>
  <c r="HZ7" i="45"/>
  <c r="HY7" i="45"/>
  <c r="HX7" i="45"/>
  <c r="HW7" i="45"/>
  <c r="HA7" i="45"/>
  <c r="GZ7" i="45"/>
  <c r="GY7" i="45"/>
  <c r="GX7" i="45"/>
  <c r="GW7" i="45"/>
  <c r="GV7" i="45"/>
  <c r="GT7" i="45"/>
  <c r="GS7" i="45"/>
  <c r="GR7" i="45"/>
  <c r="GQ7" i="45"/>
  <c r="GP7" i="45"/>
  <c r="GO7" i="45"/>
  <c r="FS7" i="45"/>
  <c r="FR7" i="45"/>
  <c r="FQ7" i="45"/>
  <c r="FP7" i="45"/>
  <c r="FO7" i="45"/>
  <c r="FN7" i="45"/>
  <c r="FL7" i="45"/>
  <c r="FK7" i="45"/>
  <c r="FJ7" i="45"/>
  <c r="FI7" i="45"/>
  <c r="FH7" i="45"/>
  <c r="FG7" i="45"/>
  <c r="EK7" i="45"/>
  <c r="EJ7" i="45"/>
  <c r="EI7" i="45"/>
  <c r="EH7" i="45"/>
  <c r="EG7" i="45"/>
  <c r="EF7" i="45"/>
  <c r="ED7" i="45"/>
  <c r="EC7" i="45"/>
  <c r="EB7" i="45"/>
  <c r="EA7" i="45"/>
  <c r="DZ7" i="45"/>
  <c r="DY7" i="45"/>
  <c r="DC7" i="45"/>
  <c r="DB7" i="45"/>
  <c r="DA7" i="45"/>
  <c r="CZ7" i="45"/>
  <c r="CY7" i="45"/>
  <c r="CX7" i="45"/>
  <c r="CV7" i="45"/>
  <c r="CU7" i="45"/>
  <c r="CT7" i="45"/>
  <c r="CS7" i="45"/>
  <c r="CR7" i="45"/>
  <c r="CQ7" i="45"/>
  <c r="BS7" i="45"/>
  <c r="BR7" i="45"/>
  <c r="BQ7" i="45"/>
  <c r="BO7" i="45"/>
  <c r="BN7" i="45"/>
  <c r="BM7" i="45"/>
  <c r="BL7" i="45"/>
  <c r="BK7" i="45"/>
  <c r="BJ7" i="45"/>
  <c r="AR7" i="45"/>
  <c r="AQ7" i="45"/>
  <c r="AP7" i="45"/>
  <c r="AN7" i="45"/>
  <c r="AM7" i="45"/>
  <c r="AL7" i="45"/>
  <c r="AK7" i="45"/>
  <c r="AJ7" i="45"/>
  <c r="AI7" i="45"/>
  <c r="VK5" i="45"/>
  <c r="VJ5" i="45"/>
  <c r="VI5" i="45"/>
  <c r="VH5" i="45"/>
  <c r="VG5" i="45"/>
  <c r="VF5" i="45"/>
  <c r="VD5" i="45"/>
  <c r="VC5" i="45"/>
  <c r="VB5" i="45"/>
  <c r="VA5" i="45"/>
  <c r="VE5" i="45" s="1"/>
  <c r="UZ5" i="45"/>
  <c r="UY5" i="45"/>
  <c r="UC5" i="45"/>
  <c r="UB5" i="45"/>
  <c r="UA5" i="45"/>
  <c r="TZ5" i="45"/>
  <c r="TY5" i="45"/>
  <c r="TX5" i="45"/>
  <c r="TV5" i="45"/>
  <c r="TU5" i="45"/>
  <c r="TT5" i="45"/>
  <c r="TS5" i="45"/>
  <c r="TR5" i="45"/>
  <c r="TQ5" i="45"/>
  <c r="SU5" i="45"/>
  <c r="ST5" i="45"/>
  <c r="SS5" i="45"/>
  <c r="SR5" i="45"/>
  <c r="SQ5" i="45"/>
  <c r="SP5" i="45"/>
  <c r="SN5" i="45"/>
  <c r="SM5" i="45"/>
  <c r="SL5" i="45"/>
  <c r="SK5" i="45"/>
  <c r="SJ5" i="45"/>
  <c r="SI5" i="45"/>
  <c r="RM5" i="45"/>
  <c r="RL5" i="45"/>
  <c r="RK5" i="45"/>
  <c r="RJ5" i="45"/>
  <c r="RI5" i="45"/>
  <c r="RH5" i="45"/>
  <c r="RF5" i="45"/>
  <c r="RE5" i="45"/>
  <c r="RD5" i="45"/>
  <c r="RC5" i="45"/>
  <c r="RG5" i="45" s="1"/>
  <c r="RB5" i="45"/>
  <c r="RA5" i="45"/>
  <c r="QE5" i="45"/>
  <c r="QD5" i="45"/>
  <c r="QC5" i="45"/>
  <c r="QB5" i="45"/>
  <c r="QA5" i="45"/>
  <c r="PZ5" i="45"/>
  <c r="PX5" i="45"/>
  <c r="PW5" i="45"/>
  <c r="PV5" i="45"/>
  <c r="PU5" i="45"/>
  <c r="PT5" i="45"/>
  <c r="PS5" i="45"/>
  <c r="OW5" i="45"/>
  <c r="OV5" i="45"/>
  <c r="OU5" i="45"/>
  <c r="OT5" i="45"/>
  <c r="OS5" i="45"/>
  <c r="OR5" i="45"/>
  <c r="OP5" i="45"/>
  <c r="OO5" i="45"/>
  <c r="ON5" i="45"/>
  <c r="OM5" i="45"/>
  <c r="OL5" i="45"/>
  <c r="OK5" i="45"/>
  <c r="NO5" i="45"/>
  <c r="NN5" i="45"/>
  <c r="NM5" i="45"/>
  <c r="NL5" i="45"/>
  <c r="NK5" i="45"/>
  <c r="NJ5" i="45"/>
  <c r="NH5" i="45"/>
  <c r="NG5" i="45"/>
  <c r="NF5" i="45"/>
  <c r="NE5" i="45"/>
  <c r="ND5" i="45"/>
  <c r="NC5" i="45"/>
  <c r="MG5" i="45"/>
  <c r="MF5" i="45"/>
  <c r="ME5" i="45"/>
  <c r="MD5" i="45"/>
  <c r="MC5" i="45"/>
  <c r="MB5" i="45"/>
  <c r="LZ5" i="45"/>
  <c r="LY5" i="45"/>
  <c r="LX5" i="45"/>
  <c r="LW5" i="45"/>
  <c r="MA5" i="45" s="1"/>
  <c r="LV5" i="45"/>
  <c r="LU5" i="45"/>
  <c r="KY5" i="45"/>
  <c r="KX5" i="45"/>
  <c r="KW5" i="45"/>
  <c r="KV5" i="45"/>
  <c r="KU5" i="45"/>
  <c r="KT5" i="45"/>
  <c r="KR5" i="45"/>
  <c r="KQ5" i="45"/>
  <c r="KP5" i="45"/>
  <c r="KO5" i="45"/>
  <c r="KN5" i="45"/>
  <c r="KM5" i="45"/>
  <c r="JQ5" i="45"/>
  <c r="JP5" i="45"/>
  <c r="JO5" i="45"/>
  <c r="JN5" i="45"/>
  <c r="JM5" i="45"/>
  <c r="JL5" i="45"/>
  <c r="JJ5" i="45"/>
  <c r="JI5" i="45"/>
  <c r="JH5" i="45"/>
  <c r="JG5" i="45"/>
  <c r="JF5" i="45"/>
  <c r="JE5" i="45"/>
  <c r="II5" i="45"/>
  <c r="IH5" i="45"/>
  <c r="IG5" i="45"/>
  <c r="IF5" i="45"/>
  <c r="IE5" i="45"/>
  <c r="ID5" i="45"/>
  <c r="IB5" i="45"/>
  <c r="IA5" i="45"/>
  <c r="HZ5" i="45"/>
  <c r="HY5" i="45"/>
  <c r="IC5" i="45" s="1"/>
  <c r="HX5" i="45"/>
  <c r="HW5" i="45"/>
  <c r="HA5" i="45"/>
  <c r="GZ5" i="45"/>
  <c r="GY5" i="45"/>
  <c r="GX5" i="45"/>
  <c r="GW5" i="45"/>
  <c r="GV5" i="45"/>
  <c r="GT5" i="45"/>
  <c r="GS5" i="45"/>
  <c r="GR5" i="45"/>
  <c r="GQ5" i="45"/>
  <c r="GP5" i="45"/>
  <c r="GO5" i="45"/>
  <c r="FS5" i="45"/>
  <c r="FR5" i="45"/>
  <c r="FQ5" i="45"/>
  <c r="FP5" i="45"/>
  <c r="FO5" i="45"/>
  <c r="FN5" i="45"/>
  <c r="FL5" i="45"/>
  <c r="FK5" i="45"/>
  <c r="FJ5" i="45"/>
  <c r="FI5" i="45"/>
  <c r="FH5" i="45"/>
  <c r="FG5" i="45"/>
  <c r="EK5" i="45"/>
  <c r="EJ5" i="45"/>
  <c r="EI5" i="45"/>
  <c r="EH5" i="45"/>
  <c r="EG5" i="45"/>
  <c r="EF5" i="45"/>
  <c r="ED5" i="45"/>
  <c r="EC5" i="45"/>
  <c r="EB5" i="45"/>
  <c r="EA5" i="45"/>
  <c r="DZ5" i="45"/>
  <c r="DY5" i="45"/>
  <c r="DC5" i="45"/>
  <c r="DB5" i="45"/>
  <c r="DA5" i="45"/>
  <c r="CZ5" i="45"/>
  <c r="CY5" i="45"/>
  <c r="CX5" i="45"/>
  <c r="CV5" i="45"/>
  <c r="CU5" i="45"/>
  <c r="CT5" i="45"/>
  <c r="CS5" i="45"/>
  <c r="CW5" i="45" s="1"/>
  <c r="CR5" i="45"/>
  <c r="CQ5" i="45"/>
  <c r="BS5" i="45"/>
  <c r="BR5" i="45"/>
  <c r="BQ5" i="45"/>
  <c r="BO5" i="45"/>
  <c r="BN5" i="45"/>
  <c r="BM5" i="45"/>
  <c r="BL5" i="45"/>
  <c r="BP5" i="45" s="1"/>
  <c r="BK5" i="45"/>
  <c r="BJ5" i="45"/>
  <c r="AR5" i="45"/>
  <c r="AQ5" i="45"/>
  <c r="AP5" i="45"/>
  <c r="AN5" i="45"/>
  <c r="AM5" i="45"/>
  <c r="AL5" i="45"/>
  <c r="AK5" i="45"/>
  <c r="AJ5" i="45"/>
  <c r="AI5" i="45"/>
  <c r="VK4" i="45"/>
  <c r="VJ4" i="45"/>
  <c r="VI4" i="45"/>
  <c r="VH4" i="45"/>
  <c r="VG4" i="45"/>
  <c r="VF4" i="45"/>
  <c r="VD4" i="45"/>
  <c r="VC4" i="45"/>
  <c r="VB4" i="45"/>
  <c r="VA4" i="45"/>
  <c r="UZ4" i="45"/>
  <c r="UY4" i="45"/>
  <c r="UC4" i="45"/>
  <c r="UB4" i="45"/>
  <c r="UA4" i="45"/>
  <c r="TZ4" i="45"/>
  <c r="TY4" i="45"/>
  <c r="TX4" i="45"/>
  <c r="TV4" i="45"/>
  <c r="TU4" i="45"/>
  <c r="TT4" i="45"/>
  <c r="TS4" i="45"/>
  <c r="TW4" i="45" s="1"/>
  <c r="TR4" i="45"/>
  <c r="TQ4" i="45"/>
  <c r="SU4" i="45"/>
  <c r="ST4" i="45"/>
  <c r="SS4" i="45"/>
  <c r="SR4" i="45"/>
  <c r="SQ4" i="45"/>
  <c r="SP4" i="45"/>
  <c r="SN4" i="45"/>
  <c r="SM4" i="45"/>
  <c r="SL4" i="45"/>
  <c r="SK4" i="45"/>
  <c r="SJ4" i="45"/>
  <c r="SI4" i="45"/>
  <c r="RM4" i="45"/>
  <c r="RL4" i="45"/>
  <c r="RK4" i="45"/>
  <c r="RJ4" i="45"/>
  <c r="RI4" i="45"/>
  <c r="RH4" i="45"/>
  <c r="RF4" i="45"/>
  <c r="RE4" i="45"/>
  <c r="RD4" i="45"/>
  <c r="RC4" i="45"/>
  <c r="RB4" i="45"/>
  <c r="RA4" i="45"/>
  <c r="QE4" i="45"/>
  <c r="QD4" i="45"/>
  <c r="QC4" i="45"/>
  <c r="QB4" i="45"/>
  <c r="QA4" i="45"/>
  <c r="PZ4" i="45"/>
  <c r="PX4" i="45"/>
  <c r="PW4" i="45"/>
  <c r="PV4" i="45"/>
  <c r="PU4" i="45"/>
  <c r="PT4" i="45"/>
  <c r="PS4" i="45"/>
  <c r="OW4" i="45"/>
  <c r="OV4" i="45"/>
  <c r="OU4" i="45"/>
  <c r="OT4" i="45"/>
  <c r="OS4" i="45"/>
  <c r="OR4" i="45"/>
  <c r="OP4" i="45"/>
  <c r="OO4" i="45"/>
  <c r="ON4" i="45"/>
  <c r="OM4" i="45"/>
  <c r="OL4" i="45"/>
  <c r="OK4" i="45"/>
  <c r="NO4" i="45"/>
  <c r="NN4" i="45"/>
  <c r="NM4" i="45"/>
  <c r="NL4" i="45"/>
  <c r="NK4" i="45"/>
  <c r="NJ4" i="45"/>
  <c r="NH4" i="45"/>
  <c r="NG4" i="45"/>
  <c r="NF4" i="45"/>
  <c r="NE4" i="45"/>
  <c r="ND4" i="45"/>
  <c r="NC4" i="45"/>
  <c r="MG4" i="45"/>
  <c r="MF4" i="45"/>
  <c r="ME4" i="45"/>
  <c r="MD4" i="45"/>
  <c r="MC4" i="45"/>
  <c r="MB4" i="45"/>
  <c r="LZ4" i="45"/>
  <c r="LY4" i="45"/>
  <c r="LX4" i="45"/>
  <c r="LW4" i="45"/>
  <c r="LV4" i="45"/>
  <c r="LU4" i="45"/>
  <c r="KY4" i="45"/>
  <c r="KX4" i="45"/>
  <c r="KW4" i="45"/>
  <c r="KV4" i="45"/>
  <c r="KU4" i="45"/>
  <c r="KT4" i="45"/>
  <c r="KR4" i="45"/>
  <c r="KQ4" i="45"/>
  <c r="KP4" i="45"/>
  <c r="KO4" i="45"/>
  <c r="KS4" i="45" s="1"/>
  <c r="KN4" i="45"/>
  <c r="KM4" i="45"/>
  <c r="JQ4" i="45"/>
  <c r="JP4" i="45"/>
  <c r="JO4" i="45"/>
  <c r="JN4" i="45"/>
  <c r="JM4" i="45"/>
  <c r="JL4" i="45"/>
  <c r="JJ4" i="45"/>
  <c r="JI4" i="45"/>
  <c r="JH4" i="45"/>
  <c r="JG4" i="45"/>
  <c r="JF4" i="45"/>
  <c r="JE4" i="45"/>
  <c r="II4" i="45"/>
  <c r="IH4" i="45"/>
  <c r="IG4" i="45"/>
  <c r="IF4" i="45"/>
  <c r="IE4" i="45"/>
  <c r="ID4" i="45"/>
  <c r="IB4" i="45"/>
  <c r="IA4" i="45"/>
  <c r="HZ4" i="45"/>
  <c r="HY4" i="45"/>
  <c r="HX4" i="45"/>
  <c r="HW4" i="45"/>
  <c r="HA4" i="45"/>
  <c r="GZ4" i="45"/>
  <c r="GY4" i="45"/>
  <c r="GX4" i="45"/>
  <c r="GW4" i="45"/>
  <c r="GV4" i="45"/>
  <c r="GT4" i="45"/>
  <c r="GS4" i="45"/>
  <c r="GR4" i="45"/>
  <c r="GQ4" i="45"/>
  <c r="GP4" i="45"/>
  <c r="GO4" i="45"/>
  <c r="FS4" i="45"/>
  <c r="FR4" i="45"/>
  <c r="FQ4" i="45"/>
  <c r="FP4" i="45"/>
  <c r="FO4" i="45"/>
  <c r="FN4" i="45"/>
  <c r="FL4" i="45"/>
  <c r="FK4" i="45"/>
  <c r="FJ4" i="45"/>
  <c r="FI4" i="45"/>
  <c r="FH4" i="45"/>
  <c r="FG4" i="45"/>
  <c r="EK4" i="45"/>
  <c r="EJ4" i="45"/>
  <c r="EI4" i="45"/>
  <c r="EH4" i="45"/>
  <c r="EG4" i="45"/>
  <c r="EF4" i="45"/>
  <c r="ED4" i="45"/>
  <c r="EC4" i="45"/>
  <c r="EB4" i="45"/>
  <c r="EA4" i="45"/>
  <c r="DZ4" i="45"/>
  <c r="DY4" i="45"/>
  <c r="DC4" i="45"/>
  <c r="DB4" i="45"/>
  <c r="DA4" i="45"/>
  <c r="CZ4" i="45"/>
  <c r="CY4" i="45"/>
  <c r="CX4" i="45"/>
  <c r="CV4" i="45"/>
  <c r="CU4" i="45"/>
  <c r="CT4" i="45"/>
  <c r="CS4" i="45"/>
  <c r="CR4" i="45"/>
  <c r="CQ4" i="45"/>
  <c r="BS4" i="45"/>
  <c r="BR4" i="45"/>
  <c r="BQ4" i="45"/>
  <c r="BO4" i="45"/>
  <c r="BN4" i="45"/>
  <c r="BM4" i="45"/>
  <c r="BL4" i="45"/>
  <c r="BK4" i="45"/>
  <c r="BJ4" i="45"/>
  <c r="AR4" i="45"/>
  <c r="AQ4" i="45"/>
  <c r="AP4" i="45"/>
  <c r="AN4" i="45"/>
  <c r="AM4" i="45"/>
  <c r="AL4" i="45"/>
  <c r="AK4" i="45"/>
  <c r="AJ4" i="45"/>
  <c r="AI4" i="45"/>
  <c r="WI12" i="43"/>
  <c r="WH12" i="43"/>
  <c r="WG12" i="43"/>
  <c r="WF12" i="43"/>
  <c r="WE12" i="43"/>
  <c r="WD12" i="43"/>
  <c r="WB12" i="43"/>
  <c r="WA12" i="43"/>
  <c r="VZ12" i="43"/>
  <c r="VY12" i="43"/>
  <c r="WC12" i="43" s="1"/>
  <c r="WJ12" i="43" s="1"/>
  <c r="VX12" i="43"/>
  <c r="VW12" i="43"/>
  <c r="VA12" i="43"/>
  <c r="UZ12" i="43"/>
  <c r="UY12" i="43"/>
  <c r="UX12" i="43"/>
  <c r="UW12" i="43"/>
  <c r="UV12" i="43"/>
  <c r="UT12" i="43"/>
  <c r="US12" i="43"/>
  <c r="UR12" i="43"/>
  <c r="UQ12" i="43"/>
  <c r="UU12" i="43" s="1"/>
  <c r="UP12" i="43"/>
  <c r="UO12" i="43"/>
  <c r="TS12" i="43"/>
  <c r="TR12" i="43"/>
  <c r="TQ12" i="43"/>
  <c r="TP12" i="43"/>
  <c r="TO12" i="43"/>
  <c r="TN12" i="43"/>
  <c r="TL12" i="43"/>
  <c r="TK12" i="43"/>
  <c r="TJ12" i="43"/>
  <c r="TI12" i="43"/>
  <c r="TM12" i="43" s="1"/>
  <c r="TH12" i="43"/>
  <c r="TG12" i="43"/>
  <c r="SK12" i="43"/>
  <c r="SJ12" i="43"/>
  <c r="SI12" i="43"/>
  <c r="SH12" i="43"/>
  <c r="SG12" i="43"/>
  <c r="SF12" i="43"/>
  <c r="SD12" i="43"/>
  <c r="SC12" i="43"/>
  <c r="SB12" i="43"/>
  <c r="SA12" i="43"/>
  <c r="RZ12" i="43"/>
  <c r="RY12" i="43"/>
  <c r="RC12" i="43"/>
  <c r="RB12" i="43"/>
  <c r="RA12" i="43"/>
  <c r="QZ12" i="43"/>
  <c r="QY12" i="43"/>
  <c r="QX12" i="43"/>
  <c r="QV12" i="43"/>
  <c r="QU12" i="43"/>
  <c r="QT12" i="43"/>
  <c r="QS12" i="43"/>
  <c r="QR12" i="43"/>
  <c r="QQ12" i="43"/>
  <c r="PU12" i="43"/>
  <c r="PT12" i="43"/>
  <c r="PS12" i="43"/>
  <c r="PR12" i="43"/>
  <c r="PQ12" i="43"/>
  <c r="PP12" i="43"/>
  <c r="PN12" i="43"/>
  <c r="PM12" i="43"/>
  <c r="PL12" i="43"/>
  <c r="PK12" i="43"/>
  <c r="PJ12" i="43"/>
  <c r="PI12" i="43"/>
  <c r="OM12" i="43"/>
  <c r="OL12" i="43"/>
  <c r="OK12" i="43"/>
  <c r="OJ12" i="43"/>
  <c r="OI12" i="43"/>
  <c r="OH12" i="43"/>
  <c r="OF12" i="43"/>
  <c r="OE12" i="43"/>
  <c r="OD12" i="43"/>
  <c r="OC12" i="43"/>
  <c r="OB12" i="43"/>
  <c r="OA12" i="43"/>
  <c r="NE12" i="43"/>
  <c r="ND12" i="43"/>
  <c r="NC12" i="43"/>
  <c r="NB12" i="43"/>
  <c r="NA12" i="43"/>
  <c r="MZ12" i="43"/>
  <c r="MX12" i="43"/>
  <c r="MW12" i="43"/>
  <c r="MV12" i="43"/>
  <c r="MU12" i="43"/>
  <c r="MY12" i="43" s="1"/>
  <c r="NF12" i="43" s="1"/>
  <c r="MT12" i="43"/>
  <c r="MS12" i="43"/>
  <c r="LW12" i="43"/>
  <c r="LV12" i="43"/>
  <c r="LU12" i="43"/>
  <c r="LT12" i="43"/>
  <c r="LS12" i="43"/>
  <c r="LR12" i="43"/>
  <c r="LP12" i="43"/>
  <c r="LO12" i="43"/>
  <c r="LN12" i="43"/>
  <c r="LM12" i="43"/>
  <c r="LQ12" i="43" s="1"/>
  <c r="LL12" i="43"/>
  <c r="LK12" i="43"/>
  <c r="KO12" i="43"/>
  <c r="KN12" i="43"/>
  <c r="KM12" i="43"/>
  <c r="KL12" i="43"/>
  <c r="KK12" i="43"/>
  <c r="KJ12" i="43"/>
  <c r="KH12" i="43"/>
  <c r="KG12" i="43"/>
  <c r="KF12" i="43"/>
  <c r="KE12" i="43"/>
  <c r="KI12" i="43" s="1"/>
  <c r="KD12" i="43"/>
  <c r="KC12" i="43"/>
  <c r="JG12" i="43"/>
  <c r="JF12" i="43"/>
  <c r="JE12" i="43"/>
  <c r="JD12" i="43"/>
  <c r="JC12" i="43"/>
  <c r="JB12" i="43"/>
  <c r="IZ12" i="43"/>
  <c r="IY12" i="43"/>
  <c r="IX12" i="43"/>
  <c r="IW12" i="43"/>
  <c r="IV12" i="43"/>
  <c r="IU12" i="43"/>
  <c r="HY12" i="43"/>
  <c r="HX12" i="43"/>
  <c r="HW12" i="43"/>
  <c r="HV12" i="43"/>
  <c r="HU12" i="43"/>
  <c r="HT12" i="43"/>
  <c r="HR12" i="43"/>
  <c r="HQ12" i="43"/>
  <c r="HP12" i="43"/>
  <c r="HO12" i="43"/>
  <c r="HN12" i="43"/>
  <c r="HM12" i="43"/>
  <c r="GQ12" i="43"/>
  <c r="GP12" i="43"/>
  <c r="GO12" i="43"/>
  <c r="GN12" i="43"/>
  <c r="GM12" i="43"/>
  <c r="GL12" i="43"/>
  <c r="GJ12" i="43"/>
  <c r="GI12" i="43"/>
  <c r="GH12" i="43"/>
  <c r="GG12" i="43"/>
  <c r="GF12" i="43"/>
  <c r="GE12" i="43"/>
  <c r="FI12" i="43"/>
  <c r="FH12" i="43"/>
  <c r="FG12" i="43"/>
  <c r="FF12" i="43"/>
  <c r="FE12" i="43"/>
  <c r="FD12" i="43"/>
  <c r="FB12" i="43"/>
  <c r="FA12" i="43"/>
  <c r="EZ12" i="43"/>
  <c r="EY12" i="43"/>
  <c r="EX12" i="43"/>
  <c r="EW12" i="43"/>
  <c r="EA12" i="43"/>
  <c r="DZ12" i="43"/>
  <c r="DY12" i="43"/>
  <c r="DX12" i="43"/>
  <c r="DW12" i="43"/>
  <c r="DV12" i="43"/>
  <c r="DT12" i="43"/>
  <c r="DS12" i="43"/>
  <c r="DR12" i="43"/>
  <c r="DQ12" i="43"/>
  <c r="DP12" i="43"/>
  <c r="DO12" i="43"/>
  <c r="CR12" i="43"/>
  <c r="CQ12" i="43"/>
  <c r="CP12" i="43"/>
  <c r="CN12" i="43"/>
  <c r="CM12" i="43"/>
  <c r="CL12" i="43"/>
  <c r="CK12" i="43"/>
  <c r="CO12" i="43" s="1"/>
  <c r="CJ12" i="43"/>
  <c r="CI12" i="43"/>
  <c r="BQ12" i="43"/>
  <c r="BP12" i="43"/>
  <c r="BO12" i="43"/>
  <c r="BM12" i="43"/>
  <c r="BL12" i="43"/>
  <c r="BK12" i="43"/>
  <c r="BJ12" i="43"/>
  <c r="BI12" i="43"/>
  <c r="BH12" i="43"/>
  <c r="AP12" i="43"/>
  <c r="AO12" i="43"/>
  <c r="AN12" i="43"/>
  <c r="AL12" i="43"/>
  <c r="AK12" i="43"/>
  <c r="AJ12" i="43"/>
  <c r="AI12" i="43"/>
  <c r="AH12" i="43"/>
  <c r="AG12" i="43"/>
  <c r="WI13" i="43"/>
  <c r="WH13" i="43"/>
  <c r="WG13" i="43"/>
  <c r="WF13" i="43"/>
  <c r="WE13" i="43"/>
  <c r="WD13" i="43"/>
  <c r="WB13" i="43"/>
  <c r="WA13" i="43"/>
  <c r="VZ13" i="43"/>
  <c r="VY13" i="43"/>
  <c r="WC13" i="43" s="1"/>
  <c r="VX13" i="43"/>
  <c r="VW13" i="43"/>
  <c r="VA13" i="43"/>
  <c r="UZ13" i="43"/>
  <c r="UY13" i="43"/>
  <c r="UX13" i="43"/>
  <c r="UW13" i="43"/>
  <c r="UV13" i="43"/>
  <c r="UT13" i="43"/>
  <c r="US13" i="43"/>
  <c r="UR13" i="43"/>
  <c r="UQ13" i="43"/>
  <c r="UU13" i="43" s="1"/>
  <c r="UP13" i="43"/>
  <c r="UO13" i="43"/>
  <c r="TS13" i="43"/>
  <c r="TR13" i="43"/>
  <c r="TQ13" i="43"/>
  <c r="TP13" i="43"/>
  <c r="TO13" i="43"/>
  <c r="TN13" i="43"/>
  <c r="TM13" i="43"/>
  <c r="TT13" i="43" s="1"/>
  <c r="TL13" i="43"/>
  <c r="TK13" i="43"/>
  <c r="TJ13" i="43"/>
  <c r="TI13" i="43"/>
  <c r="TH13" i="43"/>
  <c r="TG13" i="43"/>
  <c r="SK13" i="43"/>
  <c r="SJ13" i="43"/>
  <c r="SI13" i="43"/>
  <c r="SH13" i="43"/>
  <c r="SG13" i="43"/>
  <c r="SF13" i="43"/>
  <c r="SD13" i="43"/>
  <c r="SE13" i="43" s="1"/>
  <c r="SL13" i="43" s="1"/>
  <c r="SC13" i="43"/>
  <c r="SB13" i="43"/>
  <c r="SA13" i="43"/>
  <c r="RZ13" i="43"/>
  <c r="RY13" i="43"/>
  <c r="RC13" i="43"/>
  <c r="RB13" i="43"/>
  <c r="RA13" i="43"/>
  <c r="QZ13" i="43"/>
  <c r="QY13" i="43"/>
  <c r="QX13" i="43"/>
  <c r="QV13" i="43"/>
  <c r="QU13" i="43"/>
  <c r="QT13" i="43"/>
  <c r="QS13" i="43"/>
  <c r="QR13" i="43"/>
  <c r="QQ13" i="43"/>
  <c r="PU13" i="43"/>
  <c r="PT13" i="43"/>
  <c r="PS13" i="43"/>
  <c r="PR13" i="43"/>
  <c r="PQ13" i="43"/>
  <c r="PP13" i="43"/>
  <c r="PN13" i="43"/>
  <c r="PM13" i="43"/>
  <c r="PL13" i="43"/>
  <c r="PK13" i="43"/>
  <c r="PJ13" i="43"/>
  <c r="PI13" i="43"/>
  <c r="OM13" i="43"/>
  <c r="OL13" i="43"/>
  <c r="OK13" i="43"/>
  <c r="OJ13" i="43"/>
  <c r="OI13" i="43"/>
  <c r="OH13" i="43"/>
  <c r="OF13" i="43"/>
  <c r="OE13" i="43"/>
  <c r="OD13" i="43"/>
  <c r="OC13" i="43"/>
  <c r="OG13" i="43" s="1"/>
  <c r="ON13" i="43" s="1"/>
  <c r="OB13" i="43"/>
  <c r="OA13" i="43"/>
  <c r="NE13" i="43"/>
  <c r="ND13" i="43"/>
  <c r="NC13" i="43"/>
  <c r="NB13" i="43"/>
  <c r="NA13" i="43"/>
  <c r="MZ13" i="43"/>
  <c r="MX13" i="43"/>
  <c r="MW13" i="43"/>
  <c r="MV13" i="43"/>
  <c r="MU13" i="43"/>
  <c r="MY13" i="43" s="1"/>
  <c r="MT13" i="43"/>
  <c r="MS13" i="43"/>
  <c r="LW13" i="43"/>
  <c r="LV13" i="43"/>
  <c r="LU13" i="43"/>
  <c r="LT13" i="43"/>
  <c r="LS13" i="43"/>
  <c r="LR13" i="43"/>
  <c r="LP13" i="43"/>
  <c r="LO13" i="43"/>
  <c r="LN13" i="43"/>
  <c r="LM13" i="43"/>
  <c r="LQ13" i="43" s="1"/>
  <c r="LL13" i="43"/>
  <c r="LK13" i="43"/>
  <c r="KO13" i="43"/>
  <c r="KN13" i="43"/>
  <c r="KM13" i="43"/>
  <c r="KL13" i="43"/>
  <c r="KK13" i="43"/>
  <c r="KJ13" i="43"/>
  <c r="KH13" i="43"/>
  <c r="KG13" i="43"/>
  <c r="KF13" i="43"/>
  <c r="KE13" i="43"/>
  <c r="KD13" i="43"/>
  <c r="KC13" i="43"/>
  <c r="JG13" i="43"/>
  <c r="JF13" i="43"/>
  <c r="JE13" i="43"/>
  <c r="JD13" i="43"/>
  <c r="JC13" i="43"/>
  <c r="JB13" i="43"/>
  <c r="IZ13" i="43"/>
  <c r="IY13" i="43"/>
  <c r="IX13" i="43"/>
  <c r="IW13" i="43"/>
  <c r="IV13" i="43"/>
  <c r="IU13" i="43"/>
  <c r="HY13" i="43"/>
  <c r="HX13" i="43"/>
  <c r="HW13" i="43"/>
  <c r="HV13" i="43"/>
  <c r="HU13" i="43"/>
  <c r="HT13" i="43"/>
  <c r="HR13" i="43"/>
  <c r="HQ13" i="43"/>
  <c r="HP13" i="43"/>
  <c r="HO13" i="43"/>
  <c r="HS13" i="43" s="1"/>
  <c r="HZ13" i="43" s="1"/>
  <c r="HN13" i="43"/>
  <c r="HM13" i="43"/>
  <c r="GQ13" i="43"/>
  <c r="GP13" i="43"/>
  <c r="GO13" i="43"/>
  <c r="GN13" i="43"/>
  <c r="GM13" i="43"/>
  <c r="GL13" i="43"/>
  <c r="GJ13" i="43"/>
  <c r="GI13" i="43"/>
  <c r="GH13" i="43"/>
  <c r="GG13" i="43"/>
  <c r="GK13" i="43" s="1"/>
  <c r="GF13" i="43"/>
  <c r="GE13" i="43"/>
  <c r="FI13" i="43"/>
  <c r="FH13" i="43"/>
  <c r="FG13" i="43"/>
  <c r="FF13" i="43"/>
  <c r="FE13" i="43"/>
  <c r="FD13" i="43"/>
  <c r="FB13" i="43"/>
  <c r="FA13" i="43"/>
  <c r="EZ13" i="43"/>
  <c r="EY13" i="43"/>
  <c r="FC13" i="43" s="1"/>
  <c r="EX13" i="43"/>
  <c r="EW13" i="43"/>
  <c r="EA13" i="43"/>
  <c r="DZ13" i="43"/>
  <c r="DY13" i="43"/>
  <c r="DX13" i="43"/>
  <c r="DW13" i="43"/>
  <c r="DV13" i="43"/>
  <c r="DT13" i="43"/>
  <c r="DS13" i="43"/>
  <c r="DR13" i="43"/>
  <c r="DQ13" i="43"/>
  <c r="DU13" i="43" s="1"/>
  <c r="DP13" i="43"/>
  <c r="DO13" i="43"/>
  <c r="CR13" i="43"/>
  <c r="CQ13" i="43"/>
  <c r="CP13" i="43"/>
  <c r="CN13" i="43"/>
  <c r="CM13" i="43"/>
  <c r="CL13" i="43"/>
  <c r="CK13" i="43"/>
  <c r="CJ13" i="43"/>
  <c r="CI13" i="43"/>
  <c r="BQ13" i="43"/>
  <c r="BP13" i="43"/>
  <c r="BO13" i="43"/>
  <c r="BM13" i="43"/>
  <c r="BL13" i="43"/>
  <c r="BK13" i="43"/>
  <c r="BJ13" i="43"/>
  <c r="BN13" i="43" s="1"/>
  <c r="BI13" i="43"/>
  <c r="BH13" i="43"/>
  <c r="AP13" i="43"/>
  <c r="AO13" i="43"/>
  <c r="AN13" i="43"/>
  <c r="AL13" i="43"/>
  <c r="AK13" i="43"/>
  <c r="AJ13" i="43"/>
  <c r="AI13" i="43"/>
  <c r="AH13" i="43"/>
  <c r="AG13" i="43"/>
  <c r="WI11" i="43"/>
  <c r="WH11" i="43"/>
  <c r="WG11" i="43"/>
  <c r="WF11" i="43"/>
  <c r="WE11" i="43"/>
  <c r="WD11" i="43"/>
  <c r="WB11" i="43"/>
  <c r="WA11" i="43"/>
  <c r="VZ11" i="43"/>
  <c r="VY11" i="43"/>
  <c r="WC11" i="43" s="1"/>
  <c r="VX11" i="43"/>
  <c r="VW11" i="43"/>
  <c r="VA11" i="43"/>
  <c r="UZ11" i="43"/>
  <c r="UY11" i="43"/>
  <c r="UX11" i="43"/>
  <c r="UW11" i="43"/>
  <c r="UV11" i="43"/>
  <c r="UT11" i="43"/>
  <c r="US11" i="43"/>
  <c r="UR11" i="43"/>
  <c r="UQ11" i="43"/>
  <c r="UP11" i="43"/>
  <c r="UO11" i="43"/>
  <c r="TS11" i="43"/>
  <c r="TR11" i="43"/>
  <c r="TQ11" i="43"/>
  <c r="TP11" i="43"/>
  <c r="TO11" i="43"/>
  <c r="TN11" i="43"/>
  <c r="TL11" i="43"/>
  <c r="TK11" i="43"/>
  <c r="TJ11" i="43"/>
  <c r="TI11" i="43"/>
  <c r="TH11" i="43"/>
  <c r="TG11" i="43"/>
  <c r="SK11" i="43"/>
  <c r="SJ11" i="43"/>
  <c r="SI11" i="43"/>
  <c r="SH11" i="43"/>
  <c r="SG11" i="43"/>
  <c r="SF11" i="43"/>
  <c r="SD11" i="43"/>
  <c r="SC11" i="43"/>
  <c r="SB11" i="43"/>
  <c r="SA11" i="43"/>
  <c r="SE11" i="43" s="1"/>
  <c r="SL11" i="43" s="1"/>
  <c r="RZ11" i="43"/>
  <c r="RY11" i="43"/>
  <c r="RC11" i="43"/>
  <c r="RB11" i="43"/>
  <c r="RA11" i="43"/>
  <c r="QZ11" i="43"/>
  <c r="QY11" i="43"/>
  <c r="QX11" i="43"/>
  <c r="QV11" i="43"/>
  <c r="QU11" i="43"/>
  <c r="QT11" i="43"/>
  <c r="QS11" i="43"/>
  <c r="QW11" i="43" s="1"/>
  <c r="RD11" i="43" s="1"/>
  <c r="QR11" i="43"/>
  <c r="QQ11" i="43"/>
  <c r="PU11" i="43"/>
  <c r="PT11" i="43"/>
  <c r="PS11" i="43"/>
  <c r="PR11" i="43"/>
  <c r="PQ11" i="43"/>
  <c r="PP11" i="43"/>
  <c r="PN11" i="43"/>
  <c r="PM11" i="43"/>
  <c r="PL11" i="43"/>
  <c r="PK11" i="43"/>
  <c r="PO11" i="43" s="1"/>
  <c r="PJ11" i="43"/>
  <c r="PI11" i="43"/>
  <c r="OM11" i="43"/>
  <c r="OL11" i="43"/>
  <c r="OK11" i="43"/>
  <c r="OJ11" i="43"/>
  <c r="OI11" i="43"/>
  <c r="OH11" i="43"/>
  <c r="OF11" i="43"/>
  <c r="OE11" i="43"/>
  <c r="OD11" i="43"/>
  <c r="OC11" i="43"/>
  <c r="OG11" i="43" s="1"/>
  <c r="OB11" i="43"/>
  <c r="OA11" i="43"/>
  <c r="NE11" i="43"/>
  <c r="ND11" i="43"/>
  <c r="NC11" i="43"/>
  <c r="NB11" i="43"/>
  <c r="NA11" i="43"/>
  <c r="MZ11" i="43"/>
  <c r="MX11" i="43"/>
  <c r="MW11" i="43"/>
  <c r="MV11" i="43"/>
  <c r="MU11" i="43"/>
  <c r="MT11" i="43"/>
  <c r="MS11" i="43"/>
  <c r="LW11" i="43"/>
  <c r="LV11" i="43"/>
  <c r="LU11" i="43"/>
  <c r="LT11" i="43"/>
  <c r="LS11" i="43"/>
  <c r="LR11" i="43"/>
  <c r="LP11" i="43"/>
  <c r="LO11" i="43"/>
  <c r="LN11" i="43"/>
  <c r="LM11" i="43"/>
  <c r="LL11" i="43"/>
  <c r="LK11" i="43"/>
  <c r="KO11" i="43"/>
  <c r="KN11" i="43"/>
  <c r="KM11" i="43"/>
  <c r="KL11" i="43"/>
  <c r="KK11" i="43"/>
  <c r="KJ11" i="43"/>
  <c r="KH11" i="43"/>
  <c r="KG11" i="43"/>
  <c r="KF11" i="43"/>
  <c r="KE11" i="43"/>
  <c r="KD11" i="43"/>
  <c r="KC11" i="43"/>
  <c r="JG11" i="43"/>
  <c r="JF11" i="43"/>
  <c r="JE11" i="43"/>
  <c r="JD11" i="43"/>
  <c r="JC11" i="43"/>
  <c r="JB11" i="43"/>
  <c r="IZ11" i="43"/>
  <c r="IY11" i="43"/>
  <c r="IX11" i="43"/>
  <c r="IW11" i="43"/>
  <c r="JA11" i="43" s="1"/>
  <c r="JH11" i="43" s="1"/>
  <c r="IV11" i="43"/>
  <c r="IU11" i="43"/>
  <c r="HY11" i="43"/>
  <c r="HX11" i="43"/>
  <c r="HW11" i="43"/>
  <c r="HV11" i="43"/>
  <c r="HU11" i="43"/>
  <c r="HT11" i="43"/>
  <c r="HR11" i="43"/>
  <c r="HQ11" i="43"/>
  <c r="HP11" i="43"/>
  <c r="HO11" i="43"/>
  <c r="HS11" i="43" s="1"/>
  <c r="HN11" i="43"/>
  <c r="HM11" i="43"/>
  <c r="GQ11" i="43"/>
  <c r="GP11" i="43"/>
  <c r="GO11" i="43"/>
  <c r="GN11" i="43"/>
  <c r="GM11" i="43"/>
  <c r="GL11" i="43"/>
  <c r="GJ11" i="43"/>
  <c r="GI11" i="43"/>
  <c r="GH11" i="43"/>
  <c r="GG11" i="43"/>
  <c r="GK11" i="43" s="1"/>
  <c r="GF11" i="43"/>
  <c r="GE11" i="43"/>
  <c r="FI11" i="43"/>
  <c r="FH11" i="43"/>
  <c r="FG11" i="43"/>
  <c r="FF11" i="43"/>
  <c r="FE11" i="43"/>
  <c r="FD11" i="43"/>
  <c r="FB11" i="43"/>
  <c r="FA11" i="43"/>
  <c r="EZ11" i="43"/>
  <c r="EY11" i="43"/>
  <c r="EX11" i="43"/>
  <c r="EW11" i="43"/>
  <c r="EA11" i="43"/>
  <c r="DZ11" i="43"/>
  <c r="DY11" i="43"/>
  <c r="DX11" i="43"/>
  <c r="DW11" i="43"/>
  <c r="DV11" i="43"/>
  <c r="DT11" i="43"/>
  <c r="DS11" i="43"/>
  <c r="DR11" i="43"/>
  <c r="DQ11" i="43"/>
  <c r="DU11" i="43" s="1"/>
  <c r="DP11" i="43"/>
  <c r="DO11" i="43"/>
  <c r="CR11" i="43"/>
  <c r="CQ11" i="43"/>
  <c r="CP11" i="43"/>
  <c r="CN11" i="43"/>
  <c r="CM11" i="43"/>
  <c r="CL11" i="43"/>
  <c r="CK11" i="43"/>
  <c r="CJ11" i="43"/>
  <c r="CI11" i="43"/>
  <c r="BQ11" i="43"/>
  <c r="BP11" i="43"/>
  <c r="BO11" i="43"/>
  <c r="BM11" i="43"/>
  <c r="BL11" i="43"/>
  <c r="BK11" i="43"/>
  <c r="BJ11" i="43"/>
  <c r="BN11" i="43" s="1"/>
  <c r="BI11" i="43"/>
  <c r="BH11" i="43"/>
  <c r="AP11" i="43"/>
  <c r="AO11" i="43"/>
  <c r="AN11" i="43"/>
  <c r="AL11" i="43"/>
  <c r="AK11" i="43"/>
  <c r="AJ11" i="43"/>
  <c r="AI11" i="43"/>
  <c r="AH11" i="43"/>
  <c r="AG11" i="43"/>
  <c r="WI9" i="43"/>
  <c r="WH9" i="43"/>
  <c r="WG9" i="43"/>
  <c r="WF9" i="43"/>
  <c r="WE9" i="43"/>
  <c r="WD9" i="43"/>
  <c r="WB9" i="43"/>
  <c r="WA9" i="43"/>
  <c r="VZ9" i="43"/>
  <c r="VY9" i="43"/>
  <c r="VX9" i="43"/>
  <c r="VW9" i="43"/>
  <c r="VA9" i="43"/>
  <c r="UZ9" i="43"/>
  <c r="UY9" i="43"/>
  <c r="UX9" i="43"/>
  <c r="UW9" i="43"/>
  <c r="UV9" i="43"/>
  <c r="UT9" i="43"/>
  <c r="US9" i="43"/>
  <c r="UR9" i="43"/>
  <c r="UQ9" i="43"/>
  <c r="UU9" i="43" s="1"/>
  <c r="UP9" i="43"/>
  <c r="UO9" i="43"/>
  <c r="TS9" i="43"/>
  <c r="TR9" i="43"/>
  <c r="TQ9" i="43"/>
  <c r="TP9" i="43"/>
  <c r="TO9" i="43"/>
  <c r="TN9" i="43"/>
  <c r="TL9" i="43"/>
  <c r="TK9" i="43"/>
  <c r="TJ9" i="43"/>
  <c r="TI9" i="43"/>
  <c r="TM9" i="43" s="1"/>
  <c r="TH9" i="43"/>
  <c r="TG9" i="43"/>
  <c r="SK9" i="43"/>
  <c r="SJ9" i="43"/>
  <c r="SI9" i="43"/>
  <c r="SH9" i="43"/>
  <c r="SG9" i="43"/>
  <c r="SF9" i="43"/>
  <c r="SD9" i="43"/>
  <c r="SC9" i="43"/>
  <c r="SB9" i="43"/>
  <c r="SA9" i="43"/>
  <c r="SE9" i="43" s="1"/>
  <c r="RZ9" i="43"/>
  <c r="RY9" i="43"/>
  <c r="RC9" i="43"/>
  <c r="RB9" i="43"/>
  <c r="RA9" i="43"/>
  <c r="QZ9" i="43"/>
  <c r="QY9" i="43"/>
  <c r="QX9" i="43"/>
  <c r="QV9" i="43"/>
  <c r="QU9" i="43"/>
  <c r="QT9" i="43"/>
  <c r="QS9" i="43"/>
  <c r="QW9" i="43" s="1"/>
  <c r="QR9" i="43"/>
  <c r="QQ9" i="43"/>
  <c r="PU9" i="43"/>
  <c r="PT9" i="43"/>
  <c r="PS9" i="43"/>
  <c r="PR9" i="43"/>
  <c r="PQ9" i="43"/>
  <c r="PP9" i="43"/>
  <c r="PN9" i="43"/>
  <c r="PM9" i="43"/>
  <c r="PL9" i="43"/>
  <c r="PK9" i="43"/>
  <c r="PO9" i="43" s="1"/>
  <c r="PJ9" i="43"/>
  <c r="PI9" i="43"/>
  <c r="OM9" i="43"/>
  <c r="OL9" i="43"/>
  <c r="OK9" i="43"/>
  <c r="OJ9" i="43"/>
  <c r="OI9" i="43"/>
  <c r="OH9" i="43"/>
  <c r="OF9" i="43"/>
  <c r="OE9" i="43"/>
  <c r="OD9" i="43"/>
  <c r="OC9" i="43"/>
  <c r="OB9" i="43"/>
  <c r="OA9" i="43"/>
  <c r="NE9" i="43"/>
  <c r="ND9" i="43"/>
  <c r="NC9" i="43"/>
  <c r="NB9" i="43"/>
  <c r="NA9" i="43"/>
  <c r="MZ9" i="43"/>
  <c r="MX9" i="43"/>
  <c r="MW9" i="43"/>
  <c r="MV9" i="43"/>
  <c r="MU9" i="43"/>
  <c r="MT9" i="43"/>
  <c r="MS9" i="43"/>
  <c r="LW9" i="43"/>
  <c r="LV9" i="43"/>
  <c r="LU9" i="43"/>
  <c r="LT9" i="43"/>
  <c r="LS9" i="43"/>
  <c r="LR9" i="43"/>
  <c r="LP9" i="43"/>
  <c r="LO9" i="43"/>
  <c r="LN9" i="43"/>
  <c r="LM9" i="43"/>
  <c r="LQ9" i="43" s="1"/>
  <c r="LL9" i="43"/>
  <c r="LK9" i="43"/>
  <c r="KO9" i="43"/>
  <c r="KN9" i="43"/>
  <c r="KM9" i="43"/>
  <c r="KL9" i="43"/>
  <c r="KK9" i="43"/>
  <c r="KJ9" i="43"/>
  <c r="KH9" i="43"/>
  <c r="KG9" i="43"/>
  <c r="KF9" i="43"/>
  <c r="KE9" i="43"/>
  <c r="KI9" i="43" s="1"/>
  <c r="KD9" i="43"/>
  <c r="KC9" i="43"/>
  <c r="JG9" i="43"/>
  <c r="JF9" i="43"/>
  <c r="JE9" i="43"/>
  <c r="JD9" i="43"/>
  <c r="JC9" i="43"/>
  <c r="JB9" i="43"/>
  <c r="IZ9" i="43"/>
  <c r="IY9" i="43"/>
  <c r="IX9" i="43"/>
  <c r="IW9" i="43"/>
  <c r="JA9" i="43" s="1"/>
  <c r="IV9" i="43"/>
  <c r="IU9" i="43"/>
  <c r="HY9" i="43"/>
  <c r="HX9" i="43"/>
  <c r="HW9" i="43"/>
  <c r="HV9" i="43"/>
  <c r="HU9" i="43"/>
  <c r="HT9" i="43"/>
  <c r="HR9" i="43"/>
  <c r="HQ9" i="43"/>
  <c r="HP9" i="43"/>
  <c r="HO9" i="43"/>
  <c r="HS9" i="43" s="1"/>
  <c r="HN9" i="43"/>
  <c r="HM9" i="43"/>
  <c r="GQ9" i="43"/>
  <c r="GP9" i="43"/>
  <c r="GO9" i="43"/>
  <c r="GN9" i="43"/>
  <c r="GM9" i="43"/>
  <c r="GL9" i="43"/>
  <c r="GJ9" i="43"/>
  <c r="GI9" i="43"/>
  <c r="GH9" i="43"/>
  <c r="GG9" i="43"/>
  <c r="GF9" i="43"/>
  <c r="GE9" i="43"/>
  <c r="FI9" i="43"/>
  <c r="FH9" i="43"/>
  <c r="FG9" i="43"/>
  <c r="FF9" i="43"/>
  <c r="FE9" i="43"/>
  <c r="FD9" i="43"/>
  <c r="FB9" i="43"/>
  <c r="FA9" i="43"/>
  <c r="EZ9" i="43"/>
  <c r="EY9" i="43"/>
  <c r="EX9" i="43"/>
  <c r="EW9" i="43"/>
  <c r="EA9" i="43"/>
  <c r="DZ9" i="43"/>
  <c r="DY9" i="43"/>
  <c r="DX9" i="43"/>
  <c r="DW9" i="43"/>
  <c r="DV9" i="43"/>
  <c r="DT9" i="43"/>
  <c r="DS9" i="43"/>
  <c r="DR9" i="43"/>
  <c r="DQ9" i="43"/>
  <c r="DP9" i="43"/>
  <c r="DO9" i="43"/>
  <c r="CR9" i="43"/>
  <c r="CQ9" i="43"/>
  <c r="CP9" i="43"/>
  <c r="CN9" i="43"/>
  <c r="CM9" i="43"/>
  <c r="CL9" i="43"/>
  <c r="CK9" i="43"/>
  <c r="CO9" i="43" s="1"/>
  <c r="CS9" i="43" s="1"/>
  <c r="CJ9" i="43"/>
  <c r="CI9" i="43"/>
  <c r="BQ9" i="43"/>
  <c r="BP9" i="43"/>
  <c r="BO9" i="43"/>
  <c r="BM9" i="43"/>
  <c r="BL9" i="43"/>
  <c r="BK9" i="43"/>
  <c r="BJ9" i="43"/>
  <c r="BI9" i="43"/>
  <c r="BH9" i="43"/>
  <c r="AP9" i="43"/>
  <c r="AO9" i="43"/>
  <c r="AN9" i="43"/>
  <c r="AL9" i="43"/>
  <c r="AK9" i="43"/>
  <c r="AJ9" i="43"/>
  <c r="AI9" i="43"/>
  <c r="AH9" i="43"/>
  <c r="AG9" i="43"/>
  <c r="WI10" i="43"/>
  <c r="WH10" i="43"/>
  <c r="WG10" i="43"/>
  <c r="WF10" i="43"/>
  <c r="WE10" i="43"/>
  <c r="WD10" i="43"/>
  <c r="WB10" i="43"/>
  <c r="WA10" i="43"/>
  <c r="VZ10" i="43"/>
  <c r="VY10" i="43"/>
  <c r="VX10" i="43"/>
  <c r="VW10" i="43"/>
  <c r="VA10" i="43"/>
  <c r="UZ10" i="43"/>
  <c r="UY10" i="43"/>
  <c r="UX10" i="43"/>
  <c r="UW10" i="43"/>
  <c r="UV10" i="43"/>
  <c r="UT10" i="43"/>
  <c r="US10" i="43"/>
  <c r="UR10" i="43"/>
  <c r="UQ10" i="43"/>
  <c r="UU10" i="43" s="1"/>
  <c r="VB10" i="43" s="1"/>
  <c r="UP10" i="43"/>
  <c r="UO10" i="43"/>
  <c r="TS10" i="43"/>
  <c r="TR10" i="43"/>
  <c r="TQ10" i="43"/>
  <c r="TP10" i="43"/>
  <c r="TO10" i="43"/>
  <c r="TN10" i="43"/>
  <c r="TL10" i="43"/>
  <c r="TK10" i="43"/>
  <c r="TJ10" i="43"/>
  <c r="TI10" i="43"/>
  <c r="TM10" i="43" s="1"/>
  <c r="TH10" i="43"/>
  <c r="TG10" i="43"/>
  <c r="SK10" i="43"/>
  <c r="SJ10" i="43"/>
  <c r="SI10" i="43"/>
  <c r="SH10" i="43"/>
  <c r="SG10" i="43"/>
  <c r="SF10" i="43"/>
  <c r="SD10" i="43"/>
  <c r="SC10" i="43"/>
  <c r="SB10" i="43"/>
  <c r="SA10" i="43"/>
  <c r="SE10" i="43" s="1"/>
  <c r="RZ10" i="43"/>
  <c r="RY10" i="43"/>
  <c r="RC10" i="43"/>
  <c r="RB10" i="43"/>
  <c r="RA10" i="43"/>
  <c r="QZ10" i="43"/>
  <c r="QY10" i="43"/>
  <c r="QX10" i="43"/>
  <c r="QV10" i="43"/>
  <c r="QU10" i="43"/>
  <c r="QT10" i="43"/>
  <c r="QS10" i="43"/>
  <c r="QW10" i="43" s="1"/>
  <c r="QR10" i="43"/>
  <c r="QQ10" i="43"/>
  <c r="PU10" i="43"/>
  <c r="PT10" i="43"/>
  <c r="PS10" i="43"/>
  <c r="PR10" i="43"/>
  <c r="PQ10" i="43"/>
  <c r="PP10" i="43"/>
  <c r="PN10" i="43"/>
  <c r="PM10" i="43"/>
  <c r="PL10" i="43"/>
  <c r="PK10" i="43"/>
  <c r="PJ10" i="43"/>
  <c r="PI10" i="43"/>
  <c r="OM10" i="43"/>
  <c r="OL10" i="43"/>
  <c r="OK10" i="43"/>
  <c r="OJ10" i="43"/>
  <c r="OI10" i="43"/>
  <c r="OH10" i="43"/>
  <c r="OF10" i="43"/>
  <c r="OE10" i="43"/>
  <c r="OD10" i="43"/>
  <c r="OC10" i="43"/>
  <c r="OB10" i="43"/>
  <c r="OA10" i="43"/>
  <c r="NE10" i="43"/>
  <c r="ND10" i="43"/>
  <c r="NC10" i="43"/>
  <c r="NB10" i="43"/>
  <c r="NA10" i="43"/>
  <c r="MZ10" i="43"/>
  <c r="MX10" i="43"/>
  <c r="MW10" i="43"/>
  <c r="MV10" i="43"/>
  <c r="MU10" i="43"/>
  <c r="MT10" i="43"/>
  <c r="MS10" i="43"/>
  <c r="LW10" i="43"/>
  <c r="LV10" i="43"/>
  <c r="LU10" i="43"/>
  <c r="LT10" i="43"/>
  <c r="LS10" i="43"/>
  <c r="LR10" i="43"/>
  <c r="LP10" i="43"/>
  <c r="LO10" i="43"/>
  <c r="LN10" i="43"/>
  <c r="LM10" i="43"/>
  <c r="LQ10" i="43" s="1"/>
  <c r="LX10" i="43" s="1"/>
  <c r="LL10" i="43"/>
  <c r="LK10" i="43"/>
  <c r="KO10" i="43"/>
  <c r="KN10" i="43"/>
  <c r="KM10" i="43"/>
  <c r="KL10" i="43"/>
  <c r="KK10" i="43"/>
  <c r="KJ10" i="43"/>
  <c r="KH10" i="43"/>
  <c r="KG10" i="43"/>
  <c r="KF10" i="43"/>
  <c r="KE10" i="43"/>
  <c r="KI10" i="43" s="1"/>
  <c r="KD10" i="43"/>
  <c r="KC10" i="43"/>
  <c r="JG10" i="43"/>
  <c r="JF10" i="43"/>
  <c r="JE10" i="43"/>
  <c r="JD10" i="43"/>
  <c r="JC10" i="43"/>
  <c r="JB10" i="43"/>
  <c r="IZ10" i="43"/>
  <c r="IY10" i="43"/>
  <c r="IX10" i="43"/>
  <c r="IW10" i="43"/>
  <c r="JA10" i="43" s="1"/>
  <c r="IV10" i="43"/>
  <c r="IU10" i="43"/>
  <c r="HY10" i="43"/>
  <c r="HX10" i="43"/>
  <c r="HW10" i="43"/>
  <c r="HV10" i="43"/>
  <c r="HU10" i="43"/>
  <c r="HT10" i="43"/>
  <c r="HR10" i="43"/>
  <c r="HQ10" i="43"/>
  <c r="HP10" i="43"/>
  <c r="HO10" i="43"/>
  <c r="HN10" i="43"/>
  <c r="HM10" i="43"/>
  <c r="GQ10" i="43"/>
  <c r="GP10" i="43"/>
  <c r="GO10" i="43"/>
  <c r="GN10" i="43"/>
  <c r="GM10" i="43"/>
  <c r="GL10" i="43"/>
  <c r="GJ10" i="43"/>
  <c r="GI10" i="43"/>
  <c r="GH10" i="43"/>
  <c r="GG10" i="43"/>
  <c r="GF10" i="43"/>
  <c r="GE10" i="43"/>
  <c r="FI10" i="43"/>
  <c r="FH10" i="43"/>
  <c r="FG10" i="43"/>
  <c r="FF10" i="43"/>
  <c r="FE10" i="43"/>
  <c r="FD10" i="43"/>
  <c r="FB10" i="43"/>
  <c r="FA10" i="43"/>
  <c r="EZ10" i="43"/>
  <c r="EY10" i="43"/>
  <c r="EX10" i="43"/>
  <c r="EW10" i="43"/>
  <c r="EA10" i="43"/>
  <c r="DZ10" i="43"/>
  <c r="DY10" i="43"/>
  <c r="DX10" i="43"/>
  <c r="DW10" i="43"/>
  <c r="DV10" i="43"/>
  <c r="DT10" i="43"/>
  <c r="DS10" i="43"/>
  <c r="DR10" i="43"/>
  <c r="DQ10" i="43"/>
  <c r="DP10" i="43"/>
  <c r="DO10" i="43"/>
  <c r="CR10" i="43"/>
  <c r="CQ10" i="43"/>
  <c r="CP10" i="43"/>
  <c r="CN10" i="43"/>
  <c r="CM10" i="43"/>
  <c r="CL10" i="43"/>
  <c r="CK10" i="43"/>
  <c r="CO10" i="43" s="1"/>
  <c r="CJ10" i="43"/>
  <c r="CI10" i="43"/>
  <c r="BQ10" i="43"/>
  <c r="BP10" i="43"/>
  <c r="BO10" i="43"/>
  <c r="BM10" i="43"/>
  <c r="BL10" i="43"/>
  <c r="BK10" i="43"/>
  <c r="BJ10" i="43"/>
  <c r="BI10" i="43"/>
  <c r="BH10" i="43"/>
  <c r="AP10" i="43"/>
  <c r="AO10" i="43"/>
  <c r="AN10" i="43"/>
  <c r="AL10" i="43"/>
  <c r="AK10" i="43"/>
  <c r="AJ10" i="43"/>
  <c r="AI10" i="43"/>
  <c r="AH10" i="43"/>
  <c r="AG10" i="43"/>
  <c r="WI8" i="43"/>
  <c r="WH8" i="43"/>
  <c r="WG8" i="43"/>
  <c r="WF8" i="43"/>
  <c r="WE8" i="43"/>
  <c r="WD8" i="43"/>
  <c r="WB8" i="43"/>
  <c r="WA8" i="43"/>
  <c r="VZ8" i="43"/>
  <c r="VY8" i="43"/>
  <c r="VX8" i="43"/>
  <c r="VW8" i="43"/>
  <c r="VA8" i="43"/>
  <c r="UZ8" i="43"/>
  <c r="UY8" i="43"/>
  <c r="UX8" i="43"/>
  <c r="UW8" i="43"/>
  <c r="UV8" i="43"/>
  <c r="UT8" i="43"/>
  <c r="US8" i="43"/>
  <c r="UR8" i="43"/>
  <c r="UQ8" i="43"/>
  <c r="UP8" i="43"/>
  <c r="UO8" i="43"/>
  <c r="TS8" i="43"/>
  <c r="TR8" i="43"/>
  <c r="TQ8" i="43"/>
  <c r="TP8" i="43"/>
  <c r="TO8" i="43"/>
  <c r="TN8" i="43"/>
  <c r="TL8" i="43"/>
  <c r="TK8" i="43"/>
  <c r="TJ8" i="43"/>
  <c r="TI8" i="43"/>
  <c r="TH8" i="43"/>
  <c r="TG8" i="43"/>
  <c r="SK8" i="43"/>
  <c r="SJ8" i="43"/>
  <c r="SI8" i="43"/>
  <c r="SH8" i="43"/>
  <c r="SG8" i="43"/>
  <c r="SF8" i="43"/>
  <c r="SD8" i="43"/>
  <c r="SE8" i="43" s="1"/>
  <c r="SC8" i="43"/>
  <c r="SB8" i="43"/>
  <c r="SA8" i="43"/>
  <c r="RZ8" i="43"/>
  <c r="RY8" i="43"/>
  <c r="RC8" i="43"/>
  <c r="RB8" i="43"/>
  <c r="RA8" i="43"/>
  <c r="QZ8" i="43"/>
  <c r="QY8" i="43"/>
  <c r="QX8" i="43"/>
  <c r="QV8" i="43"/>
  <c r="QW8" i="43" s="1"/>
  <c r="RD8" i="43" s="1"/>
  <c r="QU8" i="43"/>
  <c r="QT8" i="43"/>
  <c r="QS8" i="43"/>
  <c r="QR8" i="43"/>
  <c r="QQ8" i="43"/>
  <c r="PU8" i="43"/>
  <c r="PT8" i="43"/>
  <c r="PS8" i="43"/>
  <c r="PR8" i="43"/>
  <c r="PQ8" i="43"/>
  <c r="PP8" i="43"/>
  <c r="PN8" i="43"/>
  <c r="PM8" i="43"/>
  <c r="PL8" i="43"/>
  <c r="PK8" i="43"/>
  <c r="PJ8" i="43"/>
  <c r="PI8" i="43"/>
  <c r="OM8" i="43"/>
  <c r="OL8" i="43"/>
  <c r="OK8" i="43"/>
  <c r="OJ8" i="43"/>
  <c r="OI8" i="43"/>
  <c r="OH8" i="43"/>
  <c r="OF8" i="43"/>
  <c r="OE8" i="43"/>
  <c r="OD8" i="43"/>
  <c r="OC8" i="43"/>
  <c r="OB8" i="43"/>
  <c r="OA8" i="43"/>
  <c r="NE8" i="43"/>
  <c r="ND8" i="43"/>
  <c r="NC8" i="43"/>
  <c r="NB8" i="43"/>
  <c r="NA8" i="43"/>
  <c r="MZ8" i="43"/>
  <c r="MX8" i="43"/>
  <c r="MW8" i="43"/>
  <c r="MV8" i="43"/>
  <c r="MU8" i="43"/>
  <c r="MT8" i="43"/>
  <c r="MS8" i="43"/>
  <c r="LW8" i="43"/>
  <c r="LV8" i="43"/>
  <c r="LU8" i="43"/>
  <c r="LT8" i="43"/>
  <c r="LS8" i="43"/>
  <c r="LR8" i="43"/>
  <c r="LP8" i="43"/>
  <c r="LO8" i="43"/>
  <c r="LN8" i="43"/>
  <c r="LM8" i="43"/>
  <c r="LL8" i="43"/>
  <c r="LK8" i="43"/>
  <c r="KO8" i="43"/>
  <c r="KN8" i="43"/>
  <c r="KM8" i="43"/>
  <c r="KL8" i="43"/>
  <c r="KK8" i="43"/>
  <c r="KJ8" i="43"/>
  <c r="KH8" i="43"/>
  <c r="KG8" i="43"/>
  <c r="KF8" i="43"/>
  <c r="KE8" i="43"/>
  <c r="KD8" i="43"/>
  <c r="KC8" i="43"/>
  <c r="JG8" i="43"/>
  <c r="JF8" i="43"/>
  <c r="JE8" i="43"/>
  <c r="JD8" i="43"/>
  <c r="JC8" i="43"/>
  <c r="JB8" i="43"/>
  <c r="IZ8" i="43"/>
  <c r="JA8" i="43" s="1"/>
  <c r="IY8" i="43"/>
  <c r="IX8" i="43"/>
  <c r="IW8" i="43"/>
  <c r="IV8" i="43"/>
  <c r="IU8" i="43"/>
  <c r="HY8" i="43"/>
  <c r="HX8" i="43"/>
  <c r="HW8" i="43"/>
  <c r="HV8" i="43"/>
  <c r="HU8" i="43"/>
  <c r="HT8" i="43"/>
  <c r="HR8" i="43"/>
  <c r="HQ8" i="43"/>
  <c r="HP8" i="43"/>
  <c r="HO8" i="43"/>
  <c r="HN8" i="43"/>
  <c r="HM8" i="43"/>
  <c r="GQ8" i="43"/>
  <c r="GP8" i="43"/>
  <c r="GO8" i="43"/>
  <c r="GN8" i="43"/>
  <c r="GM8" i="43"/>
  <c r="GL8" i="43"/>
  <c r="GJ8" i="43"/>
  <c r="GI8" i="43"/>
  <c r="GH8" i="43"/>
  <c r="GG8" i="43"/>
  <c r="GF8" i="43"/>
  <c r="GE8" i="43"/>
  <c r="FI8" i="43"/>
  <c r="FH8" i="43"/>
  <c r="FG8" i="43"/>
  <c r="FF8" i="43"/>
  <c r="FE8" i="43"/>
  <c r="FD8" i="43"/>
  <c r="FB8" i="43"/>
  <c r="FA8" i="43"/>
  <c r="EZ8" i="43"/>
  <c r="EY8" i="43"/>
  <c r="EX8" i="43"/>
  <c r="EW8" i="43"/>
  <c r="EA8" i="43"/>
  <c r="DZ8" i="43"/>
  <c r="DY8" i="43"/>
  <c r="DX8" i="43"/>
  <c r="DW8" i="43"/>
  <c r="DV8" i="43"/>
  <c r="DT8" i="43"/>
  <c r="DS8" i="43"/>
  <c r="DR8" i="43"/>
  <c r="DQ8" i="43"/>
  <c r="DU8" i="43" s="1"/>
  <c r="DP8" i="43"/>
  <c r="DO8" i="43"/>
  <c r="CR8" i="43"/>
  <c r="CQ8" i="43"/>
  <c r="CP8" i="43"/>
  <c r="CN8" i="43"/>
  <c r="CM8" i="43"/>
  <c r="CL8" i="43"/>
  <c r="CK8" i="43"/>
  <c r="CJ8" i="43"/>
  <c r="CI8" i="43"/>
  <c r="BQ8" i="43"/>
  <c r="BP8" i="43"/>
  <c r="BO8" i="43"/>
  <c r="BM8" i="43"/>
  <c r="BL8" i="43"/>
  <c r="BK8" i="43"/>
  <c r="BJ8" i="43"/>
  <c r="BI8" i="43"/>
  <c r="BH8" i="43"/>
  <c r="AP8" i="43"/>
  <c r="AO8" i="43"/>
  <c r="AN8" i="43"/>
  <c r="AL8" i="43"/>
  <c r="AK8" i="43"/>
  <c r="AJ8" i="43"/>
  <c r="AI8" i="43"/>
  <c r="AH8" i="43"/>
  <c r="AG8" i="43"/>
  <c r="WI6" i="43"/>
  <c r="WH6" i="43"/>
  <c r="WG6" i="43"/>
  <c r="WF6" i="43"/>
  <c r="WE6" i="43"/>
  <c r="WD6" i="43"/>
  <c r="WB6" i="43"/>
  <c r="WA6" i="43"/>
  <c r="VZ6" i="43"/>
  <c r="VY6" i="43"/>
  <c r="WC6" i="43" s="1"/>
  <c r="VX6" i="43"/>
  <c r="VW6" i="43"/>
  <c r="VA6" i="43"/>
  <c r="UZ6" i="43"/>
  <c r="UY6" i="43"/>
  <c r="UX6" i="43"/>
  <c r="UW6" i="43"/>
  <c r="UV6" i="43"/>
  <c r="UT6" i="43"/>
  <c r="US6" i="43"/>
  <c r="UR6" i="43"/>
  <c r="UQ6" i="43"/>
  <c r="UU6" i="43" s="1"/>
  <c r="UP6" i="43"/>
  <c r="UO6" i="43"/>
  <c r="TS6" i="43"/>
  <c r="TR6" i="43"/>
  <c r="TQ6" i="43"/>
  <c r="TP6" i="43"/>
  <c r="TO6" i="43"/>
  <c r="TN6" i="43"/>
  <c r="TL6" i="43"/>
  <c r="TK6" i="43"/>
  <c r="TJ6" i="43"/>
  <c r="TI6" i="43"/>
  <c r="TH6" i="43"/>
  <c r="TG6" i="43"/>
  <c r="SK6" i="43"/>
  <c r="SJ6" i="43"/>
  <c r="SI6" i="43"/>
  <c r="SH6" i="43"/>
  <c r="SG6" i="43"/>
  <c r="SF6" i="43"/>
  <c r="SD6" i="43"/>
  <c r="SC6" i="43"/>
  <c r="SB6" i="43"/>
  <c r="SA6" i="43"/>
  <c r="RZ6" i="43"/>
  <c r="RY6" i="43"/>
  <c r="RC6" i="43"/>
  <c r="RB6" i="43"/>
  <c r="RA6" i="43"/>
  <c r="QZ6" i="43"/>
  <c r="QY6" i="43"/>
  <c r="QX6" i="43"/>
  <c r="QV6" i="43"/>
  <c r="QU6" i="43"/>
  <c r="QT6" i="43"/>
  <c r="QS6" i="43"/>
  <c r="QR6" i="43"/>
  <c r="QQ6" i="43"/>
  <c r="PU6" i="43"/>
  <c r="PT6" i="43"/>
  <c r="PS6" i="43"/>
  <c r="PR6" i="43"/>
  <c r="PQ6" i="43"/>
  <c r="PP6" i="43"/>
  <c r="PN6" i="43"/>
  <c r="PM6" i="43"/>
  <c r="PL6" i="43"/>
  <c r="PK6" i="43"/>
  <c r="PO6" i="43" s="1"/>
  <c r="PV6" i="43" s="1"/>
  <c r="PJ6" i="43"/>
  <c r="PI6" i="43"/>
  <c r="OM6" i="43"/>
  <c r="OL6" i="43"/>
  <c r="OK6" i="43"/>
  <c r="OJ6" i="43"/>
  <c r="OI6" i="43"/>
  <c r="OH6" i="43"/>
  <c r="OF6" i="43"/>
  <c r="OE6" i="43"/>
  <c r="OD6" i="43"/>
  <c r="OC6" i="43"/>
  <c r="OG6" i="43" s="1"/>
  <c r="OB6" i="43"/>
  <c r="OA6" i="43"/>
  <c r="NE6" i="43"/>
  <c r="ND6" i="43"/>
  <c r="NC6" i="43"/>
  <c r="NB6" i="43"/>
  <c r="NA6" i="43"/>
  <c r="MZ6" i="43"/>
  <c r="MX6" i="43"/>
  <c r="MW6" i="43"/>
  <c r="MV6" i="43"/>
  <c r="MU6" i="43"/>
  <c r="MT6" i="43"/>
  <c r="MS6" i="43"/>
  <c r="LW6" i="43"/>
  <c r="LV6" i="43"/>
  <c r="LU6" i="43"/>
  <c r="LT6" i="43"/>
  <c r="LS6" i="43"/>
  <c r="LR6" i="43"/>
  <c r="LP6" i="43"/>
  <c r="LO6" i="43"/>
  <c r="LN6" i="43"/>
  <c r="LM6" i="43"/>
  <c r="LQ6" i="43" s="1"/>
  <c r="LL6" i="43"/>
  <c r="LK6" i="43"/>
  <c r="KO6" i="43"/>
  <c r="KN6" i="43"/>
  <c r="KM6" i="43"/>
  <c r="KL6" i="43"/>
  <c r="KK6" i="43"/>
  <c r="KJ6" i="43"/>
  <c r="KH6" i="43"/>
  <c r="KG6" i="43"/>
  <c r="KF6" i="43"/>
  <c r="KE6" i="43"/>
  <c r="KD6" i="43"/>
  <c r="KC6" i="43"/>
  <c r="JG6" i="43"/>
  <c r="JF6" i="43"/>
  <c r="JE6" i="43"/>
  <c r="JD6" i="43"/>
  <c r="JC6" i="43"/>
  <c r="JB6" i="43"/>
  <c r="IZ6" i="43"/>
  <c r="IY6" i="43"/>
  <c r="IX6" i="43"/>
  <c r="IW6" i="43"/>
  <c r="IV6" i="43"/>
  <c r="IU6" i="43"/>
  <c r="HY6" i="43"/>
  <c r="HX6" i="43"/>
  <c r="HW6" i="43"/>
  <c r="HV6" i="43"/>
  <c r="HU6" i="43"/>
  <c r="HT6" i="43"/>
  <c r="HR6" i="43"/>
  <c r="HQ6" i="43"/>
  <c r="HP6" i="43"/>
  <c r="HO6" i="43"/>
  <c r="HN6" i="43"/>
  <c r="HM6" i="43"/>
  <c r="GQ6" i="43"/>
  <c r="GP6" i="43"/>
  <c r="GO6" i="43"/>
  <c r="GN6" i="43"/>
  <c r="GM6" i="43"/>
  <c r="GL6" i="43"/>
  <c r="GJ6" i="43"/>
  <c r="GI6" i="43"/>
  <c r="GH6" i="43"/>
  <c r="GG6" i="43"/>
  <c r="GK6" i="43" s="1"/>
  <c r="GF6" i="43"/>
  <c r="GE6" i="43"/>
  <c r="FI6" i="43"/>
  <c r="FH6" i="43"/>
  <c r="FG6" i="43"/>
  <c r="FF6" i="43"/>
  <c r="FE6" i="43"/>
  <c r="FD6" i="43"/>
  <c r="FB6" i="43"/>
  <c r="FA6" i="43"/>
  <c r="EZ6" i="43"/>
  <c r="EY6" i="43"/>
  <c r="FC6" i="43" s="1"/>
  <c r="EX6" i="43"/>
  <c r="EW6" i="43"/>
  <c r="EA6" i="43"/>
  <c r="DZ6" i="43"/>
  <c r="DY6" i="43"/>
  <c r="DX6" i="43"/>
  <c r="DW6" i="43"/>
  <c r="DV6" i="43"/>
  <c r="DT6" i="43"/>
  <c r="DS6" i="43"/>
  <c r="DR6" i="43"/>
  <c r="DQ6" i="43"/>
  <c r="DU6" i="43" s="1"/>
  <c r="DP6" i="43"/>
  <c r="DO6" i="43"/>
  <c r="CR6" i="43"/>
  <c r="CQ6" i="43"/>
  <c r="CP6" i="43"/>
  <c r="CN6" i="43"/>
  <c r="CM6" i="43"/>
  <c r="CL6" i="43"/>
  <c r="CK6" i="43"/>
  <c r="CJ6" i="43"/>
  <c r="CI6" i="43"/>
  <c r="BQ6" i="43"/>
  <c r="BP6" i="43"/>
  <c r="BO6" i="43"/>
  <c r="BM6" i="43"/>
  <c r="BL6" i="43"/>
  <c r="BK6" i="43"/>
  <c r="BJ6" i="43"/>
  <c r="BI6" i="43"/>
  <c r="BH6" i="43"/>
  <c r="AP6" i="43"/>
  <c r="AO6" i="43"/>
  <c r="AN6" i="43"/>
  <c r="AL6" i="43"/>
  <c r="AK6" i="43"/>
  <c r="AJ6" i="43"/>
  <c r="AI6" i="43"/>
  <c r="AH6" i="43"/>
  <c r="AG6" i="43"/>
  <c r="WI7" i="43"/>
  <c r="WH7" i="43"/>
  <c r="WG7" i="43"/>
  <c r="WF7" i="43"/>
  <c r="WE7" i="43"/>
  <c r="WD7" i="43"/>
  <c r="WB7" i="43"/>
  <c r="WA7" i="43"/>
  <c r="VZ7" i="43"/>
  <c r="VY7" i="43"/>
  <c r="VX7" i="43"/>
  <c r="VW7" i="43"/>
  <c r="VA7" i="43"/>
  <c r="UZ7" i="43"/>
  <c r="UY7" i="43"/>
  <c r="UX7" i="43"/>
  <c r="UW7" i="43"/>
  <c r="UV7" i="43"/>
  <c r="UT7" i="43"/>
  <c r="US7" i="43"/>
  <c r="UR7" i="43"/>
  <c r="UQ7" i="43"/>
  <c r="UP7" i="43"/>
  <c r="UO7" i="43"/>
  <c r="TS7" i="43"/>
  <c r="TR7" i="43"/>
  <c r="TQ7" i="43"/>
  <c r="TP7" i="43"/>
  <c r="TO7" i="43"/>
  <c r="TN7" i="43"/>
  <c r="TL7" i="43"/>
  <c r="TK7" i="43"/>
  <c r="TJ7" i="43"/>
  <c r="TI7" i="43"/>
  <c r="TH7" i="43"/>
  <c r="TG7" i="43"/>
  <c r="SK7" i="43"/>
  <c r="SJ7" i="43"/>
  <c r="SI7" i="43"/>
  <c r="SH7" i="43"/>
  <c r="SG7" i="43"/>
  <c r="SF7" i="43"/>
  <c r="SD7" i="43"/>
  <c r="SC7" i="43"/>
  <c r="SB7" i="43"/>
  <c r="SA7" i="43"/>
  <c r="RZ7" i="43"/>
  <c r="RY7" i="43"/>
  <c r="RC7" i="43"/>
  <c r="RB7" i="43"/>
  <c r="RA7" i="43"/>
  <c r="QZ7" i="43"/>
  <c r="QY7" i="43"/>
  <c r="QX7" i="43"/>
  <c r="QV7" i="43"/>
  <c r="QU7" i="43"/>
  <c r="QT7" i="43"/>
  <c r="QS7" i="43"/>
  <c r="QR7" i="43"/>
  <c r="QQ7" i="43"/>
  <c r="PU7" i="43"/>
  <c r="PT7" i="43"/>
  <c r="PS7" i="43"/>
  <c r="PR7" i="43"/>
  <c r="PQ7" i="43"/>
  <c r="PP7" i="43"/>
  <c r="PN7" i="43"/>
  <c r="PM7" i="43"/>
  <c r="PL7" i="43"/>
  <c r="PK7" i="43"/>
  <c r="PJ7" i="43"/>
  <c r="PI7" i="43"/>
  <c r="OM7" i="43"/>
  <c r="OL7" i="43"/>
  <c r="OK7" i="43"/>
  <c r="OJ7" i="43"/>
  <c r="OI7" i="43"/>
  <c r="OH7" i="43"/>
  <c r="OF7" i="43"/>
  <c r="OE7" i="43"/>
  <c r="OD7" i="43"/>
  <c r="OC7" i="43"/>
  <c r="OG7" i="43" s="1"/>
  <c r="OB7" i="43"/>
  <c r="OA7" i="43"/>
  <c r="NE7" i="43"/>
  <c r="ND7" i="43"/>
  <c r="NC7" i="43"/>
  <c r="NB7" i="43"/>
  <c r="NA7" i="43"/>
  <c r="MZ7" i="43"/>
  <c r="MX7" i="43"/>
  <c r="MW7" i="43"/>
  <c r="MV7" i="43"/>
  <c r="MU7" i="43"/>
  <c r="MT7" i="43"/>
  <c r="MS7" i="43"/>
  <c r="LW7" i="43"/>
  <c r="LV7" i="43"/>
  <c r="LU7" i="43"/>
  <c r="LT7" i="43"/>
  <c r="LS7" i="43"/>
  <c r="LR7" i="43"/>
  <c r="LP7" i="43"/>
  <c r="LO7" i="43"/>
  <c r="LN7" i="43"/>
  <c r="LM7" i="43"/>
  <c r="LL7" i="43"/>
  <c r="LK7" i="43"/>
  <c r="KO7" i="43"/>
  <c r="KN7" i="43"/>
  <c r="KM7" i="43"/>
  <c r="KL7" i="43"/>
  <c r="KK7" i="43"/>
  <c r="KJ7" i="43"/>
  <c r="KH7" i="43"/>
  <c r="KG7" i="43"/>
  <c r="KF7" i="43"/>
  <c r="KE7" i="43"/>
  <c r="KI7" i="43" s="1"/>
  <c r="KD7" i="43"/>
  <c r="KC7" i="43"/>
  <c r="JG7" i="43"/>
  <c r="JF7" i="43"/>
  <c r="JE7" i="43"/>
  <c r="JD7" i="43"/>
  <c r="JC7" i="43"/>
  <c r="JB7" i="43"/>
  <c r="IZ7" i="43"/>
  <c r="IY7" i="43"/>
  <c r="IX7" i="43"/>
  <c r="IW7" i="43"/>
  <c r="JA7" i="43" s="1"/>
  <c r="IV7" i="43"/>
  <c r="IU7" i="43"/>
  <c r="HY7" i="43"/>
  <c r="HX7" i="43"/>
  <c r="HW7" i="43"/>
  <c r="HV7" i="43"/>
  <c r="HU7" i="43"/>
  <c r="HT7" i="43"/>
  <c r="HR7" i="43"/>
  <c r="HQ7" i="43"/>
  <c r="HP7" i="43"/>
  <c r="HO7" i="43"/>
  <c r="HN7" i="43"/>
  <c r="HM7" i="43"/>
  <c r="GQ7" i="43"/>
  <c r="GP7" i="43"/>
  <c r="GO7" i="43"/>
  <c r="GN7" i="43"/>
  <c r="GM7" i="43"/>
  <c r="GL7" i="43"/>
  <c r="GJ7" i="43"/>
  <c r="GI7" i="43"/>
  <c r="GH7" i="43"/>
  <c r="GG7" i="43"/>
  <c r="GF7" i="43"/>
  <c r="GE7" i="43"/>
  <c r="FI7" i="43"/>
  <c r="FH7" i="43"/>
  <c r="FG7" i="43"/>
  <c r="FF7" i="43"/>
  <c r="FE7" i="43"/>
  <c r="FD7" i="43"/>
  <c r="FB7" i="43"/>
  <c r="FA7" i="43"/>
  <c r="EZ7" i="43"/>
  <c r="EY7" i="43"/>
  <c r="EX7" i="43"/>
  <c r="EW7" i="43"/>
  <c r="EA7" i="43"/>
  <c r="DZ7" i="43"/>
  <c r="DY7" i="43"/>
  <c r="DX7" i="43"/>
  <c r="DW7" i="43"/>
  <c r="DV7" i="43"/>
  <c r="DT7" i="43"/>
  <c r="DS7" i="43"/>
  <c r="DR7" i="43"/>
  <c r="DQ7" i="43"/>
  <c r="DP7" i="43"/>
  <c r="DO7" i="43"/>
  <c r="CR7" i="43"/>
  <c r="CQ7" i="43"/>
  <c r="CP7" i="43"/>
  <c r="CN7" i="43"/>
  <c r="CM7" i="43"/>
  <c r="CL7" i="43"/>
  <c r="CK7" i="43"/>
  <c r="CJ7" i="43"/>
  <c r="CI7" i="43"/>
  <c r="BQ7" i="43"/>
  <c r="BP7" i="43"/>
  <c r="BO7" i="43"/>
  <c r="BM7" i="43"/>
  <c r="BL7" i="43"/>
  <c r="BK7" i="43"/>
  <c r="BJ7" i="43"/>
  <c r="BI7" i="43"/>
  <c r="BH7" i="43"/>
  <c r="AP7" i="43"/>
  <c r="AO7" i="43"/>
  <c r="AN7" i="43"/>
  <c r="AL7" i="43"/>
  <c r="AK7" i="43"/>
  <c r="AJ7" i="43"/>
  <c r="AI7" i="43"/>
  <c r="AH7" i="43"/>
  <c r="AG7" i="43"/>
  <c r="WI5" i="43"/>
  <c r="WH5" i="43"/>
  <c r="WG5" i="43"/>
  <c r="WF5" i="43"/>
  <c r="WE5" i="43"/>
  <c r="WD5" i="43"/>
  <c r="WB5" i="43"/>
  <c r="WA5" i="43"/>
  <c r="VZ5" i="43"/>
  <c r="VY5" i="43"/>
  <c r="VX5" i="43"/>
  <c r="VW5" i="43"/>
  <c r="VA5" i="43"/>
  <c r="UZ5" i="43"/>
  <c r="UY5" i="43"/>
  <c r="UX5" i="43"/>
  <c r="UW5" i="43"/>
  <c r="UV5" i="43"/>
  <c r="UT5" i="43"/>
  <c r="US5" i="43"/>
  <c r="UR5" i="43"/>
  <c r="UQ5" i="43"/>
  <c r="UU5" i="43" s="1"/>
  <c r="UP5" i="43"/>
  <c r="UO5" i="43"/>
  <c r="TS5" i="43"/>
  <c r="TR5" i="43"/>
  <c r="TQ5" i="43"/>
  <c r="TP5" i="43"/>
  <c r="TO5" i="43"/>
  <c r="TN5" i="43"/>
  <c r="TL5" i="43"/>
  <c r="TK5" i="43"/>
  <c r="TJ5" i="43"/>
  <c r="TI5" i="43"/>
  <c r="TM5" i="43" s="1"/>
  <c r="TH5" i="43"/>
  <c r="TG5" i="43"/>
  <c r="SK5" i="43"/>
  <c r="SJ5" i="43"/>
  <c r="SI5" i="43"/>
  <c r="SH5" i="43"/>
  <c r="SG5" i="43"/>
  <c r="SF5" i="43"/>
  <c r="SD5" i="43"/>
  <c r="SC5" i="43"/>
  <c r="SB5" i="43"/>
  <c r="SA5" i="43"/>
  <c r="RZ5" i="43"/>
  <c r="RY5" i="43"/>
  <c r="RC5" i="43"/>
  <c r="RB5" i="43"/>
  <c r="RA5" i="43"/>
  <c r="QZ5" i="43"/>
  <c r="QY5" i="43"/>
  <c r="QX5" i="43"/>
  <c r="QV5" i="43"/>
  <c r="QU5" i="43"/>
  <c r="QT5" i="43"/>
  <c r="QS5" i="43"/>
  <c r="QR5" i="43"/>
  <c r="QQ5" i="43"/>
  <c r="PU5" i="43"/>
  <c r="PT5" i="43"/>
  <c r="PS5" i="43"/>
  <c r="PR5" i="43"/>
  <c r="PQ5" i="43"/>
  <c r="PP5" i="43"/>
  <c r="PN5" i="43"/>
  <c r="PM5" i="43"/>
  <c r="PL5" i="43"/>
  <c r="PK5" i="43"/>
  <c r="PO5" i="43" s="1"/>
  <c r="PJ5" i="43"/>
  <c r="PI5" i="43"/>
  <c r="OM5" i="43"/>
  <c r="OL5" i="43"/>
  <c r="OK5" i="43"/>
  <c r="OJ5" i="43"/>
  <c r="OI5" i="43"/>
  <c r="OH5" i="43"/>
  <c r="OF5" i="43"/>
  <c r="OE5" i="43"/>
  <c r="OD5" i="43"/>
  <c r="OC5" i="43"/>
  <c r="OB5" i="43"/>
  <c r="OA5" i="43"/>
  <c r="NE5" i="43"/>
  <c r="ND5" i="43"/>
  <c r="NC5" i="43"/>
  <c r="NB5" i="43"/>
  <c r="NA5" i="43"/>
  <c r="MZ5" i="43"/>
  <c r="MX5" i="43"/>
  <c r="MW5" i="43"/>
  <c r="MV5" i="43"/>
  <c r="MU5" i="43"/>
  <c r="MT5" i="43"/>
  <c r="MS5" i="43"/>
  <c r="LW5" i="43"/>
  <c r="LV5" i="43"/>
  <c r="LU5" i="43"/>
  <c r="LT5" i="43"/>
  <c r="LS5" i="43"/>
  <c r="LR5" i="43"/>
  <c r="LP5" i="43"/>
  <c r="LO5" i="43"/>
  <c r="LN5" i="43"/>
  <c r="LM5" i="43"/>
  <c r="LL5" i="43"/>
  <c r="LK5" i="43"/>
  <c r="KO5" i="43"/>
  <c r="KN5" i="43"/>
  <c r="KM5" i="43"/>
  <c r="KL5" i="43"/>
  <c r="KK5" i="43"/>
  <c r="KJ5" i="43"/>
  <c r="KH5" i="43"/>
  <c r="KG5" i="43"/>
  <c r="KF5" i="43"/>
  <c r="KE5" i="43"/>
  <c r="KI5" i="43" s="1"/>
  <c r="KD5" i="43"/>
  <c r="KC5" i="43"/>
  <c r="JG5" i="43"/>
  <c r="JF5" i="43"/>
  <c r="JE5" i="43"/>
  <c r="JD5" i="43"/>
  <c r="JC5" i="43"/>
  <c r="JB5" i="43"/>
  <c r="IZ5" i="43"/>
  <c r="IY5" i="43"/>
  <c r="IX5" i="43"/>
  <c r="IW5" i="43"/>
  <c r="IV5" i="43"/>
  <c r="IU5" i="43"/>
  <c r="HY5" i="43"/>
  <c r="HX5" i="43"/>
  <c r="HW5" i="43"/>
  <c r="HV5" i="43"/>
  <c r="HU5" i="43"/>
  <c r="HT5" i="43"/>
  <c r="HR5" i="43"/>
  <c r="HQ5" i="43"/>
  <c r="HP5" i="43"/>
  <c r="HO5" i="43"/>
  <c r="HN5" i="43"/>
  <c r="HM5" i="43"/>
  <c r="GQ5" i="43"/>
  <c r="GP5" i="43"/>
  <c r="GO5" i="43"/>
  <c r="GN5" i="43"/>
  <c r="GM5" i="43"/>
  <c r="GL5" i="43"/>
  <c r="GJ5" i="43"/>
  <c r="GI5" i="43"/>
  <c r="GH5" i="43"/>
  <c r="GG5" i="43"/>
  <c r="GF5" i="43"/>
  <c r="GE5" i="43"/>
  <c r="FI5" i="43"/>
  <c r="FH5" i="43"/>
  <c r="FG5" i="43"/>
  <c r="FF5" i="43"/>
  <c r="FE5" i="43"/>
  <c r="FD5" i="43"/>
  <c r="FB5" i="43"/>
  <c r="FA5" i="43"/>
  <c r="EZ5" i="43"/>
  <c r="EY5" i="43"/>
  <c r="EX5" i="43"/>
  <c r="EW5" i="43"/>
  <c r="EA5" i="43"/>
  <c r="DZ5" i="43"/>
  <c r="DY5" i="43"/>
  <c r="DX5" i="43"/>
  <c r="DW5" i="43"/>
  <c r="DV5" i="43"/>
  <c r="DT5" i="43"/>
  <c r="DS5" i="43"/>
  <c r="DR5" i="43"/>
  <c r="DQ5" i="43"/>
  <c r="DP5" i="43"/>
  <c r="DO5" i="43"/>
  <c r="CR5" i="43"/>
  <c r="CQ5" i="43"/>
  <c r="CP5" i="43"/>
  <c r="CN5" i="43"/>
  <c r="CM5" i="43"/>
  <c r="CL5" i="43"/>
  <c r="CK5" i="43"/>
  <c r="CO5" i="43" s="1"/>
  <c r="CJ5" i="43"/>
  <c r="CI5" i="43"/>
  <c r="BQ5" i="43"/>
  <c r="BP5" i="43"/>
  <c r="BO5" i="43"/>
  <c r="BM5" i="43"/>
  <c r="BL5" i="43"/>
  <c r="BK5" i="43"/>
  <c r="BJ5" i="43"/>
  <c r="BI5" i="43"/>
  <c r="BH5" i="43"/>
  <c r="AP5" i="43"/>
  <c r="AO5" i="43"/>
  <c r="AN5" i="43"/>
  <c r="AL5" i="43"/>
  <c r="AK5" i="43"/>
  <c r="AJ5" i="43"/>
  <c r="AI5" i="43"/>
  <c r="AH5" i="43"/>
  <c r="AG5" i="43"/>
  <c r="WI4" i="43"/>
  <c r="WH4" i="43"/>
  <c r="WG4" i="43"/>
  <c r="WF4" i="43"/>
  <c r="WE4" i="43"/>
  <c r="WD4" i="43"/>
  <c r="WB4" i="43"/>
  <c r="WA4" i="43"/>
  <c r="VZ4" i="43"/>
  <c r="VY4" i="43"/>
  <c r="VX4" i="43"/>
  <c r="VW4" i="43"/>
  <c r="VA4" i="43"/>
  <c r="UZ4" i="43"/>
  <c r="UY4" i="43"/>
  <c r="UX4" i="43"/>
  <c r="UW4" i="43"/>
  <c r="UV4" i="43"/>
  <c r="UT4" i="43"/>
  <c r="US4" i="43"/>
  <c r="UR4" i="43"/>
  <c r="UQ4" i="43"/>
  <c r="UP4" i="43"/>
  <c r="UO4" i="43"/>
  <c r="TS4" i="43"/>
  <c r="TR4" i="43"/>
  <c r="TQ4" i="43"/>
  <c r="TP4" i="43"/>
  <c r="TO4" i="43"/>
  <c r="TN4" i="43"/>
  <c r="TL4" i="43"/>
  <c r="TK4" i="43"/>
  <c r="TJ4" i="43"/>
  <c r="TI4" i="43"/>
  <c r="TH4" i="43"/>
  <c r="TG4" i="43"/>
  <c r="SK4" i="43"/>
  <c r="SJ4" i="43"/>
  <c r="SI4" i="43"/>
  <c r="SH4" i="43"/>
  <c r="SG4" i="43"/>
  <c r="SF4" i="43"/>
  <c r="SD4" i="43"/>
  <c r="SC4" i="43"/>
  <c r="SB4" i="43"/>
  <c r="SA4" i="43"/>
  <c r="RZ4" i="43"/>
  <c r="RY4" i="43"/>
  <c r="RC4" i="43"/>
  <c r="RB4" i="43"/>
  <c r="RA4" i="43"/>
  <c r="QZ4" i="43"/>
  <c r="QY4" i="43"/>
  <c r="QX4" i="43"/>
  <c r="QV4" i="43"/>
  <c r="QU4" i="43"/>
  <c r="QT4" i="43"/>
  <c r="QS4" i="43"/>
  <c r="QR4" i="43"/>
  <c r="QQ4" i="43"/>
  <c r="PU4" i="43"/>
  <c r="PT4" i="43"/>
  <c r="PS4" i="43"/>
  <c r="PR4" i="43"/>
  <c r="PQ4" i="43"/>
  <c r="PP4" i="43"/>
  <c r="PN4" i="43"/>
  <c r="PM4" i="43"/>
  <c r="PL4" i="43"/>
  <c r="PK4" i="43"/>
  <c r="PJ4" i="43"/>
  <c r="PI4" i="43"/>
  <c r="OM4" i="43"/>
  <c r="OL4" i="43"/>
  <c r="OK4" i="43"/>
  <c r="OJ4" i="43"/>
  <c r="OI4" i="43"/>
  <c r="OH4" i="43"/>
  <c r="OF4" i="43"/>
  <c r="OE4" i="43"/>
  <c r="OD4" i="43"/>
  <c r="OC4" i="43"/>
  <c r="OB4" i="43"/>
  <c r="OA4" i="43"/>
  <c r="NE4" i="43"/>
  <c r="ND4" i="43"/>
  <c r="NC4" i="43"/>
  <c r="NB4" i="43"/>
  <c r="NA4" i="43"/>
  <c r="MZ4" i="43"/>
  <c r="MX4" i="43"/>
  <c r="MW4" i="43"/>
  <c r="MV4" i="43"/>
  <c r="MU4" i="43"/>
  <c r="MT4" i="43"/>
  <c r="MS4" i="43"/>
  <c r="LW4" i="43"/>
  <c r="LV4" i="43"/>
  <c r="LU4" i="43"/>
  <c r="LT4" i="43"/>
  <c r="LS4" i="43"/>
  <c r="LR4" i="43"/>
  <c r="LP4" i="43"/>
  <c r="LO4" i="43"/>
  <c r="LN4" i="43"/>
  <c r="LM4" i="43"/>
  <c r="LL4" i="43"/>
  <c r="LK4" i="43"/>
  <c r="KO4" i="43"/>
  <c r="KN4" i="43"/>
  <c r="KM4" i="43"/>
  <c r="KL4" i="43"/>
  <c r="KK4" i="43"/>
  <c r="KJ4" i="43"/>
  <c r="KH4" i="43"/>
  <c r="KG4" i="43"/>
  <c r="KF4" i="43"/>
  <c r="KE4" i="43"/>
  <c r="KD4" i="43"/>
  <c r="KC4" i="43"/>
  <c r="JG4" i="43"/>
  <c r="JF4" i="43"/>
  <c r="JE4" i="43"/>
  <c r="JD4" i="43"/>
  <c r="JC4" i="43"/>
  <c r="JB4" i="43"/>
  <c r="IZ4" i="43"/>
  <c r="IY4" i="43"/>
  <c r="IX4" i="43"/>
  <c r="IW4" i="43"/>
  <c r="IV4" i="43"/>
  <c r="IU4" i="43"/>
  <c r="HY4" i="43"/>
  <c r="HX4" i="43"/>
  <c r="HW4" i="43"/>
  <c r="HV4" i="43"/>
  <c r="HU4" i="43"/>
  <c r="HT4" i="43"/>
  <c r="HR4" i="43"/>
  <c r="HQ4" i="43"/>
  <c r="HP4" i="43"/>
  <c r="HO4" i="43"/>
  <c r="HN4" i="43"/>
  <c r="HM4" i="43"/>
  <c r="GQ4" i="43"/>
  <c r="GP4" i="43"/>
  <c r="GO4" i="43"/>
  <c r="GN4" i="43"/>
  <c r="GM4" i="43"/>
  <c r="GL4" i="43"/>
  <c r="GJ4" i="43"/>
  <c r="GI4" i="43"/>
  <c r="GH4" i="43"/>
  <c r="GG4" i="43"/>
  <c r="GF4" i="43"/>
  <c r="GE4" i="43"/>
  <c r="FI4" i="43"/>
  <c r="FH4" i="43"/>
  <c r="FG4" i="43"/>
  <c r="FF4" i="43"/>
  <c r="FE4" i="43"/>
  <c r="FD4" i="43"/>
  <c r="FB4" i="43"/>
  <c r="FA4" i="43"/>
  <c r="EZ4" i="43"/>
  <c r="EY4" i="43"/>
  <c r="EX4" i="43"/>
  <c r="EW4" i="43"/>
  <c r="EA4" i="43"/>
  <c r="DZ4" i="43"/>
  <c r="DY4" i="43"/>
  <c r="DX4" i="43"/>
  <c r="DW4" i="43"/>
  <c r="DV4" i="43"/>
  <c r="DT4" i="43"/>
  <c r="DS4" i="43"/>
  <c r="DR4" i="43"/>
  <c r="DQ4" i="43"/>
  <c r="DP4" i="43"/>
  <c r="DO4" i="43"/>
  <c r="CR4" i="43"/>
  <c r="CQ4" i="43"/>
  <c r="CP4" i="43"/>
  <c r="CN4" i="43"/>
  <c r="CM4" i="43"/>
  <c r="CL4" i="43"/>
  <c r="CK4" i="43"/>
  <c r="CJ4" i="43"/>
  <c r="CI4" i="43"/>
  <c r="BQ4" i="43"/>
  <c r="BP4" i="43"/>
  <c r="BO4" i="43"/>
  <c r="BM4" i="43"/>
  <c r="BL4" i="43"/>
  <c r="BK4" i="43"/>
  <c r="BJ4" i="43"/>
  <c r="BI4" i="43"/>
  <c r="BH4" i="43"/>
  <c r="AP4" i="43"/>
  <c r="AO4" i="43"/>
  <c r="AN4" i="43"/>
  <c r="AL4" i="43"/>
  <c r="AK4" i="43"/>
  <c r="AJ4" i="43"/>
  <c r="AI4" i="43"/>
  <c r="AH4" i="43"/>
  <c r="AG4" i="43"/>
  <c r="AG23" i="42"/>
  <c r="AH23" i="42"/>
  <c r="AI23" i="42"/>
  <c r="J23" i="42" s="1"/>
  <c r="K23" i="42" s="1"/>
  <c r="AJ23" i="42"/>
  <c r="AK23" i="42"/>
  <c r="AL23" i="42"/>
  <c r="AN23" i="42"/>
  <c r="AO23" i="42"/>
  <c r="AP23" i="42"/>
  <c r="BH23" i="42"/>
  <c r="BI23" i="42"/>
  <c r="BJ23" i="42"/>
  <c r="BK23" i="42"/>
  <c r="BL23" i="42"/>
  <c r="BM23" i="42"/>
  <c r="BO23" i="42"/>
  <c r="BP23" i="42"/>
  <c r="BQ23" i="42"/>
  <c r="CI23" i="42"/>
  <c r="CJ23" i="42"/>
  <c r="CK23" i="42"/>
  <c r="CL23" i="42"/>
  <c r="CM23" i="42"/>
  <c r="CN23" i="42"/>
  <c r="CP23" i="42"/>
  <c r="CQ23" i="42"/>
  <c r="CR23" i="42"/>
  <c r="DO23" i="42"/>
  <c r="DP23" i="42"/>
  <c r="DQ23" i="42"/>
  <c r="DR23" i="42"/>
  <c r="DS23" i="42"/>
  <c r="DT23" i="42"/>
  <c r="DV23" i="42"/>
  <c r="DW23" i="42"/>
  <c r="DX23" i="42"/>
  <c r="DY23" i="42"/>
  <c r="DZ23" i="42"/>
  <c r="EA23" i="42"/>
  <c r="EW23" i="42"/>
  <c r="EX23" i="42"/>
  <c r="EY23" i="42"/>
  <c r="EZ23" i="42"/>
  <c r="FA23" i="42"/>
  <c r="FB23" i="42"/>
  <c r="FD23" i="42"/>
  <c r="FE23" i="42"/>
  <c r="FF23" i="42"/>
  <c r="FG23" i="42"/>
  <c r="FH23" i="42"/>
  <c r="FI23" i="42"/>
  <c r="GE23" i="42"/>
  <c r="GF23" i="42"/>
  <c r="GG23" i="42"/>
  <c r="GH23" i="42"/>
  <c r="GI23" i="42"/>
  <c r="GJ23" i="42"/>
  <c r="GL23" i="42"/>
  <c r="GM23" i="42"/>
  <c r="GN23" i="42"/>
  <c r="GO23" i="42"/>
  <c r="GP23" i="42"/>
  <c r="GQ23" i="42"/>
  <c r="HM23" i="42"/>
  <c r="HN23" i="42"/>
  <c r="HO23" i="42"/>
  <c r="HP23" i="42"/>
  <c r="HQ23" i="42"/>
  <c r="HR23" i="42"/>
  <c r="HT23" i="42"/>
  <c r="HU23" i="42"/>
  <c r="HV23" i="42"/>
  <c r="HW23" i="42"/>
  <c r="HX23" i="42"/>
  <c r="HY23" i="42"/>
  <c r="IU23" i="42"/>
  <c r="IV23" i="42"/>
  <c r="IW23" i="42"/>
  <c r="IX23" i="42"/>
  <c r="IY23" i="42"/>
  <c r="IZ23" i="42"/>
  <c r="JB23" i="42"/>
  <c r="JC23" i="42"/>
  <c r="JD23" i="42"/>
  <c r="JE23" i="42"/>
  <c r="JF23" i="42"/>
  <c r="JG23" i="42"/>
  <c r="KC23" i="42"/>
  <c r="KD23" i="42"/>
  <c r="KE23" i="42"/>
  <c r="KF23" i="42"/>
  <c r="KG23" i="42"/>
  <c r="KH23" i="42"/>
  <c r="KJ23" i="42"/>
  <c r="KK23" i="42"/>
  <c r="KL23" i="42"/>
  <c r="KM23" i="42"/>
  <c r="KN23" i="42"/>
  <c r="KO23" i="42"/>
  <c r="LK23" i="42"/>
  <c r="LL23" i="42"/>
  <c r="LM23" i="42"/>
  <c r="LN23" i="42"/>
  <c r="LO23" i="42"/>
  <c r="LP23" i="42"/>
  <c r="LR23" i="42"/>
  <c r="LS23" i="42"/>
  <c r="LT23" i="42"/>
  <c r="LU23" i="42"/>
  <c r="LV23" i="42"/>
  <c r="LW23" i="42"/>
  <c r="MS23" i="42"/>
  <c r="MT23" i="42"/>
  <c r="MU23" i="42"/>
  <c r="MV23" i="42"/>
  <c r="MW23" i="42"/>
  <c r="MX23" i="42"/>
  <c r="MZ23" i="42"/>
  <c r="NA23" i="42"/>
  <c r="NB23" i="42"/>
  <c r="NC23" i="42"/>
  <c r="ND23" i="42"/>
  <c r="NE23" i="42"/>
  <c r="OA23" i="42"/>
  <c r="OB23" i="42"/>
  <c r="OC23" i="42"/>
  <c r="OD23" i="42"/>
  <c r="OE23" i="42"/>
  <c r="OF23" i="42"/>
  <c r="OH23" i="42"/>
  <c r="OI23" i="42"/>
  <c r="OJ23" i="42"/>
  <c r="OK23" i="42"/>
  <c r="OL23" i="42"/>
  <c r="OM23" i="42"/>
  <c r="PI23" i="42"/>
  <c r="PJ23" i="42"/>
  <c r="PK23" i="42"/>
  <c r="PL23" i="42"/>
  <c r="PM23" i="42"/>
  <c r="PN23" i="42"/>
  <c r="PP23" i="42"/>
  <c r="PQ23" i="42"/>
  <c r="PR23" i="42"/>
  <c r="PS23" i="42"/>
  <c r="PT23" i="42"/>
  <c r="PU23" i="42"/>
  <c r="QQ23" i="42"/>
  <c r="QR23" i="42"/>
  <c r="QS23" i="42"/>
  <c r="QT23" i="42"/>
  <c r="QU23" i="42"/>
  <c r="QV23" i="42"/>
  <c r="QX23" i="42"/>
  <c r="QY23" i="42"/>
  <c r="QZ23" i="42"/>
  <c r="RA23" i="42"/>
  <c r="RB23" i="42"/>
  <c r="RC23" i="42"/>
  <c r="RY23" i="42"/>
  <c r="RZ23" i="42"/>
  <c r="SA23" i="42"/>
  <c r="SB23" i="42"/>
  <c r="SC23" i="42"/>
  <c r="SD23" i="42"/>
  <c r="SF23" i="42"/>
  <c r="SG23" i="42"/>
  <c r="SH23" i="42"/>
  <c r="SI23" i="42"/>
  <c r="SJ23" i="42"/>
  <c r="SK23" i="42"/>
  <c r="TG23" i="42"/>
  <c r="TH23" i="42"/>
  <c r="TI23" i="42"/>
  <c r="TJ23" i="42"/>
  <c r="TK23" i="42"/>
  <c r="TL23" i="42"/>
  <c r="TN23" i="42"/>
  <c r="TO23" i="42"/>
  <c r="TP23" i="42"/>
  <c r="TQ23" i="42"/>
  <c r="TR23" i="42"/>
  <c r="TS23" i="42"/>
  <c r="UO23" i="42"/>
  <c r="UP23" i="42"/>
  <c r="UQ23" i="42"/>
  <c r="UR23" i="42"/>
  <c r="US23" i="42"/>
  <c r="UT23" i="42"/>
  <c r="UV23" i="42"/>
  <c r="UW23" i="42"/>
  <c r="UX23" i="42"/>
  <c r="UY23" i="42"/>
  <c r="UZ23" i="42"/>
  <c r="VA23" i="42"/>
  <c r="VW23" i="42"/>
  <c r="VX23" i="42"/>
  <c r="VY23" i="42"/>
  <c r="VZ23" i="42"/>
  <c r="WA23" i="42"/>
  <c r="WB23" i="42"/>
  <c r="WD23" i="42"/>
  <c r="WE23" i="42"/>
  <c r="WF23" i="42"/>
  <c r="WG23" i="42"/>
  <c r="WH23" i="42"/>
  <c r="WI23" i="42"/>
  <c r="DU7" i="43" l="1"/>
  <c r="WC7" i="43"/>
  <c r="FC9" i="43"/>
  <c r="OG9" i="43"/>
  <c r="KI13" i="43"/>
  <c r="JA12" i="43"/>
  <c r="SE12" i="43"/>
  <c r="PO8" i="43"/>
  <c r="PV8" i="43" s="1"/>
  <c r="WJ6" i="43"/>
  <c r="LX13" i="43"/>
  <c r="KP12" i="43"/>
  <c r="ON6" i="43"/>
  <c r="OG8" i="43"/>
  <c r="ON8" i="43" s="1"/>
  <c r="EB13" i="43"/>
  <c r="WC8" i="43"/>
  <c r="WJ8" i="43" s="1"/>
  <c r="WJ13" i="43"/>
  <c r="DU12" i="43"/>
  <c r="ON7" i="43"/>
  <c r="TM4" i="43"/>
  <c r="TT4" i="43" s="1"/>
  <c r="LQ8" i="43"/>
  <c r="LX8" i="43" s="1"/>
  <c r="UU8" i="43"/>
  <c r="VB8" i="43" s="1"/>
  <c r="WJ7" i="43"/>
  <c r="KP13" i="43"/>
  <c r="GK8" i="43"/>
  <c r="GR8" i="43" s="1"/>
  <c r="QW13" i="43"/>
  <c r="RD13" i="43" s="1"/>
  <c r="KP10" i="43"/>
  <c r="TT10" i="43"/>
  <c r="PV5" i="43"/>
  <c r="JA4" i="43"/>
  <c r="JH4" i="43" s="1"/>
  <c r="SE4" i="43"/>
  <c r="SL4" i="43" s="1"/>
  <c r="FC5" i="43"/>
  <c r="FJ5" i="43" s="1"/>
  <c r="OG5" i="43"/>
  <c r="ON5" i="43" s="1"/>
  <c r="L6" i="43"/>
  <c r="M6" i="43" s="1"/>
  <c r="KI6" i="43"/>
  <c r="KP6" i="43" s="1"/>
  <c r="TM6" i="43"/>
  <c r="TT6" i="43" s="1"/>
  <c r="KI8" i="43"/>
  <c r="KP8" i="43" s="1"/>
  <c r="TM8" i="43"/>
  <c r="TT8" i="43" s="1"/>
  <c r="GK10" i="43"/>
  <c r="PO10" i="43"/>
  <c r="PV10" i="43" s="1"/>
  <c r="OG12" i="43"/>
  <c r="ON12" i="43" s="1"/>
  <c r="LQ7" i="43"/>
  <c r="LX7" i="43" s="1"/>
  <c r="UU7" i="43"/>
  <c r="VB7" i="43" s="1"/>
  <c r="CO6" i="43"/>
  <c r="CS6" i="43" s="1"/>
  <c r="JA13" i="43"/>
  <c r="JH13" i="43" s="1"/>
  <c r="HS12" i="43"/>
  <c r="QW12" i="43"/>
  <c r="PO13" i="43"/>
  <c r="PV13" i="43" s="1"/>
  <c r="FC12" i="43"/>
  <c r="FJ12" i="43" s="1"/>
  <c r="NF13" i="43"/>
  <c r="VB12" i="43"/>
  <c r="VB13" i="43"/>
  <c r="DU5" i="43"/>
  <c r="WC5" i="43"/>
  <c r="WJ5" i="43" s="1"/>
  <c r="JA6" i="43"/>
  <c r="JH6" i="43" s="1"/>
  <c r="SE6" i="43"/>
  <c r="SL6" i="43" s="1"/>
  <c r="JH8" i="43"/>
  <c r="SL8" i="43"/>
  <c r="KI11" i="43"/>
  <c r="KP11" i="43" s="1"/>
  <c r="TM11" i="43"/>
  <c r="TT11" i="43" s="1"/>
  <c r="L23" i="42"/>
  <c r="M23" i="42" s="1"/>
  <c r="GU7" i="45"/>
  <c r="HB7" i="45" s="1"/>
  <c r="PY7" i="45"/>
  <c r="QF7" i="45" s="1"/>
  <c r="IC8" i="45"/>
  <c r="IJ8" i="45" s="1"/>
  <c r="RG8" i="45"/>
  <c r="RN8" i="45" s="1"/>
  <c r="EE5" i="45"/>
  <c r="EL5" i="45" s="1"/>
  <c r="NI5" i="45"/>
  <c r="NP5" i="45" s="1"/>
  <c r="FM7" i="45"/>
  <c r="FT7" i="45" s="1"/>
  <c r="OQ7" i="45"/>
  <c r="OX7" i="45" s="1"/>
  <c r="JK6" i="45"/>
  <c r="JR6" i="45" s="1"/>
  <c r="SO6" i="45"/>
  <c r="SV6" i="45" s="1"/>
  <c r="KS7" i="45"/>
  <c r="KZ7" i="45" s="1"/>
  <c r="TW7" i="45"/>
  <c r="UD7" i="45" s="1"/>
  <c r="CW8" i="45"/>
  <c r="DD8" i="45" s="1"/>
  <c r="FM6" i="45"/>
  <c r="FT6" i="45" s="1"/>
  <c r="OQ6" i="45"/>
  <c r="BP7" i="45"/>
  <c r="BT7" i="45" s="1"/>
  <c r="FM4" i="45"/>
  <c r="FT4" i="45" s="1"/>
  <c r="OQ4" i="45"/>
  <c r="OX4" i="45" s="1"/>
  <c r="JK8" i="45"/>
  <c r="JR8" i="45" s="1"/>
  <c r="SO8" i="45"/>
  <c r="SV8" i="45" s="1"/>
  <c r="KS9" i="45"/>
  <c r="KZ9" i="45" s="1"/>
  <c r="TW9" i="45"/>
  <c r="UD9" i="45" s="1"/>
  <c r="PY9" i="45"/>
  <c r="QF9" i="45" s="1"/>
  <c r="L7" i="45"/>
  <c r="M7" i="45" s="1"/>
  <c r="J5" i="45"/>
  <c r="JK4" i="45"/>
  <c r="JR4" i="45" s="1"/>
  <c r="SO4" i="45"/>
  <c r="SV4" i="45" s="1"/>
  <c r="EE8" i="45"/>
  <c r="EL8" i="45" s="1"/>
  <c r="NI8" i="45"/>
  <c r="NP8" i="45" s="1"/>
  <c r="BP4" i="45"/>
  <c r="BT4" i="45" s="1"/>
  <c r="L8" i="45"/>
  <c r="N8" i="45" s="1"/>
  <c r="J6" i="45"/>
  <c r="J4" i="45"/>
  <c r="K4" i="45" s="1"/>
  <c r="L4" i="45"/>
  <c r="J8" i="45"/>
  <c r="L9" i="45"/>
  <c r="L5" i="45"/>
  <c r="AO7" i="45"/>
  <c r="J7" i="45"/>
  <c r="AO9" i="45"/>
  <c r="J9" i="45"/>
  <c r="L6" i="45"/>
  <c r="GU5" i="45"/>
  <c r="HB5" i="45" s="1"/>
  <c r="PY5" i="45"/>
  <c r="QF5" i="45" s="1"/>
  <c r="MA8" i="45"/>
  <c r="MH8" i="45" s="1"/>
  <c r="VE8" i="45"/>
  <c r="VL8" i="45" s="1"/>
  <c r="EE4" i="45"/>
  <c r="EL4" i="45" s="1"/>
  <c r="NI4" i="45"/>
  <c r="NP4" i="45" s="1"/>
  <c r="AO5" i="45"/>
  <c r="JK7" i="45"/>
  <c r="JR7" i="45" s="1"/>
  <c r="SO7" i="45"/>
  <c r="SV7" i="45" s="1"/>
  <c r="BP9" i="45"/>
  <c r="BT9" i="45" s="1"/>
  <c r="FM9" i="45"/>
  <c r="FT9" i="45" s="1"/>
  <c r="OQ9" i="45"/>
  <c r="OX9" i="45" s="1"/>
  <c r="KS5" i="45"/>
  <c r="KZ5" i="45" s="1"/>
  <c r="TW5" i="45"/>
  <c r="UD5" i="45" s="1"/>
  <c r="GU8" i="45"/>
  <c r="HB8" i="45" s="1"/>
  <c r="PY8" i="45"/>
  <c r="QF8" i="45" s="1"/>
  <c r="CW6" i="45"/>
  <c r="DD6" i="45" s="1"/>
  <c r="MA6" i="45"/>
  <c r="MH6" i="45" s="1"/>
  <c r="VE6" i="45"/>
  <c r="VL6" i="45" s="1"/>
  <c r="AO6" i="45"/>
  <c r="CW4" i="45"/>
  <c r="DD4" i="45" s="1"/>
  <c r="MA4" i="45"/>
  <c r="MH4" i="45" s="1"/>
  <c r="VE4" i="45"/>
  <c r="VL4" i="45" s="1"/>
  <c r="IC7" i="45"/>
  <c r="IJ7" i="45" s="1"/>
  <c r="RG7" i="45"/>
  <c r="RN7" i="45" s="1"/>
  <c r="EE9" i="45"/>
  <c r="EL9" i="45" s="1"/>
  <c r="NI9" i="45"/>
  <c r="NP9" i="45" s="1"/>
  <c r="AO4" i="45"/>
  <c r="JK5" i="45"/>
  <c r="JR5" i="45" s="1"/>
  <c r="SO5" i="45"/>
  <c r="SV5" i="45" s="1"/>
  <c r="BP8" i="45"/>
  <c r="BT8" i="45" s="1"/>
  <c r="FM8" i="45"/>
  <c r="FT8" i="45" s="1"/>
  <c r="OQ8" i="45"/>
  <c r="OX8" i="45" s="1"/>
  <c r="KS6" i="45"/>
  <c r="KZ6" i="45" s="1"/>
  <c r="TW6" i="45"/>
  <c r="UD6" i="45" s="1"/>
  <c r="IC4" i="45"/>
  <c r="IJ4" i="45" s="1"/>
  <c r="RG4" i="45"/>
  <c r="RN4" i="45" s="1"/>
  <c r="EE7" i="45"/>
  <c r="EL7" i="45" s="1"/>
  <c r="NI7" i="45"/>
  <c r="NP7" i="45" s="1"/>
  <c r="AO8" i="45"/>
  <c r="JK9" i="45"/>
  <c r="JR9" i="45" s="1"/>
  <c r="SO9" i="45"/>
  <c r="SV9" i="45" s="1"/>
  <c r="FM5" i="45"/>
  <c r="FT5" i="45" s="1"/>
  <c r="OQ5" i="45"/>
  <c r="OX5" i="45" s="1"/>
  <c r="KS8" i="45"/>
  <c r="KZ8" i="45" s="1"/>
  <c r="TW8" i="45"/>
  <c r="UD8" i="45" s="1"/>
  <c r="GU6" i="45"/>
  <c r="HB6" i="45" s="1"/>
  <c r="PY6" i="45"/>
  <c r="QF6" i="45" s="1"/>
  <c r="GU4" i="45"/>
  <c r="HB4" i="45" s="1"/>
  <c r="PY4" i="45"/>
  <c r="QF4" i="45" s="1"/>
  <c r="CW7" i="45"/>
  <c r="DD7" i="45" s="1"/>
  <c r="MA7" i="45"/>
  <c r="MH7" i="45" s="1"/>
  <c r="VE7" i="45"/>
  <c r="VL7" i="45" s="1"/>
  <c r="IC9" i="45"/>
  <c r="IJ9" i="45" s="1"/>
  <c r="RG9" i="45"/>
  <c r="RN9" i="45" s="1"/>
  <c r="HB9" i="45"/>
  <c r="EL6" i="45"/>
  <c r="IJ5" i="45"/>
  <c r="RN5" i="45"/>
  <c r="MH5" i="45"/>
  <c r="IJ6" i="45"/>
  <c r="DD5" i="45"/>
  <c r="NP6" i="45"/>
  <c r="RN6" i="45"/>
  <c r="BT6" i="45"/>
  <c r="OX6" i="45"/>
  <c r="VL5" i="45"/>
  <c r="MH9" i="45"/>
  <c r="VL9" i="45"/>
  <c r="BT5" i="45"/>
  <c r="KZ4" i="45"/>
  <c r="UD4" i="45"/>
  <c r="DD9" i="45"/>
  <c r="MY5" i="43"/>
  <c r="NF5" i="43" s="1"/>
  <c r="MY6" i="43"/>
  <c r="NF6" i="43" s="1"/>
  <c r="MY8" i="43"/>
  <c r="NF8" i="43" s="1"/>
  <c r="MY11" i="43"/>
  <c r="LQ5" i="43"/>
  <c r="KI4" i="43"/>
  <c r="KP4" i="43" s="1"/>
  <c r="HS8" i="43"/>
  <c r="HZ8" i="43" s="1"/>
  <c r="HZ11" i="43"/>
  <c r="HS10" i="43"/>
  <c r="HZ10" i="43" s="1"/>
  <c r="GK12" i="43"/>
  <c r="GR13" i="43"/>
  <c r="GR6" i="43"/>
  <c r="GK9" i="43"/>
  <c r="GK5" i="43"/>
  <c r="GR5" i="43" s="1"/>
  <c r="FC8" i="43"/>
  <c r="FJ8" i="43" s="1"/>
  <c r="FJ13" i="43"/>
  <c r="FC11" i="43"/>
  <c r="FJ6" i="43"/>
  <c r="FC7" i="43"/>
  <c r="FJ7" i="43" s="1"/>
  <c r="CS12" i="43"/>
  <c r="G11" i="43"/>
  <c r="CO7" i="43"/>
  <c r="CS7" i="43" s="1"/>
  <c r="CS10" i="43"/>
  <c r="CO4" i="43"/>
  <c r="CS4" i="43" s="1"/>
  <c r="BN10" i="43"/>
  <c r="BR10" i="43" s="1"/>
  <c r="BN4" i="43"/>
  <c r="BR4" i="43" s="1"/>
  <c r="BN6" i="43"/>
  <c r="BR6" i="43" s="1"/>
  <c r="BN5" i="43"/>
  <c r="BR5" i="43" s="1"/>
  <c r="AM6" i="43"/>
  <c r="AQ6" i="43" s="1"/>
  <c r="L12" i="43"/>
  <c r="M12" i="43" s="1"/>
  <c r="AM7" i="43"/>
  <c r="AQ7" i="43" s="1"/>
  <c r="F4" i="43"/>
  <c r="HS4" i="43"/>
  <c r="HZ4" i="43" s="1"/>
  <c r="QW4" i="43"/>
  <c r="RD4" i="43" s="1"/>
  <c r="F5" i="43"/>
  <c r="CO11" i="43"/>
  <c r="CS11" i="43" s="1"/>
  <c r="J12" i="43"/>
  <c r="K12" i="43" s="1"/>
  <c r="JH12" i="43"/>
  <c r="TT12" i="43"/>
  <c r="SL10" i="43"/>
  <c r="KP7" i="43"/>
  <c r="RD10" i="43"/>
  <c r="L10" i="43"/>
  <c r="M10" i="43" s="1"/>
  <c r="GK4" i="43"/>
  <c r="GR4" i="43" s="1"/>
  <c r="J5" i="43"/>
  <c r="K5" i="43" s="1"/>
  <c r="LX5" i="43"/>
  <c r="F9" i="43"/>
  <c r="BN9" i="43"/>
  <c r="BR9" i="43" s="1"/>
  <c r="NF11" i="43"/>
  <c r="WJ11" i="43"/>
  <c r="RD12" i="43"/>
  <c r="ON11" i="43"/>
  <c r="HZ12" i="43"/>
  <c r="JH7" i="43"/>
  <c r="MY4" i="43"/>
  <c r="NF4" i="43" s="1"/>
  <c r="CO8" i="43"/>
  <c r="CS8" i="43" s="1"/>
  <c r="JA5" i="43"/>
  <c r="JH5" i="43" s="1"/>
  <c r="SE5" i="43"/>
  <c r="SL5" i="43" s="1"/>
  <c r="HS7" i="43"/>
  <c r="HZ7" i="43" s="1"/>
  <c r="QW7" i="43"/>
  <c r="RD7" i="43" s="1"/>
  <c r="FC10" i="43"/>
  <c r="FJ10" i="43" s="1"/>
  <c r="OG10" i="43"/>
  <c r="ON10" i="43" s="1"/>
  <c r="F6" i="43"/>
  <c r="DU4" i="43"/>
  <c r="CS5" i="43"/>
  <c r="TM7" i="43"/>
  <c r="TT7" i="43" s="1"/>
  <c r="LQ4" i="43"/>
  <c r="LX4" i="43" s="1"/>
  <c r="UU4" i="43"/>
  <c r="VB4" i="43" s="1"/>
  <c r="HS6" i="43"/>
  <c r="HZ6" i="43" s="1"/>
  <c r="QW6" i="43"/>
  <c r="RD6" i="43" s="1"/>
  <c r="BN8" i="43"/>
  <c r="BR8" i="43" s="1"/>
  <c r="DU9" i="43"/>
  <c r="EB9" i="43" s="1"/>
  <c r="MY9" i="43"/>
  <c r="NF9" i="43" s="1"/>
  <c r="WC9" i="43"/>
  <c r="BR11" i="43"/>
  <c r="LQ11" i="43"/>
  <c r="LX11" i="43" s="1"/>
  <c r="UU11" i="43"/>
  <c r="VB11" i="43" s="1"/>
  <c r="J13" i="43"/>
  <c r="K13" i="43" s="1"/>
  <c r="PO12" i="43"/>
  <c r="PV12" i="43" s="1"/>
  <c r="L4" i="43"/>
  <c r="M4" i="43" s="1"/>
  <c r="JH10" i="43"/>
  <c r="PO4" i="43"/>
  <c r="PV4" i="43" s="1"/>
  <c r="MY7" i="43"/>
  <c r="NF7" i="43" s="1"/>
  <c r="LX6" i="43"/>
  <c r="VB6" i="43"/>
  <c r="HZ9" i="43"/>
  <c r="RD9" i="43"/>
  <c r="GR11" i="43"/>
  <c r="PV11" i="43"/>
  <c r="VB5" i="43"/>
  <c r="FC4" i="43"/>
  <c r="FJ4" i="43" s="1"/>
  <c r="OG4" i="43"/>
  <c r="ON4" i="43" s="1"/>
  <c r="GR9" i="43"/>
  <c r="PV9" i="43"/>
  <c r="FJ11" i="43"/>
  <c r="SL12" i="43"/>
  <c r="KP5" i="43"/>
  <c r="TT5" i="43"/>
  <c r="GR10" i="43"/>
  <c r="WC4" i="43"/>
  <c r="WJ4" i="43" s="1"/>
  <c r="HS5" i="43"/>
  <c r="HZ5" i="43" s="1"/>
  <c r="QW5" i="43"/>
  <c r="RD5" i="43" s="1"/>
  <c r="BN7" i="43"/>
  <c r="BR7" i="43" s="1"/>
  <c r="GK7" i="43"/>
  <c r="GR7" i="43" s="1"/>
  <c r="PO7" i="43"/>
  <c r="PV7" i="43" s="1"/>
  <c r="G6" i="43"/>
  <c r="DU10" i="43"/>
  <c r="EB10" i="43" s="1"/>
  <c r="MY10" i="43"/>
  <c r="NF10" i="43" s="1"/>
  <c r="WC10" i="43"/>
  <c r="WJ10" i="43" s="1"/>
  <c r="CO13" i="43"/>
  <c r="CS13" i="43" s="1"/>
  <c r="EB11" i="43"/>
  <c r="EB8" i="43"/>
  <c r="EB7" i="43"/>
  <c r="EB6" i="43"/>
  <c r="EB5" i="43"/>
  <c r="F7" i="43"/>
  <c r="AM5" i="43"/>
  <c r="AQ5" i="43" s="1"/>
  <c r="L9" i="43"/>
  <c r="M9" i="43" s="1"/>
  <c r="AM9" i="43"/>
  <c r="AQ9" i="43" s="1"/>
  <c r="G9" i="43"/>
  <c r="AM11" i="43"/>
  <c r="AQ11" i="43" s="1"/>
  <c r="J7" i="43"/>
  <c r="J8" i="43"/>
  <c r="AM8" i="43"/>
  <c r="AQ8" i="43" s="1"/>
  <c r="FJ9" i="43"/>
  <c r="ON9" i="43"/>
  <c r="F12" i="43"/>
  <c r="F10" i="43"/>
  <c r="L7" i="43"/>
  <c r="M7" i="43" s="1"/>
  <c r="WJ9" i="43"/>
  <c r="AM12" i="43"/>
  <c r="AQ12" i="43" s="1"/>
  <c r="G12" i="43"/>
  <c r="G7" i="43"/>
  <c r="G4" i="43"/>
  <c r="F8" i="43"/>
  <c r="G10" i="43"/>
  <c r="AM10" i="43"/>
  <c r="AQ10" i="43" s="1"/>
  <c r="BR13" i="43"/>
  <c r="L5" i="43"/>
  <c r="M5" i="43" s="1"/>
  <c r="AM4" i="43"/>
  <c r="AQ4" i="43" s="1"/>
  <c r="G8" i="43"/>
  <c r="LX9" i="43"/>
  <c r="VB9" i="43"/>
  <c r="GR12" i="43"/>
  <c r="J10" i="43"/>
  <c r="J9" i="43"/>
  <c r="KP9" i="43"/>
  <c r="TT9" i="43"/>
  <c r="F11" i="43"/>
  <c r="J6" i="43"/>
  <c r="L8" i="43"/>
  <c r="M8" i="43" s="1"/>
  <c r="L13" i="43"/>
  <c r="M13" i="43" s="1"/>
  <c r="AM13" i="43"/>
  <c r="AQ13" i="43" s="1"/>
  <c r="G13" i="43"/>
  <c r="EB12" i="43"/>
  <c r="J4" i="43"/>
  <c r="G5" i="43"/>
  <c r="SE7" i="43"/>
  <c r="SL7" i="43" s="1"/>
  <c r="JH9" i="43"/>
  <c r="SL9" i="43"/>
  <c r="LX12" i="43"/>
  <c r="L11" i="43"/>
  <c r="M11" i="43" s="1"/>
  <c r="F13" i="43"/>
  <c r="BN12" i="43"/>
  <c r="BR12" i="43" s="1"/>
  <c r="J11" i="43"/>
  <c r="WC23" i="42"/>
  <c r="WJ23" i="42" s="1"/>
  <c r="UU23" i="42"/>
  <c r="SE23" i="42"/>
  <c r="SL23" i="42" s="1"/>
  <c r="JA23" i="42"/>
  <c r="JH23" i="42" s="1"/>
  <c r="PO23" i="42"/>
  <c r="PV23" i="42" s="1"/>
  <c r="GK23" i="42"/>
  <c r="GR23" i="42" s="1"/>
  <c r="BN23" i="42"/>
  <c r="BR23" i="42" s="1"/>
  <c r="OG23" i="42"/>
  <c r="ON23" i="42" s="1"/>
  <c r="QW23" i="42"/>
  <c r="RD23" i="42" s="1"/>
  <c r="HS23" i="42"/>
  <c r="HZ23" i="42" s="1"/>
  <c r="FC23" i="42"/>
  <c r="FJ23" i="42" s="1"/>
  <c r="TM23" i="42"/>
  <c r="TT23" i="42" s="1"/>
  <c r="KI23" i="42"/>
  <c r="KP23" i="42" s="1"/>
  <c r="VB23" i="42"/>
  <c r="LQ23" i="42"/>
  <c r="LX23" i="42" s="1"/>
  <c r="MY23" i="42"/>
  <c r="NF23" i="42" s="1"/>
  <c r="CO23" i="42"/>
  <c r="CS23" i="42" s="1"/>
  <c r="DU23" i="42"/>
  <c r="EB23" i="42" s="1"/>
  <c r="G23" i="42"/>
  <c r="F23" i="42"/>
  <c r="AM23" i="42"/>
  <c r="AQ23" i="42" s="1"/>
  <c r="BV8" i="45" l="1"/>
  <c r="CT23" i="42"/>
  <c r="N23" i="42" s="1"/>
  <c r="P23" i="42" s="1"/>
  <c r="H23" i="42"/>
  <c r="A23" i="42" s="1" a="1"/>
  <c r="A23" i="42" s="1"/>
  <c r="AS7" i="45"/>
  <c r="G7" i="45"/>
  <c r="F7" i="45"/>
  <c r="AS5" i="45"/>
  <c r="F5" i="45"/>
  <c r="G5" i="45"/>
  <c r="AS4" i="45"/>
  <c r="F4" i="45"/>
  <c r="G4" i="45"/>
  <c r="AS8" i="45"/>
  <c r="G8" i="45"/>
  <c r="F8" i="45"/>
  <c r="AS9" i="45"/>
  <c r="G9" i="45"/>
  <c r="F9" i="45"/>
  <c r="AS6" i="45"/>
  <c r="F6" i="45"/>
  <c r="G6" i="45"/>
  <c r="N7" i="45"/>
  <c r="BV7" i="45" s="1"/>
  <c r="BU4" i="45"/>
  <c r="K9" i="45"/>
  <c r="BU9" i="45"/>
  <c r="O7" i="45"/>
  <c r="K7" i="45"/>
  <c r="BU7" i="45"/>
  <c r="K8" i="45"/>
  <c r="BU8" i="45"/>
  <c r="K6" i="45"/>
  <c r="BU6" i="45"/>
  <c r="O8" i="45"/>
  <c r="M8" i="45"/>
  <c r="K5" i="45"/>
  <c r="BU5" i="45"/>
  <c r="M9" i="45"/>
  <c r="O9" i="45"/>
  <c r="N9" i="45"/>
  <c r="BV9" i="45" s="1"/>
  <c r="O4" i="45"/>
  <c r="M4" i="45"/>
  <c r="N4" i="45"/>
  <c r="BV4" i="45" s="1"/>
  <c r="M6" i="45"/>
  <c r="O6" i="45"/>
  <c r="N6" i="45"/>
  <c r="BV6" i="45" s="1"/>
  <c r="O5" i="45"/>
  <c r="N5" i="45"/>
  <c r="BV5" i="45" s="1"/>
  <c r="M5" i="45"/>
  <c r="H11" i="43"/>
  <c r="A11" i="43" s="1" a="1"/>
  <c r="A11" i="43" s="1"/>
  <c r="CT6" i="43"/>
  <c r="N6" i="43" s="1"/>
  <c r="E6" i="43" s="1"/>
  <c r="H6" i="43"/>
  <c r="CT4" i="43"/>
  <c r="N4" i="43" s="1"/>
  <c r="E4" i="43" s="1"/>
  <c r="EB4" i="43"/>
  <c r="H9" i="43"/>
  <c r="A9" i="43" s="1" a="1"/>
  <c r="A9" i="43" s="1"/>
  <c r="CT12" i="43"/>
  <c r="N12" i="43" s="1"/>
  <c r="E12" i="43" s="1"/>
  <c r="CT9" i="43"/>
  <c r="N9" i="43" s="1"/>
  <c r="E9" i="43" s="1"/>
  <c r="CT10" i="43"/>
  <c r="N10" i="43" s="1"/>
  <c r="P10" i="43" s="1"/>
  <c r="H10" i="43"/>
  <c r="A10" i="43" s="1" a="1"/>
  <c r="A10" i="43" s="1"/>
  <c r="CT7" i="43"/>
  <c r="N7" i="43" s="1"/>
  <c r="E7" i="43" s="1"/>
  <c r="K11" i="43"/>
  <c r="K8" i="43"/>
  <c r="K7" i="43"/>
  <c r="K4" i="43"/>
  <c r="CT8" i="43"/>
  <c r="N8" i="43" s="1"/>
  <c r="K9" i="43"/>
  <c r="K10" i="43"/>
  <c r="H7" i="43"/>
  <c r="CT5" i="43"/>
  <c r="N5" i="43" s="1"/>
  <c r="E5" i="43" s="1"/>
  <c r="H8" i="43"/>
  <c r="P12" i="43"/>
  <c r="O12" i="43"/>
  <c r="K6" i="43"/>
  <c r="CT13" i="43"/>
  <c r="N13" i="43" s="1"/>
  <c r="E13" i="43" s="1"/>
  <c r="H13" i="43"/>
  <c r="A13" i="43" s="1" a="1"/>
  <c r="A13" i="43" s="1"/>
  <c r="H12" i="43"/>
  <c r="CT11" i="43"/>
  <c r="N11" i="43" s="1"/>
  <c r="E11" i="43" s="1"/>
  <c r="E23" i="42"/>
  <c r="H5" i="45" l="1"/>
  <c r="O6" i="43"/>
  <c r="P6" i="43"/>
  <c r="H4" i="45"/>
  <c r="H6" i="45"/>
  <c r="H8" i="45"/>
  <c r="P5" i="45"/>
  <c r="R5" i="45" s="1"/>
  <c r="H7" i="45"/>
  <c r="H9" i="45"/>
  <c r="P9" i="45"/>
  <c r="P6" i="45"/>
  <c r="Q5" i="45"/>
  <c r="E5" i="45"/>
  <c r="P7" i="45"/>
  <c r="R7" i="45" s="1"/>
  <c r="P4" i="45"/>
  <c r="P8" i="45"/>
  <c r="R8" i="45" s="1"/>
  <c r="O10" i="43"/>
  <c r="O4" i="43"/>
  <c r="P4" i="43"/>
  <c r="P9" i="43"/>
  <c r="O9" i="43"/>
  <c r="E10" i="43"/>
  <c r="P8" i="43"/>
  <c r="O8" i="43"/>
  <c r="A8" i="43" a="1"/>
  <c r="A8" i="43" s="1"/>
  <c r="P13" i="43"/>
  <c r="O13" i="43"/>
  <c r="P11" i="43"/>
  <c r="O11" i="43"/>
  <c r="P5" i="43"/>
  <c r="O5" i="43"/>
  <c r="P7" i="43"/>
  <c r="O7" i="43"/>
  <c r="E8" i="43"/>
  <c r="A12" i="43" s="1" a="1"/>
  <c r="A12" i="43" s="1"/>
  <c r="O23" i="42"/>
  <c r="E9" i="45" l="1"/>
  <c r="R9" i="45"/>
  <c r="E6" i="45"/>
  <c r="R6" i="45"/>
  <c r="R4" i="45"/>
  <c r="Q4" i="45"/>
  <c r="Q9" i="45"/>
  <c r="Q6" i="45"/>
  <c r="Q8" i="45"/>
  <c r="E8" i="45"/>
  <c r="Q7" i="45"/>
  <c r="E7" i="45"/>
  <c r="A7" i="45" s="1" a="1"/>
  <c r="A7" i="45" s="1"/>
  <c r="E4" i="45"/>
  <c r="WI27" i="42"/>
  <c r="WH27" i="42"/>
  <c r="WG27" i="42"/>
  <c r="WF27" i="42"/>
  <c r="WE27" i="42"/>
  <c r="WD27" i="42"/>
  <c r="WB27" i="42"/>
  <c r="WA27" i="42"/>
  <c r="VZ27" i="42"/>
  <c r="VY27" i="42"/>
  <c r="WC27" i="42" s="1"/>
  <c r="VX27" i="42"/>
  <c r="VW27" i="42"/>
  <c r="VA27" i="42"/>
  <c r="UZ27" i="42"/>
  <c r="UY27" i="42"/>
  <c r="UX27" i="42"/>
  <c r="UW27" i="42"/>
  <c r="UV27" i="42"/>
  <c r="UT27" i="42"/>
  <c r="US27" i="42"/>
  <c r="UR27" i="42"/>
  <c r="UQ27" i="42"/>
  <c r="UP27" i="42"/>
  <c r="UO27" i="42"/>
  <c r="TS27" i="42"/>
  <c r="TR27" i="42"/>
  <c r="TQ27" i="42"/>
  <c r="TP27" i="42"/>
  <c r="TO27" i="42"/>
  <c r="TN27" i="42"/>
  <c r="TL27" i="42"/>
  <c r="TK27" i="42"/>
  <c r="TJ27" i="42"/>
  <c r="TI27" i="42"/>
  <c r="TH27" i="42"/>
  <c r="TG27" i="42"/>
  <c r="SK27" i="42"/>
  <c r="SJ27" i="42"/>
  <c r="SI27" i="42"/>
  <c r="SH27" i="42"/>
  <c r="SG27" i="42"/>
  <c r="SF27" i="42"/>
  <c r="SD27" i="42"/>
  <c r="SC27" i="42"/>
  <c r="SB27" i="42"/>
  <c r="SA27" i="42"/>
  <c r="SE27" i="42" s="1"/>
  <c r="RZ27" i="42"/>
  <c r="RY27" i="42"/>
  <c r="RC27" i="42"/>
  <c r="RB27" i="42"/>
  <c r="RA27" i="42"/>
  <c r="QZ27" i="42"/>
  <c r="QY27" i="42"/>
  <c r="QX27" i="42"/>
  <c r="QV27" i="42"/>
  <c r="QU27" i="42"/>
  <c r="QT27" i="42"/>
  <c r="QS27" i="42"/>
  <c r="QW27" i="42" s="1"/>
  <c r="QR27" i="42"/>
  <c r="QQ27" i="42"/>
  <c r="PU27" i="42"/>
  <c r="PT27" i="42"/>
  <c r="PS27" i="42"/>
  <c r="PR27" i="42"/>
  <c r="PQ27" i="42"/>
  <c r="PP27" i="42"/>
  <c r="PN27" i="42"/>
  <c r="PM27" i="42"/>
  <c r="PL27" i="42"/>
  <c r="PK27" i="42"/>
  <c r="PJ27" i="42"/>
  <c r="PI27" i="42"/>
  <c r="OM27" i="42"/>
  <c r="OL27" i="42"/>
  <c r="OK27" i="42"/>
  <c r="OJ27" i="42"/>
  <c r="OI27" i="42"/>
  <c r="OH27" i="42"/>
  <c r="OF27" i="42"/>
  <c r="OE27" i="42"/>
  <c r="OD27" i="42"/>
  <c r="OC27" i="42"/>
  <c r="OB27" i="42"/>
  <c r="OA27" i="42"/>
  <c r="NE27" i="42"/>
  <c r="ND27" i="42"/>
  <c r="NC27" i="42"/>
  <c r="NB27" i="42"/>
  <c r="NA27" i="42"/>
  <c r="MZ27" i="42"/>
  <c r="MX27" i="42"/>
  <c r="MW27" i="42"/>
  <c r="MV27" i="42"/>
  <c r="MU27" i="42"/>
  <c r="MY27" i="42" s="1"/>
  <c r="MT27" i="42"/>
  <c r="MS27" i="42"/>
  <c r="LW27" i="42"/>
  <c r="LV27" i="42"/>
  <c r="LU27" i="42"/>
  <c r="LT27" i="42"/>
  <c r="LS27" i="42"/>
  <c r="LR27" i="42"/>
  <c r="LP27" i="42"/>
  <c r="LO27" i="42"/>
  <c r="LN27" i="42"/>
  <c r="LM27" i="42"/>
  <c r="LL27" i="42"/>
  <c r="LK27" i="42"/>
  <c r="KO27" i="42"/>
  <c r="KN27" i="42"/>
  <c r="KM27" i="42"/>
  <c r="KL27" i="42"/>
  <c r="KK27" i="42"/>
  <c r="KJ27" i="42"/>
  <c r="KH27" i="42"/>
  <c r="KG27" i="42"/>
  <c r="KF27" i="42"/>
  <c r="KE27" i="42"/>
  <c r="KD27" i="42"/>
  <c r="KC27" i="42"/>
  <c r="JG27" i="42"/>
  <c r="JF27" i="42"/>
  <c r="JE27" i="42"/>
  <c r="JD27" i="42"/>
  <c r="JC27" i="42"/>
  <c r="JB27" i="42"/>
  <c r="IZ27" i="42"/>
  <c r="IY27" i="42"/>
  <c r="IX27" i="42"/>
  <c r="IW27" i="42"/>
  <c r="JA27" i="42" s="1"/>
  <c r="IV27" i="42"/>
  <c r="IU27" i="42"/>
  <c r="HY27" i="42"/>
  <c r="HX27" i="42"/>
  <c r="HW27" i="42"/>
  <c r="HV27" i="42"/>
  <c r="HU27" i="42"/>
  <c r="HT27" i="42"/>
  <c r="HR27" i="42"/>
  <c r="HQ27" i="42"/>
  <c r="HP27" i="42"/>
  <c r="HO27" i="42"/>
  <c r="HS27" i="42" s="1"/>
  <c r="HN27" i="42"/>
  <c r="HM27" i="42"/>
  <c r="GQ27" i="42"/>
  <c r="GP27" i="42"/>
  <c r="GO27" i="42"/>
  <c r="GN27" i="42"/>
  <c r="GM27" i="42"/>
  <c r="GL27" i="42"/>
  <c r="GJ27" i="42"/>
  <c r="GI27" i="42"/>
  <c r="GH27" i="42"/>
  <c r="GG27" i="42"/>
  <c r="GF27" i="42"/>
  <c r="GE27" i="42"/>
  <c r="FI27" i="42"/>
  <c r="FH27" i="42"/>
  <c r="FG27" i="42"/>
  <c r="FF27" i="42"/>
  <c r="FE27" i="42"/>
  <c r="FD27" i="42"/>
  <c r="FB27" i="42"/>
  <c r="FA27" i="42"/>
  <c r="EZ27" i="42"/>
  <c r="EY27" i="42"/>
  <c r="EX27" i="42"/>
  <c r="EW27" i="42"/>
  <c r="EA27" i="42"/>
  <c r="DZ27" i="42"/>
  <c r="DY27" i="42"/>
  <c r="DX27" i="42"/>
  <c r="DW27" i="42"/>
  <c r="DV27" i="42"/>
  <c r="DT27" i="42"/>
  <c r="DS27" i="42"/>
  <c r="DR27" i="42"/>
  <c r="DQ27" i="42"/>
  <c r="DU27" i="42" s="1"/>
  <c r="DP27" i="42"/>
  <c r="DO27" i="42"/>
  <c r="CR27" i="42"/>
  <c r="CQ27" i="42"/>
  <c r="CP27" i="42"/>
  <c r="CN27" i="42"/>
  <c r="CM27" i="42"/>
  <c r="CL27" i="42"/>
  <c r="CK27" i="42"/>
  <c r="CO27" i="42" s="1"/>
  <c r="CS27" i="42" s="1"/>
  <c r="CJ27" i="42"/>
  <c r="CI27" i="42"/>
  <c r="BQ27" i="42"/>
  <c r="BP27" i="42"/>
  <c r="BO27" i="42"/>
  <c r="BM27" i="42"/>
  <c r="BL27" i="42"/>
  <c r="BK27" i="42"/>
  <c r="BJ27" i="42"/>
  <c r="BI27" i="42"/>
  <c r="BH27" i="42"/>
  <c r="AP27" i="42"/>
  <c r="AO27" i="42"/>
  <c r="AN27" i="42"/>
  <c r="AL27" i="42"/>
  <c r="AK27" i="42"/>
  <c r="AJ27" i="42"/>
  <c r="AI27" i="42"/>
  <c r="AH27" i="42"/>
  <c r="AG27" i="42"/>
  <c r="WI24" i="42"/>
  <c r="WH24" i="42"/>
  <c r="WG24" i="42"/>
  <c r="WF24" i="42"/>
  <c r="WE24" i="42"/>
  <c r="WD24" i="42"/>
  <c r="WB24" i="42"/>
  <c r="WA24" i="42"/>
  <c r="VZ24" i="42"/>
  <c r="VY24" i="42"/>
  <c r="VX24" i="42"/>
  <c r="VW24" i="42"/>
  <c r="VA24" i="42"/>
  <c r="UZ24" i="42"/>
  <c r="UY24" i="42"/>
  <c r="UX24" i="42"/>
  <c r="UW24" i="42"/>
  <c r="UV24" i="42"/>
  <c r="UT24" i="42"/>
  <c r="US24" i="42"/>
  <c r="UR24" i="42"/>
  <c r="UQ24" i="42"/>
  <c r="UP24" i="42"/>
  <c r="UO24" i="42"/>
  <c r="TS24" i="42"/>
  <c r="TR24" i="42"/>
  <c r="TQ24" i="42"/>
  <c r="TP24" i="42"/>
  <c r="TO24" i="42"/>
  <c r="TN24" i="42"/>
  <c r="TL24" i="42"/>
  <c r="TK24" i="42"/>
  <c r="TJ24" i="42"/>
  <c r="TI24" i="42"/>
  <c r="TM24" i="42" s="1"/>
  <c r="TH24" i="42"/>
  <c r="TG24" i="42"/>
  <c r="SK24" i="42"/>
  <c r="SJ24" i="42"/>
  <c r="SI24" i="42"/>
  <c r="SH24" i="42"/>
  <c r="SG24" i="42"/>
  <c r="SF24" i="42"/>
  <c r="SD24" i="42"/>
  <c r="SC24" i="42"/>
  <c r="SB24" i="42"/>
  <c r="SA24" i="42"/>
  <c r="RZ24" i="42"/>
  <c r="RY24" i="42"/>
  <c r="RC24" i="42"/>
  <c r="RB24" i="42"/>
  <c r="RA24" i="42"/>
  <c r="QZ24" i="42"/>
  <c r="QY24" i="42"/>
  <c r="QX24" i="42"/>
  <c r="QV24" i="42"/>
  <c r="QU24" i="42"/>
  <c r="QT24" i="42"/>
  <c r="QS24" i="42"/>
  <c r="QR24" i="42"/>
  <c r="QQ24" i="42"/>
  <c r="PU24" i="42"/>
  <c r="PT24" i="42"/>
  <c r="PS24" i="42"/>
  <c r="PR24" i="42"/>
  <c r="PQ24" i="42"/>
  <c r="PP24" i="42"/>
  <c r="PN24" i="42"/>
  <c r="PM24" i="42"/>
  <c r="PL24" i="42"/>
  <c r="PK24" i="42"/>
  <c r="PJ24" i="42"/>
  <c r="PI24" i="42"/>
  <c r="OM24" i="42"/>
  <c r="OL24" i="42"/>
  <c r="OK24" i="42"/>
  <c r="OJ24" i="42"/>
  <c r="OI24" i="42"/>
  <c r="OH24" i="42"/>
  <c r="OF24" i="42"/>
  <c r="OE24" i="42"/>
  <c r="OD24" i="42"/>
  <c r="OC24" i="42"/>
  <c r="OG24" i="42" s="1"/>
  <c r="OB24" i="42"/>
  <c r="OA24" i="42"/>
  <c r="NE24" i="42"/>
  <c r="ND24" i="42"/>
  <c r="NC24" i="42"/>
  <c r="NB24" i="42"/>
  <c r="NA24" i="42"/>
  <c r="MZ24" i="42"/>
  <c r="MX24" i="42"/>
  <c r="MW24" i="42"/>
  <c r="MV24" i="42"/>
  <c r="MU24" i="42"/>
  <c r="MT24" i="42"/>
  <c r="MS24" i="42"/>
  <c r="LW24" i="42"/>
  <c r="LV24" i="42"/>
  <c r="LU24" i="42"/>
  <c r="LT24" i="42"/>
  <c r="LS24" i="42"/>
  <c r="LR24" i="42"/>
  <c r="LP24" i="42"/>
  <c r="LO24" i="42"/>
  <c r="LN24" i="42"/>
  <c r="LM24" i="42"/>
  <c r="LL24" i="42"/>
  <c r="LK24" i="42"/>
  <c r="KO24" i="42"/>
  <c r="KN24" i="42"/>
  <c r="KM24" i="42"/>
  <c r="KL24" i="42"/>
  <c r="KK24" i="42"/>
  <c r="KJ24" i="42"/>
  <c r="KH24" i="42"/>
  <c r="KG24" i="42"/>
  <c r="KF24" i="42"/>
  <c r="KE24" i="42"/>
  <c r="KD24" i="42"/>
  <c r="KC24" i="42"/>
  <c r="JG24" i="42"/>
  <c r="JF24" i="42"/>
  <c r="JE24" i="42"/>
  <c r="JD24" i="42"/>
  <c r="JC24" i="42"/>
  <c r="JB24" i="42"/>
  <c r="IZ24" i="42"/>
  <c r="IY24" i="42"/>
  <c r="IX24" i="42"/>
  <c r="IW24" i="42"/>
  <c r="IV24" i="42"/>
  <c r="IU24" i="42"/>
  <c r="HY24" i="42"/>
  <c r="HX24" i="42"/>
  <c r="HW24" i="42"/>
  <c r="HV24" i="42"/>
  <c r="HU24" i="42"/>
  <c r="HT24" i="42"/>
  <c r="HR24" i="42"/>
  <c r="HQ24" i="42"/>
  <c r="HP24" i="42"/>
  <c r="HO24" i="42"/>
  <c r="HN24" i="42"/>
  <c r="HM24" i="42"/>
  <c r="GQ24" i="42"/>
  <c r="GP24" i="42"/>
  <c r="GO24" i="42"/>
  <c r="GN24" i="42"/>
  <c r="GM24" i="42"/>
  <c r="GL24" i="42"/>
  <c r="GJ24" i="42"/>
  <c r="GI24" i="42"/>
  <c r="GH24" i="42"/>
  <c r="GG24" i="42"/>
  <c r="GK24" i="42" s="1"/>
  <c r="GF24" i="42"/>
  <c r="GE24" i="42"/>
  <c r="FI24" i="42"/>
  <c r="FH24" i="42"/>
  <c r="FG24" i="42"/>
  <c r="FF24" i="42"/>
  <c r="FE24" i="42"/>
  <c r="FD24" i="42"/>
  <c r="FB24" i="42"/>
  <c r="FA24" i="42"/>
  <c r="EZ24" i="42"/>
  <c r="EY24" i="42"/>
  <c r="EX24" i="42"/>
  <c r="EW24" i="42"/>
  <c r="EA24" i="42"/>
  <c r="DZ24" i="42"/>
  <c r="DY24" i="42"/>
  <c r="DX24" i="42"/>
  <c r="DW24" i="42"/>
  <c r="DV24" i="42"/>
  <c r="DT24" i="42"/>
  <c r="DS24" i="42"/>
  <c r="DR24" i="42"/>
  <c r="DQ24" i="42"/>
  <c r="DP24" i="42"/>
  <c r="DO24" i="42"/>
  <c r="CR24" i="42"/>
  <c r="CQ24" i="42"/>
  <c r="CP24" i="42"/>
  <c r="CN24" i="42"/>
  <c r="CM24" i="42"/>
  <c r="CL24" i="42"/>
  <c r="CK24" i="42"/>
  <c r="CO24" i="42" s="1"/>
  <c r="CJ24" i="42"/>
  <c r="CI24" i="42"/>
  <c r="BQ24" i="42"/>
  <c r="BP24" i="42"/>
  <c r="BO24" i="42"/>
  <c r="BM24" i="42"/>
  <c r="BL24" i="42"/>
  <c r="BK24" i="42"/>
  <c r="BJ24" i="42"/>
  <c r="BN24" i="42" s="1"/>
  <c r="BI24" i="42"/>
  <c r="BH24" i="42"/>
  <c r="AP24" i="42"/>
  <c r="AO24" i="42"/>
  <c r="AN24" i="42"/>
  <c r="AL24" i="42"/>
  <c r="AK24" i="42"/>
  <c r="AJ24" i="42"/>
  <c r="AI24" i="42"/>
  <c r="AH24" i="42"/>
  <c r="AG24" i="42"/>
  <c r="WI26" i="42"/>
  <c r="WH26" i="42"/>
  <c r="WG26" i="42"/>
  <c r="WF26" i="42"/>
  <c r="WE26" i="42"/>
  <c r="WD26" i="42"/>
  <c r="WB26" i="42"/>
  <c r="WA26" i="42"/>
  <c r="VZ26" i="42"/>
  <c r="VY26" i="42"/>
  <c r="VX26" i="42"/>
  <c r="VW26" i="42"/>
  <c r="VA26" i="42"/>
  <c r="UZ26" i="42"/>
  <c r="UY26" i="42"/>
  <c r="UX26" i="42"/>
  <c r="UW26" i="42"/>
  <c r="UV26" i="42"/>
  <c r="UT26" i="42"/>
  <c r="US26" i="42"/>
  <c r="UR26" i="42"/>
  <c r="UQ26" i="42"/>
  <c r="UP26" i="42"/>
  <c r="UO26" i="42"/>
  <c r="TS26" i="42"/>
  <c r="TR26" i="42"/>
  <c r="TQ26" i="42"/>
  <c r="TP26" i="42"/>
  <c r="TO26" i="42"/>
  <c r="TN26" i="42"/>
  <c r="TL26" i="42"/>
  <c r="TK26" i="42"/>
  <c r="TJ26" i="42"/>
  <c r="TI26" i="42"/>
  <c r="TH26" i="42"/>
  <c r="TG26" i="42"/>
  <c r="SK26" i="42"/>
  <c r="SJ26" i="42"/>
  <c r="SI26" i="42"/>
  <c r="SH26" i="42"/>
  <c r="SG26" i="42"/>
  <c r="SF26" i="42"/>
  <c r="SD26" i="42"/>
  <c r="SC26" i="42"/>
  <c r="SB26" i="42"/>
  <c r="SA26" i="42"/>
  <c r="RZ26" i="42"/>
  <c r="RY26" i="42"/>
  <c r="RC26" i="42"/>
  <c r="RB26" i="42"/>
  <c r="RA26" i="42"/>
  <c r="QZ26" i="42"/>
  <c r="QY26" i="42"/>
  <c r="QX26" i="42"/>
  <c r="QV26" i="42"/>
  <c r="QU26" i="42"/>
  <c r="QT26" i="42"/>
  <c r="QS26" i="42"/>
  <c r="QR26" i="42"/>
  <c r="QQ26" i="42"/>
  <c r="PU26" i="42"/>
  <c r="PT26" i="42"/>
  <c r="PS26" i="42"/>
  <c r="PR26" i="42"/>
  <c r="PQ26" i="42"/>
  <c r="PP26" i="42"/>
  <c r="PN26" i="42"/>
  <c r="PM26" i="42"/>
  <c r="PL26" i="42"/>
  <c r="PK26" i="42"/>
  <c r="PJ26" i="42"/>
  <c r="PI26" i="42"/>
  <c r="OM26" i="42"/>
  <c r="OL26" i="42"/>
  <c r="OK26" i="42"/>
  <c r="OJ26" i="42"/>
  <c r="OI26" i="42"/>
  <c r="OH26" i="42"/>
  <c r="OF26" i="42"/>
  <c r="OE26" i="42"/>
  <c r="OD26" i="42"/>
  <c r="OC26" i="42"/>
  <c r="OB26" i="42"/>
  <c r="OA26" i="42"/>
  <c r="NE26" i="42"/>
  <c r="ND26" i="42"/>
  <c r="NC26" i="42"/>
  <c r="NB26" i="42"/>
  <c r="NA26" i="42"/>
  <c r="MZ26" i="42"/>
  <c r="MX26" i="42"/>
  <c r="MW26" i="42"/>
  <c r="MV26" i="42"/>
  <c r="MU26" i="42"/>
  <c r="MT26" i="42"/>
  <c r="MS26" i="42"/>
  <c r="LW26" i="42"/>
  <c r="LV26" i="42"/>
  <c r="LU26" i="42"/>
  <c r="LT26" i="42"/>
  <c r="LS26" i="42"/>
  <c r="LR26" i="42"/>
  <c r="LP26" i="42"/>
  <c r="LO26" i="42"/>
  <c r="LN26" i="42"/>
  <c r="LM26" i="42"/>
  <c r="LL26" i="42"/>
  <c r="LK26" i="42"/>
  <c r="KO26" i="42"/>
  <c r="KN26" i="42"/>
  <c r="KM26" i="42"/>
  <c r="KL26" i="42"/>
  <c r="KK26" i="42"/>
  <c r="KJ26" i="42"/>
  <c r="KH26" i="42"/>
  <c r="KG26" i="42"/>
  <c r="KF26" i="42"/>
  <c r="KE26" i="42"/>
  <c r="KD26" i="42"/>
  <c r="KC26" i="42"/>
  <c r="JG26" i="42"/>
  <c r="JF26" i="42"/>
  <c r="JE26" i="42"/>
  <c r="JD26" i="42"/>
  <c r="JC26" i="42"/>
  <c r="JB26" i="42"/>
  <c r="IZ26" i="42"/>
  <c r="IY26" i="42"/>
  <c r="IX26" i="42"/>
  <c r="IW26" i="42"/>
  <c r="IV26" i="42"/>
  <c r="IU26" i="42"/>
  <c r="HY26" i="42"/>
  <c r="HX26" i="42"/>
  <c r="HW26" i="42"/>
  <c r="HV26" i="42"/>
  <c r="HU26" i="42"/>
  <c r="HT26" i="42"/>
  <c r="HR26" i="42"/>
  <c r="HQ26" i="42"/>
  <c r="HP26" i="42"/>
  <c r="HO26" i="42"/>
  <c r="HN26" i="42"/>
  <c r="HM26" i="42"/>
  <c r="GQ26" i="42"/>
  <c r="GP26" i="42"/>
  <c r="GO26" i="42"/>
  <c r="GN26" i="42"/>
  <c r="GM26" i="42"/>
  <c r="GL26" i="42"/>
  <c r="GJ26" i="42"/>
  <c r="GI26" i="42"/>
  <c r="GH26" i="42"/>
  <c r="GG26" i="42"/>
  <c r="GF26" i="42"/>
  <c r="GE26" i="42"/>
  <c r="FI26" i="42"/>
  <c r="FH26" i="42"/>
  <c r="FG26" i="42"/>
  <c r="FF26" i="42"/>
  <c r="FE26" i="42"/>
  <c r="FD26" i="42"/>
  <c r="FB26" i="42"/>
  <c r="FA26" i="42"/>
  <c r="EZ26" i="42"/>
  <c r="EY26" i="42"/>
  <c r="EX26" i="42"/>
  <c r="EW26" i="42"/>
  <c r="EA26" i="42"/>
  <c r="DZ26" i="42"/>
  <c r="DY26" i="42"/>
  <c r="DX26" i="42"/>
  <c r="DW26" i="42"/>
  <c r="DV26" i="42"/>
  <c r="DT26" i="42"/>
  <c r="DS26" i="42"/>
  <c r="DR26" i="42"/>
  <c r="DQ26" i="42"/>
  <c r="DP26" i="42"/>
  <c r="DO26" i="42"/>
  <c r="CR26" i="42"/>
  <c r="CQ26" i="42"/>
  <c r="CP26" i="42"/>
  <c r="CN26" i="42"/>
  <c r="CM26" i="42"/>
  <c r="CL26" i="42"/>
  <c r="CK26" i="42"/>
  <c r="CO26" i="42" s="1"/>
  <c r="CJ26" i="42"/>
  <c r="CI26" i="42"/>
  <c r="BQ26" i="42"/>
  <c r="BP26" i="42"/>
  <c r="BO26" i="42"/>
  <c r="BM26" i="42"/>
  <c r="BL26" i="42"/>
  <c r="BK26" i="42"/>
  <c r="BJ26" i="42"/>
  <c r="BI26" i="42"/>
  <c r="BH26" i="42"/>
  <c r="AP26" i="42"/>
  <c r="AO26" i="42"/>
  <c r="AN26" i="42"/>
  <c r="AL26" i="42"/>
  <c r="AK26" i="42"/>
  <c r="AJ26" i="42"/>
  <c r="AI26" i="42"/>
  <c r="AH26" i="42"/>
  <c r="AG26" i="42"/>
  <c r="WI25" i="42"/>
  <c r="WH25" i="42"/>
  <c r="WG25" i="42"/>
  <c r="WF25" i="42"/>
  <c r="WE25" i="42"/>
  <c r="WD25" i="42"/>
  <c r="WB25" i="42"/>
  <c r="WA25" i="42"/>
  <c r="VZ25" i="42"/>
  <c r="VY25" i="42"/>
  <c r="VX25" i="42"/>
  <c r="VW25" i="42"/>
  <c r="VA25" i="42"/>
  <c r="UZ25" i="42"/>
  <c r="UY25" i="42"/>
  <c r="UX25" i="42"/>
  <c r="UW25" i="42"/>
  <c r="UV25" i="42"/>
  <c r="UT25" i="42"/>
  <c r="US25" i="42"/>
  <c r="UR25" i="42"/>
  <c r="UQ25" i="42"/>
  <c r="UP25" i="42"/>
  <c r="UO25" i="42"/>
  <c r="TS25" i="42"/>
  <c r="TR25" i="42"/>
  <c r="TQ25" i="42"/>
  <c r="TP25" i="42"/>
  <c r="TO25" i="42"/>
  <c r="TN25" i="42"/>
  <c r="TL25" i="42"/>
  <c r="TK25" i="42"/>
  <c r="TJ25" i="42"/>
  <c r="TI25" i="42"/>
  <c r="TH25" i="42"/>
  <c r="TG25" i="42"/>
  <c r="SK25" i="42"/>
  <c r="SJ25" i="42"/>
  <c r="SI25" i="42"/>
  <c r="SH25" i="42"/>
  <c r="SG25" i="42"/>
  <c r="SF25" i="42"/>
  <c r="SD25" i="42"/>
  <c r="SC25" i="42"/>
  <c r="SB25" i="42"/>
  <c r="SA25" i="42"/>
  <c r="SE25" i="42" s="1"/>
  <c r="RZ25" i="42"/>
  <c r="RY25" i="42"/>
  <c r="RC25" i="42"/>
  <c r="RB25" i="42"/>
  <c r="RA25" i="42"/>
  <c r="QZ25" i="42"/>
  <c r="QY25" i="42"/>
  <c r="QX25" i="42"/>
  <c r="QV25" i="42"/>
  <c r="QU25" i="42"/>
  <c r="QT25" i="42"/>
  <c r="QS25" i="42"/>
  <c r="QR25" i="42"/>
  <c r="QQ25" i="42"/>
  <c r="PU25" i="42"/>
  <c r="PT25" i="42"/>
  <c r="PS25" i="42"/>
  <c r="PR25" i="42"/>
  <c r="PQ25" i="42"/>
  <c r="PP25" i="42"/>
  <c r="PN25" i="42"/>
  <c r="PM25" i="42"/>
  <c r="PL25" i="42"/>
  <c r="PK25" i="42"/>
  <c r="PJ25" i="42"/>
  <c r="PI25" i="42"/>
  <c r="OM25" i="42"/>
  <c r="OL25" i="42"/>
  <c r="OK25" i="42"/>
  <c r="OJ25" i="42"/>
  <c r="OI25" i="42"/>
  <c r="OH25" i="42"/>
  <c r="OF25" i="42"/>
  <c r="OE25" i="42"/>
  <c r="OD25" i="42"/>
  <c r="OC25" i="42"/>
  <c r="OG25" i="42" s="1"/>
  <c r="OB25" i="42"/>
  <c r="OA25" i="42"/>
  <c r="NE25" i="42"/>
  <c r="ND25" i="42"/>
  <c r="NC25" i="42"/>
  <c r="NB25" i="42"/>
  <c r="NA25" i="42"/>
  <c r="MZ25" i="42"/>
  <c r="MX25" i="42"/>
  <c r="MW25" i="42"/>
  <c r="MV25" i="42"/>
  <c r="MU25" i="42"/>
  <c r="MT25" i="42"/>
  <c r="MS25" i="42"/>
  <c r="LW25" i="42"/>
  <c r="LV25" i="42"/>
  <c r="LU25" i="42"/>
  <c r="LT25" i="42"/>
  <c r="LS25" i="42"/>
  <c r="LR25" i="42"/>
  <c r="LP25" i="42"/>
  <c r="LO25" i="42"/>
  <c r="LN25" i="42"/>
  <c r="LM25" i="42"/>
  <c r="LL25" i="42"/>
  <c r="LK25" i="42"/>
  <c r="KO25" i="42"/>
  <c r="KN25" i="42"/>
  <c r="KM25" i="42"/>
  <c r="KL25" i="42"/>
  <c r="KK25" i="42"/>
  <c r="KJ25" i="42"/>
  <c r="KH25" i="42"/>
  <c r="KG25" i="42"/>
  <c r="KF25" i="42"/>
  <c r="KE25" i="42"/>
  <c r="KD25" i="42"/>
  <c r="KC25" i="42"/>
  <c r="JG25" i="42"/>
  <c r="JF25" i="42"/>
  <c r="JE25" i="42"/>
  <c r="JD25" i="42"/>
  <c r="JC25" i="42"/>
  <c r="JB25" i="42"/>
  <c r="IZ25" i="42"/>
  <c r="IY25" i="42"/>
  <c r="IX25" i="42"/>
  <c r="IW25" i="42"/>
  <c r="JA25" i="42" s="1"/>
  <c r="IV25" i="42"/>
  <c r="IU25" i="42"/>
  <c r="HY25" i="42"/>
  <c r="HX25" i="42"/>
  <c r="HW25" i="42"/>
  <c r="HV25" i="42"/>
  <c r="HU25" i="42"/>
  <c r="HT25" i="42"/>
  <c r="HR25" i="42"/>
  <c r="HQ25" i="42"/>
  <c r="HP25" i="42"/>
  <c r="HO25" i="42"/>
  <c r="HN25" i="42"/>
  <c r="HM25" i="42"/>
  <c r="GQ25" i="42"/>
  <c r="GP25" i="42"/>
  <c r="GO25" i="42"/>
  <c r="GN25" i="42"/>
  <c r="GM25" i="42"/>
  <c r="GL25" i="42"/>
  <c r="GJ25" i="42"/>
  <c r="GI25" i="42"/>
  <c r="GH25" i="42"/>
  <c r="GG25" i="42"/>
  <c r="GF25" i="42"/>
  <c r="GE25" i="42"/>
  <c r="FI25" i="42"/>
  <c r="FH25" i="42"/>
  <c r="FG25" i="42"/>
  <c r="FF25" i="42"/>
  <c r="FE25" i="42"/>
  <c r="FD25" i="42"/>
  <c r="FB25" i="42"/>
  <c r="FA25" i="42"/>
  <c r="EZ25" i="42"/>
  <c r="EY25" i="42"/>
  <c r="FC25" i="42" s="1"/>
  <c r="EX25" i="42"/>
  <c r="EW25" i="42"/>
  <c r="EA25" i="42"/>
  <c r="DZ25" i="42"/>
  <c r="DY25" i="42"/>
  <c r="DX25" i="42"/>
  <c r="DW25" i="42"/>
  <c r="DV25" i="42"/>
  <c r="DT25" i="42"/>
  <c r="DS25" i="42"/>
  <c r="DR25" i="42"/>
  <c r="DQ25" i="42"/>
  <c r="DP25" i="42"/>
  <c r="DO25" i="42"/>
  <c r="CR25" i="42"/>
  <c r="CQ25" i="42"/>
  <c r="CP25" i="42"/>
  <c r="CN25" i="42"/>
  <c r="CM25" i="42"/>
  <c r="CL25" i="42"/>
  <c r="CK25" i="42"/>
  <c r="CJ25" i="42"/>
  <c r="CI25" i="42"/>
  <c r="BQ25" i="42"/>
  <c r="BP25" i="42"/>
  <c r="BO25" i="42"/>
  <c r="BM25" i="42"/>
  <c r="BL25" i="42"/>
  <c r="BK25" i="42"/>
  <c r="BJ25" i="42"/>
  <c r="BI25" i="42"/>
  <c r="BH25" i="42"/>
  <c r="AP25" i="42"/>
  <c r="AO25" i="42"/>
  <c r="AN25" i="42"/>
  <c r="AL25" i="42"/>
  <c r="AK25" i="42"/>
  <c r="AJ25" i="42"/>
  <c r="AI25" i="42"/>
  <c r="AH25" i="42"/>
  <c r="AG25" i="42"/>
  <c r="WI18" i="42"/>
  <c r="WH18" i="42"/>
  <c r="WG18" i="42"/>
  <c r="WF18" i="42"/>
  <c r="WE18" i="42"/>
  <c r="WD18" i="42"/>
  <c r="WB18" i="42"/>
  <c r="WA18" i="42"/>
  <c r="VZ18" i="42"/>
  <c r="VY18" i="42"/>
  <c r="VX18" i="42"/>
  <c r="VW18" i="42"/>
  <c r="VA18" i="42"/>
  <c r="UZ18" i="42"/>
  <c r="UY18" i="42"/>
  <c r="UX18" i="42"/>
  <c r="UW18" i="42"/>
  <c r="UV18" i="42"/>
  <c r="UT18" i="42"/>
  <c r="US18" i="42"/>
  <c r="UR18" i="42"/>
  <c r="UQ18" i="42"/>
  <c r="UP18" i="42"/>
  <c r="UO18" i="42"/>
  <c r="TS18" i="42"/>
  <c r="TR18" i="42"/>
  <c r="TQ18" i="42"/>
  <c r="TP18" i="42"/>
  <c r="TO18" i="42"/>
  <c r="TN18" i="42"/>
  <c r="TL18" i="42"/>
  <c r="TK18" i="42"/>
  <c r="TJ18" i="42"/>
  <c r="TI18" i="42"/>
  <c r="TH18" i="42"/>
  <c r="TG18" i="42"/>
  <c r="SK18" i="42"/>
  <c r="SJ18" i="42"/>
  <c r="SI18" i="42"/>
  <c r="SH18" i="42"/>
  <c r="SG18" i="42"/>
  <c r="SF18" i="42"/>
  <c r="SD18" i="42"/>
  <c r="SC18" i="42"/>
  <c r="SB18" i="42"/>
  <c r="SA18" i="42"/>
  <c r="RZ18" i="42"/>
  <c r="RY18" i="42"/>
  <c r="RC18" i="42"/>
  <c r="RB18" i="42"/>
  <c r="RA18" i="42"/>
  <c r="QZ18" i="42"/>
  <c r="QY18" i="42"/>
  <c r="QX18" i="42"/>
  <c r="QV18" i="42"/>
  <c r="QU18" i="42"/>
  <c r="QT18" i="42"/>
  <c r="QS18" i="42"/>
  <c r="QR18" i="42"/>
  <c r="QQ18" i="42"/>
  <c r="PU18" i="42"/>
  <c r="PT18" i="42"/>
  <c r="PS18" i="42"/>
  <c r="PR18" i="42"/>
  <c r="PQ18" i="42"/>
  <c r="PP18" i="42"/>
  <c r="PN18" i="42"/>
  <c r="PM18" i="42"/>
  <c r="PL18" i="42"/>
  <c r="PK18" i="42"/>
  <c r="PJ18" i="42"/>
  <c r="PI18" i="42"/>
  <c r="OM18" i="42"/>
  <c r="OL18" i="42"/>
  <c r="OK18" i="42"/>
  <c r="OJ18" i="42"/>
  <c r="OI18" i="42"/>
  <c r="OH18" i="42"/>
  <c r="OF18" i="42"/>
  <c r="OE18" i="42"/>
  <c r="OD18" i="42"/>
  <c r="OC18" i="42"/>
  <c r="OB18" i="42"/>
  <c r="OA18" i="42"/>
  <c r="NE18" i="42"/>
  <c r="ND18" i="42"/>
  <c r="NC18" i="42"/>
  <c r="NB18" i="42"/>
  <c r="NA18" i="42"/>
  <c r="MZ18" i="42"/>
  <c r="MX18" i="42"/>
  <c r="MW18" i="42"/>
  <c r="MV18" i="42"/>
  <c r="MU18" i="42"/>
  <c r="MT18" i="42"/>
  <c r="MS18" i="42"/>
  <c r="LW18" i="42"/>
  <c r="LV18" i="42"/>
  <c r="LU18" i="42"/>
  <c r="LT18" i="42"/>
  <c r="LS18" i="42"/>
  <c r="LR18" i="42"/>
  <c r="LP18" i="42"/>
  <c r="LO18" i="42"/>
  <c r="LN18" i="42"/>
  <c r="LM18" i="42"/>
  <c r="LQ18" i="42" s="1"/>
  <c r="LL18" i="42"/>
  <c r="LK18" i="42"/>
  <c r="KO18" i="42"/>
  <c r="KN18" i="42"/>
  <c r="KM18" i="42"/>
  <c r="KL18" i="42"/>
  <c r="KK18" i="42"/>
  <c r="KJ18" i="42"/>
  <c r="KH18" i="42"/>
  <c r="KG18" i="42"/>
  <c r="KF18" i="42"/>
  <c r="KE18" i="42"/>
  <c r="KD18" i="42"/>
  <c r="KC18" i="42"/>
  <c r="JG18" i="42"/>
  <c r="JF18" i="42"/>
  <c r="JE18" i="42"/>
  <c r="JD18" i="42"/>
  <c r="JC18" i="42"/>
  <c r="JB18" i="42"/>
  <c r="IZ18" i="42"/>
  <c r="IY18" i="42"/>
  <c r="IX18" i="42"/>
  <c r="IW18" i="42"/>
  <c r="IV18" i="42"/>
  <c r="IU18" i="42"/>
  <c r="HY18" i="42"/>
  <c r="HX18" i="42"/>
  <c r="HW18" i="42"/>
  <c r="HV18" i="42"/>
  <c r="HU18" i="42"/>
  <c r="HT18" i="42"/>
  <c r="HR18" i="42"/>
  <c r="HQ18" i="42"/>
  <c r="HP18" i="42"/>
  <c r="HO18" i="42"/>
  <c r="HN18" i="42"/>
  <c r="HM18" i="42"/>
  <c r="GQ18" i="42"/>
  <c r="GP18" i="42"/>
  <c r="GO18" i="42"/>
  <c r="GN18" i="42"/>
  <c r="GM18" i="42"/>
  <c r="GL18" i="42"/>
  <c r="GJ18" i="42"/>
  <c r="GI18" i="42"/>
  <c r="GH18" i="42"/>
  <c r="GG18" i="42"/>
  <c r="GF18" i="42"/>
  <c r="GE18" i="42"/>
  <c r="FI18" i="42"/>
  <c r="FH18" i="42"/>
  <c r="FG18" i="42"/>
  <c r="FF18" i="42"/>
  <c r="FE18" i="42"/>
  <c r="FD18" i="42"/>
  <c r="FB18" i="42"/>
  <c r="FA18" i="42"/>
  <c r="EZ18" i="42"/>
  <c r="EY18" i="42"/>
  <c r="EX18" i="42"/>
  <c r="EW18" i="42"/>
  <c r="EA18" i="42"/>
  <c r="DZ18" i="42"/>
  <c r="DY18" i="42"/>
  <c r="DX18" i="42"/>
  <c r="DW18" i="42"/>
  <c r="DV18" i="42"/>
  <c r="DT18" i="42"/>
  <c r="DS18" i="42"/>
  <c r="DR18" i="42"/>
  <c r="DQ18" i="42"/>
  <c r="DP18" i="42"/>
  <c r="DO18" i="42"/>
  <c r="CR18" i="42"/>
  <c r="CQ18" i="42"/>
  <c r="CP18" i="42"/>
  <c r="CN18" i="42"/>
  <c r="CM18" i="42"/>
  <c r="CL18" i="42"/>
  <c r="CK18" i="42"/>
  <c r="CJ18" i="42"/>
  <c r="CI18" i="42"/>
  <c r="BQ18" i="42"/>
  <c r="BP18" i="42"/>
  <c r="BO18" i="42"/>
  <c r="BM18" i="42"/>
  <c r="BL18" i="42"/>
  <c r="BK18" i="42"/>
  <c r="BJ18" i="42"/>
  <c r="BN18" i="42" s="1"/>
  <c r="BI18" i="42"/>
  <c r="BH18" i="42"/>
  <c r="AP18" i="42"/>
  <c r="AO18" i="42"/>
  <c r="AN18" i="42"/>
  <c r="AL18" i="42"/>
  <c r="AK18" i="42"/>
  <c r="AJ18" i="42"/>
  <c r="AI18" i="42"/>
  <c r="AH18" i="42"/>
  <c r="AG18" i="42"/>
  <c r="WI22" i="42"/>
  <c r="WH22" i="42"/>
  <c r="WG22" i="42"/>
  <c r="WF22" i="42"/>
  <c r="WE22" i="42"/>
  <c r="WD22" i="42"/>
  <c r="WB22" i="42"/>
  <c r="WA22" i="42"/>
  <c r="VZ22" i="42"/>
  <c r="VY22" i="42"/>
  <c r="WC22" i="42" s="1"/>
  <c r="VX22" i="42"/>
  <c r="VW22" i="42"/>
  <c r="VA22" i="42"/>
  <c r="UZ22" i="42"/>
  <c r="UY22" i="42"/>
  <c r="UX22" i="42"/>
  <c r="UW22" i="42"/>
  <c r="UV22" i="42"/>
  <c r="UT22" i="42"/>
  <c r="US22" i="42"/>
  <c r="UR22" i="42"/>
  <c r="UQ22" i="42"/>
  <c r="UP22" i="42"/>
  <c r="UO22" i="42"/>
  <c r="TS22" i="42"/>
  <c r="TR22" i="42"/>
  <c r="TQ22" i="42"/>
  <c r="TP22" i="42"/>
  <c r="TO22" i="42"/>
  <c r="TN22" i="42"/>
  <c r="TL22" i="42"/>
  <c r="TK22" i="42"/>
  <c r="TJ22" i="42"/>
  <c r="TI22" i="42"/>
  <c r="TH22" i="42"/>
  <c r="TG22" i="42"/>
  <c r="SK22" i="42"/>
  <c r="SJ22" i="42"/>
  <c r="SI22" i="42"/>
  <c r="SH22" i="42"/>
  <c r="SG22" i="42"/>
  <c r="SF22" i="42"/>
  <c r="SD22" i="42"/>
  <c r="SC22" i="42"/>
  <c r="SB22" i="42"/>
  <c r="SA22" i="42"/>
  <c r="RZ22" i="42"/>
  <c r="RY22" i="42"/>
  <c r="RC22" i="42"/>
  <c r="RB22" i="42"/>
  <c r="RA22" i="42"/>
  <c r="QZ22" i="42"/>
  <c r="QY22" i="42"/>
  <c r="QX22" i="42"/>
  <c r="QV22" i="42"/>
  <c r="QU22" i="42"/>
  <c r="QT22" i="42"/>
  <c r="QS22" i="42"/>
  <c r="QR22" i="42"/>
  <c r="QQ22" i="42"/>
  <c r="PU22" i="42"/>
  <c r="PT22" i="42"/>
  <c r="PS22" i="42"/>
  <c r="PR22" i="42"/>
  <c r="PQ22" i="42"/>
  <c r="PP22" i="42"/>
  <c r="PN22" i="42"/>
  <c r="PM22" i="42"/>
  <c r="PL22" i="42"/>
  <c r="PK22" i="42"/>
  <c r="PJ22" i="42"/>
  <c r="PI22" i="42"/>
  <c r="OM22" i="42"/>
  <c r="OL22" i="42"/>
  <c r="OK22" i="42"/>
  <c r="OJ22" i="42"/>
  <c r="OI22" i="42"/>
  <c r="OH22" i="42"/>
  <c r="OF22" i="42"/>
  <c r="OE22" i="42"/>
  <c r="OD22" i="42"/>
  <c r="OC22" i="42"/>
  <c r="OB22" i="42"/>
  <c r="OA22" i="42"/>
  <c r="NE22" i="42"/>
  <c r="ND22" i="42"/>
  <c r="NC22" i="42"/>
  <c r="NB22" i="42"/>
  <c r="NA22" i="42"/>
  <c r="MZ22" i="42"/>
  <c r="MX22" i="42"/>
  <c r="MW22" i="42"/>
  <c r="MV22" i="42"/>
  <c r="MU22" i="42"/>
  <c r="MT22" i="42"/>
  <c r="MS22" i="42"/>
  <c r="LW22" i="42"/>
  <c r="LV22" i="42"/>
  <c r="LU22" i="42"/>
  <c r="LT22" i="42"/>
  <c r="LS22" i="42"/>
  <c r="LR22" i="42"/>
  <c r="LP22" i="42"/>
  <c r="LO22" i="42"/>
  <c r="LN22" i="42"/>
  <c r="LM22" i="42"/>
  <c r="LL22" i="42"/>
  <c r="LK22" i="42"/>
  <c r="KO22" i="42"/>
  <c r="KN22" i="42"/>
  <c r="KM22" i="42"/>
  <c r="KL22" i="42"/>
  <c r="KK22" i="42"/>
  <c r="KJ22" i="42"/>
  <c r="KH22" i="42"/>
  <c r="KG22" i="42"/>
  <c r="KF22" i="42"/>
  <c r="KE22" i="42"/>
  <c r="KD22" i="42"/>
  <c r="KC22" i="42"/>
  <c r="JG22" i="42"/>
  <c r="JF22" i="42"/>
  <c r="JE22" i="42"/>
  <c r="JD22" i="42"/>
  <c r="JC22" i="42"/>
  <c r="JB22" i="42"/>
  <c r="IZ22" i="42"/>
  <c r="IY22" i="42"/>
  <c r="IX22" i="42"/>
  <c r="IW22" i="42"/>
  <c r="IV22" i="42"/>
  <c r="IU22" i="42"/>
  <c r="HY22" i="42"/>
  <c r="HX22" i="42"/>
  <c r="HW22" i="42"/>
  <c r="HV22" i="42"/>
  <c r="HU22" i="42"/>
  <c r="HT22" i="42"/>
  <c r="HR22" i="42"/>
  <c r="HQ22" i="42"/>
  <c r="HP22" i="42"/>
  <c r="HO22" i="42"/>
  <c r="HN22" i="42"/>
  <c r="HM22" i="42"/>
  <c r="GQ22" i="42"/>
  <c r="GP22" i="42"/>
  <c r="GO22" i="42"/>
  <c r="GN22" i="42"/>
  <c r="GM22" i="42"/>
  <c r="GL22" i="42"/>
  <c r="GJ22" i="42"/>
  <c r="GI22" i="42"/>
  <c r="GH22" i="42"/>
  <c r="GG22" i="42"/>
  <c r="GF22" i="42"/>
  <c r="GE22" i="42"/>
  <c r="FI22" i="42"/>
  <c r="FH22" i="42"/>
  <c r="FG22" i="42"/>
  <c r="FF22" i="42"/>
  <c r="FE22" i="42"/>
  <c r="FD22" i="42"/>
  <c r="FB22" i="42"/>
  <c r="FA22" i="42"/>
  <c r="EZ22" i="42"/>
  <c r="EY22" i="42"/>
  <c r="EX22" i="42"/>
  <c r="EW22" i="42"/>
  <c r="EA22" i="42"/>
  <c r="DZ22" i="42"/>
  <c r="DY22" i="42"/>
  <c r="DX22" i="42"/>
  <c r="DW22" i="42"/>
  <c r="DV22" i="42"/>
  <c r="DT22" i="42"/>
  <c r="DS22" i="42"/>
  <c r="DR22" i="42"/>
  <c r="DQ22" i="42"/>
  <c r="DP22" i="42"/>
  <c r="DO22" i="42"/>
  <c r="CR22" i="42"/>
  <c r="CQ22" i="42"/>
  <c r="CP22" i="42"/>
  <c r="CN22" i="42"/>
  <c r="CM22" i="42"/>
  <c r="CL22" i="42"/>
  <c r="CK22" i="42"/>
  <c r="CJ22" i="42"/>
  <c r="CI22" i="42"/>
  <c r="BQ22" i="42"/>
  <c r="BP22" i="42"/>
  <c r="BO22" i="42"/>
  <c r="BM22" i="42"/>
  <c r="BL22" i="42"/>
  <c r="BK22" i="42"/>
  <c r="BJ22" i="42"/>
  <c r="BI22" i="42"/>
  <c r="BH22" i="42"/>
  <c r="AP22" i="42"/>
  <c r="AO22" i="42"/>
  <c r="AN22" i="42"/>
  <c r="AL22" i="42"/>
  <c r="AK22" i="42"/>
  <c r="AJ22" i="42"/>
  <c r="AI22" i="42"/>
  <c r="AH22" i="42"/>
  <c r="AG22" i="42"/>
  <c r="WI21" i="42"/>
  <c r="WH21" i="42"/>
  <c r="WG21" i="42"/>
  <c r="WF21" i="42"/>
  <c r="WE21" i="42"/>
  <c r="WD21" i="42"/>
  <c r="WB21" i="42"/>
  <c r="WA21" i="42"/>
  <c r="VZ21" i="42"/>
  <c r="VY21" i="42"/>
  <c r="VX21" i="42"/>
  <c r="VW21" i="42"/>
  <c r="VA21" i="42"/>
  <c r="UZ21" i="42"/>
  <c r="UY21" i="42"/>
  <c r="UX21" i="42"/>
  <c r="UW21" i="42"/>
  <c r="UV21" i="42"/>
  <c r="UT21" i="42"/>
  <c r="US21" i="42"/>
  <c r="UR21" i="42"/>
  <c r="UQ21" i="42"/>
  <c r="UP21" i="42"/>
  <c r="UO21" i="42"/>
  <c r="TS21" i="42"/>
  <c r="TR21" i="42"/>
  <c r="TQ21" i="42"/>
  <c r="TP21" i="42"/>
  <c r="TO21" i="42"/>
  <c r="TN21" i="42"/>
  <c r="TL21" i="42"/>
  <c r="TK21" i="42"/>
  <c r="TJ21" i="42"/>
  <c r="TI21" i="42"/>
  <c r="TM21" i="42" s="1"/>
  <c r="TH21" i="42"/>
  <c r="TG21" i="42"/>
  <c r="SK21" i="42"/>
  <c r="SJ21" i="42"/>
  <c r="SI21" i="42"/>
  <c r="SH21" i="42"/>
  <c r="SG21" i="42"/>
  <c r="SF21" i="42"/>
  <c r="SD21" i="42"/>
  <c r="SC21" i="42"/>
  <c r="SB21" i="42"/>
  <c r="SA21" i="42"/>
  <c r="RZ21" i="42"/>
  <c r="RY21" i="42"/>
  <c r="RC21" i="42"/>
  <c r="RB21" i="42"/>
  <c r="RA21" i="42"/>
  <c r="QZ21" i="42"/>
  <c r="QY21" i="42"/>
  <c r="QX21" i="42"/>
  <c r="QV21" i="42"/>
  <c r="QU21" i="42"/>
  <c r="QT21" i="42"/>
  <c r="QS21" i="42"/>
  <c r="QR21" i="42"/>
  <c r="QQ21" i="42"/>
  <c r="PU21" i="42"/>
  <c r="PT21" i="42"/>
  <c r="PS21" i="42"/>
  <c r="PR21" i="42"/>
  <c r="PQ21" i="42"/>
  <c r="PP21" i="42"/>
  <c r="PN21" i="42"/>
  <c r="PM21" i="42"/>
  <c r="PL21" i="42"/>
  <c r="PK21" i="42"/>
  <c r="PJ21" i="42"/>
  <c r="PI21" i="42"/>
  <c r="OM21" i="42"/>
  <c r="OL21" i="42"/>
  <c r="OK21" i="42"/>
  <c r="OJ21" i="42"/>
  <c r="OI21" i="42"/>
  <c r="OH21" i="42"/>
  <c r="OF21" i="42"/>
  <c r="OE21" i="42"/>
  <c r="OD21" i="42"/>
  <c r="OC21" i="42"/>
  <c r="OB21" i="42"/>
  <c r="OA21" i="42"/>
  <c r="NE21" i="42"/>
  <c r="ND21" i="42"/>
  <c r="NC21" i="42"/>
  <c r="NB21" i="42"/>
  <c r="NA21" i="42"/>
  <c r="MZ21" i="42"/>
  <c r="MX21" i="42"/>
  <c r="MW21" i="42"/>
  <c r="MV21" i="42"/>
  <c r="MU21" i="42"/>
  <c r="MT21" i="42"/>
  <c r="MS21" i="42"/>
  <c r="LW21" i="42"/>
  <c r="LV21" i="42"/>
  <c r="LU21" i="42"/>
  <c r="LT21" i="42"/>
  <c r="LS21" i="42"/>
  <c r="LR21" i="42"/>
  <c r="LP21" i="42"/>
  <c r="LO21" i="42"/>
  <c r="LN21" i="42"/>
  <c r="LM21" i="42"/>
  <c r="LL21" i="42"/>
  <c r="LK21" i="42"/>
  <c r="KO21" i="42"/>
  <c r="KN21" i="42"/>
  <c r="KM21" i="42"/>
  <c r="KL21" i="42"/>
  <c r="KK21" i="42"/>
  <c r="KJ21" i="42"/>
  <c r="KH21" i="42"/>
  <c r="KG21" i="42"/>
  <c r="KF21" i="42"/>
  <c r="KE21" i="42"/>
  <c r="KI21" i="42" s="1"/>
  <c r="KD21" i="42"/>
  <c r="KC21" i="42"/>
  <c r="JG21" i="42"/>
  <c r="JF21" i="42"/>
  <c r="JE21" i="42"/>
  <c r="JD21" i="42"/>
  <c r="JC21" i="42"/>
  <c r="JB21" i="42"/>
  <c r="IZ21" i="42"/>
  <c r="IY21" i="42"/>
  <c r="IX21" i="42"/>
  <c r="IW21" i="42"/>
  <c r="IV21" i="42"/>
  <c r="IU21" i="42"/>
  <c r="HY21" i="42"/>
  <c r="HX21" i="42"/>
  <c r="HW21" i="42"/>
  <c r="HV21" i="42"/>
  <c r="HU21" i="42"/>
  <c r="HT21" i="42"/>
  <c r="HR21" i="42"/>
  <c r="HQ21" i="42"/>
  <c r="HP21" i="42"/>
  <c r="HO21" i="42"/>
  <c r="HN21" i="42"/>
  <c r="HM21" i="42"/>
  <c r="GQ21" i="42"/>
  <c r="GP21" i="42"/>
  <c r="GO21" i="42"/>
  <c r="GN21" i="42"/>
  <c r="GM21" i="42"/>
  <c r="GL21" i="42"/>
  <c r="GJ21" i="42"/>
  <c r="GI21" i="42"/>
  <c r="GH21" i="42"/>
  <c r="GG21" i="42"/>
  <c r="GF21" i="42"/>
  <c r="GE21" i="42"/>
  <c r="FI21" i="42"/>
  <c r="FH21" i="42"/>
  <c r="FG21" i="42"/>
  <c r="FF21" i="42"/>
  <c r="FE21" i="42"/>
  <c r="FD21" i="42"/>
  <c r="FB21" i="42"/>
  <c r="FA21" i="42"/>
  <c r="EZ21" i="42"/>
  <c r="EY21" i="42"/>
  <c r="EX21" i="42"/>
  <c r="EW21" i="42"/>
  <c r="EA21" i="42"/>
  <c r="DZ21" i="42"/>
  <c r="DY21" i="42"/>
  <c r="DX21" i="42"/>
  <c r="DW21" i="42"/>
  <c r="DV21" i="42"/>
  <c r="DT21" i="42"/>
  <c r="DS21" i="42"/>
  <c r="DR21" i="42"/>
  <c r="DQ21" i="42"/>
  <c r="DP21" i="42"/>
  <c r="DO21" i="42"/>
  <c r="CR21" i="42"/>
  <c r="CQ21" i="42"/>
  <c r="CP21" i="42"/>
  <c r="CN21" i="42"/>
  <c r="CM21" i="42"/>
  <c r="CL21" i="42"/>
  <c r="CK21" i="42"/>
  <c r="CO21" i="42" s="1"/>
  <c r="CJ21" i="42"/>
  <c r="CI21" i="42"/>
  <c r="BQ21" i="42"/>
  <c r="BP21" i="42"/>
  <c r="BO21" i="42"/>
  <c r="BM21" i="42"/>
  <c r="BL21" i="42"/>
  <c r="BK21" i="42"/>
  <c r="BJ21" i="42"/>
  <c r="BI21" i="42"/>
  <c r="BH21" i="42"/>
  <c r="AP21" i="42"/>
  <c r="AO21" i="42"/>
  <c r="AN21" i="42"/>
  <c r="AL21" i="42"/>
  <c r="AK21" i="42"/>
  <c r="AJ21" i="42"/>
  <c r="AI21" i="42"/>
  <c r="AH21" i="42"/>
  <c r="AG21" i="42"/>
  <c r="WI11" i="42"/>
  <c r="WH11" i="42"/>
  <c r="WG11" i="42"/>
  <c r="WF11" i="42"/>
  <c r="WE11" i="42"/>
  <c r="WD11" i="42"/>
  <c r="WB11" i="42"/>
  <c r="WA11" i="42"/>
  <c r="VZ11" i="42"/>
  <c r="VY11" i="42"/>
  <c r="VX11" i="42"/>
  <c r="VW11" i="42"/>
  <c r="VA11" i="42"/>
  <c r="UZ11" i="42"/>
  <c r="UY11" i="42"/>
  <c r="UX11" i="42"/>
  <c r="UW11" i="42"/>
  <c r="UV11" i="42"/>
  <c r="UT11" i="42"/>
  <c r="US11" i="42"/>
  <c r="UR11" i="42"/>
  <c r="UQ11" i="42"/>
  <c r="UP11" i="42"/>
  <c r="UO11" i="42"/>
  <c r="TS11" i="42"/>
  <c r="TR11" i="42"/>
  <c r="TQ11" i="42"/>
  <c r="TP11" i="42"/>
  <c r="TO11" i="42"/>
  <c r="TN11" i="42"/>
  <c r="TL11" i="42"/>
  <c r="TK11" i="42"/>
  <c r="TJ11" i="42"/>
  <c r="TI11" i="42"/>
  <c r="TH11" i="42"/>
  <c r="TG11" i="42"/>
  <c r="SK11" i="42"/>
  <c r="SJ11" i="42"/>
  <c r="SI11" i="42"/>
  <c r="SH11" i="42"/>
  <c r="SG11" i="42"/>
  <c r="SF11" i="42"/>
  <c r="SD11" i="42"/>
  <c r="SC11" i="42"/>
  <c r="SB11" i="42"/>
  <c r="SA11" i="42"/>
  <c r="RZ11" i="42"/>
  <c r="RY11" i="42"/>
  <c r="RC11" i="42"/>
  <c r="RB11" i="42"/>
  <c r="RA11" i="42"/>
  <c r="QZ11" i="42"/>
  <c r="QY11" i="42"/>
  <c r="QX11" i="42"/>
  <c r="QV11" i="42"/>
  <c r="QU11" i="42"/>
  <c r="QT11" i="42"/>
  <c r="QS11" i="42"/>
  <c r="QR11" i="42"/>
  <c r="QQ11" i="42"/>
  <c r="PU11" i="42"/>
  <c r="PT11" i="42"/>
  <c r="PS11" i="42"/>
  <c r="PR11" i="42"/>
  <c r="PQ11" i="42"/>
  <c r="PP11" i="42"/>
  <c r="PN11" i="42"/>
  <c r="PM11" i="42"/>
  <c r="PL11" i="42"/>
  <c r="PK11" i="42"/>
  <c r="PJ11" i="42"/>
  <c r="PI11" i="42"/>
  <c r="OM11" i="42"/>
  <c r="OL11" i="42"/>
  <c r="OK11" i="42"/>
  <c r="OJ11" i="42"/>
  <c r="OI11" i="42"/>
  <c r="OH11" i="42"/>
  <c r="OF11" i="42"/>
  <c r="OE11" i="42"/>
  <c r="OD11" i="42"/>
  <c r="OC11" i="42"/>
  <c r="OB11" i="42"/>
  <c r="OA11" i="42"/>
  <c r="NE11" i="42"/>
  <c r="ND11" i="42"/>
  <c r="NC11" i="42"/>
  <c r="NB11" i="42"/>
  <c r="NA11" i="42"/>
  <c r="MZ11" i="42"/>
  <c r="MX11" i="42"/>
  <c r="MW11" i="42"/>
  <c r="MV11" i="42"/>
  <c r="MU11" i="42"/>
  <c r="MT11" i="42"/>
  <c r="MS11" i="42"/>
  <c r="LW11" i="42"/>
  <c r="LV11" i="42"/>
  <c r="LU11" i="42"/>
  <c r="LT11" i="42"/>
  <c r="LS11" i="42"/>
  <c r="LR11" i="42"/>
  <c r="LP11" i="42"/>
  <c r="LO11" i="42"/>
  <c r="LN11" i="42"/>
  <c r="LM11" i="42"/>
  <c r="LL11" i="42"/>
  <c r="LK11" i="42"/>
  <c r="KO11" i="42"/>
  <c r="KN11" i="42"/>
  <c r="KM11" i="42"/>
  <c r="KL11" i="42"/>
  <c r="KK11" i="42"/>
  <c r="KJ11" i="42"/>
  <c r="KH11" i="42"/>
  <c r="KG11" i="42"/>
  <c r="KF11" i="42"/>
  <c r="KE11" i="42"/>
  <c r="KD11" i="42"/>
  <c r="KC11" i="42"/>
  <c r="JG11" i="42"/>
  <c r="JF11" i="42"/>
  <c r="JE11" i="42"/>
  <c r="JD11" i="42"/>
  <c r="JC11" i="42"/>
  <c r="JB11" i="42"/>
  <c r="IZ11" i="42"/>
  <c r="IY11" i="42"/>
  <c r="IX11" i="42"/>
  <c r="IW11" i="42"/>
  <c r="IV11" i="42"/>
  <c r="IU11" i="42"/>
  <c r="HY11" i="42"/>
  <c r="HX11" i="42"/>
  <c r="HW11" i="42"/>
  <c r="HV11" i="42"/>
  <c r="HU11" i="42"/>
  <c r="HT11" i="42"/>
  <c r="HR11" i="42"/>
  <c r="HQ11" i="42"/>
  <c r="HP11" i="42"/>
  <c r="HO11" i="42"/>
  <c r="HN11" i="42"/>
  <c r="HM11" i="42"/>
  <c r="GQ11" i="42"/>
  <c r="GP11" i="42"/>
  <c r="GO11" i="42"/>
  <c r="GN11" i="42"/>
  <c r="GM11" i="42"/>
  <c r="GL11" i="42"/>
  <c r="GJ11" i="42"/>
  <c r="GI11" i="42"/>
  <c r="GH11" i="42"/>
  <c r="GG11" i="42"/>
  <c r="GF11" i="42"/>
  <c r="GE11" i="42"/>
  <c r="FI11" i="42"/>
  <c r="FH11" i="42"/>
  <c r="FG11" i="42"/>
  <c r="FF11" i="42"/>
  <c r="FE11" i="42"/>
  <c r="FD11" i="42"/>
  <c r="FB11" i="42"/>
  <c r="FA11" i="42"/>
  <c r="EZ11" i="42"/>
  <c r="EY11" i="42"/>
  <c r="EX11" i="42"/>
  <c r="EW11" i="42"/>
  <c r="EA11" i="42"/>
  <c r="DZ11" i="42"/>
  <c r="DY11" i="42"/>
  <c r="DX11" i="42"/>
  <c r="DW11" i="42"/>
  <c r="DV11" i="42"/>
  <c r="DT11" i="42"/>
  <c r="DS11" i="42"/>
  <c r="DR11" i="42"/>
  <c r="DQ11" i="42"/>
  <c r="DP11" i="42"/>
  <c r="DO11" i="42"/>
  <c r="CR11" i="42"/>
  <c r="CQ11" i="42"/>
  <c r="CP11" i="42"/>
  <c r="CN11" i="42"/>
  <c r="CM11" i="42"/>
  <c r="CL11" i="42"/>
  <c r="CK11" i="42"/>
  <c r="CO11" i="42" s="1"/>
  <c r="CJ11" i="42"/>
  <c r="CI11" i="42"/>
  <c r="BQ11" i="42"/>
  <c r="BP11" i="42"/>
  <c r="BO11" i="42"/>
  <c r="BM11" i="42"/>
  <c r="BL11" i="42"/>
  <c r="BK11" i="42"/>
  <c r="BJ11" i="42"/>
  <c r="BI11" i="42"/>
  <c r="BH11" i="42"/>
  <c r="AP11" i="42"/>
  <c r="AO11" i="42"/>
  <c r="AN11" i="42"/>
  <c r="AL11" i="42"/>
  <c r="AK11" i="42"/>
  <c r="AJ11" i="42"/>
  <c r="AI11" i="42"/>
  <c r="AH11" i="42"/>
  <c r="AG11" i="42"/>
  <c r="WI19" i="42"/>
  <c r="WH19" i="42"/>
  <c r="WG19" i="42"/>
  <c r="WF19" i="42"/>
  <c r="WE19" i="42"/>
  <c r="WD19" i="42"/>
  <c r="WB19" i="42"/>
  <c r="WA19" i="42"/>
  <c r="VZ19" i="42"/>
  <c r="VY19" i="42"/>
  <c r="VX19" i="42"/>
  <c r="VW19" i="42"/>
  <c r="VA19" i="42"/>
  <c r="UZ19" i="42"/>
  <c r="UY19" i="42"/>
  <c r="UX19" i="42"/>
  <c r="UW19" i="42"/>
  <c r="UV19" i="42"/>
  <c r="UT19" i="42"/>
  <c r="US19" i="42"/>
  <c r="UR19" i="42"/>
  <c r="UQ19" i="42"/>
  <c r="UP19" i="42"/>
  <c r="UO19" i="42"/>
  <c r="TS19" i="42"/>
  <c r="TR19" i="42"/>
  <c r="TQ19" i="42"/>
  <c r="TP19" i="42"/>
  <c r="TO19" i="42"/>
  <c r="TN19" i="42"/>
  <c r="TL19" i="42"/>
  <c r="TK19" i="42"/>
  <c r="TJ19" i="42"/>
  <c r="TI19" i="42"/>
  <c r="TH19" i="42"/>
  <c r="TG19" i="42"/>
  <c r="SK19" i="42"/>
  <c r="SJ19" i="42"/>
  <c r="SI19" i="42"/>
  <c r="SH19" i="42"/>
  <c r="SG19" i="42"/>
  <c r="SF19" i="42"/>
  <c r="SD19" i="42"/>
  <c r="SC19" i="42"/>
  <c r="SB19" i="42"/>
  <c r="SA19" i="42"/>
  <c r="RZ19" i="42"/>
  <c r="RY19" i="42"/>
  <c r="RC19" i="42"/>
  <c r="RB19" i="42"/>
  <c r="RA19" i="42"/>
  <c r="QZ19" i="42"/>
  <c r="QY19" i="42"/>
  <c r="QX19" i="42"/>
  <c r="QV19" i="42"/>
  <c r="QU19" i="42"/>
  <c r="QT19" i="42"/>
  <c r="QS19" i="42"/>
  <c r="QR19" i="42"/>
  <c r="QQ19" i="42"/>
  <c r="PU19" i="42"/>
  <c r="PT19" i="42"/>
  <c r="PS19" i="42"/>
  <c r="PR19" i="42"/>
  <c r="PQ19" i="42"/>
  <c r="PP19" i="42"/>
  <c r="PN19" i="42"/>
  <c r="PM19" i="42"/>
  <c r="PL19" i="42"/>
  <c r="PK19" i="42"/>
  <c r="PJ19" i="42"/>
  <c r="PI19" i="42"/>
  <c r="OM19" i="42"/>
  <c r="OL19" i="42"/>
  <c r="OK19" i="42"/>
  <c r="OJ19" i="42"/>
  <c r="OI19" i="42"/>
  <c r="OH19" i="42"/>
  <c r="OF19" i="42"/>
  <c r="OE19" i="42"/>
  <c r="OD19" i="42"/>
  <c r="OC19" i="42"/>
  <c r="OB19" i="42"/>
  <c r="OA19" i="42"/>
  <c r="NE19" i="42"/>
  <c r="ND19" i="42"/>
  <c r="NC19" i="42"/>
  <c r="NB19" i="42"/>
  <c r="NA19" i="42"/>
  <c r="MZ19" i="42"/>
  <c r="MX19" i="42"/>
  <c r="MW19" i="42"/>
  <c r="MV19" i="42"/>
  <c r="MU19" i="42"/>
  <c r="MT19" i="42"/>
  <c r="MS19" i="42"/>
  <c r="LW19" i="42"/>
  <c r="LV19" i="42"/>
  <c r="LU19" i="42"/>
  <c r="LT19" i="42"/>
  <c r="LS19" i="42"/>
  <c r="LR19" i="42"/>
  <c r="LP19" i="42"/>
  <c r="LO19" i="42"/>
  <c r="LN19" i="42"/>
  <c r="LM19" i="42"/>
  <c r="LL19" i="42"/>
  <c r="LK19" i="42"/>
  <c r="KO19" i="42"/>
  <c r="KN19" i="42"/>
  <c r="KM19" i="42"/>
  <c r="KL19" i="42"/>
  <c r="KK19" i="42"/>
  <c r="KJ19" i="42"/>
  <c r="KH19" i="42"/>
  <c r="KG19" i="42"/>
  <c r="KF19" i="42"/>
  <c r="KE19" i="42"/>
  <c r="KI19" i="42" s="1"/>
  <c r="KD19" i="42"/>
  <c r="KC19" i="42"/>
  <c r="JG19" i="42"/>
  <c r="JF19" i="42"/>
  <c r="JE19" i="42"/>
  <c r="JD19" i="42"/>
  <c r="JC19" i="42"/>
  <c r="JB19" i="42"/>
  <c r="IZ19" i="42"/>
  <c r="IY19" i="42"/>
  <c r="IX19" i="42"/>
  <c r="IW19" i="42"/>
  <c r="IV19" i="42"/>
  <c r="IU19" i="42"/>
  <c r="HY19" i="42"/>
  <c r="HX19" i="42"/>
  <c r="HW19" i="42"/>
  <c r="HV19" i="42"/>
  <c r="HU19" i="42"/>
  <c r="HT19" i="42"/>
  <c r="HR19" i="42"/>
  <c r="HQ19" i="42"/>
  <c r="HP19" i="42"/>
  <c r="HO19" i="42"/>
  <c r="HN19" i="42"/>
  <c r="HM19" i="42"/>
  <c r="GQ19" i="42"/>
  <c r="GP19" i="42"/>
  <c r="GO19" i="42"/>
  <c r="GN19" i="42"/>
  <c r="GM19" i="42"/>
  <c r="GL19" i="42"/>
  <c r="GJ19" i="42"/>
  <c r="GI19" i="42"/>
  <c r="GH19" i="42"/>
  <c r="GG19" i="42"/>
  <c r="GF19" i="42"/>
  <c r="GE19" i="42"/>
  <c r="FI19" i="42"/>
  <c r="FH19" i="42"/>
  <c r="FG19" i="42"/>
  <c r="FF19" i="42"/>
  <c r="FE19" i="42"/>
  <c r="FD19" i="42"/>
  <c r="FB19" i="42"/>
  <c r="FA19" i="42"/>
  <c r="EZ19" i="42"/>
  <c r="EY19" i="42"/>
  <c r="EX19" i="42"/>
  <c r="EW19" i="42"/>
  <c r="EA19" i="42"/>
  <c r="DZ19" i="42"/>
  <c r="DY19" i="42"/>
  <c r="DX19" i="42"/>
  <c r="DW19" i="42"/>
  <c r="DV19" i="42"/>
  <c r="DT19" i="42"/>
  <c r="DS19" i="42"/>
  <c r="DR19" i="42"/>
  <c r="DQ19" i="42"/>
  <c r="DP19" i="42"/>
  <c r="DO19" i="42"/>
  <c r="CR19" i="42"/>
  <c r="CQ19" i="42"/>
  <c r="CP19" i="42"/>
  <c r="CN19" i="42"/>
  <c r="CM19" i="42"/>
  <c r="CL19" i="42"/>
  <c r="CK19" i="42"/>
  <c r="CJ19" i="42"/>
  <c r="CI19" i="42"/>
  <c r="BQ19" i="42"/>
  <c r="BP19" i="42"/>
  <c r="BO19" i="42"/>
  <c r="BM19" i="42"/>
  <c r="BL19" i="42"/>
  <c r="BK19" i="42"/>
  <c r="BJ19" i="42"/>
  <c r="BI19" i="42"/>
  <c r="BH19" i="42"/>
  <c r="AP19" i="42"/>
  <c r="AO19" i="42"/>
  <c r="AN19" i="42"/>
  <c r="AL19" i="42"/>
  <c r="AK19" i="42"/>
  <c r="AJ19" i="42"/>
  <c r="AI19" i="42"/>
  <c r="AH19" i="42"/>
  <c r="AG19" i="42"/>
  <c r="WI12" i="42"/>
  <c r="WH12" i="42"/>
  <c r="WG12" i="42"/>
  <c r="WF12" i="42"/>
  <c r="WE12" i="42"/>
  <c r="WD12" i="42"/>
  <c r="WB12" i="42"/>
  <c r="WA12" i="42"/>
  <c r="VZ12" i="42"/>
  <c r="VY12" i="42"/>
  <c r="VX12" i="42"/>
  <c r="VW12" i="42"/>
  <c r="VA12" i="42"/>
  <c r="UZ12" i="42"/>
  <c r="UY12" i="42"/>
  <c r="UX12" i="42"/>
  <c r="UW12" i="42"/>
  <c r="UV12" i="42"/>
  <c r="UT12" i="42"/>
  <c r="US12" i="42"/>
  <c r="UR12" i="42"/>
  <c r="UQ12" i="42"/>
  <c r="UU12" i="42" s="1"/>
  <c r="UP12" i="42"/>
  <c r="UO12" i="42"/>
  <c r="TS12" i="42"/>
  <c r="TR12" i="42"/>
  <c r="TQ12" i="42"/>
  <c r="TP12" i="42"/>
  <c r="TO12" i="42"/>
  <c r="TN12" i="42"/>
  <c r="TL12" i="42"/>
  <c r="TK12" i="42"/>
  <c r="TJ12" i="42"/>
  <c r="TI12" i="42"/>
  <c r="TH12" i="42"/>
  <c r="TG12" i="42"/>
  <c r="SK12" i="42"/>
  <c r="SJ12" i="42"/>
  <c r="SI12" i="42"/>
  <c r="SH12" i="42"/>
  <c r="SG12" i="42"/>
  <c r="SF12" i="42"/>
  <c r="SD12" i="42"/>
  <c r="SC12" i="42"/>
  <c r="SB12" i="42"/>
  <c r="SA12" i="42"/>
  <c r="RZ12" i="42"/>
  <c r="RY12" i="42"/>
  <c r="RC12" i="42"/>
  <c r="RB12" i="42"/>
  <c r="RA12" i="42"/>
  <c r="QZ12" i="42"/>
  <c r="QY12" i="42"/>
  <c r="QX12" i="42"/>
  <c r="QV12" i="42"/>
  <c r="QU12" i="42"/>
  <c r="QT12" i="42"/>
  <c r="QS12" i="42"/>
  <c r="QW12" i="42" s="1"/>
  <c r="QR12" i="42"/>
  <c r="QQ12" i="42"/>
  <c r="PU12" i="42"/>
  <c r="PT12" i="42"/>
  <c r="PS12" i="42"/>
  <c r="PR12" i="42"/>
  <c r="PQ12" i="42"/>
  <c r="PP12" i="42"/>
  <c r="PN12" i="42"/>
  <c r="PM12" i="42"/>
  <c r="PL12" i="42"/>
  <c r="PK12" i="42"/>
  <c r="PJ12" i="42"/>
  <c r="PI12" i="42"/>
  <c r="OM12" i="42"/>
  <c r="OL12" i="42"/>
  <c r="OK12" i="42"/>
  <c r="OJ12" i="42"/>
  <c r="OI12" i="42"/>
  <c r="OH12" i="42"/>
  <c r="OF12" i="42"/>
  <c r="OE12" i="42"/>
  <c r="OD12" i="42"/>
  <c r="OC12" i="42"/>
  <c r="OB12" i="42"/>
  <c r="OA12" i="42"/>
  <c r="NE12" i="42"/>
  <c r="ND12" i="42"/>
  <c r="NC12" i="42"/>
  <c r="NB12" i="42"/>
  <c r="NA12" i="42"/>
  <c r="MZ12" i="42"/>
  <c r="MX12" i="42"/>
  <c r="MW12" i="42"/>
  <c r="MV12" i="42"/>
  <c r="MU12" i="42"/>
  <c r="MT12" i="42"/>
  <c r="MS12" i="42"/>
  <c r="LW12" i="42"/>
  <c r="LV12" i="42"/>
  <c r="LU12" i="42"/>
  <c r="LT12" i="42"/>
  <c r="LS12" i="42"/>
  <c r="LR12" i="42"/>
  <c r="LP12" i="42"/>
  <c r="LO12" i="42"/>
  <c r="LN12" i="42"/>
  <c r="LM12" i="42"/>
  <c r="LL12" i="42"/>
  <c r="LK12" i="42"/>
  <c r="KO12" i="42"/>
  <c r="KN12" i="42"/>
  <c r="KM12" i="42"/>
  <c r="KL12" i="42"/>
  <c r="KK12" i="42"/>
  <c r="KJ12" i="42"/>
  <c r="KH12" i="42"/>
  <c r="KG12" i="42"/>
  <c r="KF12" i="42"/>
  <c r="KE12" i="42"/>
  <c r="KD12" i="42"/>
  <c r="KC12" i="42"/>
  <c r="JG12" i="42"/>
  <c r="JF12" i="42"/>
  <c r="JE12" i="42"/>
  <c r="JD12" i="42"/>
  <c r="JC12" i="42"/>
  <c r="JB12" i="42"/>
  <c r="IZ12" i="42"/>
  <c r="IY12" i="42"/>
  <c r="IX12" i="42"/>
  <c r="IW12" i="42"/>
  <c r="IV12" i="42"/>
  <c r="IU12" i="42"/>
  <c r="HY12" i="42"/>
  <c r="HX12" i="42"/>
  <c r="HW12" i="42"/>
  <c r="HV12" i="42"/>
  <c r="HU12" i="42"/>
  <c r="HT12" i="42"/>
  <c r="HR12" i="42"/>
  <c r="HQ12" i="42"/>
  <c r="HP12" i="42"/>
  <c r="HO12" i="42"/>
  <c r="HN12" i="42"/>
  <c r="HM12" i="42"/>
  <c r="GQ12" i="42"/>
  <c r="GP12" i="42"/>
  <c r="GO12" i="42"/>
  <c r="GN12" i="42"/>
  <c r="GM12" i="42"/>
  <c r="GL12" i="42"/>
  <c r="GJ12" i="42"/>
  <c r="GI12" i="42"/>
  <c r="GH12" i="42"/>
  <c r="GG12" i="42"/>
  <c r="GF12" i="42"/>
  <c r="GE12" i="42"/>
  <c r="FI12" i="42"/>
  <c r="FH12" i="42"/>
  <c r="FG12" i="42"/>
  <c r="FF12" i="42"/>
  <c r="FE12" i="42"/>
  <c r="FD12" i="42"/>
  <c r="FB12" i="42"/>
  <c r="FA12" i="42"/>
  <c r="EZ12" i="42"/>
  <c r="EY12" i="42"/>
  <c r="EX12" i="42"/>
  <c r="EW12" i="42"/>
  <c r="EA12" i="42"/>
  <c r="DZ12" i="42"/>
  <c r="DY12" i="42"/>
  <c r="DX12" i="42"/>
  <c r="DW12" i="42"/>
  <c r="DV12" i="42"/>
  <c r="DT12" i="42"/>
  <c r="DS12" i="42"/>
  <c r="DR12" i="42"/>
  <c r="DQ12" i="42"/>
  <c r="DP12" i="42"/>
  <c r="DO12" i="42"/>
  <c r="CR12" i="42"/>
  <c r="CQ12" i="42"/>
  <c r="CP12" i="42"/>
  <c r="CN12" i="42"/>
  <c r="CM12" i="42"/>
  <c r="CL12" i="42"/>
  <c r="CK12" i="42"/>
  <c r="CJ12" i="42"/>
  <c r="CI12" i="42"/>
  <c r="BQ12" i="42"/>
  <c r="BP12" i="42"/>
  <c r="BO12" i="42"/>
  <c r="BM12" i="42"/>
  <c r="BL12" i="42"/>
  <c r="BK12" i="42"/>
  <c r="BJ12" i="42"/>
  <c r="BI12" i="42"/>
  <c r="BH12" i="42"/>
  <c r="AP12" i="42"/>
  <c r="AO12" i="42"/>
  <c r="AN12" i="42"/>
  <c r="AL12" i="42"/>
  <c r="AK12" i="42"/>
  <c r="AJ12" i="42"/>
  <c r="AI12" i="42"/>
  <c r="AH12" i="42"/>
  <c r="AG12" i="42"/>
  <c r="WI13" i="42"/>
  <c r="WH13" i="42"/>
  <c r="WG13" i="42"/>
  <c r="WF13" i="42"/>
  <c r="WE13" i="42"/>
  <c r="WD13" i="42"/>
  <c r="WB13" i="42"/>
  <c r="WA13" i="42"/>
  <c r="VZ13" i="42"/>
  <c r="VY13" i="42"/>
  <c r="VX13" i="42"/>
  <c r="VW13" i="42"/>
  <c r="VA13" i="42"/>
  <c r="UZ13" i="42"/>
  <c r="UY13" i="42"/>
  <c r="UX13" i="42"/>
  <c r="UW13" i="42"/>
  <c r="UV13" i="42"/>
  <c r="UT13" i="42"/>
  <c r="US13" i="42"/>
  <c r="UR13" i="42"/>
  <c r="UQ13" i="42"/>
  <c r="UP13" i="42"/>
  <c r="UO13" i="42"/>
  <c r="TS13" i="42"/>
  <c r="TR13" i="42"/>
  <c r="TQ13" i="42"/>
  <c r="TP13" i="42"/>
  <c r="TO13" i="42"/>
  <c r="TN13" i="42"/>
  <c r="TL13" i="42"/>
  <c r="TK13" i="42"/>
  <c r="TJ13" i="42"/>
  <c r="TI13" i="42"/>
  <c r="TH13" i="42"/>
  <c r="TG13" i="42"/>
  <c r="SK13" i="42"/>
  <c r="SJ13" i="42"/>
  <c r="SI13" i="42"/>
  <c r="SH13" i="42"/>
  <c r="SG13" i="42"/>
  <c r="SF13" i="42"/>
  <c r="SD13" i="42"/>
  <c r="SC13" i="42"/>
  <c r="SB13" i="42"/>
  <c r="SA13" i="42"/>
  <c r="RZ13" i="42"/>
  <c r="RY13" i="42"/>
  <c r="RC13" i="42"/>
  <c r="RB13" i="42"/>
  <c r="RA13" i="42"/>
  <c r="QZ13" i="42"/>
  <c r="QY13" i="42"/>
  <c r="QX13" i="42"/>
  <c r="QV13" i="42"/>
  <c r="QU13" i="42"/>
  <c r="QT13" i="42"/>
  <c r="QS13" i="42"/>
  <c r="QR13" i="42"/>
  <c r="QQ13" i="42"/>
  <c r="PU13" i="42"/>
  <c r="PT13" i="42"/>
  <c r="PS13" i="42"/>
  <c r="PR13" i="42"/>
  <c r="PQ13" i="42"/>
  <c r="PP13" i="42"/>
  <c r="PN13" i="42"/>
  <c r="PM13" i="42"/>
  <c r="PL13" i="42"/>
  <c r="PK13" i="42"/>
  <c r="PJ13" i="42"/>
  <c r="PI13" i="42"/>
  <c r="OM13" i="42"/>
  <c r="OL13" i="42"/>
  <c r="OK13" i="42"/>
  <c r="OJ13" i="42"/>
  <c r="OI13" i="42"/>
  <c r="OH13" i="42"/>
  <c r="OF13" i="42"/>
  <c r="OE13" i="42"/>
  <c r="OD13" i="42"/>
  <c r="OC13" i="42"/>
  <c r="OB13" i="42"/>
  <c r="OA13" i="42"/>
  <c r="NE13" i="42"/>
  <c r="ND13" i="42"/>
  <c r="NC13" i="42"/>
  <c r="NB13" i="42"/>
  <c r="NA13" i="42"/>
  <c r="MZ13" i="42"/>
  <c r="MX13" i="42"/>
  <c r="MW13" i="42"/>
  <c r="MV13" i="42"/>
  <c r="MU13" i="42"/>
  <c r="MT13" i="42"/>
  <c r="MS13" i="42"/>
  <c r="LW13" i="42"/>
  <c r="LV13" i="42"/>
  <c r="LU13" i="42"/>
  <c r="LT13" i="42"/>
  <c r="LS13" i="42"/>
  <c r="LR13" i="42"/>
  <c r="LP13" i="42"/>
  <c r="LO13" i="42"/>
  <c r="LN13" i="42"/>
  <c r="LM13" i="42"/>
  <c r="LL13" i="42"/>
  <c r="LK13" i="42"/>
  <c r="KO13" i="42"/>
  <c r="KN13" i="42"/>
  <c r="KM13" i="42"/>
  <c r="KL13" i="42"/>
  <c r="KK13" i="42"/>
  <c r="KJ13" i="42"/>
  <c r="KH13" i="42"/>
  <c r="KG13" i="42"/>
  <c r="KF13" i="42"/>
  <c r="KE13" i="42"/>
  <c r="KD13" i="42"/>
  <c r="KC13" i="42"/>
  <c r="JG13" i="42"/>
  <c r="JF13" i="42"/>
  <c r="JE13" i="42"/>
  <c r="JD13" i="42"/>
  <c r="JC13" i="42"/>
  <c r="JB13" i="42"/>
  <c r="IZ13" i="42"/>
  <c r="IY13" i="42"/>
  <c r="IX13" i="42"/>
  <c r="IW13" i="42"/>
  <c r="IV13" i="42"/>
  <c r="IU13" i="42"/>
  <c r="HY13" i="42"/>
  <c r="HX13" i="42"/>
  <c r="HW13" i="42"/>
  <c r="HV13" i="42"/>
  <c r="HU13" i="42"/>
  <c r="HT13" i="42"/>
  <c r="HR13" i="42"/>
  <c r="HQ13" i="42"/>
  <c r="HP13" i="42"/>
  <c r="HO13" i="42"/>
  <c r="HN13" i="42"/>
  <c r="HM13" i="42"/>
  <c r="GQ13" i="42"/>
  <c r="GP13" i="42"/>
  <c r="GO13" i="42"/>
  <c r="GN13" i="42"/>
  <c r="GM13" i="42"/>
  <c r="GL13" i="42"/>
  <c r="GJ13" i="42"/>
  <c r="GI13" i="42"/>
  <c r="GH13" i="42"/>
  <c r="GG13" i="42"/>
  <c r="GF13" i="42"/>
  <c r="GE13" i="42"/>
  <c r="FI13" i="42"/>
  <c r="FH13" i="42"/>
  <c r="FG13" i="42"/>
  <c r="FF13" i="42"/>
  <c r="FE13" i="42"/>
  <c r="FD13" i="42"/>
  <c r="FB13" i="42"/>
  <c r="FA13" i="42"/>
  <c r="EZ13" i="42"/>
  <c r="EY13" i="42"/>
  <c r="EX13" i="42"/>
  <c r="EW13" i="42"/>
  <c r="EA13" i="42"/>
  <c r="DZ13" i="42"/>
  <c r="DY13" i="42"/>
  <c r="DX13" i="42"/>
  <c r="DW13" i="42"/>
  <c r="DV13" i="42"/>
  <c r="DT13" i="42"/>
  <c r="DS13" i="42"/>
  <c r="DR13" i="42"/>
  <c r="DQ13" i="42"/>
  <c r="DP13" i="42"/>
  <c r="DO13" i="42"/>
  <c r="CR13" i="42"/>
  <c r="CQ13" i="42"/>
  <c r="CP13" i="42"/>
  <c r="CN13" i="42"/>
  <c r="CM13" i="42"/>
  <c r="CL13" i="42"/>
  <c r="CK13" i="42"/>
  <c r="CO13" i="42" s="1"/>
  <c r="CJ13" i="42"/>
  <c r="CI13" i="42"/>
  <c r="BQ13" i="42"/>
  <c r="BP13" i="42"/>
  <c r="BO13" i="42"/>
  <c r="BM13" i="42"/>
  <c r="BL13" i="42"/>
  <c r="BK13" i="42"/>
  <c r="BJ13" i="42"/>
  <c r="BI13" i="42"/>
  <c r="BH13" i="42"/>
  <c r="AP13" i="42"/>
  <c r="AO13" i="42"/>
  <c r="AN13" i="42"/>
  <c r="AL13" i="42"/>
  <c r="AK13" i="42"/>
  <c r="AJ13" i="42"/>
  <c r="AI13" i="42"/>
  <c r="AH13" i="42"/>
  <c r="AG13" i="42"/>
  <c r="WI14" i="42"/>
  <c r="WH14" i="42"/>
  <c r="WG14" i="42"/>
  <c r="WF14" i="42"/>
  <c r="WE14" i="42"/>
  <c r="WD14" i="42"/>
  <c r="WB14" i="42"/>
  <c r="WA14" i="42"/>
  <c r="VZ14" i="42"/>
  <c r="VY14" i="42"/>
  <c r="VX14" i="42"/>
  <c r="VW14" i="42"/>
  <c r="VA14" i="42"/>
  <c r="UZ14" i="42"/>
  <c r="UY14" i="42"/>
  <c r="UX14" i="42"/>
  <c r="UW14" i="42"/>
  <c r="UV14" i="42"/>
  <c r="UT14" i="42"/>
  <c r="US14" i="42"/>
  <c r="UR14" i="42"/>
  <c r="UQ14" i="42"/>
  <c r="UU14" i="42" s="1"/>
  <c r="UP14" i="42"/>
  <c r="UO14" i="42"/>
  <c r="TS14" i="42"/>
  <c r="TR14" i="42"/>
  <c r="TQ14" i="42"/>
  <c r="TP14" i="42"/>
  <c r="TO14" i="42"/>
  <c r="TN14" i="42"/>
  <c r="TL14" i="42"/>
  <c r="TK14" i="42"/>
  <c r="TJ14" i="42"/>
  <c r="TI14" i="42"/>
  <c r="TH14" i="42"/>
  <c r="TG14" i="42"/>
  <c r="SK14" i="42"/>
  <c r="SJ14" i="42"/>
  <c r="SI14" i="42"/>
  <c r="SH14" i="42"/>
  <c r="SG14" i="42"/>
  <c r="SF14" i="42"/>
  <c r="SD14" i="42"/>
  <c r="SC14" i="42"/>
  <c r="SB14" i="42"/>
  <c r="SA14" i="42"/>
  <c r="RZ14" i="42"/>
  <c r="RY14" i="42"/>
  <c r="RC14" i="42"/>
  <c r="RB14" i="42"/>
  <c r="RA14" i="42"/>
  <c r="QZ14" i="42"/>
  <c r="QY14" i="42"/>
  <c r="QX14" i="42"/>
  <c r="QV14" i="42"/>
  <c r="QU14" i="42"/>
  <c r="QT14" i="42"/>
  <c r="QS14" i="42"/>
  <c r="QR14" i="42"/>
  <c r="QQ14" i="42"/>
  <c r="PU14" i="42"/>
  <c r="PT14" i="42"/>
  <c r="PS14" i="42"/>
  <c r="PR14" i="42"/>
  <c r="PQ14" i="42"/>
  <c r="PP14" i="42"/>
  <c r="PN14" i="42"/>
  <c r="PM14" i="42"/>
  <c r="PL14" i="42"/>
  <c r="PK14" i="42"/>
  <c r="PJ14" i="42"/>
  <c r="PI14" i="42"/>
  <c r="OM14" i="42"/>
  <c r="OL14" i="42"/>
  <c r="OK14" i="42"/>
  <c r="OJ14" i="42"/>
  <c r="OI14" i="42"/>
  <c r="OH14" i="42"/>
  <c r="OF14" i="42"/>
  <c r="OE14" i="42"/>
  <c r="OD14" i="42"/>
  <c r="OC14" i="42"/>
  <c r="OB14" i="42"/>
  <c r="OA14" i="42"/>
  <c r="NE14" i="42"/>
  <c r="ND14" i="42"/>
  <c r="NC14" i="42"/>
  <c r="NB14" i="42"/>
  <c r="NA14" i="42"/>
  <c r="MZ14" i="42"/>
  <c r="MX14" i="42"/>
  <c r="MW14" i="42"/>
  <c r="MV14" i="42"/>
  <c r="MU14" i="42"/>
  <c r="MT14" i="42"/>
  <c r="MS14" i="42"/>
  <c r="LW14" i="42"/>
  <c r="LV14" i="42"/>
  <c r="LU14" i="42"/>
  <c r="LT14" i="42"/>
  <c r="LS14" i="42"/>
  <c r="LR14" i="42"/>
  <c r="LP14" i="42"/>
  <c r="LO14" i="42"/>
  <c r="LN14" i="42"/>
  <c r="LM14" i="42"/>
  <c r="LQ14" i="42" s="1"/>
  <c r="LL14" i="42"/>
  <c r="LK14" i="42"/>
  <c r="KO14" i="42"/>
  <c r="KN14" i="42"/>
  <c r="KM14" i="42"/>
  <c r="KL14" i="42"/>
  <c r="KK14" i="42"/>
  <c r="KJ14" i="42"/>
  <c r="KH14" i="42"/>
  <c r="KG14" i="42"/>
  <c r="KF14" i="42"/>
  <c r="KE14" i="42"/>
  <c r="KD14" i="42"/>
  <c r="KC14" i="42"/>
  <c r="JG14" i="42"/>
  <c r="JF14" i="42"/>
  <c r="JE14" i="42"/>
  <c r="JD14" i="42"/>
  <c r="JC14" i="42"/>
  <c r="JB14" i="42"/>
  <c r="IZ14" i="42"/>
  <c r="IY14" i="42"/>
  <c r="IX14" i="42"/>
  <c r="IW14" i="42"/>
  <c r="IV14" i="42"/>
  <c r="IU14" i="42"/>
  <c r="HY14" i="42"/>
  <c r="HX14" i="42"/>
  <c r="HW14" i="42"/>
  <c r="HV14" i="42"/>
  <c r="HU14" i="42"/>
  <c r="HT14" i="42"/>
  <c r="HR14" i="42"/>
  <c r="HQ14" i="42"/>
  <c r="HP14" i="42"/>
  <c r="HO14" i="42"/>
  <c r="HN14" i="42"/>
  <c r="HM14" i="42"/>
  <c r="GQ14" i="42"/>
  <c r="GP14" i="42"/>
  <c r="GO14" i="42"/>
  <c r="GN14" i="42"/>
  <c r="GM14" i="42"/>
  <c r="GL14" i="42"/>
  <c r="GJ14" i="42"/>
  <c r="GI14" i="42"/>
  <c r="GH14" i="42"/>
  <c r="GG14" i="42"/>
  <c r="GF14" i="42"/>
  <c r="GE14" i="42"/>
  <c r="FI14" i="42"/>
  <c r="FH14" i="42"/>
  <c r="FG14" i="42"/>
  <c r="FF14" i="42"/>
  <c r="FE14" i="42"/>
  <c r="FD14" i="42"/>
  <c r="FB14" i="42"/>
  <c r="FA14" i="42"/>
  <c r="EZ14" i="42"/>
  <c r="EY14" i="42"/>
  <c r="EX14" i="42"/>
  <c r="EW14" i="42"/>
  <c r="EA14" i="42"/>
  <c r="DZ14" i="42"/>
  <c r="DY14" i="42"/>
  <c r="DX14" i="42"/>
  <c r="DW14" i="42"/>
  <c r="DV14" i="42"/>
  <c r="DT14" i="42"/>
  <c r="DS14" i="42"/>
  <c r="DR14" i="42"/>
  <c r="DQ14" i="42"/>
  <c r="DP14" i="42"/>
  <c r="DO14" i="42"/>
  <c r="CR14" i="42"/>
  <c r="CQ14" i="42"/>
  <c r="CP14" i="42"/>
  <c r="CN14" i="42"/>
  <c r="CM14" i="42"/>
  <c r="CL14" i="42"/>
  <c r="CK14" i="42"/>
  <c r="CJ14" i="42"/>
  <c r="CI14" i="42"/>
  <c r="BQ14" i="42"/>
  <c r="BP14" i="42"/>
  <c r="BO14" i="42"/>
  <c r="BM14" i="42"/>
  <c r="BL14" i="42"/>
  <c r="BK14" i="42"/>
  <c r="BJ14" i="42"/>
  <c r="BI14" i="42"/>
  <c r="BH14" i="42"/>
  <c r="AP14" i="42"/>
  <c r="AO14" i="42"/>
  <c r="AN14" i="42"/>
  <c r="AL14" i="42"/>
  <c r="AK14" i="42"/>
  <c r="AJ14" i="42"/>
  <c r="AI14" i="42"/>
  <c r="AH14" i="42"/>
  <c r="AG14" i="42"/>
  <c r="WI20" i="42"/>
  <c r="WH20" i="42"/>
  <c r="WG20" i="42"/>
  <c r="WF20" i="42"/>
  <c r="WE20" i="42"/>
  <c r="WD20" i="42"/>
  <c r="WB20" i="42"/>
  <c r="WA20" i="42"/>
  <c r="VZ20" i="42"/>
  <c r="VY20" i="42"/>
  <c r="VX20" i="42"/>
  <c r="VW20" i="42"/>
  <c r="VA20" i="42"/>
  <c r="UZ20" i="42"/>
  <c r="UY20" i="42"/>
  <c r="UX20" i="42"/>
  <c r="UW20" i="42"/>
  <c r="UV20" i="42"/>
  <c r="UT20" i="42"/>
  <c r="US20" i="42"/>
  <c r="UR20" i="42"/>
  <c r="UQ20" i="42"/>
  <c r="UP20" i="42"/>
  <c r="UO20" i="42"/>
  <c r="TS20" i="42"/>
  <c r="TR20" i="42"/>
  <c r="TQ20" i="42"/>
  <c r="TP20" i="42"/>
  <c r="TO20" i="42"/>
  <c r="TN20" i="42"/>
  <c r="TL20" i="42"/>
  <c r="TK20" i="42"/>
  <c r="TJ20" i="42"/>
  <c r="TI20" i="42"/>
  <c r="TH20" i="42"/>
  <c r="TG20" i="42"/>
  <c r="SK20" i="42"/>
  <c r="SJ20" i="42"/>
  <c r="SI20" i="42"/>
  <c r="SH20" i="42"/>
  <c r="SG20" i="42"/>
  <c r="SF20" i="42"/>
  <c r="SD20" i="42"/>
  <c r="SC20" i="42"/>
  <c r="SB20" i="42"/>
  <c r="SA20" i="42"/>
  <c r="SE20" i="42" s="1"/>
  <c r="RZ20" i="42"/>
  <c r="RY20" i="42"/>
  <c r="RC20" i="42"/>
  <c r="RB20" i="42"/>
  <c r="RA20" i="42"/>
  <c r="QZ20" i="42"/>
  <c r="QY20" i="42"/>
  <c r="QX20" i="42"/>
  <c r="QV20" i="42"/>
  <c r="QU20" i="42"/>
  <c r="QT20" i="42"/>
  <c r="QS20" i="42"/>
  <c r="QR20" i="42"/>
  <c r="QQ20" i="42"/>
  <c r="PU20" i="42"/>
  <c r="PT20" i="42"/>
  <c r="PS20" i="42"/>
  <c r="PR20" i="42"/>
  <c r="PQ20" i="42"/>
  <c r="PP20" i="42"/>
  <c r="PN20" i="42"/>
  <c r="PM20" i="42"/>
  <c r="PL20" i="42"/>
  <c r="PK20" i="42"/>
  <c r="PJ20" i="42"/>
  <c r="PI20" i="42"/>
  <c r="OM20" i="42"/>
  <c r="OL20" i="42"/>
  <c r="OK20" i="42"/>
  <c r="OJ20" i="42"/>
  <c r="OI20" i="42"/>
  <c r="OH20" i="42"/>
  <c r="OF20" i="42"/>
  <c r="OE20" i="42"/>
  <c r="OD20" i="42"/>
  <c r="OC20" i="42"/>
  <c r="OB20" i="42"/>
  <c r="OA20" i="42"/>
  <c r="NE20" i="42"/>
  <c r="ND20" i="42"/>
  <c r="NC20" i="42"/>
  <c r="NB20" i="42"/>
  <c r="NA20" i="42"/>
  <c r="MZ20" i="42"/>
  <c r="MX20" i="42"/>
  <c r="MW20" i="42"/>
  <c r="MV20" i="42"/>
  <c r="MU20" i="42"/>
  <c r="MT20" i="42"/>
  <c r="MS20" i="42"/>
  <c r="LW20" i="42"/>
  <c r="LV20" i="42"/>
  <c r="LU20" i="42"/>
  <c r="LT20" i="42"/>
  <c r="LS20" i="42"/>
  <c r="LR20" i="42"/>
  <c r="LP20" i="42"/>
  <c r="LO20" i="42"/>
  <c r="LN20" i="42"/>
  <c r="LM20" i="42"/>
  <c r="LL20" i="42"/>
  <c r="LK20" i="42"/>
  <c r="KO20" i="42"/>
  <c r="KN20" i="42"/>
  <c r="KM20" i="42"/>
  <c r="KL20" i="42"/>
  <c r="KK20" i="42"/>
  <c r="KJ20" i="42"/>
  <c r="KH20" i="42"/>
  <c r="KG20" i="42"/>
  <c r="KF20" i="42"/>
  <c r="KE20" i="42"/>
  <c r="KD20" i="42"/>
  <c r="KC20" i="42"/>
  <c r="JG20" i="42"/>
  <c r="JF20" i="42"/>
  <c r="JE20" i="42"/>
  <c r="JD20" i="42"/>
  <c r="JC20" i="42"/>
  <c r="JB20" i="42"/>
  <c r="IZ20" i="42"/>
  <c r="IY20" i="42"/>
  <c r="IX20" i="42"/>
  <c r="IW20" i="42"/>
  <c r="JA20" i="42" s="1"/>
  <c r="IV20" i="42"/>
  <c r="IU20" i="42"/>
  <c r="HY20" i="42"/>
  <c r="HX20" i="42"/>
  <c r="HW20" i="42"/>
  <c r="HV20" i="42"/>
  <c r="HU20" i="42"/>
  <c r="HT20" i="42"/>
  <c r="HR20" i="42"/>
  <c r="HQ20" i="42"/>
  <c r="HP20" i="42"/>
  <c r="HO20" i="42"/>
  <c r="HN20" i="42"/>
  <c r="HM20" i="42"/>
  <c r="GQ20" i="42"/>
  <c r="GP20" i="42"/>
  <c r="GO20" i="42"/>
  <c r="GN20" i="42"/>
  <c r="GM20" i="42"/>
  <c r="GL20" i="42"/>
  <c r="GJ20" i="42"/>
  <c r="GI20" i="42"/>
  <c r="GH20" i="42"/>
  <c r="GG20" i="42"/>
  <c r="GF20" i="42"/>
  <c r="GE20" i="42"/>
  <c r="FI20" i="42"/>
  <c r="FH20" i="42"/>
  <c r="FG20" i="42"/>
  <c r="FF20" i="42"/>
  <c r="FE20" i="42"/>
  <c r="FD20" i="42"/>
  <c r="FB20" i="42"/>
  <c r="FA20" i="42"/>
  <c r="EZ20" i="42"/>
  <c r="EY20" i="42"/>
  <c r="EX20" i="42"/>
  <c r="EW20" i="42"/>
  <c r="EA20" i="42"/>
  <c r="DZ20" i="42"/>
  <c r="DY20" i="42"/>
  <c r="DX20" i="42"/>
  <c r="DW20" i="42"/>
  <c r="DV20" i="42"/>
  <c r="DT20" i="42"/>
  <c r="DS20" i="42"/>
  <c r="DR20" i="42"/>
  <c r="DQ20" i="42"/>
  <c r="DP20" i="42"/>
  <c r="DO20" i="42"/>
  <c r="CR20" i="42"/>
  <c r="CQ20" i="42"/>
  <c r="CP20" i="42"/>
  <c r="CN20" i="42"/>
  <c r="CM20" i="42"/>
  <c r="CL20" i="42"/>
  <c r="CK20" i="42"/>
  <c r="CJ20" i="42"/>
  <c r="CI20" i="42"/>
  <c r="BQ20" i="42"/>
  <c r="BP20" i="42"/>
  <c r="BO20" i="42"/>
  <c r="BM20" i="42"/>
  <c r="BL20" i="42"/>
  <c r="BK20" i="42"/>
  <c r="BJ20" i="42"/>
  <c r="BI20" i="42"/>
  <c r="BH20" i="42"/>
  <c r="AP20" i="42"/>
  <c r="AO20" i="42"/>
  <c r="AN20" i="42"/>
  <c r="AL20" i="42"/>
  <c r="AK20" i="42"/>
  <c r="AJ20" i="42"/>
  <c r="AI20" i="42"/>
  <c r="AH20" i="42"/>
  <c r="AG20" i="42"/>
  <c r="WI9" i="42"/>
  <c r="WH9" i="42"/>
  <c r="WG9" i="42"/>
  <c r="WF9" i="42"/>
  <c r="WE9" i="42"/>
  <c r="WD9" i="42"/>
  <c r="WB9" i="42"/>
  <c r="WA9" i="42"/>
  <c r="VZ9" i="42"/>
  <c r="VY9" i="42"/>
  <c r="VX9" i="42"/>
  <c r="VW9" i="42"/>
  <c r="VA9" i="42"/>
  <c r="UZ9" i="42"/>
  <c r="UY9" i="42"/>
  <c r="UX9" i="42"/>
  <c r="UW9" i="42"/>
  <c r="UV9" i="42"/>
  <c r="UT9" i="42"/>
  <c r="US9" i="42"/>
  <c r="UR9" i="42"/>
  <c r="UQ9" i="42"/>
  <c r="UP9" i="42"/>
  <c r="UO9" i="42"/>
  <c r="TS9" i="42"/>
  <c r="TR9" i="42"/>
  <c r="TQ9" i="42"/>
  <c r="TP9" i="42"/>
  <c r="TO9" i="42"/>
  <c r="TN9" i="42"/>
  <c r="TL9" i="42"/>
  <c r="TK9" i="42"/>
  <c r="TJ9" i="42"/>
  <c r="TI9" i="42"/>
  <c r="TH9" i="42"/>
  <c r="TG9" i="42"/>
  <c r="SK9" i="42"/>
  <c r="SJ9" i="42"/>
  <c r="SI9" i="42"/>
  <c r="SH9" i="42"/>
  <c r="SG9" i="42"/>
  <c r="SF9" i="42"/>
  <c r="SD9" i="42"/>
  <c r="SC9" i="42"/>
  <c r="SB9" i="42"/>
  <c r="SA9" i="42"/>
  <c r="RZ9" i="42"/>
  <c r="RY9" i="42"/>
  <c r="RC9" i="42"/>
  <c r="RB9" i="42"/>
  <c r="RA9" i="42"/>
  <c r="QZ9" i="42"/>
  <c r="QY9" i="42"/>
  <c r="QX9" i="42"/>
  <c r="QV9" i="42"/>
  <c r="QU9" i="42"/>
  <c r="QT9" i="42"/>
  <c r="QS9" i="42"/>
  <c r="QR9" i="42"/>
  <c r="QQ9" i="42"/>
  <c r="PU9" i="42"/>
  <c r="PT9" i="42"/>
  <c r="PS9" i="42"/>
  <c r="PR9" i="42"/>
  <c r="PQ9" i="42"/>
  <c r="PP9" i="42"/>
  <c r="PN9" i="42"/>
  <c r="PM9" i="42"/>
  <c r="PL9" i="42"/>
  <c r="PK9" i="42"/>
  <c r="PJ9" i="42"/>
  <c r="PI9" i="42"/>
  <c r="OM9" i="42"/>
  <c r="OL9" i="42"/>
  <c r="OK9" i="42"/>
  <c r="OJ9" i="42"/>
  <c r="OI9" i="42"/>
  <c r="OH9" i="42"/>
  <c r="OF9" i="42"/>
  <c r="OE9" i="42"/>
  <c r="OD9" i="42"/>
  <c r="OC9" i="42"/>
  <c r="OB9" i="42"/>
  <c r="OA9" i="42"/>
  <c r="NE9" i="42"/>
  <c r="ND9" i="42"/>
  <c r="NC9" i="42"/>
  <c r="NB9" i="42"/>
  <c r="NA9" i="42"/>
  <c r="MZ9" i="42"/>
  <c r="MX9" i="42"/>
  <c r="MW9" i="42"/>
  <c r="MV9" i="42"/>
  <c r="MU9" i="42"/>
  <c r="MT9" i="42"/>
  <c r="MS9" i="42"/>
  <c r="LW9" i="42"/>
  <c r="LV9" i="42"/>
  <c r="LU9" i="42"/>
  <c r="LT9" i="42"/>
  <c r="LS9" i="42"/>
  <c r="LR9" i="42"/>
  <c r="LP9" i="42"/>
  <c r="LO9" i="42"/>
  <c r="LN9" i="42"/>
  <c r="LM9" i="42"/>
  <c r="LL9" i="42"/>
  <c r="LK9" i="42"/>
  <c r="KO9" i="42"/>
  <c r="KN9" i="42"/>
  <c r="KM9" i="42"/>
  <c r="KL9" i="42"/>
  <c r="KK9" i="42"/>
  <c r="KJ9" i="42"/>
  <c r="KH9" i="42"/>
  <c r="KG9" i="42"/>
  <c r="KF9" i="42"/>
  <c r="KE9" i="42"/>
  <c r="KD9" i="42"/>
  <c r="KC9" i="42"/>
  <c r="JG9" i="42"/>
  <c r="JF9" i="42"/>
  <c r="JE9" i="42"/>
  <c r="JD9" i="42"/>
  <c r="JC9" i="42"/>
  <c r="JB9" i="42"/>
  <c r="IZ9" i="42"/>
  <c r="IY9" i="42"/>
  <c r="IX9" i="42"/>
  <c r="IW9" i="42"/>
  <c r="IV9" i="42"/>
  <c r="IU9" i="42"/>
  <c r="HY9" i="42"/>
  <c r="HX9" i="42"/>
  <c r="HW9" i="42"/>
  <c r="HV9" i="42"/>
  <c r="HU9" i="42"/>
  <c r="HT9" i="42"/>
  <c r="HR9" i="42"/>
  <c r="HQ9" i="42"/>
  <c r="HP9" i="42"/>
  <c r="HO9" i="42"/>
  <c r="HN9" i="42"/>
  <c r="HM9" i="42"/>
  <c r="GQ9" i="42"/>
  <c r="GP9" i="42"/>
  <c r="GO9" i="42"/>
  <c r="GN9" i="42"/>
  <c r="GM9" i="42"/>
  <c r="GL9" i="42"/>
  <c r="GJ9" i="42"/>
  <c r="GI9" i="42"/>
  <c r="GH9" i="42"/>
  <c r="GG9" i="42"/>
  <c r="GF9" i="42"/>
  <c r="GE9" i="42"/>
  <c r="FI9" i="42"/>
  <c r="FH9" i="42"/>
  <c r="FG9" i="42"/>
  <c r="FF9" i="42"/>
  <c r="FE9" i="42"/>
  <c r="FD9" i="42"/>
  <c r="FB9" i="42"/>
  <c r="FA9" i="42"/>
  <c r="EZ9" i="42"/>
  <c r="EY9" i="42"/>
  <c r="EX9" i="42"/>
  <c r="EW9" i="42"/>
  <c r="EA9" i="42"/>
  <c r="DZ9" i="42"/>
  <c r="DY9" i="42"/>
  <c r="DX9" i="42"/>
  <c r="DW9" i="42"/>
  <c r="DV9" i="42"/>
  <c r="DT9" i="42"/>
  <c r="DS9" i="42"/>
  <c r="DR9" i="42"/>
  <c r="DQ9" i="42"/>
  <c r="DP9" i="42"/>
  <c r="DO9" i="42"/>
  <c r="CR9" i="42"/>
  <c r="CQ9" i="42"/>
  <c r="CP9" i="42"/>
  <c r="CN9" i="42"/>
  <c r="CM9" i="42"/>
  <c r="CL9" i="42"/>
  <c r="CK9" i="42"/>
  <c r="CJ9" i="42"/>
  <c r="CI9" i="42"/>
  <c r="BQ9" i="42"/>
  <c r="BP9" i="42"/>
  <c r="BO9" i="42"/>
  <c r="BM9" i="42"/>
  <c r="BL9" i="42"/>
  <c r="BK9" i="42"/>
  <c r="BJ9" i="42"/>
  <c r="BN9" i="42" s="1"/>
  <c r="BI9" i="42"/>
  <c r="BH9" i="42"/>
  <c r="AP9" i="42"/>
  <c r="AO9" i="42"/>
  <c r="AN9" i="42"/>
  <c r="AL9" i="42"/>
  <c r="AK9" i="42"/>
  <c r="AJ9" i="42"/>
  <c r="AI9" i="42"/>
  <c r="AH9" i="42"/>
  <c r="AG9" i="42"/>
  <c r="WI17" i="42"/>
  <c r="WH17" i="42"/>
  <c r="WG17" i="42"/>
  <c r="WF17" i="42"/>
  <c r="WE17" i="42"/>
  <c r="WD17" i="42"/>
  <c r="WB17" i="42"/>
  <c r="WA17" i="42"/>
  <c r="VZ17" i="42"/>
  <c r="VY17" i="42"/>
  <c r="WC17" i="42" s="1"/>
  <c r="VX17" i="42"/>
  <c r="VW17" i="42"/>
  <c r="VA17" i="42"/>
  <c r="UZ17" i="42"/>
  <c r="UY17" i="42"/>
  <c r="UX17" i="42"/>
  <c r="UW17" i="42"/>
  <c r="UV17" i="42"/>
  <c r="UT17" i="42"/>
  <c r="US17" i="42"/>
  <c r="UR17" i="42"/>
  <c r="UQ17" i="42"/>
  <c r="UP17" i="42"/>
  <c r="UO17" i="42"/>
  <c r="TS17" i="42"/>
  <c r="TR17" i="42"/>
  <c r="TQ17" i="42"/>
  <c r="TP17" i="42"/>
  <c r="TO17" i="42"/>
  <c r="TN17" i="42"/>
  <c r="TL17" i="42"/>
  <c r="TK17" i="42"/>
  <c r="TJ17" i="42"/>
  <c r="TI17" i="42"/>
  <c r="TH17" i="42"/>
  <c r="TG17" i="42"/>
  <c r="SK17" i="42"/>
  <c r="SJ17" i="42"/>
  <c r="SI17" i="42"/>
  <c r="SH17" i="42"/>
  <c r="SG17" i="42"/>
  <c r="SF17" i="42"/>
  <c r="SD17" i="42"/>
  <c r="SC17" i="42"/>
  <c r="SB17" i="42"/>
  <c r="SA17" i="42"/>
  <c r="RZ17" i="42"/>
  <c r="RY17" i="42"/>
  <c r="RC17" i="42"/>
  <c r="RB17" i="42"/>
  <c r="RA17" i="42"/>
  <c r="QZ17" i="42"/>
  <c r="QY17" i="42"/>
  <c r="QX17" i="42"/>
  <c r="QV17" i="42"/>
  <c r="QU17" i="42"/>
  <c r="QT17" i="42"/>
  <c r="QS17" i="42"/>
  <c r="QR17" i="42"/>
  <c r="QQ17" i="42"/>
  <c r="PU17" i="42"/>
  <c r="PT17" i="42"/>
  <c r="PS17" i="42"/>
  <c r="PR17" i="42"/>
  <c r="PQ17" i="42"/>
  <c r="PP17" i="42"/>
  <c r="PN17" i="42"/>
  <c r="PM17" i="42"/>
  <c r="PL17" i="42"/>
  <c r="PK17" i="42"/>
  <c r="PJ17" i="42"/>
  <c r="PI17" i="42"/>
  <c r="OM17" i="42"/>
  <c r="OL17" i="42"/>
  <c r="OK17" i="42"/>
  <c r="OJ17" i="42"/>
  <c r="OI17" i="42"/>
  <c r="OH17" i="42"/>
  <c r="OF17" i="42"/>
  <c r="OE17" i="42"/>
  <c r="OD17" i="42"/>
  <c r="OC17" i="42"/>
  <c r="OB17" i="42"/>
  <c r="OA17" i="42"/>
  <c r="NE17" i="42"/>
  <c r="ND17" i="42"/>
  <c r="NC17" i="42"/>
  <c r="NB17" i="42"/>
  <c r="NA17" i="42"/>
  <c r="MZ17" i="42"/>
  <c r="MX17" i="42"/>
  <c r="MW17" i="42"/>
  <c r="MV17" i="42"/>
  <c r="MU17" i="42"/>
  <c r="MY17" i="42" s="1"/>
  <c r="MT17" i="42"/>
  <c r="MS17" i="42"/>
  <c r="LW17" i="42"/>
  <c r="LV17" i="42"/>
  <c r="LU17" i="42"/>
  <c r="LT17" i="42"/>
  <c r="LS17" i="42"/>
  <c r="LR17" i="42"/>
  <c r="LP17" i="42"/>
  <c r="LO17" i="42"/>
  <c r="LN17" i="42"/>
  <c r="LM17" i="42"/>
  <c r="LL17" i="42"/>
  <c r="LK17" i="42"/>
  <c r="KO17" i="42"/>
  <c r="KN17" i="42"/>
  <c r="KM17" i="42"/>
  <c r="KL17" i="42"/>
  <c r="KK17" i="42"/>
  <c r="KJ17" i="42"/>
  <c r="KH17" i="42"/>
  <c r="KG17" i="42"/>
  <c r="KF17" i="42"/>
  <c r="KE17" i="42"/>
  <c r="KD17" i="42"/>
  <c r="KC17" i="42"/>
  <c r="JG17" i="42"/>
  <c r="JF17" i="42"/>
  <c r="JE17" i="42"/>
  <c r="JD17" i="42"/>
  <c r="JC17" i="42"/>
  <c r="JB17" i="42"/>
  <c r="IZ17" i="42"/>
  <c r="IY17" i="42"/>
  <c r="IX17" i="42"/>
  <c r="IW17" i="42"/>
  <c r="IV17" i="42"/>
  <c r="IU17" i="42"/>
  <c r="HY17" i="42"/>
  <c r="HX17" i="42"/>
  <c r="HW17" i="42"/>
  <c r="HV17" i="42"/>
  <c r="HU17" i="42"/>
  <c r="HT17" i="42"/>
  <c r="HR17" i="42"/>
  <c r="HQ17" i="42"/>
  <c r="HP17" i="42"/>
  <c r="HO17" i="42"/>
  <c r="HN17" i="42"/>
  <c r="HM17" i="42"/>
  <c r="GQ17" i="42"/>
  <c r="GP17" i="42"/>
  <c r="GO17" i="42"/>
  <c r="GN17" i="42"/>
  <c r="GM17" i="42"/>
  <c r="GL17" i="42"/>
  <c r="GJ17" i="42"/>
  <c r="GI17" i="42"/>
  <c r="GH17" i="42"/>
  <c r="GG17" i="42"/>
  <c r="GF17" i="42"/>
  <c r="GE17" i="42"/>
  <c r="FI17" i="42"/>
  <c r="FH17" i="42"/>
  <c r="FG17" i="42"/>
  <c r="FF17" i="42"/>
  <c r="FE17" i="42"/>
  <c r="FD17" i="42"/>
  <c r="FB17" i="42"/>
  <c r="FA17" i="42"/>
  <c r="EZ17" i="42"/>
  <c r="EY17" i="42"/>
  <c r="EX17" i="42"/>
  <c r="EW17" i="42"/>
  <c r="EA17" i="42"/>
  <c r="DZ17" i="42"/>
  <c r="DY17" i="42"/>
  <c r="DX17" i="42"/>
  <c r="DW17" i="42"/>
  <c r="DV17" i="42"/>
  <c r="DT17" i="42"/>
  <c r="DS17" i="42"/>
  <c r="DR17" i="42"/>
  <c r="DQ17" i="42"/>
  <c r="DP17" i="42"/>
  <c r="DO17" i="42"/>
  <c r="CR17" i="42"/>
  <c r="CQ17" i="42"/>
  <c r="CP17" i="42"/>
  <c r="CN17" i="42"/>
  <c r="CM17" i="42"/>
  <c r="CL17" i="42"/>
  <c r="CK17" i="42"/>
  <c r="CJ17" i="42"/>
  <c r="CI17" i="42"/>
  <c r="BQ17" i="42"/>
  <c r="BP17" i="42"/>
  <c r="BO17" i="42"/>
  <c r="BM17" i="42"/>
  <c r="BL17" i="42"/>
  <c r="BK17" i="42"/>
  <c r="BJ17" i="42"/>
  <c r="BI17" i="42"/>
  <c r="BH17" i="42"/>
  <c r="AP17" i="42"/>
  <c r="AO17" i="42"/>
  <c r="AN17" i="42"/>
  <c r="AL17" i="42"/>
  <c r="AK17" i="42"/>
  <c r="AJ17" i="42"/>
  <c r="AI17" i="42"/>
  <c r="AH17" i="42"/>
  <c r="AG17" i="42"/>
  <c r="WI16" i="42"/>
  <c r="WH16" i="42"/>
  <c r="WG16" i="42"/>
  <c r="WF16" i="42"/>
  <c r="WE16" i="42"/>
  <c r="WD16" i="42"/>
  <c r="WB16" i="42"/>
  <c r="WA16" i="42"/>
  <c r="VZ16" i="42"/>
  <c r="VY16" i="42"/>
  <c r="VX16" i="42"/>
  <c r="VW16" i="42"/>
  <c r="VA16" i="42"/>
  <c r="UZ16" i="42"/>
  <c r="UY16" i="42"/>
  <c r="UX16" i="42"/>
  <c r="UW16" i="42"/>
  <c r="UV16" i="42"/>
  <c r="UT16" i="42"/>
  <c r="US16" i="42"/>
  <c r="UR16" i="42"/>
  <c r="UQ16" i="42"/>
  <c r="UP16" i="42"/>
  <c r="UO16" i="42"/>
  <c r="TS16" i="42"/>
  <c r="TR16" i="42"/>
  <c r="TQ16" i="42"/>
  <c r="TP16" i="42"/>
  <c r="TO16" i="42"/>
  <c r="TN16" i="42"/>
  <c r="TL16" i="42"/>
  <c r="TK16" i="42"/>
  <c r="TJ16" i="42"/>
  <c r="TI16" i="42"/>
  <c r="TH16" i="42"/>
  <c r="TG16" i="42"/>
  <c r="SK16" i="42"/>
  <c r="SJ16" i="42"/>
  <c r="SI16" i="42"/>
  <c r="SH16" i="42"/>
  <c r="SG16" i="42"/>
  <c r="SF16" i="42"/>
  <c r="SD16" i="42"/>
  <c r="SC16" i="42"/>
  <c r="SB16" i="42"/>
  <c r="SA16" i="42"/>
  <c r="RZ16" i="42"/>
  <c r="RY16" i="42"/>
  <c r="RC16" i="42"/>
  <c r="RB16" i="42"/>
  <c r="RA16" i="42"/>
  <c r="QZ16" i="42"/>
  <c r="QY16" i="42"/>
  <c r="QX16" i="42"/>
  <c r="QV16" i="42"/>
  <c r="QU16" i="42"/>
  <c r="QT16" i="42"/>
  <c r="QS16" i="42"/>
  <c r="QR16" i="42"/>
  <c r="QQ16" i="42"/>
  <c r="PU16" i="42"/>
  <c r="PT16" i="42"/>
  <c r="PS16" i="42"/>
  <c r="PR16" i="42"/>
  <c r="PQ16" i="42"/>
  <c r="PP16" i="42"/>
  <c r="PN16" i="42"/>
  <c r="PM16" i="42"/>
  <c r="PL16" i="42"/>
  <c r="PK16" i="42"/>
  <c r="PO16" i="42" s="1"/>
  <c r="PJ16" i="42"/>
  <c r="PI16" i="42"/>
  <c r="OM16" i="42"/>
  <c r="OL16" i="42"/>
  <c r="OK16" i="42"/>
  <c r="OJ16" i="42"/>
  <c r="OI16" i="42"/>
  <c r="OH16" i="42"/>
  <c r="OF16" i="42"/>
  <c r="OE16" i="42"/>
  <c r="OD16" i="42"/>
  <c r="OC16" i="42"/>
  <c r="OB16" i="42"/>
  <c r="OA16" i="42"/>
  <c r="NE16" i="42"/>
  <c r="ND16" i="42"/>
  <c r="NC16" i="42"/>
  <c r="NB16" i="42"/>
  <c r="NA16" i="42"/>
  <c r="MZ16" i="42"/>
  <c r="MX16" i="42"/>
  <c r="MW16" i="42"/>
  <c r="MV16" i="42"/>
  <c r="MU16" i="42"/>
  <c r="MT16" i="42"/>
  <c r="MS16" i="42"/>
  <c r="LW16" i="42"/>
  <c r="LV16" i="42"/>
  <c r="LU16" i="42"/>
  <c r="LT16" i="42"/>
  <c r="LS16" i="42"/>
  <c r="LR16" i="42"/>
  <c r="LP16" i="42"/>
  <c r="LO16" i="42"/>
  <c r="LN16" i="42"/>
  <c r="LM16" i="42"/>
  <c r="LL16" i="42"/>
  <c r="LK16" i="42"/>
  <c r="KO16" i="42"/>
  <c r="KN16" i="42"/>
  <c r="KM16" i="42"/>
  <c r="KL16" i="42"/>
  <c r="KK16" i="42"/>
  <c r="KJ16" i="42"/>
  <c r="KH16" i="42"/>
  <c r="KG16" i="42"/>
  <c r="KF16" i="42"/>
  <c r="KE16" i="42"/>
  <c r="KI16" i="42" s="1"/>
  <c r="KD16" i="42"/>
  <c r="KC16" i="42"/>
  <c r="JG16" i="42"/>
  <c r="JF16" i="42"/>
  <c r="JE16" i="42"/>
  <c r="JD16" i="42"/>
  <c r="JC16" i="42"/>
  <c r="JB16" i="42"/>
  <c r="IZ16" i="42"/>
  <c r="IY16" i="42"/>
  <c r="IX16" i="42"/>
  <c r="IW16" i="42"/>
  <c r="IV16" i="42"/>
  <c r="IU16" i="42"/>
  <c r="HY16" i="42"/>
  <c r="HX16" i="42"/>
  <c r="HW16" i="42"/>
  <c r="HV16" i="42"/>
  <c r="HU16" i="42"/>
  <c r="HT16" i="42"/>
  <c r="HR16" i="42"/>
  <c r="HQ16" i="42"/>
  <c r="HP16" i="42"/>
  <c r="HO16" i="42"/>
  <c r="HN16" i="42"/>
  <c r="HM16" i="42"/>
  <c r="GQ16" i="42"/>
  <c r="GP16" i="42"/>
  <c r="GO16" i="42"/>
  <c r="GN16" i="42"/>
  <c r="GM16" i="42"/>
  <c r="GL16" i="42"/>
  <c r="GJ16" i="42"/>
  <c r="GI16" i="42"/>
  <c r="GH16" i="42"/>
  <c r="GG16" i="42"/>
  <c r="GK16" i="42" s="1"/>
  <c r="GF16" i="42"/>
  <c r="GE16" i="42"/>
  <c r="FI16" i="42"/>
  <c r="FH16" i="42"/>
  <c r="FG16" i="42"/>
  <c r="FF16" i="42"/>
  <c r="FE16" i="42"/>
  <c r="FD16" i="42"/>
  <c r="FB16" i="42"/>
  <c r="FA16" i="42"/>
  <c r="EZ16" i="42"/>
  <c r="EY16" i="42"/>
  <c r="EX16" i="42"/>
  <c r="EW16" i="42"/>
  <c r="EA16" i="42"/>
  <c r="DZ16" i="42"/>
  <c r="DY16" i="42"/>
  <c r="DX16" i="42"/>
  <c r="DW16" i="42"/>
  <c r="DV16" i="42"/>
  <c r="DT16" i="42"/>
  <c r="DS16" i="42"/>
  <c r="DR16" i="42"/>
  <c r="DQ16" i="42"/>
  <c r="DP16" i="42"/>
  <c r="DO16" i="42"/>
  <c r="CR16" i="42"/>
  <c r="CQ16" i="42"/>
  <c r="CP16" i="42"/>
  <c r="CN16" i="42"/>
  <c r="CM16" i="42"/>
  <c r="CL16" i="42"/>
  <c r="CK16" i="42"/>
  <c r="CJ16" i="42"/>
  <c r="CI16" i="42"/>
  <c r="BQ16" i="42"/>
  <c r="BP16" i="42"/>
  <c r="BO16" i="42"/>
  <c r="BM16" i="42"/>
  <c r="BL16" i="42"/>
  <c r="BK16" i="42"/>
  <c r="BJ16" i="42"/>
  <c r="BI16" i="42"/>
  <c r="BH16" i="42"/>
  <c r="AP16" i="42"/>
  <c r="AO16" i="42"/>
  <c r="AN16" i="42"/>
  <c r="AL16" i="42"/>
  <c r="AK16" i="42"/>
  <c r="AJ16" i="42"/>
  <c r="AI16" i="42"/>
  <c r="AH16" i="42"/>
  <c r="AG16" i="42"/>
  <c r="WI15" i="42"/>
  <c r="WH15" i="42"/>
  <c r="WG15" i="42"/>
  <c r="WF15" i="42"/>
  <c r="WE15" i="42"/>
  <c r="WD15" i="42"/>
  <c r="WB15" i="42"/>
  <c r="WA15" i="42"/>
  <c r="VZ15" i="42"/>
  <c r="VY15" i="42"/>
  <c r="VX15" i="42"/>
  <c r="VW15" i="42"/>
  <c r="VA15" i="42"/>
  <c r="UZ15" i="42"/>
  <c r="UY15" i="42"/>
  <c r="UX15" i="42"/>
  <c r="UW15" i="42"/>
  <c r="UV15" i="42"/>
  <c r="UT15" i="42"/>
  <c r="US15" i="42"/>
  <c r="UR15" i="42"/>
  <c r="UQ15" i="42"/>
  <c r="UP15" i="42"/>
  <c r="UO15" i="42"/>
  <c r="TS15" i="42"/>
  <c r="TR15" i="42"/>
  <c r="TQ15" i="42"/>
  <c r="TP15" i="42"/>
  <c r="TO15" i="42"/>
  <c r="TN15" i="42"/>
  <c r="TL15" i="42"/>
  <c r="TK15" i="42"/>
  <c r="TJ15" i="42"/>
  <c r="TI15" i="42"/>
  <c r="TH15" i="42"/>
  <c r="TG15" i="42"/>
  <c r="SK15" i="42"/>
  <c r="SJ15" i="42"/>
  <c r="SI15" i="42"/>
  <c r="SH15" i="42"/>
  <c r="SG15" i="42"/>
  <c r="SF15" i="42"/>
  <c r="SD15" i="42"/>
  <c r="SC15" i="42"/>
  <c r="SB15" i="42"/>
  <c r="SA15" i="42"/>
  <c r="RZ15" i="42"/>
  <c r="RY15" i="42"/>
  <c r="RC15" i="42"/>
  <c r="RB15" i="42"/>
  <c r="RA15" i="42"/>
  <c r="QZ15" i="42"/>
  <c r="QY15" i="42"/>
  <c r="QX15" i="42"/>
  <c r="QV15" i="42"/>
  <c r="QU15" i="42"/>
  <c r="QT15" i="42"/>
  <c r="QS15" i="42"/>
  <c r="QR15" i="42"/>
  <c r="QQ15" i="42"/>
  <c r="PU15" i="42"/>
  <c r="PT15" i="42"/>
  <c r="PS15" i="42"/>
  <c r="PR15" i="42"/>
  <c r="PQ15" i="42"/>
  <c r="PP15" i="42"/>
  <c r="PN15" i="42"/>
  <c r="PM15" i="42"/>
  <c r="PL15" i="42"/>
  <c r="PK15" i="42"/>
  <c r="PJ15" i="42"/>
  <c r="PI15" i="42"/>
  <c r="OM15" i="42"/>
  <c r="OL15" i="42"/>
  <c r="OK15" i="42"/>
  <c r="OJ15" i="42"/>
  <c r="OI15" i="42"/>
  <c r="OH15" i="42"/>
  <c r="OF15" i="42"/>
  <c r="OE15" i="42"/>
  <c r="OD15" i="42"/>
  <c r="OC15" i="42"/>
  <c r="OB15" i="42"/>
  <c r="OA15" i="42"/>
  <c r="NE15" i="42"/>
  <c r="ND15" i="42"/>
  <c r="NC15" i="42"/>
  <c r="NB15" i="42"/>
  <c r="NA15" i="42"/>
  <c r="MZ15" i="42"/>
  <c r="MX15" i="42"/>
  <c r="MW15" i="42"/>
  <c r="MV15" i="42"/>
  <c r="MU15" i="42"/>
  <c r="MT15" i="42"/>
  <c r="MS15" i="42"/>
  <c r="LW15" i="42"/>
  <c r="LV15" i="42"/>
  <c r="LU15" i="42"/>
  <c r="LT15" i="42"/>
  <c r="LS15" i="42"/>
  <c r="LR15" i="42"/>
  <c r="LP15" i="42"/>
  <c r="LO15" i="42"/>
  <c r="LN15" i="42"/>
  <c r="LM15" i="42"/>
  <c r="LL15" i="42"/>
  <c r="LK15" i="42"/>
  <c r="KO15" i="42"/>
  <c r="KN15" i="42"/>
  <c r="KM15" i="42"/>
  <c r="KL15" i="42"/>
  <c r="KK15" i="42"/>
  <c r="KJ15" i="42"/>
  <c r="KH15" i="42"/>
  <c r="KG15" i="42"/>
  <c r="KF15" i="42"/>
  <c r="KE15" i="42"/>
  <c r="KD15" i="42"/>
  <c r="KC15" i="42"/>
  <c r="JG15" i="42"/>
  <c r="JF15" i="42"/>
  <c r="JE15" i="42"/>
  <c r="JD15" i="42"/>
  <c r="JC15" i="42"/>
  <c r="JB15" i="42"/>
  <c r="IZ15" i="42"/>
  <c r="IY15" i="42"/>
  <c r="IX15" i="42"/>
  <c r="IW15" i="42"/>
  <c r="IV15" i="42"/>
  <c r="IU15" i="42"/>
  <c r="HY15" i="42"/>
  <c r="HX15" i="42"/>
  <c r="HW15" i="42"/>
  <c r="HV15" i="42"/>
  <c r="HU15" i="42"/>
  <c r="HT15" i="42"/>
  <c r="HR15" i="42"/>
  <c r="HQ15" i="42"/>
  <c r="HP15" i="42"/>
  <c r="HO15" i="42"/>
  <c r="HN15" i="42"/>
  <c r="HM15" i="42"/>
  <c r="GQ15" i="42"/>
  <c r="GP15" i="42"/>
  <c r="GO15" i="42"/>
  <c r="GN15" i="42"/>
  <c r="GM15" i="42"/>
  <c r="GL15" i="42"/>
  <c r="GJ15" i="42"/>
  <c r="GI15" i="42"/>
  <c r="GH15" i="42"/>
  <c r="GG15" i="42"/>
  <c r="GF15" i="42"/>
  <c r="GE15" i="42"/>
  <c r="FI15" i="42"/>
  <c r="FH15" i="42"/>
  <c r="FG15" i="42"/>
  <c r="FF15" i="42"/>
  <c r="FE15" i="42"/>
  <c r="FD15" i="42"/>
  <c r="FB15" i="42"/>
  <c r="FA15" i="42"/>
  <c r="EZ15" i="42"/>
  <c r="EY15" i="42"/>
  <c r="EX15" i="42"/>
  <c r="EW15" i="42"/>
  <c r="EA15" i="42"/>
  <c r="DZ15" i="42"/>
  <c r="DY15" i="42"/>
  <c r="DX15" i="42"/>
  <c r="DW15" i="42"/>
  <c r="DV15" i="42"/>
  <c r="DT15" i="42"/>
  <c r="DS15" i="42"/>
  <c r="DR15" i="42"/>
  <c r="DQ15" i="42"/>
  <c r="DP15" i="42"/>
  <c r="DO15" i="42"/>
  <c r="CR15" i="42"/>
  <c r="CQ15" i="42"/>
  <c r="CP15" i="42"/>
  <c r="CN15" i="42"/>
  <c r="CM15" i="42"/>
  <c r="CL15" i="42"/>
  <c r="CK15" i="42"/>
  <c r="CO15" i="42" s="1"/>
  <c r="CJ15" i="42"/>
  <c r="CI15" i="42"/>
  <c r="BQ15" i="42"/>
  <c r="BP15" i="42"/>
  <c r="BO15" i="42"/>
  <c r="BM15" i="42"/>
  <c r="BL15" i="42"/>
  <c r="BK15" i="42"/>
  <c r="BJ15" i="42"/>
  <c r="BI15" i="42"/>
  <c r="BH15" i="42"/>
  <c r="AP15" i="42"/>
  <c r="AO15" i="42"/>
  <c r="AN15" i="42"/>
  <c r="AL15" i="42"/>
  <c r="AK15" i="42"/>
  <c r="AJ15" i="42"/>
  <c r="AI15" i="42"/>
  <c r="AH15" i="42"/>
  <c r="AG15" i="42"/>
  <c r="WI10" i="42"/>
  <c r="WH10" i="42"/>
  <c r="WG10" i="42"/>
  <c r="WF10" i="42"/>
  <c r="WE10" i="42"/>
  <c r="WD10" i="42"/>
  <c r="WB10" i="42"/>
  <c r="WA10" i="42"/>
  <c r="VZ10" i="42"/>
  <c r="VY10" i="42"/>
  <c r="VX10" i="42"/>
  <c r="VW10" i="42"/>
  <c r="VA10" i="42"/>
  <c r="UZ10" i="42"/>
  <c r="UY10" i="42"/>
  <c r="UX10" i="42"/>
  <c r="UW10" i="42"/>
  <c r="UV10" i="42"/>
  <c r="UT10" i="42"/>
  <c r="US10" i="42"/>
  <c r="UR10" i="42"/>
  <c r="UQ10" i="42"/>
  <c r="UP10" i="42"/>
  <c r="UO10" i="42"/>
  <c r="TS10" i="42"/>
  <c r="TR10" i="42"/>
  <c r="TQ10" i="42"/>
  <c r="TP10" i="42"/>
  <c r="TO10" i="42"/>
  <c r="TN10" i="42"/>
  <c r="TL10" i="42"/>
  <c r="TK10" i="42"/>
  <c r="TJ10" i="42"/>
  <c r="TI10" i="42"/>
  <c r="TH10" i="42"/>
  <c r="TG10" i="42"/>
  <c r="SK10" i="42"/>
  <c r="SJ10" i="42"/>
  <c r="SI10" i="42"/>
  <c r="SH10" i="42"/>
  <c r="SG10" i="42"/>
  <c r="SF10" i="42"/>
  <c r="SD10" i="42"/>
  <c r="SC10" i="42"/>
  <c r="SB10" i="42"/>
  <c r="SA10" i="42"/>
  <c r="RZ10" i="42"/>
  <c r="RY10" i="42"/>
  <c r="RC10" i="42"/>
  <c r="RB10" i="42"/>
  <c r="RA10" i="42"/>
  <c r="QZ10" i="42"/>
  <c r="QY10" i="42"/>
  <c r="QX10" i="42"/>
  <c r="QV10" i="42"/>
  <c r="QU10" i="42"/>
  <c r="QT10" i="42"/>
  <c r="QS10" i="42"/>
  <c r="QR10" i="42"/>
  <c r="QQ10" i="42"/>
  <c r="PU10" i="42"/>
  <c r="PT10" i="42"/>
  <c r="PS10" i="42"/>
  <c r="PR10" i="42"/>
  <c r="PQ10" i="42"/>
  <c r="PP10" i="42"/>
  <c r="PN10" i="42"/>
  <c r="PM10" i="42"/>
  <c r="PL10" i="42"/>
  <c r="PK10" i="42"/>
  <c r="PJ10" i="42"/>
  <c r="PI10" i="42"/>
  <c r="OM10" i="42"/>
  <c r="OL10" i="42"/>
  <c r="OK10" i="42"/>
  <c r="OJ10" i="42"/>
  <c r="OI10" i="42"/>
  <c r="OH10" i="42"/>
  <c r="OF10" i="42"/>
  <c r="OE10" i="42"/>
  <c r="OD10" i="42"/>
  <c r="OC10" i="42"/>
  <c r="OB10" i="42"/>
  <c r="OA10" i="42"/>
  <c r="NE10" i="42"/>
  <c r="ND10" i="42"/>
  <c r="NC10" i="42"/>
  <c r="NB10" i="42"/>
  <c r="NA10" i="42"/>
  <c r="MZ10" i="42"/>
  <c r="MX10" i="42"/>
  <c r="MW10" i="42"/>
  <c r="MV10" i="42"/>
  <c r="MU10" i="42"/>
  <c r="MT10" i="42"/>
  <c r="MS10" i="42"/>
  <c r="LW10" i="42"/>
  <c r="LV10" i="42"/>
  <c r="LU10" i="42"/>
  <c r="LT10" i="42"/>
  <c r="LS10" i="42"/>
  <c r="LR10" i="42"/>
  <c r="LP10" i="42"/>
  <c r="LO10" i="42"/>
  <c r="LN10" i="42"/>
  <c r="LM10" i="42"/>
  <c r="LL10" i="42"/>
  <c r="LK10" i="42"/>
  <c r="KO10" i="42"/>
  <c r="KN10" i="42"/>
  <c r="KM10" i="42"/>
  <c r="KL10" i="42"/>
  <c r="KK10" i="42"/>
  <c r="KJ10" i="42"/>
  <c r="KH10" i="42"/>
  <c r="KG10" i="42"/>
  <c r="KF10" i="42"/>
  <c r="KE10" i="42"/>
  <c r="KD10" i="42"/>
  <c r="KC10" i="42"/>
  <c r="JG10" i="42"/>
  <c r="JF10" i="42"/>
  <c r="JE10" i="42"/>
  <c r="JD10" i="42"/>
  <c r="JC10" i="42"/>
  <c r="JB10" i="42"/>
  <c r="IZ10" i="42"/>
  <c r="IY10" i="42"/>
  <c r="IX10" i="42"/>
  <c r="IW10" i="42"/>
  <c r="JA10" i="42" s="1"/>
  <c r="IV10" i="42"/>
  <c r="IU10" i="42"/>
  <c r="HY10" i="42"/>
  <c r="HX10" i="42"/>
  <c r="HW10" i="42"/>
  <c r="HV10" i="42"/>
  <c r="HU10" i="42"/>
  <c r="HT10" i="42"/>
  <c r="HR10" i="42"/>
  <c r="HQ10" i="42"/>
  <c r="HP10" i="42"/>
  <c r="HO10" i="42"/>
  <c r="HN10" i="42"/>
  <c r="HM10" i="42"/>
  <c r="GQ10" i="42"/>
  <c r="GP10" i="42"/>
  <c r="GO10" i="42"/>
  <c r="GN10" i="42"/>
  <c r="GM10" i="42"/>
  <c r="GL10" i="42"/>
  <c r="GJ10" i="42"/>
  <c r="GI10" i="42"/>
  <c r="GH10" i="42"/>
  <c r="GG10" i="42"/>
  <c r="GF10" i="42"/>
  <c r="GE10" i="42"/>
  <c r="FI10" i="42"/>
  <c r="FH10" i="42"/>
  <c r="FG10" i="42"/>
  <c r="FF10" i="42"/>
  <c r="FE10" i="42"/>
  <c r="FD10" i="42"/>
  <c r="FB10" i="42"/>
  <c r="FA10" i="42"/>
  <c r="EZ10" i="42"/>
  <c r="EY10" i="42"/>
  <c r="EX10" i="42"/>
  <c r="EW10" i="42"/>
  <c r="EA10" i="42"/>
  <c r="DZ10" i="42"/>
  <c r="DY10" i="42"/>
  <c r="DX10" i="42"/>
  <c r="DW10" i="42"/>
  <c r="DV10" i="42"/>
  <c r="DT10" i="42"/>
  <c r="DS10" i="42"/>
  <c r="DR10" i="42"/>
  <c r="DQ10" i="42"/>
  <c r="DP10" i="42"/>
  <c r="DO10" i="42"/>
  <c r="CR10" i="42"/>
  <c r="CQ10" i="42"/>
  <c r="CP10" i="42"/>
  <c r="CN10" i="42"/>
  <c r="CM10" i="42"/>
  <c r="CL10" i="42"/>
  <c r="CK10" i="42"/>
  <c r="CJ10" i="42"/>
  <c r="CI10" i="42"/>
  <c r="BQ10" i="42"/>
  <c r="BP10" i="42"/>
  <c r="BO10" i="42"/>
  <c r="BM10" i="42"/>
  <c r="BL10" i="42"/>
  <c r="BK10" i="42"/>
  <c r="BJ10" i="42"/>
  <c r="BI10" i="42"/>
  <c r="BH10" i="42"/>
  <c r="AP10" i="42"/>
  <c r="AO10" i="42"/>
  <c r="AN10" i="42"/>
  <c r="AL10" i="42"/>
  <c r="AK10" i="42"/>
  <c r="AJ10" i="42"/>
  <c r="AI10" i="42"/>
  <c r="AH10" i="42"/>
  <c r="AG10" i="42"/>
  <c r="WI8" i="42"/>
  <c r="WH8" i="42"/>
  <c r="WG8" i="42"/>
  <c r="WF8" i="42"/>
  <c r="WE8" i="42"/>
  <c r="WD8" i="42"/>
  <c r="WB8" i="42"/>
  <c r="WA8" i="42"/>
  <c r="VZ8" i="42"/>
  <c r="VY8" i="42"/>
  <c r="VX8" i="42"/>
  <c r="VW8" i="42"/>
  <c r="VA8" i="42"/>
  <c r="UZ8" i="42"/>
  <c r="UY8" i="42"/>
  <c r="UX8" i="42"/>
  <c r="UW8" i="42"/>
  <c r="UV8" i="42"/>
  <c r="UT8" i="42"/>
  <c r="US8" i="42"/>
  <c r="UR8" i="42"/>
  <c r="UQ8" i="42"/>
  <c r="UP8" i="42"/>
  <c r="UO8" i="42"/>
  <c r="TS8" i="42"/>
  <c r="TR8" i="42"/>
  <c r="TQ8" i="42"/>
  <c r="TP8" i="42"/>
  <c r="TO8" i="42"/>
  <c r="TN8" i="42"/>
  <c r="TL8" i="42"/>
  <c r="TK8" i="42"/>
  <c r="TJ8" i="42"/>
  <c r="TI8" i="42"/>
  <c r="TH8" i="42"/>
  <c r="TG8" i="42"/>
  <c r="SK8" i="42"/>
  <c r="SJ8" i="42"/>
  <c r="SI8" i="42"/>
  <c r="SH8" i="42"/>
  <c r="SG8" i="42"/>
  <c r="SF8" i="42"/>
  <c r="SD8" i="42"/>
  <c r="SC8" i="42"/>
  <c r="SB8" i="42"/>
  <c r="SA8" i="42"/>
  <c r="RZ8" i="42"/>
  <c r="RY8" i="42"/>
  <c r="RC8" i="42"/>
  <c r="RB8" i="42"/>
  <c r="RA8" i="42"/>
  <c r="QZ8" i="42"/>
  <c r="QY8" i="42"/>
  <c r="QX8" i="42"/>
  <c r="QV8" i="42"/>
  <c r="QU8" i="42"/>
  <c r="QT8" i="42"/>
  <c r="QS8" i="42"/>
  <c r="QR8" i="42"/>
  <c r="QQ8" i="42"/>
  <c r="PU8" i="42"/>
  <c r="PT8" i="42"/>
  <c r="PS8" i="42"/>
  <c r="PR8" i="42"/>
  <c r="PQ8" i="42"/>
  <c r="PP8" i="42"/>
  <c r="PN8" i="42"/>
  <c r="PM8" i="42"/>
  <c r="PL8" i="42"/>
  <c r="PK8" i="42"/>
  <c r="PJ8" i="42"/>
  <c r="PI8" i="42"/>
  <c r="OM8" i="42"/>
  <c r="OL8" i="42"/>
  <c r="OK8" i="42"/>
  <c r="OJ8" i="42"/>
  <c r="OI8" i="42"/>
  <c r="OH8" i="42"/>
  <c r="OF8" i="42"/>
  <c r="OE8" i="42"/>
  <c r="OD8" i="42"/>
  <c r="OC8" i="42"/>
  <c r="OB8" i="42"/>
  <c r="OA8" i="42"/>
  <c r="NE8" i="42"/>
  <c r="ND8" i="42"/>
  <c r="NC8" i="42"/>
  <c r="NB8" i="42"/>
  <c r="NA8" i="42"/>
  <c r="MZ8" i="42"/>
  <c r="MX8" i="42"/>
  <c r="MW8" i="42"/>
  <c r="MV8" i="42"/>
  <c r="MU8" i="42"/>
  <c r="MT8" i="42"/>
  <c r="MS8" i="42"/>
  <c r="LW8" i="42"/>
  <c r="LV8" i="42"/>
  <c r="LU8" i="42"/>
  <c r="LT8" i="42"/>
  <c r="LS8" i="42"/>
  <c r="LR8" i="42"/>
  <c r="LP8" i="42"/>
  <c r="LO8" i="42"/>
  <c r="LN8" i="42"/>
  <c r="LM8" i="42"/>
  <c r="LL8" i="42"/>
  <c r="LK8" i="42"/>
  <c r="KO8" i="42"/>
  <c r="KN8" i="42"/>
  <c r="KM8" i="42"/>
  <c r="KL8" i="42"/>
  <c r="KK8" i="42"/>
  <c r="KJ8" i="42"/>
  <c r="KH8" i="42"/>
  <c r="KG8" i="42"/>
  <c r="KF8" i="42"/>
  <c r="KE8" i="42"/>
  <c r="KD8" i="42"/>
  <c r="KC8" i="42"/>
  <c r="JG8" i="42"/>
  <c r="JF8" i="42"/>
  <c r="JE8" i="42"/>
  <c r="JD8" i="42"/>
  <c r="JC8" i="42"/>
  <c r="JB8" i="42"/>
  <c r="IZ8" i="42"/>
  <c r="IY8" i="42"/>
  <c r="IX8" i="42"/>
  <c r="IW8" i="42"/>
  <c r="IV8" i="42"/>
  <c r="IU8" i="42"/>
  <c r="HY8" i="42"/>
  <c r="HX8" i="42"/>
  <c r="HW8" i="42"/>
  <c r="HV8" i="42"/>
  <c r="HU8" i="42"/>
  <c r="HT8" i="42"/>
  <c r="HR8" i="42"/>
  <c r="HQ8" i="42"/>
  <c r="HP8" i="42"/>
  <c r="HO8" i="42"/>
  <c r="HN8" i="42"/>
  <c r="HM8" i="42"/>
  <c r="GQ8" i="42"/>
  <c r="GP8" i="42"/>
  <c r="GO8" i="42"/>
  <c r="GN8" i="42"/>
  <c r="GM8" i="42"/>
  <c r="GL8" i="42"/>
  <c r="GJ8" i="42"/>
  <c r="GI8" i="42"/>
  <c r="GH8" i="42"/>
  <c r="GG8" i="42"/>
  <c r="GF8" i="42"/>
  <c r="GE8" i="42"/>
  <c r="FI8" i="42"/>
  <c r="FH8" i="42"/>
  <c r="FG8" i="42"/>
  <c r="FF8" i="42"/>
  <c r="FE8" i="42"/>
  <c r="FD8" i="42"/>
  <c r="FB8" i="42"/>
  <c r="FA8" i="42"/>
  <c r="EZ8" i="42"/>
  <c r="EY8" i="42"/>
  <c r="EX8" i="42"/>
  <c r="EW8" i="42"/>
  <c r="EA8" i="42"/>
  <c r="DZ8" i="42"/>
  <c r="DY8" i="42"/>
  <c r="DX8" i="42"/>
  <c r="DW8" i="42"/>
  <c r="DV8" i="42"/>
  <c r="DT8" i="42"/>
  <c r="DS8" i="42"/>
  <c r="DR8" i="42"/>
  <c r="DQ8" i="42"/>
  <c r="DP8" i="42"/>
  <c r="DO8" i="42"/>
  <c r="CR8" i="42"/>
  <c r="CQ8" i="42"/>
  <c r="CP8" i="42"/>
  <c r="CN8" i="42"/>
  <c r="CM8" i="42"/>
  <c r="CL8" i="42"/>
  <c r="CK8" i="42"/>
  <c r="CJ8" i="42"/>
  <c r="CI8" i="42"/>
  <c r="BQ8" i="42"/>
  <c r="BP8" i="42"/>
  <c r="BO8" i="42"/>
  <c r="BM8" i="42"/>
  <c r="BL8" i="42"/>
  <c r="BK8" i="42"/>
  <c r="BJ8" i="42"/>
  <c r="BI8" i="42"/>
  <c r="BH8" i="42"/>
  <c r="AP8" i="42"/>
  <c r="AO8" i="42"/>
  <c r="AN8" i="42"/>
  <c r="AL8" i="42"/>
  <c r="AK8" i="42"/>
  <c r="AJ8" i="42"/>
  <c r="AI8" i="42"/>
  <c r="AH8" i="42"/>
  <c r="AG8" i="42"/>
  <c r="WI7" i="42"/>
  <c r="WH7" i="42"/>
  <c r="WG7" i="42"/>
  <c r="WF7" i="42"/>
  <c r="WE7" i="42"/>
  <c r="WD7" i="42"/>
  <c r="WB7" i="42"/>
  <c r="WA7" i="42"/>
  <c r="VZ7" i="42"/>
  <c r="VY7" i="42"/>
  <c r="WC7" i="42" s="1"/>
  <c r="VX7" i="42"/>
  <c r="VW7" i="42"/>
  <c r="VA7" i="42"/>
  <c r="UZ7" i="42"/>
  <c r="UY7" i="42"/>
  <c r="UX7" i="42"/>
  <c r="UW7" i="42"/>
  <c r="UV7" i="42"/>
  <c r="UT7" i="42"/>
  <c r="US7" i="42"/>
  <c r="UR7" i="42"/>
  <c r="UQ7" i="42"/>
  <c r="UP7" i="42"/>
  <c r="UO7" i="42"/>
  <c r="TS7" i="42"/>
  <c r="TR7" i="42"/>
  <c r="TQ7" i="42"/>
  <c r="TP7" i="42"/>
  <c r="TO7" i="42"/>
  <c r="TN7" i="42"/>
  <c r="TL7" i="42"/>
  <c r="TK7" i="42"/>
  <c r="TJ7" i="42"/>
  <c r="TI7" i="42"/>
  <c r="TH7" i="42"/>
  <c r="TG7" i="42"/>
  <c r="SK7" i="42"/>
  <c r="SJ7" i="42"/>
  <c r="SI7" i="42"/>
  <c r="SH7" i="42"/>
  <c r="SG7" i="42"/>
  <c r="SF7" i="42"/>
  <c r="SD7" i="42"/>
  <c r="SC7" i="42"/>
  <c r="SB7" i="42"/>
  <c r="SA7" i="42"/>
  <c r="RZ7" i="42"/>
  <c r="RY7" i="42"/>
  <c r="RC7" i="42"/>
  <c r="RB7" i="42"/>
  <c r="RA7" i="42"/>
  <c r="QZ7" i="42"/>
  <c r="QY7" i="42"/>
  <c r="QX7" i="42"/>
  <c r="QV7" i="42"/>
  <c r="QU7" i="42"/>
  <c r="QT7" i="42"/>
  <c r="QS7" i="42"/>
  <c r="QR7" i="42"/>
  <c r="QQ7" i="42"/>
  <c r="PU7" i="42"/>
  <c r="PT7" i="42"/>
  <c r="PS7" i="42"/>
  <c r="PR7" i="42"/>
  <c r="PQ7" i="42"/>
  <c r="PP7" i="42"/>
  <c r="PN7" i="42"/>
  <c r="PM7" i="42"/>
  <c r="PL7" i="42"/>
  <c r="PK7" i="42"/>
  <c r="PJ7" i="42"/>
  <c r="PI7" i="42"/>
  <c r="OM7" i="42"/>
  <c r="OL7" i="42"/>
  <c r="OK7" i="42"/>
  <c r="OJ7" i="42"/>
  <c r="OI7" i="42"/>
  <c r="OH7" i="42"/>
  <c r="OF7" i="42"/>
  <c r="OE7" i="42"/>
  <c r="OD7" i="42"/>
  <c r="OC7" i="42"/>
  <c r="OB7" i="42"/>
  <c r="OA7" i="42"/>
  <c r="NE7" i="42"/>
  <c r="ND7" i="42"/>
  <c r="NC7" i="42"/>
  <c r="NB7" i="42"/>
  <c r="NA7" i="42"/>
  <c r="MZ7" i="42"/>
  <c r="MX7" i="42"/>
  <c r="MW7" i="42"/>
  <c r="MV7" i="42"/>
  <c r="MU7" i="42"/>
  <c r="MT7" i="42"/>
  <c r="MS7" i="42"/>
  <c r="LW7" i="42"/>
  <c r="LV7" i="42"/>
  <c r="LU7" i="42"/>
  <c r="LT7" i="42"/>
  <c r="LS7" i="42"/>
  <c r="LR7" i="42"/>
  <c r="LP7" i="42"/>
  <c r="LO7" i="42"/>
  <c r="LN7" i="42"/>
  <c r="LM7" i="42"/>
  <c r="LL7" i="42"/>
  <c r="LK7" i="42"/>
  <c r="KO7" i="42"/>
  <c r="KN7" i="42"/>
  <c r="KM7" i="42"/>
  <c r="KL7" i="42"/>
  <c r="KK7" i="42"/>
  <c r="KJ7" i="42"/>
  <c r="KH7" i="42"/>
  <c r="KG7" i="42"/>
  <c r="KF7" i="42"/>
  <c r="KE7" i="42"/>
  <c r="KD7" i="42"/>
  <c r="KC7" i="42"/>
  <c r="JG7" i="42"/>
  <c r="JF7" i="42"/>
  <c r="JE7" i="42"/>
  <c r="JD7" i="42"/>
  <c r="JC7" i="42"/>
  <c r="JB7" i="42"/>
  <c r="IZ7" i="42"/>
  <c r="IY7" i="42"/>
  <c r="IX7" i="42"/>
  <c r="IW7" i="42"/>
  <c r="IV7" i="42"/>
  <c r="IU7" i="42"/>
  <c r="HY7" i="42"/>
  <c r="HX7" i="42"/>
  <c r="HW7" i="42"/>
  <c r="HV7" i="42"/>
  <c r="HU7" i="42"/>
  <c r="HT7" i="42"/>
  <c r="HR7" i="42"/>
  <c r="HQ7" i="42"/>
  <c r="HP7" i="42"/>
  <c r="HO7" i="42"/>
  <c r="HN7" i="42"/>
  <c r="HM7" i="42"/>
  <c r="GQ7" i="42"/>
  <c r="GP7" i="42"/>
  <c r="GO7" i="42"/>
  <c r="GN7" i="42"/>
  <c r="GM7" i="42"/>
  <c r="GL7" i="42"/>
  <c r="GJ7" i="42"/>
  <c r="GI7" i="42"/>
  <c r="GH7" i="42"/>
  <c r="GG7" i="42"/>
  <c r="GF7" i="42"/>
  <c r="GE7" i="42"/>
  <c r="FI7" i="42"/>
  <c r="FH7" i="42"/>
  <c r="FG7" i="42"/>
  <c r="FF7" i="42"/>
  <c r="FE7" i="42"/>
  <c r="FD7" i="42"/>
  <c r="FB7" i="42"/>
  <c r="FA7" i="42"/>
  <c r="EZ7" i="42"/>
  <c r="EY7" i="42"/>
  <c r="EX7" i="42"/>
  <c r="EW7" i="42"/>
  <c r="EA7" i="42"/>
  <c r="DZ7" i="42"/>
  <c r="DY7" i="42"/>
  <c r="DX7" i="42"/>
  <c r="DW7" i="42"/>
  <c r="DV7" i="42"/>
  <c r="DT7" i="42"/>
  <c r="DS7" i="42"/>
  <c r="DR7" i="42"/>
  <c r="DQ7" i="42"/>
  <c r="DP7" i="42"/>
  <c r="DO7" i="42"/>
  <c r="CR7" i="42"/>
  <c r="CQ7" i="42"/>
  <c r="CP7" i="42"/>
  <c r="CN7" i="42"/>
  <c r="CM7" i="42"/>
  <c r="CL7" i="42"/>
  <c r="CK7" i="42"/>
  <c r="CJ7" i="42"/>
  <c r="CI7" i="42"/>
  <c r="BQ7" i="42"/>
  <c r="BP7" i="42"/>
  <c r="BO7" i="42"/>
  <c r="BM7" i="42"/>
  <c r="BL7" i="42"/>
  <c r="BK7" i="42"/>
  <c r="BJ7" i="42"/>
  <c r="BI7" i="42"/>
  <c r="BH7" i="42"/>
  <c r="AP7" i="42"/>
  <c r="AO7" i="42"/>
  <c r="AN7" i="42"/>
  <c r="AL7" i="42"/>
  <c r="AK7" i="42"/>
  <c r="AJ7" i="42"/>
  <c r="AI7" i="42"/>
  <c r="AH7" i="42"/>
  <c r="AG7" i="42"/>
  <c r="WI6" i="42"/>
  <c r="WH6" i="42"/>
  <c r="WG6" i="42"/>
  <c r="WF6" i="42"/>
  <c r="WE6" i="42"/>
  <c r="WD6" i="42"/>
  <c r="WB6" i="42"/>
  <c r="WA6" i="42"/>
  <c r="VZ6" i="42"/>
  <c r="VY6" i="42"/>
  <c r="VX6" i="42"/>
  <c r="VW6" i="42"/>
  <c r="VA6" i="42"/>
  <c r="UZ6" i="42"/>
  <c r="UY6" i="42"/>
  <c r="UX6" i="42"/>
  <c r="UW6" i="42"/>
  <c r="UV6" i="42"/>
  <c r="UT6" i="42"/>
  <c r="US6" i="42"/>
  <c r="UR6" i="42"/>
  <c r="UQ6" i="42"/>
  <c r="UP6" i="42"/>
  <c r="UO6" i="42"/>
  <c r="TS6" i="42"/>
  <c r="TR6" i="42"/>
  <c r="TQ6" i="42"/>
  <c r="TP6" i="42"/>
  <c r="TO6" i="42"/>
  <c r="TN6" i="42"/>
  <c r="TL6" i="42"/>
  <c r="TK6" i="42"/>
  <c r="TJ6" i="42"/>
  <c r="TI6" i="42"/>
  <c r="TH6" i="42"/>
  <c r="TG6" i="42"/>
  <c r="SK6" i="42"/>
  <c r="SJ6" i="42"/>
  <c r="SI6" i="42"/>
  <c r="SH6" i="42"/>
  <c r="SG6" i="42"/>
  <c r="SF6" i="42"/>
  <c r="SD6" i="42"/>
  <c r="SC6" i="42"/>
  <c r="SB6" i="42"/>
  <c r="SA6" i="42"/>
  <c r="RZ6" i="42"/>
  <c r="RY6" i="42"/>
  <c r="RC6" i="42"/>
  <c r="RB6" i="42"/>
  <c r="RA6" i="42"/>
  <c r="QZ6" i="42"/>
  <c r="QY6" i="42"/>
  <c r="QX6" i="42"/>
  <c r="QV6" i="42"/>
  <c r="QU6" i="42"/>
  <c r="QT6" i="42"/>
  <c r="QS6" i="42"/>
  <c r="QR6" i="42"/>
  <c r="QQ6" i="42"/>
  <c r="PU6" i="42"/>
  <c r="PT6" i="42"/>
  <c r="PS6" i="42"/>
  <c r="PR6" i="42"/>
  <c r="PQ6" i="42"/>
  <c r="PP6" i="42"/>
  <c r="PN6" i="42"/>
  <c r="PM6" i="42"/>
  <c r="PL6" i="42"/>
  <c r="PK6" i="42"/>
  <c r="PJ6" i="42"/>
  <c r="PI6" i="42"/>
  <c r="OM6" i="42"/>
  <c r="OL6" i="42"/>
  <c r="OK6" i="42"/>
  <c r="OJ6" i="42"/>
  <c r="OI6" i="42"/>
  <c r="OH6" i="42"/>
  <c r="OF6" i="42"/>
  <c r="OE6" i="42"/>
  <c r="OD6" i="42"/>
  <c r="OC6" i="42"/>
  <c r="OB6" i="42"/>
  <c r="OA6" i="42"/>
  <c r="NE6" i="42"/>
  <c r="ND6" i="42"/>
  <c r="NC6" i="42"/>
  <c r="NB6" i="42"/>
  <c r="NA6" i="42"/>
  <c r="MZ6" i="42"/>
  <c r="MX6" i="42"/>
  <c r="MW6" i="42"/>
  <c r="MV6" i="42"/>
  <c r="MU6" i="42"/>
  <c r="MT6" i="42"/>
  <c r="MS6" i="42"/>
  <c r="LW6" i="42"/>
  <c r="LV6" i="42"/>
  <c r="LU6" i="42"/>
  <c r="LT6" i="42"/>
  <c r="LS6" i="42"/>
  <c r="LR6" i="42"/>
  <c r="LP6" i="42"/>
  <c r="LO6" i="42"/>
  <c r="LN6" i="42"/>
  <c r="LM6" i="42"/>
  <c r="LL6" i="42"/>
  <c r="LK6" i="42"/>
  <c r="KO6" i="42"/>
  <c r="KN6" i="42"/>
  <c r="KM6" i="42"/>
  <c r="KL6" i="42"/>
  <c r="KK6" i="42"/>
  <c r="KJ6" i="42"/>
  <c r="KH6" i="42"/>
  <c r="KG6" i="42"/>
  <c r="KF6" i="42"/>
  <c r="KE6" i="42"/>
  <c r="KD6" i="42"/>
  <c r="KC6" i="42"/>
  <c r="JG6" i="42"/>
  <c r="JF6" i="42"/>
  <c r="JE6" i="42"/>
  <c r="JD6" i="42"/>
  <c r="JC6" i="42"/>
  <c r="JB6" i="42"/>
  <c r="IZ6" i="42"/>
  <c r="IY6" i="42"/>
  <c r="IX6" i="42"/>
  <c r="IW6" i="42"/>
  <c r="IV6" i="42"/>
  <c r="IU6" i="42"/>
  <c r="HY6" i="42"/>
  <c r="HX6" i="42"/>
  <c r="HW6" i="42"/>
  <c r="HV6" i="42"/>
  <c r="HU6" i="42"/>
  <c r="HT6" i="42"/>
  <c r="HR6" i="42"/>
  <c r="HQ6" i="42"/>
  <c r="HP6" i="42"/>
  <c r="HO6" i="42"/>
  <c r="HN6" i="42"/>
  <c r="HM6" i="42"/>
  <c r="GQ6" i="42"/>
  <c r="GP6" i="42"/>
  <c r="GO6" i="42"/>
  <c r="GN6" i="42"/>
  <c r="GM6" i="42"/>
  <c r="GL6" i="42"/>
  <c r="GJ6" i="42"/>
  <c r="GI6" i="42"/>
  <c r="GH6" i="42"/>
  <c r="GG6" i="42"/>
  <c r="GF6" i="42"/>
  <c r="GE6" i="42"/>
  <c r="FI6" i="42"/>
  <c r="FH6" i="42"/>
  <c r="FG6" i="42"/>
  <c r="FF6" i="42"/>
  <c r="FE6" i="42"/>
  <c r="FD6" i="42"/>
  <c r="FB6" i="42"/>
  <c r="FA6" i="42"/>
  <c r="EZ6" i="42"/>
  <c r="EY6" i="42"/>
  <c r="EX6" i="42"/>
  <c r="EW6" i="42"/>
  <c r="EA6" i="42"/>
  <c r="DZ6" i="42"/>
  <c r="DY6" i="42"/>
  <c r="DX6" i="42"/>
  <c r="DW6" i="42"/>
  <c r="DV6" i="42"/>
  <c r="DT6" i="42"/>
  <c r="DS6" i="42"/>
  <c r="DR6" i="42"/>
  <c r="DQ6" i="42"/>
  <c r="DP6" i="42"/>
  <c r="DO6" i="42"/>
  <c r="CR6" i="42"/>
  <c r="CQ6" i="42"/>
  <c r="CP6" i="42"/>
  <c r="CN6" i="42"/>
  <c r="CM6" i="42"/>
  <c r="CL6" i="42"/>
  <c r="CK6" i="42"/>
  <c r="CJ6" i="42"/>
  <c r="CI6" i="42"/>
  <c r="BQ6" i="42"/>
  <c r="BP6" i="42"/>
  <c r="BO6" i="42"/>
  <c r="BM6" i="42"/>
  <c r="BL6" i="42"/>
  <c r="BK6" i="42"/>
  <c r="BJ6" i="42"/>
  <c r="BI6" i="42"/>
  <c r="BH6" i="42"/>
  <c r="AP6" i="42"/>
  <c r="AO6" i="42"/>
  <c r="AN6" i="42"/>
  <c r="AL6" i="42"/>
  <c r="AK6" i="42"/>
  <c r="AJ6" i="42"/>
  <c r="AI6" i="42"/>
  <c r="AH6" i="42"/>
  <c r="AG6" i="42"/>
  <c r="WI5" i="42"/>
  <c r="WH5" i="42"/>
  <c r="WG5" i="42"/>
  <c r="WF5" i="42"/>
  <c r="WE5" i="42"/>
  <c r="WD5" i="42"/>
  <c r="WB5" i="42"/>
  <c r="WA5" i="42"/>
  <c r="VZ5" i="42"/>
  <c r="VY5" i="42"/>
  <c r="VX5" i="42"/>
  <c r="VW5" i="42"/>
  <c r="VA5" i="42"/>
  <c r="UZ5" i="42"/>
  <c r="UY5" i="42"/>
  <c r="UX5" i="42"/>
  <c r="UW5" i="42"/>
  <c r="UV5" i="42"/>
  <c r="UT5" i="42"/>
  <c r="US5" i="42"/>
  <c r="UR5" i="42"/>
  <c r="UQ5" i="42"/>
  <c r="UP5" i="42"/>
  <c r="UO5" i="42"/>
  <c r="TS5" i="42"/>
  <c r="TR5" i="42"/>
  <c r="TQ5" i="42"/>
  <c r="TP5" i="42"/>
  <c r="TO5" i="42"/>
  <c r="TN5" i="42"/>
  <c r="TL5" i="42"/>
  <c r="TK5" i="42"/>
  <c r="TJ5" i="42"/>
  <c r="TI5" i="42"/>
  <c r="TH5" i="42"/>
  <c r="TG5" i="42"/>
  <c r="SK5" i="42"/>
  <c r="SJ5" i="42"/>
  <c r="SI5" i="42"/>
  <c r="SH5" i="42"/>
  <c r="SG5" i="42"/>
  <c r="SF5" i="42"/>
  <c r="SD5" i="42"/>
  <c r="SC5" i="42"/>
  <c r="SB5" i="42"/>
  <c r="SA5" i="42"/>
  <c r="RZ5" i="42"/>
  <c r="RY5" i="42"/>
  <c r="RC5" i="42"/>
  <c r="RB5" i="42"/>
  <c r="RA5" i="42"/>
  <c r="QZ5" i="42"/>
  <c r="QY5" i="42"/>
  <c r="QX5" i="42"/>
  <c r="QV5" i="42"/>
  <c r="QU5" i="42"/>
  <c r="QT5" i="42"/>
  <c r="QS5" i="42"/>
  <c r="QR5" i="42"/>
  <c r="QQ5" i="42"/>
  <c r="PU5" i="42"/>
  <c r="PT5" i="42"/>
  <c r="PS5" i="42"/>
  <c r="PR5" i="42"/>
  <c r="PQ5" i="42"/>
  <c r="PP5" i="42"/>
  <c r="PN5" i="42"/>
  <c r="PM5" i="42"/>
  <c r="PL5" i="42"/>
  <c r="PK5" i="42"/>
  <c r="PJ5" i="42"/>
  <c r="PI5" i="42"/>
  <c r="OM5" i="42"/>
  <c r="OL5" i="42"/>
  <c r="OK5" i="42"/>
  <c r="OJ5" i="42"/>
  <c r="OI5" i="42"/>
  <c r="OH5" i="42"/>
  <c r="OF5" i="42"/>
  <c r="OE5" i="42"/>
  <c r="OD5" i="42"/>
  <c r="OC5" i="42"/>
  <c r="OB5" i="42"/>
  <c r="OA5" i="42"/>
  <c r="NE5" i="42"/>
  <c r="ND5" i="42"/>
  <c r="NC5" i="42"/>
  <c r="NB5" i="42"/>
  <c r="NA5" i="42"/>
  <c r="MZ5" i="42"/>
  <c r="MX5" i="42"/>
  <c r="MW5" i="42"/>
  <c r="MV5" i="42"/>
  <c r="MU5" i="42"/>
  <c r="MT5" i="42"/>
  <c r="MS5" i="42"/>
  <c r="LW5" i="42"/>
  <c r="LV5" i="42"/>
  <c r="LU5" i="42"/>
  <c r="LT5" i="42"/>
  <c r="LS5" i="42"/>
  <c r="LR5" i="42"/>
  <c r="LP5" i="42"/>
  <c r="LO5" i="42"/>
  <c r="LN5" i="42"/>
  <c r="LM5" i="42"/>
  <c r="LL5" i="42"/>
  <c r="LK5" i="42"/>
  <c r="KO5" i="42"/>
  <c r="KN5" i="42"/>
  <c r="KM5" i="42"/>
  <c r="KL5" i="42"/>
  <c r="KK5" i="42"/>
  <c r="KJ5" i="42"/>
  <c r="KH5" i="42"/>
  <c r="KG5" i="42"/>
  <c r="KF5" i="42"/>
  <c r="KE5" i="42"/>
  <c r="KD5" i="42"/>
  <c r="KC5" i="42"/>
  <c r="JG5" i="42"/>
  <c r="JF5" i="42"/>
  <c r="JE5" i="42"/>
  <c r="JD5" i="42"/>
  <c r="JC5" i="42"/>
  <c r="JB5" i="42"/>
  <c r="IZ5" i="42"/>
  <c r="IY5" i="42"/>
  <c r="IX5" i="42"/>
  <c r="IW5" i="42"/>
  <c r="IV5" i="42"/>
  <c r="IU5" i="42"/>
  <c r="HY5" i="42"/>
  <c r="HX5" i="42"/>
  <c r="HW5" i="42"/>
  <c r="HV5" i="42"/>
  <c r="HU5" i="42"/>
  <c r="HT5" i="42"/>
  <c r="HR5" i="42"/>
  <c r="HQ5" i="42"/>
  <c r="HP5" i="42"/>
  <c r="HO5" i="42"/>
  <c r="HN5" i="42"/>
  <c r="HM5" i="42"/>
  <c r="GQ5" i="42"/>
  <c r="GP5" i="42"/>
  <c r="GO5" i="42"/>
  <c r="GN5" i="42"/>
  <c r="GM5" i="42"/>
  <c r="GL5" i="42"/>
  <c r="GJ5" i="42"/>
  <c r="GI5" i="42"/>
  <c r="GH5" i="42"/>
  <c r="GG5" i="42"/>
  <c r="GF5" i="42"/>
  <c r="GE5" i="42"/>
  <c r="FI5" i="42"/>
  <c r="FH5" i="42"/>
  <c r="FG5" i="42"/>
  <c r="FF5" i="42"/>
  <c r="FE5" i="42"/>
  <c r="FD5" i="42"/>
  <c r="FB5" i="42"/>
  <c r="FA5" i="42"/>
  <c r="EZ5" i="42"/>
  <c r="EY5" i="42"/>
  <c r="EX5" i="42"/>
  <c r="EW5" i="42"/>
  <c r="EA5" i="42"/>
  <c r="DZ5" i="42"/>
  <c r="DY5" i="42"/>
  <c r="DX5" i="42"/>
  <c r="DW5" i="42"/>
  <c r="DV5" i="42"/>
  <c r="DT5" i="42"/>
  <c r="DS5" i="42"/>
  <c r="DR5" i="42"/>
  <c r="DQ5" i="42"/>
  <c r="DP5" i="42"/>
  <c r="DO5" i="42"/>
  <c r="CR5" i="42"/>
  <c r="CQ5" i="42"/>
  <c r="CP5" i="42"/>
  <c r="CN5" i="42"/>
  <c r="CM5" i="42"/>
  <c r="CL5" i="42"/>
  <c r="CK5" i="42"/>
  <c r="CJ5" i="42"/>
  <c r="CI5" i="42"/>
  <c r="BQ5" i="42"/>
  <c r="BP5" i="42"/>
  <c r="BO5" i="42"/>
  <c r="BM5" i="42"/>
  <c r="BL5" i="42"/>
  <c r="BK5" i="42"/>
  <c r="BJ5" i="42"/>
  <c r="BI5" i="42"/>
  <c r="BH5" i="42"/>
  <c r="AP5" i="42"/>
  <c r="AO5" i="42"/>
  <c r="AN5" i="42"/>
  <c r="AL5" i="42"/>
  <c r="AK5" i="42"/>
  <c r="AJ5" i="42"/>
  <c r="AI5" i="42"/>
  <c r="AH5" i="42"/>
  <c r="AG5" i="42"/>
  <c r="WI4" i="42"/>
  <c r="WH4" i="42"/>
  <c r="WG4" i="42"/>
  <c r="WF4" i="42"/>
  <c r="WE4" i="42"/>
  <c r="WD4" i="42"/>
  <c r="WB4" i="42"/>
  <c r="WA4" i="42"/>
  <c r="VZ4" i="42"/>
  <c r="VY4" i="42"/>
  <c r="VX4" i="42"/>
  <c r="VW4" i="42"/>
  <c r="VA4" i="42"/>
  <c r="UZ4" i="42"/>
  <c r="UY4" i="42"/>
  <c r="UX4" i="42"/>
  <c r="UW4" i="42"/>
  <c r="UV4" i="42"/>
  <c r="UT4" i="42"/>
  <c r="US4" i="42"/>
  <c r="UR4" i="42"/>
  <c r="UQ4" i="42"/>
  <c r="UP4" i="42"/>
  <c r="UO4" i="42"/>
  <c r="TS4" i="42"/>
  <c r="TR4" i="42"/>
  <c r="TQ4" i="42"/>
  <c r="TP4" i="42"/>
  <c r="TO4" i="42"/>
  <c r="TN4" i="42"/>
  <c r="TL4" i="42"/>
  <c r="TK4" i="42"/>
  <c r="TJ4" i="42"/>
  <c r="TI4" i="42"/>
  <c r="TH4" i="42"/>
  <c r="TG4" i="42"/>
  <c r="SK4" i="42"/>
  <c r="SJ4" i="42"/>
  <c r="SI4" i="42"/>
  <c r="SH4" i="42"/>
  <c r="SG4" i="42"/>
  <c r="SF4" i="42"/>
  <c r="SD4" i="42"/>
  <c r="SC4" i="42"/>
  <c r="SB4" i="42"/>
  <c r="SA4" i="42"/>
  <c r="RZ4" i="42"/>
  <c r="RY4" i="42"/>
  <c r="RC4" i="42"/>
  <c r="RB4" i="42"/>
  <c r="RA4" i="42"/>
  <c r="QZ4" i="42"/>
  <c r="QY4" i="42"/>
  <c r="QX4" i="42"/>
  <c r="QV4" i="42"/>
  <c r="QU4" i="42"/>
  <c r="QT4" i="42"/>
  <c r="QS4" i="42"/>
  <c r="QR4" i="42"/>
  <c r="QQ4" i="42"/>
  <c r="PU4" i="42"/>
  <c r="PT4" i="42"/>
  <c r="PS4" i="42"/>
  <c r="PR4" i="42"/>
  <c r="PQ4" i="42"/>
  <c r="PP4" i="42"/>
  <c r="PN4" i="42"/>
  <c r="PM4" i="42"/>
  <c r="PL4" i="42"/>
  <c r="PK4" i="42"/>
  <c r="PO4" i="42" s="1"/>
  <c r="PJ4" i="42"/>
  <c r="PI4" i="42"/>
  <c r="OM4" i="42"/>
  <c r="OL4" i="42"/>
  <c r="OK4" i="42"/>
  <c r="OJ4" i="42"/>
  <c r="OI4" i="42"/>
  <c r="OH4" i="42"/>
  <c r="OF4" i="42"/>
  <c r="OE4" i="42"/>
  <c r="OD4" i="42"/>
  <c r="OC4" i="42"/>
  <c r="OB4" i="42"/>
  <c r="OA4" i="42"/>
  <c r="NE4" i="42"/>
  <c r="ND4" i="42"/>
  <c r="NC4" i="42"/>
  <c r="NB4" i="42"/>
  <c r="NA4" i="42"/>
  <c r="MZ4" i="42"/>
  <c r="MX4" i="42"/>
  <c r="MW4" i="42"/>
  <c r="MV4" i="42"/>
  <c r="MU4" i="42"/>
  <c r="MT4" i="42"/>
  <c r="MS4" i="42"/>
  <c r="LW4" i="42"/>
  <c r="LV4" i="42"/>
  <c r="LU4" i="42"/>
  <c r="LT4" i="42"/>
  <c r="LS4" i="42"/>
  <c r="LR4" i="42"/>
  <c r="LP4" i="42"/>
  <c r="LO4" i="42"/>
  <c r="LN4" i="42"/>
  <c r="LM4" i="42"/>
  <c r="LL4" i="42"/>
  <c r="LK4" i="42"/>
  <c r="KO4" i="42"/>
  <c r="KN4" i="42"/>
  <c r="KM4" i="42"/>
  <c r="KL4" i="42"/>
  <c r="KK4" i="42"/>
  <c r="KJ4" i="42"/>
  <c r="KH4" i="42"/>
  <c r="KG4" i="42"/>
  <c r="KF4" i="42"/>
  <c r="KE4" i="42"/>
  <c r="KD4" i="42"/>
  <c r="KC4" i="42"/>
  <c r="JG4" i="42"/>
  <c r="JF4" i="42"/>
  <c r="JE4" i="42"/>
  <c r="JD4" i="42"/>
  <c r="JC4" i="42"/>
  <c r="JB4" i="42"/>
  <c r="IZ4" i="42"/>
  <c r="IY4" i="42"/>
  <c r="IX4" i="42"/>
  <c r="IW4" i="42"/>
  <c r="IV4" i="42"/>
  <c r="IU4" i="42"/>
  <c r="HY4" i="42"/>
  <c r="HX4" i="42"/>
  <c r="HW4" i="42"/>
  <c r="HV4" i="42"/>
  <c r="HU4" i="42"/>
  <c r="HT4" i="42"/>
  <c r="HR4" i="42"/>
  <c r="HQ4" i="42"/>
  <c r="HP4" i="42"/>
  <c r="HO4" i="42"/>
  <c r="HN4" i="42"/>
  <c r="HM4" i="42"/>
  <c r="GQ4" i="42"/>
  <c r="GP4" i="42"/>
  <c r="GO4" i="42"/>
  <c r="GN4" i="42"/>
  <c r="GM4" i="42"/>
  <c r="GL4" i="42"/>
  <c r="GJ4" i="42"/>
  <c r="GI4" i="42"/>
  <c r="GH4" i="42"/>
  <c r="GG4" i="42"/>
  <c r="GK4" i="42" s="1"/>
  <c r="GF4" i="42"/>
  <c r="GE4" i="42"/>
  <c r="FI4" i="42"/>
  <c r="FH4" i="42"/>
  <c r="FG4" i="42"/>
  <c r="FF4" i="42"/>
  <c r="FE4" i="42"/>
  <c r="FD4" i="42"/>
  <c r="FB4" i="42"/>
  <c r="FA4" i="42"/>
  <c r="EZ4" i="42"/>
  <c r="EY4" i="42"/>
  <c r="EX4" i="42"/>
  <c r="EW4" i="42"/>
  <c r="EA4" i="42"/>
  <c r="DZ4" i="42"/>
  <c r="DY4" i="42"/>
  <c r="DX4" i="42"/>
  <c r="DW4" i="42"/>
  <c r="DV4" i="42"/>
  <c r="DT4" i="42"/>
  <c r="DS4" i="42"/>
  <c r="DR4" i="42"/>
  <c r="DQ4" i="42"/>
  <c r="DP4" i="42"/>
  <c r="DO4" i="42"/>
  <c r="CR4" i="42"/>
  <c r="CQ4" i="42"/>
  <c r="CP4" i="42"/>
  <c r="CN4" i="42"/>
  <c r="CM4" i="42"/>
  <c r="CL4" i="42"/>
  <c r="CK4" i="42"/>
  <c r="CJ4" i="42"/>
  <c r="CI4" i="42"/>
  <c r="BQ4" i="42"/>
  <c r="BP4" i="42"/>
  <c r="BO4" i="42"/>
  <c r="BM4" i="42"/>
  <c r="BL4" i="42"/>
  <c r="BK4" i="42"/>
  <c r="BJ4" i="42"/>
  <c r="BI4" i="42"/>
  <c r="BH4" i="42"/>
  <c r="AP4" i="42"/>
  <c r="AO4" i="42"/>
  <c r="AN4" i="42"/>
  <c r="AL4" i="42"/>
  <c r="AK4" i="42"/>
  <c r="AJ4" i="42"/>
  <c r="AI4" i="42"/>
  <c r="AH4" i="42"/>
  <c r="AG4" i="42"/>
  <c r="WI11" i="41"/>
  <c r="WH11" i="41"/>
  <c r="WG11" i="41"/>
  <c r="WF11" i="41"/>
  <c r="WE11" i="41"/>
  <c r="WD11" i="41"/>
  <c r="WB11" i="41"/>
  <c r="WA11" i="41"/>
  <c r="VZ11" i="41"/>
  <c r="VY11" i="41"/>
  <c r="WC11" i="41" s="1"/>
  <c r="VX11" i="41"/>
  <c r="VW11" i="41"/>
  <c r="VA11" i="41"/>
  <c r="UZ11" i="41"/>
  <c r="UY11" i="41"/>
  <c r="UX11" i="41"/>
  <c r="UW11" i="41"/>
  <c r="UV11" i="41"/>
  <c r="UT11" i="41"/>
  <c r="US11" i="41"/>
  <c r="UR11" i="41"/>
  <c r="UQ11" i="41"/>
  <c r="UP11" i="41"/>
  <c r="UO11" i="41"/>
  <c r="TS11" i="41"/>
  <c r="TR11" i="41"/>
  <c r="TQ11" i="41"/>
  <c r="TP11" i="41"/>
  <c r="TO11" i="41"/>
  <c r="TN11" i="41"/>
  <c r="TL11" i="41"/>
  <c r="TK11" i="41"/>
  <c r="TJ11" i="41"/>
  <c r="TI11" i="41"/>
  <c r="TH11" i="41"/>
  <c r="TG11" i="41"/>
  <c r="SK11" i="41"/>
  <c r="SJ11" i="41"/>
  <c r="SI11" i="41"/>
  <c r="SH11" i="41"/>
  <c r="SG11" i="41"/>
  <c r="SF11" i="41"/>
  <c r="SD11" i="41"/>
  <c r="SC11" i="41"/>
  <c r="SB11" i="41"/>
  <c r="SA11" i="41"/>
  <c r="SE11" i="41" s="1"/>
  <c r="RZ11" i="41"/>
  <c r="RY11" i="41"/>
  <c r="RC11" i="41"/>
  <c r="RB11" i="41"/>
  <c r="RA11" i="41"/>
  <c r="QZ11" i="41"/>
  <c r="QY11" i="41"/>
  <c r="QX11" i="41"/>
  <c r="QV11" i="41"/>
  <c r="QU11" i="41"/>
  <c r="QT11" i="41"/>
  <c r="QS11" i="41"/>
  <c r="QR11" i="41"/>
  <c r="QQ11" i="41"/>
  <c r="PU11" i="41"/>
  <c r="PT11" i="41"/>
  <c r="PS11" i="41"/>
  <c r="PR11" i="41"/>
  <c r="PQ11" i="41"/>
  <c r="PP11" i="41"/>
  <c r="PN11" i="41"/>
  <c r="PM11" i="41"/>
  <c r="PL11" i="41"/>
  <c r="PK11" i="41"/>
  <c r="PJ11" i="41"/>
  <c r="PI11" i="41"/>
  <c r="OM11" i="41"/>
  <c r="OL11" i="41"/>
  <c r="OK11" i="41"/>
  <c r="OJ11" i="41"/>
  <c r="OI11" i="41"/>
  <c r="OH11" i="41"/>
  <c r="OF11" i="41"/>
  <c r="OE11" i="41"/>
  <c r="OD11" i="41"/>
  <c r="OC11" i="41"/>
  <c r="OG11" i="41" s="1"/>
  <c r="OB11" i="41"/>
  <c r="OA11" i="41"/>
  <c r="NE11" i="41"/>
  <c r="ND11" i="41"/>
  <c r="NC11" i="41"/>
  <c r="NB11" i="41"/>
  <c r="NA11" i="41"/>
  <c r="MZ11" i="41"/>
  <c r="MX11" i="41"/>
  <c r="MW11" i="41"/>
  <c r="MV11" i="41"/>
  <c r="MU11" i="41"/>
  <c r="MY11" i="41" s="1"/>
  <c r="MT11" i="41"/>
  <c r="MS11" i="41"/>
  <c r="LW11" i="41"/>
  <c r="LV11" i="41"/>
  <c r="LU11" i="41"/>
  <c r="LT11" i="41"/>
  <c r="LS11" i="41"/>
  <c r="LR11" i="41"/>
  <c r="LP11" i="41"/>
  <c r="LO11" i="41"/>
  <c r="LN11" i="41"/>
  <c r="LM11" i="41"/>
  <c r="LL11" i="41"/>
  <c r="LK11" i="41"/>
  <c r="KO11" i="41"/>
  <c r="KN11" i="41"/>
  <c r="KM11" i="41"/>
  <c r="KL11" i="41"/>
  <c r="KK11" i="41"/>
  <c r="KJ11" i="41"/>
  <c r="KH11" i="41"/>
  <c r="KG11" i="41"/>
  <c r="KF11" i="41"/>
  <c r="KE11" i="41"/>
  <c r="KD11" i="41"/>
  <c r="KC11" i="41"/>
  <c r="JG11" i="41"/>
  <c r="JF11" i="41"/>
  <c r="JE11" i="41"/>
  <c r="JD11" i="41"/>
  <c r="JC11" i="41"/>
  <c r="JB11" i="41"/>
  <c r="IZ11" i="41"/>
  <c r="IY11" i="41"/>
  <c r="IX11" i="41"/>
  <c r="IW11" i="41"/>
  <c r="JA11" i="41" s="1"/>
  <c r="IV11" i="41"/>
  <c r="IU11" i="41"/>
  <c r="HY11" i="41"/>
  <c r="HX11" i="41"/>
  <c r="HW11" i="41"/>
  <c r="HV11" i="41"/>
  <c r="HU11" i="41"/>
  <c r="HT11" i="41"/>
  <c r="HR11" i="41"/>
  <c r="HQ11" i="41"/>
  <c r="HP11" i="41"/>
  <c r="HO11" i="41"/>
  <c r="HN11" i="41"/>
  <c r="HM11" i="41"/>
  <c r="GQ11" i="41"/>
  <c r="GP11" i="41"/>
  <c r="GO11" i="41"/>
  <c r="GN11" i="41"/>
  <c r="GM11" i="41"/>
  <c r="GL11" i="41"/>
  <c r="GJ11" i="41"/>
  <c r="GI11" i="41"/>
  <c r="GH11" i="41"/>
  <c r="GG11" i="41"/>
  <c r="GF11" i="41"/>
  <c r="GE11" i="41"/>
  <c r="FI11" i="41"/>
  <c r="FH11" i="41"/>
  <c r="FG11" i="41"/>
  <c r="FF11" i="41"/>
  <c r="FE11" i="41"/>
  <c r="FD11" i="41"/>
  <c r="FB11" i="41"/>
  <c r="FA11" i="41"/>
  <c r="EZ11" i="41"/>
  <c r="EY11" i="41"/>
  <c r="FC11" i="41" s="1"/>
  <c r="EX11" i="41"/>
  <c r="EW11" i="41"/>
  <c r="EA11" i="41"/>
  <c r="DZ11" i="41"/>
  <c r="DY11" i="41"/>
  <c r="DX11" i="41"/>
  <c r="DW11" i="41"/>
  <c r="DV11" i="41"/>
  <c r="DT11" i="41"/>
  <c r="DS11" i="41"/>
  <c r="DR11" i="41"/>
  <c r="DQ11" i="41"/>
  <c r="DU11" i="41" s="1"/>
  <c r="DP11" i="41"/>
  <c r="DO11" i="41"/>
  <c r="CR11" i="41"/>
  <c r="CQ11" i="41"/>
  <c r="CP11" i="41"/>
  <c r="CN11" i="41"/>
  <c r="CM11" i="41"/>
  <c r="CL11" i="41"/>
  <c r="CK11" i="41"/>
  <c r="CO11" i="41" s="1"/>
  <c r="CJ11" i="41"/>
  <c r="CI11" i="41"/>
  <c r="BQ11" i="41"/>
  <c r="BP11" i="41"/>
  <c r="BO11" i="41"/>
  <c r="BM11" i="41"/>
  <c r="BL11" i="41"/>
  <c r="BK11" i="41"/>
  <c r="BJ11" i="41"/>
  <c r="BN11" i="41" s="1"/>
  <c r="BR11" i="41" s="1"/>
  <c r="BI11" i="41"/>
  <c r="BH11" i="41"/>
  <c r="AP11" i="41"/>
  <c r="AO11" i="41"/>
  <c r="AN11" i="41"/>
  <c r="AL11" i="41"/>
  <c r="AK11" i="41"/>
  <c r="AJ11" i="41"/>
  <c r="AI11" i="41"/>
  <c r="AH11" i="41"/>
  <c r="AG11" i="41"/>
  <c r="WI10" i="41"/>
  <c r="WH10" i="41"/>
  <c r="WG10" i="41"/>
  <c r="WF10" i="41"/>
  <c r="WE10" i="41"/>
  <c r="WD10" i="41"/>
  <c r="WB10" i="41"/>
  <c r="WA10" i="41"/>
  <c r="VZ10" i="41"/>
  <c r="VY10" i="41"/>
  <c r="VX10" i="41"/>
  <c r="VW10" i="41"/>
  <c r="VA10" i="41"/>
  <c r="UZ10" i="41"/>
  <c r="UY10" i="41"/>
  <c r="UX10" i="41"/>
  <c r="UW10" i="41"/>
  <c r="UV10" i="41"/>
  <c r="UT10" i="41"/>
  <c r="US10" i="41"/>
  <c r="UR10" i="41"/>
  <c r="UQ10" i="41"/>
  <c r="UP10" i="41"/>
  <c r="UO10" i="41"/>
  <c r="TS10" i="41"/>
  <c r="TR10" i="41"/>
  <c r="TQ10" i="41"/>
  <c r="TP10" i="41"/>
  <c r="TO10" i="41"/>
  <c r="TN10" i="41"/>
  <c r="TL10" i="41"/>
  <c r="TK10" i="41"/>
  <c r="TJ10" i="41"/>
  <c r="TI10" i="41"/>
  <c r="TH10" i="41"/>
  <c r="TG10" i="41"/>
  <c r="SK10" i="41"/>
  <c r="SJ10" i="41"/>
  <c r="SI10" i="41"/>
  <c r="SH10" i="41"/>
  <c r="SG10" i="41"/>
  <c r="SF10" i="41"/>
  <c r="SD10" i="41"/>
  <c r="SC10" i="41"/>
  <c r="SB10" i="41"/>
  <c r="SA10" i="41"/>
  <c r="RZ10" i="41"/>
  <c r="RY10" i="41"/>
  <c r="RC10" i="41"/>
  <c r="RB10" i="41"/>
  <c r="RA10" i="41"/>
  <c r="QZ10" i="41"/>
  <c r="QY10" i="41"/>
  <c r="QX10" i="41"/>
  <c r="QV10" i="41"/>
  <c r="QU10" i="41"/>
  <c r="QT10" i="41"/>
  <c r="QS10" i="41"/>
  <c r="QW10" i="41" s="1"/>
  <c r="RD10" i="41" s="1"/>
  <c r="QR10" i="41"/>
  <c r="QQ10" i="41"/>
  <c r="PU10" i="41"/>
  <c r="PT10" i="41"/>
  <c r="PS10" i="41"/>
  <c r="PR10" i="41"/>
  <c r="PQ10" i="41"/>
  <c r="PP10" i="41"/>
  <c r="PN10" i="41"/>
  <c r="PM10" i="41"/>
  <c r="PL10" i="41"/>
  <c r="PK10" i="41"/>
  <c r="PO10" i="41" s="1"/>
  <c r="PJ10" i="41"/>
  <c r="PI10" i="41"/>
  <c r="OM10" i="41"/>
  <c r="OL10" i="41"/>
  <c r="OK10" i="41"/>
  <c r="OJ10" i="41"/>
  <c r="OI10" i="41"/>
  <c r="OH10" i="41"/>
  <c r="OF10" i="41"/>
  <c r="OE10" i="41"/>
  <c r="OD10" i="41"/>
  <c r="OC10" i="41"/>
  <c r="OB10" i="41"/>
  <c r="OA10" i="41"/>
  <c r="NE10" i="41"/>
  <c r="ND10" i="41"/>
  <c r="NC10" i="41"/>
  <c r="NB10" i="41"/>
  <c r="NA10" i="41"/>
  <c r="MZ10" i="41"/>
  <c r="MX10" i="41"/>
  <c r="MW10" i="41"/>
  <c r="MV10" i="41"/>
  <c r="MU10" i="41"/>
  <c r="MT10" i="41"/>
  <c r="MS10" i="41"/>
  <c r="LW10" i="41"/>
  <c r="LV10" i="41"/>
  <c r="LU10" i="41"/>
  <c r="LT10" i="41"/>
  <c r="LS10" i="41"/>
  <c r="LR10" i="41"/>
  <c r="LP10" i="41"/>
  <c r="LO10" i="41"/>
  <c r="LN10" i="41"/>
  <c r="LM10" i="41"/>
  <c r="LL10" i="41"/>
  <c r="LK10" i="41"/>
  <c r="KO10" i="41"/>
  <c r="KN10" i="41"/>
  <c r="KM10" i="41"/>
  <c r="KL10" i="41"/>
  <c r="KK10" i="41"/>
  <c r="KJ10" i="41"/>
  <c r="KH10" i="41"/>
  <c r="KG10" i="41"/>
  <c r="KF10" i="41"/>
  <c r="KE10" i="41"/>
  <c r="KD10" i="41"/>
  <c r="KC10" i="41"/>
  <c r="JG10" i="41"/>
  <c r="JF10" i="41"/>
  <c r="JE10" i="41"/>
  <c r="JD10" i="41"/>
  <c r="JC10" i="41"/>
  <c r="JB10" i="41"/>
  <c r="IZ10" i="41"/>
  <c r="IY10" i="41"/>
  <c r="IX10" i="41"/>
  <c r="IW10" i="41"/>
  <c r="IV10" i="41"/>
  <c r="IU10" i="41"/>
  <c r="HY10" i="41"/>
  <c r="HX10" i="41"/>
  <c r="HW10" i="41"/>
  <c r="HV10" i="41"/>
  <c r="HU10" i="41"/>
  <c r="HT10" i="41"/>
  <c r="HR10" i="41"/>
  <c r="HQ10" i="41"/>
  <c r="HP10" i="41"/>
  <c r="HO10" i="41"/>
  <c r="HS10" i="41" s="1"/>
  <c r="HN10" i="41"/>
  <c r="HM10" i="41"/>
  <c r="GQ10" i="41"/>
  <c r="GP10" i="41"/>
  <c r="GO10" i="41"/>
  <c r="GN10" i="41"/>
  <c r="GM10" i="41"/>
  <c r="GL10" i="41"/>
  <c r="GJ10" i="41"/>
  <c r="GI10" i="41"/>
  <c r="GH10" i="41"/>
  <c r="GG10" i="41"/>
  <c r="GK10" i="41" s="1"/>
  <c r="GF10" i="41"/>
  <c r="GE10" i="41"/>
  <c r="FI10" i="41"/>
  <c r="FH10" i="41"/>
  <c r="FG10" i="41"/>
  <c r="FF10" i="41"/>
  <c r="FE10" i="41"/>
  <c r="FD10" i="41"/>
  <c r="FB10" i="41"/>
  <c r="FA10" i="41"/>
  <c r="EZ10" i="41"/>
  <c r="EY10" i="41"/>
  <c r="EX10" i="41"/>
  <c r="EW10" i="41"/>
  <c r="EA10" i="41"/>
  <c r="DZ10" i="41"/>
  <c r="DY10" i="41"/>
  <c r="DX10" i="41"/>
  <c r="DW10" i="41"/>
  <c r="DV10" i="41"/>
  <c r="DT10" i="41"/>
  <c r="DS10" i="41"/>
  <c r="DR10" i="41"/>
  <c r="DQ10" i="41"/>
  <c r="DP10" i="41"/>
  <c r="DO10" i="41"/>
  <c r="CR10" i="41"/>
  <c r="CQ10" i="41"/>
  <c r="CP10" i="41"/>
  <c r="CN10" i="41"/>
  <c r="CM10" i="41"/>
  <c r="CL10" i="41"/>
  <c r="CK10" i="41"/>
  <c r="CO10" i="41" s="1"/>
  <c r="CJ10" i="41"/>
  <c r="CI10" i="41"/>
  <c r="BQ10" i="41"/>
  <c r="BP10" i="41"/>
  <c r="BO10" i="41"/>
  <c r="BM10" i="41"/>
  <c r="BL10" i="41"/>
  <c r="BK10" i="41"/>
  <c r="BJ10" i="41"/>
  <c r="BN10" i="41" s="1"/>
  <c r="BI10" i="41"/>
  <c r="BH10" i="41"/>
  <c r="AP10" i="41"/>
  <c r="AO10" i="41"/>
  <c r="AN10" i="41"/>
  <c r="AL10" i="41"/>
  <c r="AK10" i="41"/>
  <c r="AJ10" i="41"/>
  <c r="AI10" i="41"/>
  <c r="AM10" i="41" s="1"/>
  <c r="AH10" i="41"/>
  <c r="AG10" i="41"/>
  <c r="WI9" i="41"/>
  <c r="WH9" i="41"/>
  <c r="WG9" i="41"/>
  <c r="WF9" i="41"/>
  <c r="WE9" i="41"/>
  <c r="WD9" i="41"/>
  <c r="WB9" i="41"/>
  <c r="WA9" i="41"/>
  <c r="VZ9" i="41"/>
  <c r="VY9" i="41"/>
  <c r="VX9" i="41"/>
  <c r="VW9" i="41"/>
  <c r="VA9" i="41"/>
  <c r="UZ9" i="41"/>
  <c r="UY9" i="41"/>
  <c r="UX9" i="41"/>
  <c r="UW9" i="41"/>
  <c r="UV9" i="41"/>
  <c r="UT9" i="41"/>
  <c r="US9" i="41"/>
  <c r="UR9" i="41"/>
  <c r="UQ9" i="41"/>
  <c r="UP9" i="41"/>
  <c r="UO9" i="41"/>
  <c r="TS9" i="41"/>
  <c r="TR9" i="41"/>
  <c r="TQ9" i="41"/>
  <c r="TP9" i="41"/>
  <c r="TO9" i="41"/>
  <c r="TN9" i="41"/>
  <c r="TL9" i="41"/>
  <c r="TM9" i="41" s="1"/>
  <c r="TK9" i="41"/>
  <c r="TJ9" i="41"/>
  <c r="TI9" i="41"/>
  <c r="TH9" i="41"/>
  <c r="TG9" i="41"/>
  <c r="SK9" i="41"/>
  <c r="SJ9" i="41"/>
  <c r="SI9" i="41"/>
  <c r="SH9" i="41"/>
  <c r="SG9" i="41"/>
  <c r="SF9" i="41"/>
  <c r="SD9" i="41"/>
  <c r="SC9" i="41"/>
  <c r="SB9" i="41"/>
  <c r="SA9" i="41"/>
  <c r="RZ9" i="41"/>
  <c r="RY9" i="41"/>
  <c r="RC9" i="41"/>
  <c r="RB9" i="41"/>
  <c r="RA9" i="41"/>
  <c r="QZ9" i="41"/>
  <c r="QY9" i="41"/>
  <c r="QX9" i="41"/>
  <c r="QV9" i="41"/>
  <c r="QU9" i="41"/>
  <c r="QT9" i="41"/>
  <c r="QS9" i="41"/>
  <c r="QR9" i="41"/>
  <c r="QQ9" i="41"/>
  <c r="PU9" i="41"/>
  <c r="PT9" i="41"/>
  <c r="PS9" i="41"/>
  <c r="PR9" i="41"/>
  <c r="PQ9" i="41"/>
  <c r="PP9" i="41"/>
  <c r="PN9" i="41"/>
  <c r="PM9" i="41"/>
  <c r="PL9" i="41"/>
  <c r="PK9" i="41"/>
  <c r="PJ9" i="41"/>
  <c r="PI9" i="41"/>
  <c r="OM9" i="41"/>
  <c r="OL9" i="41"/>
  <c r="OK9" i="41"/>
  <c r="OJ9" i="41"/>
  <c r="OI9" i="41"/>
  <c r="OH9" i="41"/>
  <c r="OF9" i="41"/>
  <c r="OE9" i="41"/>
  <c r="OD9" i="41"/>
  <c r="OC9" i="41"/>
  <c r="OB9" i="41"/>
  <c r="OA9" i="41"/>
  <c r="NE9" i="41"/>
  <c r="ND9" i="41"/>
  <c r="NC9" i="41"/>
  <c r="NB9" i="41"/>
  <c r="NA9" i="41"/>
  <c r="MZ9" i="41"/>
  <c r="MX9" i="41"/>
  <c r="MW9" i="41"/>
  <c r="MV9" i="41"/>
  <c r="MU9" i="41"/>
  <c r="MT9" i="41"/>
  <c r="MS9" i="41"/>
  <c r="LW9" i="41"/>
  <c r="LV9" i="41"/>
  <c r="LU9" i="41"/>
  <c r="LT9" i="41"/>
  <c r="LS9" i="41"/>
  <c r="LR9" i="41"/>
  <c r="LP9" i="41"/>
  <c r="LO9" i="41"/>
  <c r="LN9" i="41"/>
  <c r="LM9" i="41"/>
  <c r="LL9" i="41"/>
  <c r="LK9" i="41"/>
  <c r="KO9" i="41"/>
  <c r="KN9" i="41"/>
  <c r="KM9" i="41"/>
  <c r="KL9" i="41"/>
  <c r="KK9" i="41"/>
  <c r="KJ9" i="41"/>
  <c r="KH9" i="41"/>
  <c r="KG9" i="41"/>
  <c r="KF9" i="41"/>
  <c r="KE9" i="41"/>
  <c r="KD9" i="41"/>
  <c r="KC9" i="41"/>
  <c r="JG9" i="41"/>
  <c r="JF9" i="41"/>
  <c r="JE9" i="41"/>
  <c r="JD9" i="41"/>
  <c r="JC9" i="41"/>
  <c r="JB9" i="41"/>
  <c r="IZ9" i="41"/>
  <c r="IY9" i="41"/>
  <c r="IX9" i="41"/>
  <c r="IW9" i="41"/>
  <c r="IV9" i="41"/>
  <c r="IU9" i="41"/>
  <c r="HY9" i="41"/>
  <c r="HX9" i="41"/>
  <c r="HW9" i="41"/>
  <c r="HV9" i="41"/>
  <c r="HU9" i="41"/>
  <c r="HT9" i="41"/>
  <c r="HR9" i="41"/>
  <c r="HQ9" i="41"/>
  <c r="HP9" i="41"/>
  <c r="HO9" i="41"/>
  <c r="HN9" i="41"/>
  <c r="HM9" i="41"/>
  <c r="GQ9" i="41"/>
  <c r="GP9" i="41"/>
  <c r="GO9" i="41"/>
  <c r="GN9" i="41"/>
  <c r="GM9" i="41"/>
  <c r="GL9" i="41"/>
  <c r="GJ9" i="41"/>
  <c r="GI9" i="41"/>
  <c r="GH9" i="41"/>
  <c r="GG9" i="41"/>
  <c r="GF9" i="41"/>
  <c r="GE9" i="41"/>
  <c r="FI9" i="41"/>
  <c r="FH9" i="41"/>
  <c r="FG9" i="41"/>
  <c r="FF9" i="41"/>
  <c r="FE9" i="41"/>
  <c r="FD9" i="41"/>
  <c r="FB9" i="41"/>
  <c r="FA9" i="41"/>
  <c r="EZ9" i="41"/>
  <c r="EY9" i="41"/>
  <c r="EX9" i="41"/>
  <c r="EW9" i="41"/>
  <c r="EA9" i="41"/>
  <c r="DZ9" i="41"/>
  <c r="DY9" i="41"/>
  <c r="DX9" i="41"/>
  <c r="DW9" i="41"/>
  <c r="DV9" i="41"/>
  <c r="DT9" i="41"/>
  <c r="DS9" i="41"/>
  <c r="DR9" i="41"/>
  <c r="DQ9" i="41"/>
  <c r="DP9" i="41"/>
  <c r="DO9" i="41"/>
  <c r="CR9" i="41"/>
  <c r="CQ9" i="41"/>
  <c r="CP9" i="41"/>
  <c r="CN9" i="41"/>
  <c r="CM9" i="41"/>
  <c r="CL9" i="41"/>
  <c r="CK9" i="41"/>
  <c r="CO9" i="41" s="1"/>
  <c r="CS9" i="41" s="1"/>
  <c r="CJ9" i="41"/>
  <c r="CI9" i="41"/>
  <c r="BQ9" i="41"/>
  <c r="BP9" i="41"/>
  <c r="BO9" i="41"/>
  <c r="BM9" i="41"/>
  <c r="BL9" i="41"/>
  <c r="BK9" i="41"/>
  <c r="BJ9" i="41"/>
  <c r="BI9" i="41"/>
  <c r="BH9" i="41"/>
  <c r="AP9" i="41"/>
  <c r="AO9" i="41"/>
  <c r="AN9" i="41"/>
  <c r="AL9" i="41"/>
  <c r="AK9" i="41"/>
  <c r="AJ9" i="41"/>
  <c r="AI9" i="41"/>
  <c r="AH9" i="41"/>
  <c r="AG9" i="41"/>
  <c r="WI8" i="41"/>
  <c r="WH8" i="41"/>
  <c r="WG8" i="41"/>
  <c r="WF8" i="41"/>
  <c r="WE8" i="41"/>
  <c r="WD8" i="41"/>
  <c r="WB8" i="41"/>
  <c r="WA8" i="41"/>
  <c r="VZ8" i="41"/>
  <c r="VY8" i="41"/>
  <c r="VX8" i="41"/>
  <c r="VW8" i="41"/>
  <c r="VA8" i="41"/>
  <c r="UZ8" i="41"/>
  <c r="UY8" i="41"/>
  <c r="UX8" i="41"/>
  <c r="UW8" i="41"/>
  <c r="UV8" i="41"/>
  <c r="UT8" i="41"/>
  <c r="US8" i="41"/>
  <c r="UR8" i="41"/>
  <c r="UQ8" i="41"/>
  <c r="UU8" i="41" s="1"/>
  <c r="UP8" i="41"/>
  <c r="UO8" i="41"/>
  <c r="TS8" i="41"/>
  <c r="TR8" i="41"/>
  <c r="TQ8" i="41"/>
  <c r="TP8" i="41"/>
  <c r="TO8" i="41"/>
  <c r="TN8" i="41"/>
  <c r="TL8" i="41"/>
  <c r="TK8" i="41"/>
  <c r="TJ8" i="41"/>
  <c r="TI8" i="41"/>
  <c r="TH8" i="41"/>
  <c r="TG8" i="41"/>
  <c r="SK8" i="41"/>
  <c r="SJ8" i="41"/>
  <c r="SI8" i="41"/>
  <c r="SH8" i="41"/>
  <c r="SG8" i="41"/>
  <c r="SF8" i="41"/>
  <c r="SD8" i="41"/>
  <c r="SC8" i="41"/>
  <c r="SB8" i="41"/>
  <c r="SA8" i="41"/>
  <c r="RZ8" i="41"/>
  <c r="RY8" i="41"/>
  <c r="RC8" i="41"/>
  <c r="RB8" i="41"/>
  <c r="RA8" i="41"/>
  <c r="QZ8" i="41"/>
  <c r="QY8" i="41"/>
  <c r="QX8" i="41"/>
  <c r="QV8" i="41"/>
  <c r="QU8" i="41"/>
  <c r="QT8" i="41"/>
  <c r="QS8" i="41"/>
  <c r="QR8" i="41"/>
  <c r="QQ8" i="41"/>
  <c r="PU8" i="41"/>
  <c r="PT8" i="41"/>
  <c r="PS8" i="41"/>
  <c r="PR8" i="41"/>
  <c r="PQ8" i="41"/>
  <c r="PP8" i="41"/>
  <c r="PN8" i="41"/>
  <c r="PM8" i="41"/>
  <c r="PL8" i="41"/>
  <c r="PK8" i="41"/>
  <c r="PJ8" i="41"/>
  <c r="PI8" i="41"/>
  <c r="OM8" i="41"/>
  <c r="OL8" i="41"/>
  <c r="OK8" i="41"/>
  <c r="OJ8" i="41"/>
  <c r="OI8" i="41"/>
  <c r="OH8" i="41"/>
  <c r="OF8" i="41"/>
  <c r="OE8" i="41"/>
  <c r="OD8" i="41"/>
  <c r="OC8" i="41"/>
  <c r="OB8" i="41"/>
  <c r="OA8" i="41"/>
  <c r="NE8" i="41"/>
  <c r="ND8" i="41"/>
  <c r="NC8" i="41"/>
  <c r="NB8" i="41"/>
  <c r="NA8" i="41"/>
  <c r="MZ8" i="41"/>
  <c r="MX8" i="41"/>
  <c r="MW8" i="41"/>
  <c r="MV8" i="41"/>
  <c r="MU8" i="41"/>
  <c r="MT8" i="41"/>
  <c r="MS8" i="41"/>
  <c r="LW8" i="41"/>
  <c r="LV8" i="41"/>
  <c r="LU8" i="41"/>
  <c r="LT8" i="41"/>
  <c r="LS8" i="41"/>
  <c r="LR8" i="41"/>
  <c r="LP8" i="41"/>
  <c r="LO8" i="41"/>
  <c r="LN8" i="41"/>
  <c r="LM8" i="41"/>
  <c r="LQ8" i="41" s="1"/>
  <c r="LL8" i="41"/>
  <c r="LK8" i="41"/>
  <c r="KO8" i="41"/>
  <c r="KN8" i="41"/>
  <c r="KM8" i="41"/>
  <c r="KL8" i="41"/>
  <c r="KK8" i="41"/>
  <c r="KJ8" i="41"/>
  <c r="KH8" i="41"/>
  <c r="KG8" i="41"/>
  <c r="KF8" i="41"/>
  <c r="KE8" i="41"/>
  <c r="KD8" i="41"/>
  <c r="KC8" i="41"/>
  <c r="JG8" i="41"/>
  <c r="JF8" i="41"/>
  <c r="JE8" i="41"/>
  <c r="JD8" i="41"/>
  <c r="JC8" i="41"/>
  <c r="JB8" i="41"/>
  <c r="IZ8" i="41"/>
  <c r="IY8" i="41"/>
  <c r="IX8" i="41"/>
  <c r="IW8" i="41"/>
  <c r="IV8" i="41"/>
  <c r="IU8" i="41"/>
  <c r="HY8" i="41"/>
  <c r="HX8" i="41"/>
  <c r="HW8" i="41"/>
  <c r="HV8" i="41"/>
  <c r="HU8" i="41"/>
  <c r="HT8" i="41"/>
  <c r="HR8" i="41"/>
  <c r="HQ8" i="41"/>
  <c r="HP8" i="41"/>
  <c r="HO8" i="41"/>
  <c r="HN8" i="41"/>
  <c r="HM8" i="41"/>
  <c r="GQ8" i="41"/>
  <c r="GP8" i="41"/>
  <c r="GO8" i="41"/>
  <c r="GN8" i="41"/>
  <c r="GM8" i="41"/>
  <c r="GL8" i="41"/>
  <c r="GJ8" i="41"/>
  <c r="GI8" i="41"/>
  <c r="GH8" i="41"/>
  <c r="GG8" i="41"/>
  <c r="GF8" i="41"/>
  <c r="GE8" i="41"/>
  <c r="FI8" i="41"/>
  <c r="FH8" i="41"/>
  <c r="FG8" i="41"/>
  <c r="FF8" i="41"/>
  <c r="FE8" i="41"/>
  <c r="FD8" i="41"/>
  <c r="FB8" i="41"/>
  <c r="FA8" i="41"/>
  <c r="EZ8" i="41"/>
  <c r="EY8" i="41"/>
  <c r="EX8" i="41"/>
  <c r="EW8" i="41"/>
  <c r="EA8" i="41"/>
  <c r="DZ8" i="41"/>
  <c r="DY8" i="41"/>
  <c r="DX8" i="41"/>
  <c r="DW8" i="41"/>
  <c r="DV8" i="41"/>
  <c r="DT8" i="41"/>
  <c r="DS8" i="41"/>
  <c r="DR8" i="41"/>
  <c r="DQ8" i="41"/>
  <c r="DP8" i="41"/>
  <c r="DO8" i="41"/>
  <c r="CR8" i="41"/>
  <c r="CQ8" i="41"/>
  <c r="CP8" i="41"/>
  <c r="CN8" i="41"/>
  <c r="CM8" i="41"/>
  <c r="CL8" i="41"/>
  <c r="CK8" i="41"/>
  <c r="CO8" i="41" s="1"/>
  <c r="CJ8" i="41"/>
  <c r="CI8" i="41"/>
  <c r="BQ8" i="41"/>
  <c r="BP8" i="41"/>
  <c r="BO8" i="41"/>
  <c r="BM8" i="41"/>
  <c r="BL8" i="41"/>
  <c r="BK8" i="41"/>
  <c r="BJ8" i="41"/>
  <c r="BI8" i="41"/>
  <c r="BH8" i="41"/>
  <c r="AP8" i="41"/>
  <c r="AO8" i="41"/>
  <c r="AN8" i="41"/>
  <c r="AL8" i="41"/>
  <c r="AK8" i="41"/>
  <c r="AJ8" i="41"/>
  <c r="AI8" i="41"/>
  <c r="AH8" i="41"/>
  <c r="AG8" i="41"/>
  <c r="WI7" i="41"/>
  <c r="WH7" i="41"/>
  <c r="WG7" i="41"/>
  <c r="WF7" i="41"/>
  <c r="WE7" i="41"/>
  <c r="WD7" i="41"/>
  <c r="WB7" i="41"/>
  <c r="WA7" i="41"/>
  <c r="VZ7" i="41"/>
  <c r="VY7" i="41"/>
  <c r="VX7" i="41"/>
  <c r="VW7" i="41"/>
  <c r="VA7" i="41"/>
  <c r="UZ7" i="41"/>
  <c r="UY7" i="41"/>
  <c r="UX7" i="41"/>
  <c r="UW7" i="41"/>
  <c r="UV7" i="41"/>
  <c r="UT7" i="41"/>
  <c r="US7" i="41"/>
  <c r="UR7" i="41"/>
  <c r="UQ7" i="41"/>
  <c r="UU7" i="41" s="1"/>
  <c r="UP7" i="41"/>
  <c r="UO7" i="41"/>
  <c r="TS7" i="41"/>
  <c r="TR7" i="41"/>
  <c r="TQ7" i="41"/>
  <c r="TP7" i="41"/>
  <c r="TO7" i="41"/>
  <c r="TN7" i="41"/>
  <c r="TL7" i="41"/>
  <c r="TK7" i="41"/>
  <c r="TJ7" i="41"/>
  <c r="TI7" i="41"/>
  <c r="TH7" i="41"/>
  <c r="TG7" i="41"/>
  <c r="SK7" i="41"/>
  <c r="SJ7" i="41"/>
  <c r="SI7" i="41"/>
  <c r="SH7" i="41"/>
  <c r="SG7" i="41"/>
  <c r="SF7" i="41"/>
  <c r="SD7" i="41"/>
  <c r="SC7" i="41"/>
  <c r="SB7" i="41"/>
  <c r="SA7" i="41"/>
  <c r="RZ7" i="41"/>
  <c r="RY7" i="41"/>
  <c r="RC7" i="41"/>
  <c r="RB7" i="41"/>
  <c r="RA7" i="41"/>
  <c r="QZ7" i="41"/>
  <c r="QY7" i="41"/>
  <c r="QX7" i="41"/>
  <c r="QV7" i="41"/>
  <c r="QU7" i="41"/>
  <c r="QT7" i="41"/>
  <c r="QS7" i="41"/>
  <c r="QR7" i="41"/>
  <c r="QQ7" i="41"/>
  <c r="PU7" i="41"/>
  <c r="PT7" i="41"/>
  <c r="PS7" i="41"/>
  <c r="PR7" i="41"/>
  <c r="PQ7" i="41"/>
  <c r="PP7" i="41"/>
  <c r="PN7" i="41"/>
  <c r="PM7" i="41"/>
  <c r="PL7" i="41"/>
  <c r="PK7" i="41"/>
  <c r="PJ7" i="41"/>
  <c r="PI7" i="41"/>
  <c r="OM7" i="41"/>
  <c r="OL7" i="41"/>
  <c r="OK7" i="41"/>
  <c r="OJ7" i="41"/>
  <c r="OI7" i="41"/>
  <c r="OH7" i="41"/>
  <c r="OF7" i="41"/>
  <c r="OE7" i="41"/>
  <c r="OD7" i="41"/>
  <c r="OC7" i="41"/>
  <c r="OB7" i="41"/>
  <c r="OA7" i="41"/>
  <c r="NE7" i="41"/>
  <c r="ND7" i="41"/>
  <c r="NC7" i="41"/>
  <c r="NB7" i="41"/>
  <c r="NA7" i="41"/>
  <c r="MZ7" i="41"/>
  <c r="MX7" i="41"/>
  <c r="MW7" i="41"/>
  <c r="MV7" i="41"/>
  <c r="MU7" i="41"/>
  <c r="MY7" i="41" s="1"/>
  <c r="MT7" i="41"/>
  <c r="MS7" i="41"/>
  <c r="LW7" i="41"/>
  <c r="LV7" i="41"/>
  <c r="LU7" i="41"/>
  <c r="LT7" i="41"/>
  <c r="LS7" i="41"/>
  <c r="LR7" i="41"/>
  <c r="LP7" i="41"/>
  <c r="LO7" i="41"/>
  <c r="LN7" i="41"/>
  <c r="LM7" i="41"/>
  <c r="LQ7" i="41" s="1"/>
  <c r="LL7" i="41"/>
  <c r="LK7" i="41"/>
  <c r="KO7" i="41"/>
  <c r="KN7" i="41"/>
  <c r="KM7" i="41"/>
  <c r="KL7" i="41"/>
  <c r="KK7" i="41"/>
  <c r="KJ7" i="41"/>
  <c r="KH7" i="41"/>
  <c r="KG7" i="41"/>
  <c r="KF7" i="41"/>
  <c r="KE7" i="41"/>
  <c r="KD7" i="41"/>
  <c r="KC7" i="41"/>
  <c r="JG7" i="41"/>
  <c r="JF7" i="41"/>
  <c r="JE7" i="41"/>
  <c r="JD7" i="41"/>
  <c r="JC7" i="41"/>
  <c r="JB7" i="41"/>
  <c r="IZ7" i="41"/>
  <c r="IY7" i="41"/>
  <c r="IX7" i="41"/>
  <c r="IW7" i="41"/>
  <c r="IV7" i="41"/>
  <c r="IU7" i="41"/>
  <c r="HY7" i="41"/>
  <c r="HX7" i="41"/>
  <c r="HW7" i="41"/>
  <c r="HV7" i="41"/>
  <c r="HU7" i="41"/>
  <c r="HT7" i="41"/>
  <c r="HR7" i="41"/>
  <c r="HQ7" i="41"/>
  <c r="HP7" i="41"/>
  <c r="HO7" i="41"/>
  <c r="HS7" i="41" s="1"/>
  <c r="HN7" i="41"/>
  <c r="HM7" i="41"/>
  <c r="GQ7" i="41"/>
  <c r="GP7" i="41"/>
  <c r="GO7" i="41"/>
  <c r="GN7" i="41"/>
  <c r="GM7" i="41"/>
  <c r="GL7" i="41"/>
  <c r="GJ7" i="41"/>
  <c r="GI7" i="41"/>
  <c r="GH7" i="41"/>
  <c r="GG7" i="41"/>
  <c r="GF7" i="41"/>
  <c r="GE7" i="41"/>
  <c r="FI7" i="41"/>
  <c r="FH7" i="41"/>
  <c r="FG7" i="41"/>
  <c r="FF7" i="41"/>
  <c r="FE7" i="41"/>
  <c r="FD7" i="41"/>
  <c r="FB7" i="41"/>
  <c r="FA7" i="41"/>
  <c r="EZ7" i="41"/>
  <c r="EY7" i="41"/>
  <c r="EX7" i="41"/>
  <c r="EW7" i="41"/>
  <c r="EA7" i="41"/>
  <c r="DZ7" i="41"/>
  <c r="DY7" i="41"/>
  <c r="DX7" i="41"/>
  <c r="DW7" i="41"/>
  <c r="DV7" i="41"/>
  <c r="DT7" i="41"/>
  <c r="DS7" i="41"/>
  <c r="DR7" i="41"/>
  <c r="DQ7" i="41"/>
  <c r="DP7" i="41"/>
  <c r="DO7" i="41"/>
  <c r="CR7" i="41"/>
  <c r="CQ7" i="41"/>
  <c r="CP7" i="41"/>
  <c r="CN7" i="41"/>
  <c r="CM7" i="41"/>
  <c r="CL7" i="41"/>
  <c r="CK7" i="41"/>
  <c r="CO7" i="41" s="1"/>
  <c r="CJ7" i="41"/>
  <c r="CI7" i="41"/>
  <c r="BQ7" i="41"/>
  <c r="BP7" i="41"/>
  <c r="BO7" i="41"/>
  <c r="BM7" i="41"/>
  <c r="BL7" i="41"/>
  <c r="BK7" i="41"/>
  <c r="BJ7" i="41"/>
  <c r="BN7" i="41" s="1"/>
  <c r="BI7" i="41"/>
  <c r="BH7" i="41"/>
  <c r="AP7" i="41"/>
  <c r="AO7" i="41"/>
  <c r="AN7" i="41"/>
  <c r="AL7" i="41"/>
  <c r="AK7" i="41"/>
  <c r="AJ7" i="41"/>
  <c r="AI7" i="41"/>
  <c r="AH7" i="41"/>
  <c r="AG7" i="41"/>
  <c r="WI6" i="41"/>
  <c r="WH6" i="41"/>
  <c r="WG6" i="41"/>
  <c r="WF6" i="41"/>
  <c r="WE6" i="41"/>
  <c r="WD6" i="41"/>
  <c r="WB6" i="41"/>
  <c r="WA6" i="41"/>
  <c r="VZ6" i="41"/>
  <c r="VY6" i="41"/>
  <c r="VX6" i="41"/>
  <c r="VW6" i="41"/>
  <c r="VA6" i="41"/>
  <c r="UZ6" i="41"/>
  <c r="UY6" i="41"/>
  <c r="UX6" i="41"/>
  <c r="UW6" i="41"/>
  <c r="UV6" i="41"/>
  <c r="UT6" i="41"/>
  <c r="US6" i="41"/>
  <c r="UR6" i="41"/>
  <c r="UQ6" i="41"/>
  <c r="UP6" i="41"/>
  <c r="UO6" i="41"/>
  <c r="TS6" i="41"/>
  <c r="TR6" i="41"/>
  <c r="TQ6" i="41"/>
  <c r="TP6" i="41"/>
  <c r="TO6" i="41"/>
  <c r="TN6" i="41"/>
  <c r="TL6" i="41"/>
  <c r="TK6" i="41"/>
  <c r="TJ6" i="41"/>
  <c r="TI6" i="41"/>
  <c r="TH6" i="41"/>
  <c r="TG6" i="41"/>
  <c r="SK6" i="41"/>
  <c r="SJ6" i="41"/>
  <c r="SI6" i="41"/>
  <c r="SH6" i="41"/>
  <c r="SG6" i="41"/>
  <c r="SF6" i="41"/>
  <c r="SD6" i="41"/>
  <c r="SC6" i="41"/>
  <c r="SB6" i="41"/>
  <c r="SA6" i="41"/>
  <c r="RZ6" i="41"/>
  <c r="RY6" i="41"/>
  <c r="RC6" i="41"/>
  <c r="RB6" i="41"/>
  <c r="RA6" i="41"/>
  <c r="QZ6" i="41"/>
  <c r="QY6" i="41"/>
  <c r="QX6" i="41"/>
  <c r="QV6" i="41"/>
  <c r="QU6" i="41"/>
  <c r="QT6" i="41"/>
  <c r="QS6" i="41"/>
  <c r="QR6" i="41"/>
  <c r="QQ6" i="41"/>
  <c r="PU6" i="41"/>
  <c r="PT6" i="41"/>
  <c r="PS6" i="41"/>
  <c r="PR6" i="41"/>
  <c r="PQ6" i="41"/>
  <c r="PP6" i="41"/>
  <c r="PN6" i="41"/>
  <c r="PM6" i="41"/>
  <c r="PL6" i="41"/>
  <c r="PK6" i="41"/>
  <c r="PJ6" i="41"/>
  <c r="PI6" i="41"/>
  <c r="OM6" i="41"/>
  <c r="OL6" i="41"/>
  <c r="OK6" i="41"/>
  <c r="OJ6" i="41"/>
  <c r="OI6" i="41"/>
  <c r="OH6" i="41"/>
  <c r="OF6" i="41"/>
  <c r="OE6" i="41"/>
  <c r="OD6" i="41"/>
  <c r="OC6" i="41"/>
  <c r="OB6" i="41"/>
  <c r="OA6" i="41"/>
  <c r="NE6" i="41"/>
  <c r="ND6" i="41"/>
  <c r="NC6" i="41"/>
  <c r="NB6" i="41"/>
  <c r="NA6" i="41"/>
  <c r="MZ6" i="41"/>
  <c r="MX6" i="41"/>
  <c r="MW6" i="41"/>
  <c r="MV6" i="41"/>
  <c r="MU6" i="41"/>
  <c r="MT6" i="41"/>
  <c r="MS6" i="41"/>
  <c r="LW6" i="41"/>
  <c r="LV6" i="41"/>
  <c r="LU6" i="41"/>
  <c r="LT6" i="41"/>
  <c r="LS6" i="41"/>
  <c r="LR6" i="41"/>
  <c r="LP6" i="41"/>
  <c r="LO6" i="41"/>
  <c r="LN6" i="41"/>
  <c r="LM6" i="41"/>
  <c r="LL6" i="41"/>
  <c r="LK6" i="41"/>
  <c r="KO6" i="41"/>
  <c r="KN6" i="41"/>
  <c r="KM6" i="41"/>
  <c r="KL6" i="41"/>
  <c r="KK6" i="41"/>
  <c r="KJ6" i="41"/>
  <c r="KH6" i="41"/>
  <c r="KG6" i="41"/>
  <c r="KF6" i="41"/>
  <c r="KE6" i="41"/>
  <c r="KD6" i="41"/>
  <c r="KC6" i="41"/>
  <c r="JG6" i="41"/>
  <c r="JF6" i="41"/>
  <c r="JE6" i="41"/>
  <c r="JD6" i="41"/>
  <c r="JC6" i="41"/>
  <c r="JB6" i="41"/>
  <c r="IZ6" i="41"/>
  <c r="IY6" i="41"/>
  <c r="IX6" i="41"/>
  <c r="IW6" i="41"/>
  <c r="IV6" i="41"/>
  <c r="IU6" i="41"/>
  <c r="HY6" i="41"/>
  <c r="HX6" i="41"/>
  <c r="HW6" i="41"/>
  <c r="HV6" i="41"/>
  <c r="HU6" i="41"/>
  <c r="HT6" i="41"/>
  <c r="HR6" i="41"/>
  <c r="HQ6" i="41"/>
  <c r="HP6" i="41"/>
  <c r="HO6" i="41"/>
  <c r="HN6" i="41"/>
  <c r="HM6" i="41"/>
  <c r="GQ6" i="41"/>
  <c r="GP6" i="41"/>
  <c r="GO6" i="41"/>
  <c r="GN6" i="41"/>
  <c r="GM6" i="41"/>
  <c r="GL6" i="41"/>
  <c r="GJ6" i="41"/>
  <c r="GI6" i="41"/>
  <c r="GH6" i="41"/>
  <c r="GG6" i="41"/>
  <c r="GF6" i="41"/>
  <c r="GE6" i="41"/>
  <c r="FI6" i="41"/>
  <c r="FH6" i="41"/>
  <c r="FG6" i="41"/>
  <c r="FF6" i="41"/>
  <c r="FE6" i="41"/>
  <c r="FD6" i="41"/>
  <c r="FB6" i="41"/>
  <c r="FA6" i="41"/>
  <c r="EZ6" i="41"/>
  <c r="EY6" i="41"/>
  <c r="EX6" i="41"/>
  <c r="EW6" i="41"/>
  <c r="EA6" i="41"/>
  <c r="DZ6" i="41"/>
  <c r="DY6" i="41"/>
  <c r="DX6" i="41"/>
  <c r="DW6" i="41"/>
  <c r="DV6" i="41"/>
  <c r="DT6" i="41"/>
  <c r="DS6" i="41"/>
  <c r="DR6" i="41"/>
  <c r="DQ6" i="41"/>
  <c r="DU6" i="41" s="1"/>
  <c r="DP6" i="41"/>
  <c r="DO6" i="41"/>
  <c r="CR6" i="41"/>
  <c r="CQ6" i="41"/>
  <c r="CP6" i="41"/>
  <c r="CN6" i="41"/>
  <c r="CM6" i="41"/>
  <c r="CL6" i="41"/>
  <c r="CK6" i="41"/>
  <c r="CO6" i="41" s="1"/>
  <c r="CJ6" i="41"/>
  <c r="CI6" i="41"/>
  <c r="BQ6" i="41"/>
  <c r="BP6" i="41"/>
  <c r="BO6" i="41"/>
  <c r="BM6" i="41"/>
  <c r="BL6" i="41"/>
  <c r="BK6" i="41"/>
  <c r="BJ6" i="41"/>
  <c r="BN6" i="41" s="1"/>
  <c r="BR6" i="41" s="1"/>
  <c r="BI6" i="41"/>
  <c r="BH6" i="41"/>
  <c r="AP6" i="41"/>
  <c r="AO6" i="41"/>
  <c r="AN6" i="41"/>
  <c r="AL6" i="41"/>
  <c r="AK6" i="41"/>
  <c r="AJ6" i="41"/>
  <c r="AI6" i="41"/>
  <c r="AH6" i="41"/>
  <c r="AG6" i="41"/>
  <c r="WI5" i="41"/>
  <c r="WH5" i="41"/>
  <c r="WG5" i="41"/>
  <c r="WF5" i="41"/>
  <c r="WE5" i="41"/>
  <c r="WD5" i="41"/>
  <c r="WB5" i="41"/>
  <c r="WA5" i="41"/>
  <c r="VZ5" i="41"/>
  <c r="VY5" i="41"/>
  <c r="VX5" i="41"/>
  <c r="VW5" i="41"/>
  <c r="VA5" i="41"/>
  <c r="UZ5" i="41"/>
  <c r="UY5" i="41"/>
  <c r="UX5" i="41"/>
  <c r="UW5" i="41"/>
  <c r="UV5" i="41"/>
  <c r="UT5" i="41"/>
  <c r="US5" i="41"/>
  <c r="UR5" i="41"/>
  <c r="UQ5" i="41"/>
  <c r="UP5" i="41"/>
  <c r="UO5" i="41"/>
  <c r="TS5" i="41"/>
  <c r="TR5" i="41"/>
  <c r="TQ5" i="41"/>
  <c r="TP5" i="41"/>
  <c r="TO5" i="41"/>
  <c r="TN5" i="41"/>
  <c r="TL5" i="41"/>
  <c r="TK5" i="41"/>
  <c r="TJ5" i="41"/>
  <c r="TI5" i="41"/>
  <c r="TH5" i="41"/>
  <c r="TG5" i="41"/>
  <c r="SK5" i="41"/>
  <c r="SJ5" i="41"/>
  <c r="SI5" i="41"/>
  <c r="SH5" i="41"/>
  <c r="SG5" i="41"/>
  <c r="SF5" i="41"/>
  <c r="SD5" i="41"/>
  <c r="SC5" i="41"/>
  <c r="SB5" i="41"/>
  <c r="SA5" i="41"/>
  <c r="RZ5" i="41"/>
  <c r="RY5" i="41"/>
  <c r="RC5" i="41"/>
  <c r="RB5" i="41"/>
  <c r="RA5" i="41"/>
  <c r="QZ5" i="41"/>
  <c r="QY5" i="41"/>
  <c r="QX5" i="41"/>
  <c r="QV5" i="41"/>
  <c r="QU5" i="41"/>
  <c r="QT5" i="41"/>
  <c r="QS5" i="41"/>
  <c r="QR5" i="41"/>
  <c r="QQ5" i="41"/>
  <c r="PU5" i="41"/>
  <c r="PT5" i="41"/>
  <c r="PS5" i="41"/>
  <c r="PR5" i="41"/>
  <c r="PQ5" i="41"/>
  <c r="PP5" i="41"/>
  <c r="PN5" i="41"/>
  <c r="PM5" i="41"/>
  <c r="PL5" i="41"/>
  <c r="PK5" i="41"/>
  <c r="PO5" i="41" s="1"/>
  <c r="PJ5" i="41"/>
  <c r="PI5" i="41"/>
  <c r="OM5" i="41"/>
  <c r="OL5" i="41"/>
  <c r="OK5" i="41"/>
  <c r="OJ5" i="41"/>
  <c r="OI5" i="41"/>
  <c r="OH5" i="41"/>
  <c r="OF5" i="41"/>
  <c r="OE5" i="41"/>
  <c r="OD5" i="41"/>
  <c r="OC5" i="41"/>
  <c r="OB5" i="41"/>
  <c r="OA5" i="41"/>
  <c r="NE5" i="41"/>
  <c r="ND5" i="41"/>
  <c r="NC5" i="41"/>
  <c r="NB5" i="41"/>
  <c r="NA5" i="41"/>
  <c r="MZ5" i="41"/>
  <c r="MX5" i="41"/>
  <c r="MW5" i="41"/>
  <c r="MV5" i="41"/>
  <c r="MU5" i="41"/>
  <c r="MT5" i="41"/>
  <c r="MS5" i="41"/>
  <c r="LW5" i="41"/>
  <c r="LV5" i="41"/>
  <c r="LU5" i="41"/>
  <c r="LT5" i="41"/>
  <c r="LS5" i="41"/>
  <c r="LR5" i="41"/>
  <c r="LP5" i="41"/>
  <c r="LO5" i="41"/>
  <c r="LN5" i="41"/>
  <c r="LM5" i="41"/>
  <c r="LL5" i="41"/>
  <c r="LK5" i="41"/>
  <c r="KO5" i="41"/>
  <c r="KN5" i="41"/>
  <c r="KM5" i="41"/>
  <c r="KL5" i="41"/>
  <c r="KK5" i="41"/>
  <c r="KJ5" i="41"/>
  <c r="KH5" i="41"/>
  <c r="KG5" i="41"/>
  <c r="KF5" i="41"/>
  <c r="KE5" i="41"/>
  <c r="KD5" i="41"/>
  <c r="KC5" i="41"/>
  <c r="JG5" i="41"/>
  <c r="JF5" i="41"/>
  <c r="JE5" i="41"/>
  <c r="JD5" i="41"/>
  <c r="JC5" i="41"/>
  <c r="JB5" i="41"/>
  <c r="IZ5" i="41"/>
  <c r="IY5" i="41"/>
  <c r="IX5" i="41"/>
  <c r="IW5" i="41"/>
  <c r="IV5" i="41"/>
  <c r="IU5" i="41"/>
  <c r="HY5" i="41"/>
  <c r="HX5" i="41"/>
  <c r="HW5" i="41"/>
  <c r="HV5" i="41"/>
  <c r="HU5" i="41"/>
  <c r="HT5" i="41"/>
  <c r="HR5" i="41"/>
  <c r="HQ5" i="41"/>
  <c r="HP5" i="41"/>
  <c r="HO5" i="41"/>
  <c r="HN5" i="41"/>
  <c r="HM5" i="41"/>
  <c r="GQ5" i="41"/>
  <c r="GP5" i="41"/>
  <c r="GO5" i="41"/>
  <c r="GN5" i="41"/>
  <c r="GM5" i="41"/>
  <c r="GL5" i="41"/>
  <c r="GJ5" i="41"/>
  <c r="GI5" i="41"/>
  <c r="GH5" i="41"/>
  <c r="GG5" i="41"/>
  <c r="GK5" i="41" s="1"/>
  <c r="GF5" i="41"/>
  <c r="GE5" i="41"/>
  <c r="FI5" i="41"/>
  <c r="FH5" i="41"/>
  <c r="FG5" i="41"/>
  <c r="FF5" i="41"/>
  <c r="FE5" i="41"/>
  <c r="FD5" i="41"/>
  <c r="FB5" i="41"/>
  <c r="FA5" i="41"/>
  <c r="EZ5" i="41"/>
  <c r="EY5" i="41"/>
  <c r="EX5" i="41"/>
  <c r="EW5" i="41"/>
  <c r="EA5" i="41"/>
  <c r="DZ5" i="41"/>
  <c r="DY5" i="41"/>
  <c r="DX5" i="41"/>
  <c r="DW5" i="41"/>
  <c r="DV5" i="41"/>
  <c r="DT5" i="41"/>
  <c r="DS5" i="41"/>
  <c r="DR5" i="41"/>
  <c r="DQ5" i="41"/>
  <c r="DP5" i="41"/>
  <c r="DO5" i="41"/>
  <c r="CR5" i="41"/>
  <c r="CQ5" i="41"/>
  <c r="CP5" i="41"/>
  <c r="CN5" i="41"/>
  <c r="CM5" i="41"/>
  <c r="CL5" i="41"/>
  <c r="CK5" i="41"/>
  <c r="CO5" i="41" s="1"/>
  <c r="CJ5" i="41"/>
  <c r="CI5" i="41"/>
  <c r="BQ5" i="41"/>
  <c r="BP5" i="41"/>
  <c r="BO5" i="41"/>
  <c r="BM5" i="41"/>
  <c r="BL5" i="41"/>
  <c r="BK5" i="41"/>
  <c r="BJ5" i="41"/>
  <c r="BN5" i="41" s="1"/>
  <c r="BI5" i="41"/>
  <c r="BH5" i="41"/>
  <c r="AP5" i="41"/>
  <c r="AO5" i="41"/>
  <c r="AN5" i="41"/>
  <c r="AL5" i="41"/>
  <c r="AK5" i="41"/>
  <c r="AJ5" i="41"/>
  <c r="AI5" i="41"/>
  <c r="AH5" i="41"/>
  <c r="AG5" i="41"/>
  <c r="WI4" i="41"/>
  <c r="WH4" i="41"/>
  <c r="WG4" i="41"/>
  <c r="WF4" i="41"/>
  <c r="WE4" i="41"/>
  <c r="WD4" i="41"/>
  <c r="WB4" i="41"/>
  <c r="WA4" i="41"/>
  <c r="VZ4" i="41"/>
  <c r="VY4" i="41"/>
  <c r="VX4" i="41"/>
  <c r="VW4" i="41"/>
  <c r="VA4" i="41"/>
  <c r="UZ4" i="41"/>
  <c r="UY4" i="41"/>
  <c r="UX4" i="41"/>
  <c r="UW4" i="41"/>
  <c r="UV4" i="41"/>
  <c r="UT4" i="41"/>
  <c r="UU4" i="41" s="1"/>
  <c r="VB4" i="41" s="1"/>
  <c r="US4" i="41"/>
  <c r="UR4" i="41"/>
  <c r="UQ4" i="41"/>
  <c r="UP4" i="41"/>
  <c r="UO4" i="41"/>
  <c r="TS4" i="41"/>
  <c r="TR4" i="41"/>
  <c r="TQ4" i="41"/>
  <c r="TP4" i="41"/>
  <c r="TO4" i="41"/>
  <c r="TN4" i="41"/>
  <c r="TL4" i="41"/>
  <c r="TK4" i="41"/>
  <c r="TJ4" i="41"/>
  <c r="TI4" i="41"/>
  <c r="TM4" i="41" s="1"/>
  <c r="TT4" i="41" s="1"/>
  <c r="TH4" i="41"/>
  <c r="TG4" i="41"/>
  <c r="SK4" i="41"/>
  <c r="SJ4" i="41"/>
  <c r="SI4" i="41"/>
  <c r="SH4" i="41"/>
  <c r="SG4" i="41"/>
  <c r="SF4" i="41"/>
  <c r="SD4" i="41"/>
  <c r="SC4" i="41"/>
  <c r="SB4" i="41"/>
  <c r="SA4" i="41"/>
  <c r="RZ4" i="41"/>
  <c r="RY4" i="41"/>
  <c r="RC4" i="41"/>
  <c r="RB4" i="41"/>
  <c r="RA4" i="41"/>
  <c r="QZ4" i="41"/>
  <c r="QY4" i="41"/>
  <c r="QX4" i="41"/>
  <c r="QV4" i="41"/>
  <c r="QU4" i="41"/>
  <c r="QT4" i="41"/>
  <c r="QS4" i="41"/>
  <c r="QW4" i="41" s="1"/>
  <c r="QR4" i="41"/>
  <c r="QQ4" i="41"/>
  <c r="PU4" i="41"/>
  <c r="PT4" i="41"/>
  <c r="PS4" i="41"/>
  <c r="PR4" i="41"/>
  <c r="PQ4" i="41"/>
  <c r="PP4" i="41"/>
  <c r="PN4" i="41"/>
  <c r="PM4" i="41"/>
  <c r="PL4" i="41"/>
  <c r="PK4" i="41"/>
  <c r="PJ4" i="41"/>
  <c r="PI4" i="41"/>
  <c r="OM4" i="41"/>
  <c r="OL4" i="41"/>
  <c r="OK4" i="41"/>
  <c r="OJ4" i="41"/>
  <c r="OI4" i="41"/>
  <c r="OH4" i="41"/>
  <c r="OF4" i="41"/>
  <c r="OE4" i="41"/>
  <c r="OD4" i="41"/>
  <c r="OC4" i="41"/>
  <c r="OB4" i="41"/>
  <c r="OA4" i="41"/>
  <c r="NE4" i="41"/>
  <c r="ND4" i="41"/>
  <c r="NC4" i="41"/>
  <c r="NB4" i="41"/>
  <c r="NA4" i="41"/>
  <c r="MZ4" i="41"/>
  <c r="MX4" i="41"/>
  <c r="MW4" i="41"/>
  <c r="MV4" i="41"/>
  <c r="MU4" i="41"/>
  <c r="MT4" i="41"/>
  <c r="MS4" i="41"/>
  <c r="LW4" i="41"/>
  <c r="LV4" i="41"/>
  <c r="LU4" i="41"/>
  <c r="LT4" i="41"/>
  <c r="LS4" i="41"/>
  <c r="LR4" i="41"/>
  <c r="LP4" i="41"/>
  <c r="LQ4" i="41" s="1"/>
  <c r="LX4" i="41" s="1"/>
  <c r="LO4" i="41"/>
  <c r="LN4" i="41"/>
  <c r="LM4" i="41"/>
  <c r="LL4" i="41"/>
  <c r="LK4" i="41"/>
  <c r="KO4" i="41"/>
  <c r="KN4" i="41"/>
  <c r="KM4" i="41"/>
  <c r="KL4" i="41"/>
  <c r="KK4" i="41"/>
  <c r="KJ4" i="41"/>
  <c r="KH4" i="41"/>
  <c r="KG4" i="41"/>
  <c r="KF4" i="41"/>
  <c r="KE4" i="41"/>
  <c r="KI4" i="41" s="1"/>
  <c r="KD4" i="41"/>
  <c r="KC4" i="41"/>
  <c r="JG4" i="41"/>
  <c r="JF4" i="41"/>
  <c r="JE4" i="41"/>
  <c r="JD4" i="41"/>
  <c r="JC4" i="41"/>
  <c r="JB4" i="41"/>
  <c r="IZ4" i="41"/>
  <c r="IY4" i="41"/>
  <c r="IX4" i="41"/>
  <c r="IW4" i="41"/>
  <c r="IV4" i="41"/>
  <c r="IU4" i="41"/>
  <c r="HY4" i="41"/>
  <c r="HX4" i="41"/>
  <c r="HW4" i="41"/>
  <c r="HV4" i="41"/>
  <c r="HU4" i="41"/>
  <c r="HT4" i="41"/>
  <c r="HR4" i="41"/>
  <c r="HQ4" i="41"/>
  <c r="HP4" i="41"/>
  <c r="HO4" i="41"/>
  <c r="HS4" i="41" s="1"/>
  <c r="HN4" i="41"/>
  <c r="HM4" i="41"/>
  <c r="GQ4" i="41"/>
  <c r="GP4" i="41"/>
  <c r="GO4" i="41"/>
  <c r="GN4" i="41"/>
  <c r="GM4" i="41"/>
  <c r="GL4" i="41"/>
  <c r="GJ4" i="41"/>
  <c r="GI4" i="41"/>
  <c r="GH4" i="41"/>
  <c r="GG4" i="41"/>
  <c r="GF4" i="41"/>
  <c r="GE4" i="41"/>
  <c r="FI4" i="41"/>
  <c r="FH4" i="41"/>
  <c r="FG4" i="41"/>
  <c r="FF4" i="41"/>
  <c r="FE4" i="41"/>
  <c r="FD4" i="41"/>
  <c r="FB4" i="41"/>
  <c r="FA4" i="41"/>
  <c r="EZ4" i="41"/>
  <c r="EY4" i="41"/>
  <c r="EX4" i="41"/>
  <c r="EW4" i="41"/>
  <c r="EA4" i="41"/>
  <c r="DZ4" i="41"/>
  <c r="DY4" i="41"/>
  <c r="DX4" i="41"/>
  <c r="DW4" i="41"/>
  <c r="DV4" i="41"/>
  <c r="DT4" i="41"/>
  <c r="DS4" i="41"/>
  <c r="DR4" i="41"/>
  <c r="DQ4" i="41"/>
  <c r="DP4" i="41"/>
  <c r="DO4" i="41"/>
  <c r="CR4" i="41"/>
  <c r="CQ4" i="41"/>
  <c r="CP4" i="41"/>
  <c r="CN4" i="41"/>
  <c r="CM4" i="41"/>
  <c r="CL4" i="41"/>
  <c r="CK4" i="41"/>
  <c r="CO4" i="41" s="1"/>
  <c r="CS4" i="41" s="1"/>
  <c r="CJ4" i="41"/>
  <c r="CI4" i="41"/>
  <c r="BQ4" i="41"/>
  <c r="BP4" i="41"/>
  <c r="BO4" i="41"/>
  <c r="BM4" i="41"/>
  <c r="BL4" i="41"/>
  <c r="BK4" i="41"/>
  <c r="BJ4" i="41"/>
  <c r="BI4" i="41"/>
  <c r="BH4" i="41"/>
  <c r="AP4" i="41"/>
  <c r="AO4" i="41"/>
  <c r="AN4" i="41"/>
  <c r="AL4" i="41"/>
  <c r="AK4" i="41"/>
  <c r="AJ4" i="41"/>
  <c r="AI4" i="41"/>
  <c r="AH4" i="41"/>
  <c r="AG4" i="41"/>
  <c r="WI14" i="40"/>
  <c r="WH14" i="40"/>
  <c r="WG14" i="40"/>
  <c r="WF14" i="40"/>
  <c r="WE14" i="40"/>
  <c r="WD14" i="40"/>
  <c r="WB14" i="40"/>
  <c r="WA14" i="40"/>
  <c r="VZ14" i="40"/>
  <c r="VY14" i="40"/>
  <c r="VX14" i="40"/>
  <c r="VW14" i="40"/>
  <c r="VA14" i="40"/>
  <c r="UZ14" i="40"/>
  <c r="UY14" i="40"/>
  <c r="UX14" i="40"/>
  <c r="UW14" i="40"/>
  <c r="UV14" i="40"/>
  <c r="UT14" i="40"/>
  <c r="US14" i="40"/>
  <c r="UR14" i="40"/>
  <c r="UQ14" i="40"/>
  <c r="UP14" i="40"/>
  <c r="UO14" i="40"/>
  <c r="TS14" i="40"/>
  <c r="TR14" i="40"/>
  <c r="TQ14" i="40"/>
  <c r="TP14" i="40"/>
  <c r="TO14" i="40"/>
  <c r="TN14" i="40"/>
  <c r="TL14" i="40"/>
  <c r="TK14" i="40"/>
  <c r="TJ14" i="40"/>
  <c r="TI14" i="40"/>
  <c r="TM14" i="40" s="1"/>
  <c r="TT14" i="40" s="1"/>
  <c r="TH14" i="40"/>
  <c r="TG14" i="40"/>
  <c r="SK14" i="40"/>
  <c r="SJ14" i="40"/>
  <c r="SI14" i="40"/>
  <c r="SH14" i="40"/>
  <c r="SG14" i="40"/>
  <c r="SF14" i="40"/>
  <c r="SD14" i="40"/>
  <c r="SC14" i="40"/>
  <c r="SB14" i="40"/>
  <c r="SA14" i="40"/>
  <c r="SE14" i="40" s="1"/>
  <c r="RZ14" i="40"/>
  <c r="RY14" i="40"/>
  <c r="RC14" i="40"/>
  <c r="RB14" i="40"/>
  <c r="RA14" i="40"/>
  <c r="QZ14" i="40"/>
  <c r="QY14" i="40"/>
  <c r="QX14" i="40"/>
  <c r="QV14" i="40"/>
  <c r="QU14" i="40"/>
  <c r="QT14" i="40"/>
  <c r="QS14" i="40"/>
  <c r="QR14" i="40"/>
  <c r="QQ14" i="40"/>
  <c r="PU14" i="40"/>
  <c r="PT14" i="40"/>
  <c r="PS14" i="40"/>
  <c r="PR14" i="40"/>
  <c r="PQ14" i="40"/>
  <c r="PP14" i="40"/>
  <c r="PN14" i="40"/>
  <c r="PM14" i="40"/>
  <c r="PL14" i="40"/>
  <c r="PK14" i="40"/>
  <c r="PJ14" i="40"/>
  <c r="PI14" i="40"/>
  <c r="OM14" i="40"/>
  <c r="OL14" i="40"/>
  <c r="OK14" i="40"/>
  <c r="OJ14" i="40"/>
  <c r="OI14" i="40"/>
  <c r="OH14" i="40"/>
  <c r="OF14" i="40"/>
  <c r="OE14" i="40"/>
  <c r="OD14" i="40"/>
  <c r="OC14" i="40"/>
  <c r="OB14" i="40"/>
  <c r="OA14" i="40"/>
  <c r="NE14" i="40"/>
  <c r="ND14" i="40"/>
  <c r="NC14" i="40"/>
  <c r="NB14" i="40"/>
  <c r="NA14" i="40"/>
  <c r="MZ14" i="40"/>
  <c r="MX14" i="40"/>
  <c r="MW14" i="40"/>
  <c r="MV14" i="40"/>
  <c r="MU14" i="40"/>
  <c r="MT14" i="40"/>
  <c r="MS14" i="40"/>
  <c r="LW14" i="40"/>
  <c r="LV14" i="40"/>
  <c r="LU14" i="40"/>
  <c r="LT14" i="40"/>
  <c r="LS14" i="40"/>
  <c r="LR14" i="40"/>
  <c r="LP14" i="40"/>
  <c r="LO14" i="40"/>
  <c r="LN14" i="40"/>
  <c r="LM14" i="40"/>
  <c r="LL14" i="40"/>
  <c r="LK14" i="40"/>
  <c r="KO14" i="40"/>
  <c r="KN14" i="40"/>
  <c r="KM14" i="40"/>
  <c r="KL14" i="40"/>
  <c r="KK14" i="40"/>
  <c r="KJ14" i="40"/>
  <c r="KH14" i="40"/>
  <c r="KG14" i="40"/>
  <c r="KF14" i="40"/>
  <c r="KE14" i="40"/>
  <c r="KI14" i="40" s="1"/>
  <c r="KP14" i="40" s="1"/>
  <c r="KD14" i="40"/>
  <c r="KC14" i="40"/>
  <c r="JG14" i="40"/>
  <c r="JF14" i="40"/>
  <c r="JE14" i="40"/>
  <c r="JD14" i="40"/>
  <c r="JC14" i="40"/>
  <c r="JB14" i="40"/>
  <c r="IZ14" i="40"/>
  <c r="IY14" i="40"/>
  <c r="IX14" i="40"/>
  <c r="IW14" i="40"/>
  <c r="JA14" i="40" s="1"/>
  <c r="IV14" i="40"/>
  <c r="IU14" i="40"/>
  <c r="HY14" i="40"/>
  <c r="HX14" i="40"/>
  <c r="HW14" i="40"/>
  <c r="HV14" i="40"/>
  <c r="HU14" i="40"/>
  <c r="HT14" i="40"/>
  <c r="HR14" i="40"/>
  <c r="HQ14" i="40"/>
  <c r="HP14" i="40"/>
  <c r="HO14" i="40"/>
  <c r="HN14" i="40"/>
  <c r="HM14" i="40"/>
  <c r="GQ14" i="40"/>
  <c r="GP14" i="40"/>
  <c r="GO14" i="40"/>
  <c r="GN14" i="40"/>
  <c r="GM14" i="40"/>
  <c r="GL14" i="40"/>
  <c r="GJ14" i="40"/>
  <c r="GI14" i="40"/>
  <c r="GH14" i="40"/>
  <c r="GG14" i="40"/>
  <c r="GF14" i="40"/>
  <c r="GE14" i="40"/>
  <c r="FI14" i="40"/>
  <c r="FH14" i="40"/>
  <c r="FG14" i="40"/>
  <c r="FF14" i="40"/>
  <c r="FE14" i="40"/>
  <c r="FD14" i="40"/>
  <c r="FB14" i="40"/>
  <c r="FA14" i="40"/>
  <c r="EZ14" i="40"/>
  <c r="EY14" i="40"/>
  <c r="EX14" i="40"/>
  <c r="EW14" i="40"/>
  <c r="EA14" i="40"/>
  <c r="DZ14" i="40"/>
  <c r="DY14" i="40"/>
  <c r="DX14" i="40"/>
  <c r="DW14" i="40"/>
  <c r="DV14" i="40"/>
  <c r="DT14" i="40"/>
  <c r="DS14" i="40"/>
  <c r="DR14" i="40"/>
  <c r="DQ14" i="40"/>
  <c r="DP14" i="40"/>
  <c r="DO14" i="40"/>
  <c r="CR14" i="40"/>
  <c r="CQ14" i="40"/>
  <c r="CP14" i="40"/>
  <c r="CN14" i="40"/>
  <c r="CM14" i="40"/>
  <c r="CL14" i="40"/>
  <c r="CK14" i="40"/>
  <c r="CO14" i="40" s="1"/>
  <c r="CS14" i="40" s="1"/>
  <c r="CJ14" i="40"/>
  <c r="CI14" i="40"/>
  <c r="BQ14" i="40"/>
  <c r="BP14" i="40"/>
  <c r="BO14" i="40"/>
  <c r="BM14" i="40"/>
  <c r="BL14" i="40"/>
  <c r="BK14" i="40"/>
  <c r="BJ14" i="40"/>
  <c r="BN14" i="40" s="1"/>
  <c r="BI14" i="40"/>
  <c r="BH14" i="40"/>
  <c r="AP14" i="40"/>
  <c r="AO14" i="40"/>
  <c r="AN14" i="40"/>
  <c r="AL14" i="40"/>
  <c r="AK14" i="40"/>
  <c r="AJ14" i="40"/>
  <c r="AI14" i="40"/>
  <c r="AH14" i="40"/>
  <c r="AG14" i="40"/>
  <c r="WI13" i="40"/>
  <c r="WH13" i="40"/>
  <c r="WG13" i="40"/>
  <c r="WF13" i="40"/>
  <c r="WE13" i="40"/>
  <c r="WD13" i="40"/>
  <c r="WB13" i="40"/>
  <c r="WA13" i="40"/>
  <c r="VZ13" i="40"/>
  <c r="VY13" i="40"/>
  <c r="VX13" i="40"/>
  <c r="VW13" i="40"/>
  <c r="VA13" i="40"/>
  <c r="UZ13" i="40"/>
  <c r="UY13" i="40"/>
  <c r="UX13" i="40"/>
  <c r="UW13" i="40"/>
  <c r="UV13" i="40"/>
  <c r="UT13" i="40"/>
  <c r="US13" i="40"/>
  <c r="UR13" i="40"/>
  <c r="UQ13" i="40"/>
  <c r="UU13" i="40" s="1"/>
  <c r="VB13" i="40" s="1"/>
  <c r="UP13" i="40"/>
  <c r="UO13" i="40"/>
  <c r="TS13" i="40"/>
  <c r="TR13" i="40"/>
  <c r="TQ13" i="40"/>
  <c r="TP13" i="40"/>
  <c r="TO13" i="40"/>
  <c r="TN13" i="40"/>
  <c r="TL13" i="40"/>
  <c r="TK13" i="40"/>
  <c r="TJ13" i="40"/>
  <c r="TI13" i="40"/>
  <c r="TM13" i="40" s="1"/>
  <c r="TH13" i="40"/>
  <c r="TG13" i="40"/>
  <c r="SK13" i="40"/>
  <c r="SJ13" i="40"/>
  <c r="SI13" i="40"/>
  <c r="SH13" i="40"/>
  <c r="SG13" i="40"/>
  <c r="SF13" i="40"/>
  <c r="SD13" i="40"/>
  <c r="SC13" i="40"/>
  <c r="SB13" i="40"/>
  <c r="SA13" i="40"/>
  <c r="RZ13" i="40"/>
  <c r="RY13" i="40"/>
  <c r="RC13" i="40"/>
  <c r="RB13" i="40"/>
  <c r="RA13" i="40"/>
  <c r="QZ13" i="40"/>
  <c r="QY13" i="40"/>
  <c r="QX13" i="40"/>
  <c r="QV13" i="40"/>
  <c r="QU13" i="40"/>
  <c r="QT13" i="40"/>
  <c r="QS13" i="40"/>
  <c r="QR13" i="40"/>
  <c r="QQ13" i="40"/>
  <c r="PU13" i="40"/>
  <c r="PT13" i="40"/>
  <c r="PS13" i="40"/>
  <c r="PR13" i="40"/>
  <c r="PQ13" i="40"/>
  <c r="PP13" i="40"/>
  <c r="PN13" i="40"/>
  <c r="PM13" i="40"/>
  <c r="PL13" i="40"/>
  <c r="PK13" i="40"/>
  <c r="PJ13" i="40"/>
  <c r="PI13" i="40"/>
  <c r="OM13" i="40"/>
  <c r="OL13" i="40"/>
  <c r="OK13" i="40"/>
  <c r="OJ13" i="40"/>
  <c r="OI13" i="40"/>
  <c r="OH13" i="40"/>
  <c r="OF13" i="40"/>
  <c r="OE13" i="40"/>
  <c r="OD13" i="40"/>
  <c r="OC13" i="40"/>
  <c r="OB13" i="40"/>
  <c r="OA13" i="40"/>
  <c r="NE13" i="40"/>
  <c r="ND13" i="40"/>
  <c r="NC13" i="40"/>
  <c r="NB13" i="40"/>
  <c r="NA13" i="40"/>
  <c r="MZ13" i="40"/>
  <c r="MX13" i="40"/>
  <c r="MW13" i="40"/>
  <c r="MV13" i="40"/>
  <c r="MU13" i="40"/>
  <c r="MT13" i="40"/>
  <c r="MS13" i="40"/>
  <c r="LW13" i="40"/>
  <c r="LV13" i="40"/>
  <c r="LU13" i="40"/>
  <c r="LT13" i="40"/>
  <c r="LS13" i="40"/>
  <c r="LR13" i="40"/>
  <c r="LP13" i="40"/>
  <c r="LO13" i="40"/>
  <c r="LN13" i="40"/>
  <c r="LM13" i="40"/>
  <c r="LQ13" i="40" s="1"/>
  <c r="LL13" i="40"/>
  <c r="LK13" i="40"/>
  <c r="KO13" i="40"/>
  <c r="KN13" i="40"/>
  <c r="KM13" i="40"/>
  <c r="KL13" i="40"/>
  <c r="KK13" i="40"/>
  <c r="KJ13" i="40"/>
  <c r="KH13" i="40"/>
  <c r="KG13" i="40"/>
  <c r="KF13" i="40"/>
  <c r="KE13" i="40"/>
  <c r="KI13" i="40" s="1"/>
  <c r="KD13" i="40"/>
  <c r="KC13" i="40"/>
  <c r="JG13" i="40"/>
  <c r="JF13" i="40"/>
  <c r="JE13" i="40"/>
  <c r="JD13" i="40"/>
  <c r="JC13" i="40"/>
  <c r="JB13" i="40"/>
  <c r="IZ13" i="40"/>
  <c r="IY13" i="40"/>
  <c r="IX13" i="40"/>
  <c r="IW13" i="40"/>
  <c r="IV13" i="40"/>
  <c r="IU13" i="40"/>
  <c r="HY13" i="40"/>
  <c r="HX13" i="40"/>
  <c r="HW13" i="40"/>
  <c r="HV13" i="40"/>
  <c r="HU13" i="40"/>
  <c r="HT13" i="40"/>
  <c r="HR13" i="40"/>
  <c r="HQ13" i="40"/>
  <c r="HP13" i="40"/>
  <c r="HO13" i="40"/>
  <c r="HN13" i="40"/>
  <c r="HM13" i="40"/>
  <c r="GQ13" i="40"/>
  <c r="GP13" i="40"/>
  <c r="GO13" i="40"/>
  <c r="GN13" i="40"/>
  <c r="GM13" i="40"/>
  <c r="GL13" i="40"/>
  <c r="GJ13" i="40"/>
  <c r="GI13" i="40"/>
  <c r="GH13" i="40"/>
  <c r="GG13" i="40"/>
  <c r="GF13" i="40"/>
  <c r="GE13" i="40"/>
  <c r="FI13" i="40"/>
  <c r="FH13" i="40"/>
  <c r="FG13" i="40"/>
  <c r="FF13" i="40"/>
  <c r="FE13" i="40"/>
  <c r="FD13" i="40"/>
  <c r="FB13" i="40"/>
  <c r="FA13" i="40"/>
  <c r="EZ13" i="40"/>
  <c r="EY13" i="40"/>
  <c r="EX13" i="40"/>
  <c r="EW13" i="40"/>
  <c r="EA13" i="40"/>
  <c r="DZ13" i="40"/>
  <c r="DY13" i="40"/>
  <c r="DX13" i="40"/>
  <c r="DW13" i="40"/>
  <c r="DV13" i="40"/>
  <c r="DT13" i="40"/>
  <c r="DS13" i="40"/>
  <c r="DR13" i="40"/>
  <c r="DQ13" i="40"/>
  <c r="DP13" i="40"/>
  <c r="DO13" i="40"/>
  <c r="CR13" i="40"/>
  <c r="CQ13" i="40"/>
  <c r="CP13" i="40"/>
  <c r="CN13" i="40"/>
  <c r="CM13" i="40"/>
  <c r="CL13" i="40"/>
  <c r="CK13" i="40"/>
  <c r="CO13" i="40" s="1"/>
  <c r="CS13" i="40" s="1"/>
  <c r="CJ13" i="40"/>
  <c r="CI13" i="40"/>
  <c r="BQ13" i="40"/>
  <c r="BP13" i="40"/>
  <c r="BO13" i="40"/>
  <c r="BM13" i="40"/>
  <c r="BL13" i="40"/>
  <c r="BK13" i="40"/>
  <c r="BJ13" i="40"/>
  <c r="BN13" i="40" s="1"/>
  <c r="BI13" i="40"/>
  <c r="BH13" i="40"/>
  <c r="AP13" i="40"/>
  <c r="AO13" i="40"/>
  <c r="AN13" i="40"/>
  <c r="AL13" i="40"/>
  <c r="AK13" i="40"/>
  <c r="AJ13" i="40"/>
  <c r="AI13" i="40"/>
  <c r="AH13" i="40"/>
  <c r="AG13" i="40"/>
  <c r="WI12" i="40"/>
  <c r="WH12" i="40"/>
  <c r="WG12" i="40"/>
  <c r="WF12" i="40"/>
  <c r="WE12" i="40"/>
  <c r="WD12" i="40"/>
  <c r="WB12" i="40"/>
  <c r="WA12" i="40"/>
  <c r="VZ12" i="40"/>
  <c r="VY12" i="40"/>
  <c r="VX12" i="40"/>
  <c r="VW12" i="40"/>
  <c r="VA12" i="40"/>
  <c r="UZ12" i="40"/>
  <c r="UY12" i="40"/>
  <c r="UX12" i="40"/>
  <c r="UW12" i="40"/>
  <c r="UV12" i="40"/>
  <c r="UT12" i="40"/>
  <c r="US12" i="40"/>
  <c r="UR12" i="40"/>
  <c r="UQ12" i="40"/>
  <c r="UP12" i="40"/>
  <c r="UO12" i="40"/>
  <c r="TS12" i="40"/>
  <c r="TR12" i="40"/>
  <c r="TQ12" i="40"/>
  <c r="TP12" i="40"/>
  <c r="TO12" i="40"/>
  <c r="TN12" i="40"/>
  <c r="TL12" i="40"/>
  <c r="TK12" i="40"/>
  <c r="TJ12" i="40"/>
  <c r="TI12" i="40"/>
  <c r="TH12" i="40"/>
  <c r="TG12" i="40"/>
  <c r="SK12" i="40"/>
  <c r="SJ12" i="40"/>
  <c r="SI12" i="40"/>
  <c r="SH12" i="40"/>
  <c r="SG12" i="40"/>
  <c r="SF12" i="40"/>
  <c r="SD12" i="40"/>
  <c r="SC12" i="40"/>
  <c r="SB12" i="40"/>
  <c r="SA12" i="40"/>
  <c r="RZ12" i="40"/>
  <c r="RY12" i="40"/>
  <c r="RC12" i="40"/>
  <c r="RB12" i="40"/>
  <c r="RA12" i="40"/>
  <c r="QZ12" i="40"/>
  <c r="QY12" i="40"/>
  <c r="QX12" i="40"/>
  <c r="QV12" i="40"/>
  <c r="QU12" i="40"/>
  <c r="QT12" i="40"/>
  <c r="QS12" i="40"/>
  <c r="QR12" i="40"/>
  <c r="QQ12" i="40"/>
  <c r="PU12" i="40"/>
  <c r="PT12" i="40"/>
  <c r="PS12" i="40"/>
  <c r="PR12" i="40"/>
  <c r="PQ12" i="40"/>
  <c r="PP12" i="40"/>
  <c r="PN12" i="40"/>
  <c r="PM12" i="40"/>
  <c r="PL12" i="40"/>
  <c r="PK12" i="40"/>
  <c r="PJ12" i="40"/>
  <c r="PI12" i="40"/>
  <c r="OM12" i="40"/>
  <c r="OL12" i="40"/>
  <c r="OK12" i="40"/>
  <c r="OJ12" i="40"/>
  <c r="OI12" i="40"/>
  <c r="OH12" i="40"/>
  <c r="OF12" i="40"/>
  <c r="OE12" i="40"/>
  <c r="OD12" i="40"/>
  <c r="OC12" i="40"/>
  <c r="OB12" i="40"/>
  <c r="OA12" i="40"/>
  <c r="NE12" i="40"/>
  <c r="ND12" i="40"/>
  <c r="NC12" i="40"/>
  <c r="NB12" i="40"/>
  <c r="NA12" i="40"/>
  <c r="MZ12" i="40"/>
  <c r="MX12" i="40"/>
  <c r="MW12" i="40"/>
  <c r="MV12" i="40"/>
  <c r="MU12" i="40"/>
  <c r="MT12" i="40"/>
  <c r="MS12" i="40"/>
  <c r="LW12" i="40"/>
  <c r="LV12" i="40"/>
  <c r="LU12" i="40"/>
  <c r="LT12" i="40"/>
  <c r="LS12" i="40"/>
  <c r="LR12" i="40"/>
  <c r="LP12" i="40"/>
  <c r="LO12" i="40"/>
  <c r="LN12" i="40"/>
  <c r="LM12" i="40"/>
  <c r="LL12" i="40"/>
  <c r="LK12" i="40"/>
  <c r="KO12" i="40"/>
  <c r="KN12" i="40"/>
  <c r="KM12" i="40"/>
  <c r="KL12" i="40"/>
  <c r="KK12" i="40"/>
  <c r="KJ12" i="40"/>
  <c r="KH12" i="40"/>
  <c r="KG12" i="40"/>
  <c r="KF12" i="40"/>
  <c r="KE12" i="40"/>
  <c r="KD12" i="40"/>
  <c r="KC12" i="40"/>
  <c r="JG12" i="40"/>
  <c r="JF12" i="40"/>
  <c r="JE12" i="40"/>
  <c r="JD12" i="40"/>
  <c r="JC12" i="40"/>
  <c r="JB12" i="40"/>
  <c r="IZ12" i="40"/>
  <c r="IY12" i="40"/>
  <c r="IX12" i="40"/>
  <c r="IW12" i="40"/>
  <c r="IV12" i="40"/>
  <c r="IU12" i="40"/>
  <c r="HY12" i="40"/>
  <c r="HX12" i="40"/>
  <c r="HW12" i="40"/>
  <c r="HV12" i="40"/>
  <c r="HU12" i="40"/>
  <c r="HT12" i="40"/>
  <c r="HR12" i="40"/>
  <c r="HQ12" i="40"/>
  <c r="HP12" i="40"/>
  <c r="HO12" i="40"/>
  <c r="HN12" i="40"/>
  <c r="HM12" i="40"/>
  <c r="GQ12" i="40"/>
  <c r="GP12" i="40"/>
  <c r="GO12" i="40"/>
  <c r="GN12" i="40"/>
  <c r="GM12" i="40"/>
  <c r="GL12" i="40"/>
  <c r="GJ12" i="40"/>
  <c r="GI12" i="40"/>
  <c r="GH12" i="40"/>
  <c r="GG12" i="40"/>
  <c r="GF12" i="40"/>
  <c r="GE12" i="40"/>
  <c r="FI12" i="40"/>
  <c r="FH12" i="40"/>
  <c r="FG12" i="40"/>
  <c r="FF12" i="40"/>
  <c r="FE12" i="40"/>
  <c r="FD12" i="40"/>
  <c r="FB12" i="40"/>
  <c r="FA12" i="40"/>
  <c r="EZ12" i="40"/>
  <c r="EY12" i="40"/>
  <c r="EX12" i="40"/>
  <c r="EW12" i="40"/>
  <c r="EA12" i="40"/>
  <c r="DZ12" i="40"/>
  <c r="DY12" i="40"/>
  <c r="DX12" i="40"/>
  <c r="DW12" i="40"/>
  <c r="DV12" i="40"/>
  <c r="DT12" i="40"/>
  <c r="DS12" i="40"/>
  <c r="DR12" i="40"/>
  <c r="DQ12" i="40"/>
  <c r="DP12" i="40"/>
  <c r="DO12" i="40"/>
  <c r="CR12" i="40"/>
  <c r="CQ12" i="40"/>
  <c r="CP12" i="40"/>
  <c r="CN12" i="40"/>
  <c r="CM12" i="40"/>
  <c r="CL12" i="40"/>
  <c r="CK12" i="40"/>
  <c r="CO12" i="40" s="1"/>
  <c r="CJ12" i="40"/>
  <c r="CI12" i="40"/>
  <c r="BQ12" i="40"/>
  <c r="BP12" i="40"/>
  <c r="BO12" i="40"/>
  <c r="BM12" i="40"/>
  <c r="BL12" i="40"/>
  <c r="BK12" i="40"/>
  <c r="BJ12" i="40"/>
  <c r="BN12" i="40" s="1"/>
  <c r="BI12" i="40"/>
  <c r="BH12" i="40"/>
  <c r="AP12" i="40"/>
  <c r="AO12" i="40"/>
  <c r="AN12" i="40"/>
  <c r="AL12" i="40"/>
  <c r="AK12" i="40"/>
  <c r="AJ12" i="40"/>
  <c r="AI12" i="40"/>
  <c r="AM12" i="40" s="1"/>
  <c r="AH12" i="40"/>
  <c r="AG12" i="40"/>
  <c r="WI11" i="40"/>
  <c r="WH11" i="40"/>
  <c r="WG11" i="40"/>
  <c r="WF11" i="40"/>
  <c r="WE11" i="40"/>
  <c r="WD11" i="40"/>
  <c r="WB11" i="40"/>
  <c r="WA11" i="40"/>
  <c r="VZ11" i="40"/>
  <c r="VY11" i="40"/>
  <c r="VX11" i="40"/>
  <c r="VW11" i="40"/>
  <c r="VA11" i="40"/>
  <c r="UZ11" i="40"/>
  <c r="UY11" i="40"/>
  <c r="UX11" i="40"/>
  <c r="UW11" i="40"/>
  <c r="UV11" i="40"/>
  <c r="UT11" i="40"/>
  <c r="US11" i="40"/>
  <c r="UR11" i="40"/>
  <c r="UQ11" i="40"/>
  <c r="UP11" i="40"/>
  <c r="UO11" i="40"/>
  <c r="TS11" i="40"/>
  <c r="TR11" i="40"/>
  <c r="TQ11" i="40"/>
  <c r="TP11" i="40"/>
  <c r="TO11" i="40"/>
  <c r="TN11" i="40"/>
  <c r="TL11" i="40"/>
  <c r="TK11" i="40"/>
  <c r="TJ11" i="40"/>
  <c r="TI11" i="40"/>
  <c r="TH11" i="40"/>
  <c r="TG11" i="40"/>
  <c r="SK11" i="40"/>
  <c r="SJ11" i="40"/>
  <c r="SI11" i="40"/>
  <c r="SH11" i="40"/>
  <c r="SG11" i="40"/>
  <c r="SF11" i="40"/>
  <c r="SD11" i="40"/>
  <c r="SC11" i="40"/>
  <c r="SB11" i="40"/>
  <c r="SA11" i="40"/>
  <c r="RZ11" i="40"/>
  <c r="RY11" i="40"/>
  <c r="RC11" i="40"/>
  <c r="RB11" i="40"/>
  <c r="RA11" i="40"/>
  <c r="QZ11" i="40"/>
  <c r="QY11" i="40"/>
  <c r="QX11" i="40"/>
  <c r="QV11" i="40"/>
  <c r="QU11" i="40"/>
  <c r="QT11" i="40"/>
  <c r="QS11" i="40"/>
  <c r="QR11" i="40"/>
  <c r="QQ11" i="40"/>
  <c r="PU11" i="40"/>
  <c r="PT11" i="40"/>
  <c r="PS11" i="40"/>
  <c r="PR11" i="40"/>
  <c r="PQ11" i="40"/>
  <c r="PP11" i="40"/>
  <c r="PN11" i="40"/>
  <c r="PM11" i="40"/>
  <c r="PL11" i="40"/>
  <c r="PK11" i="40"/>
  <c r="PO11" i="40" s="1"/>
  <c r="PV11" i="40" s="1"/>
  <c r="PJ11" i="40"/>
  <c r="PI11" i="40"/>
  <c r="OM11" i="40"/>
  <c r="OL11" i="40"/>
  <c r="OK11" i="40"/>
  <c r="OJ11" i="40"/>
  <c r="OI11" i="40"/>
  <c r="OH11" i="40"/>
  <c r="OF11" i="40"/>
  <c r="OE11" i="40"/>
  <c r="OD11" i="40"/>
  <c r="OC11" i="40"/>
  <c r="OG11" i="40" s="1"/>
  <c r="OB11" i="40"/>
  <c r="OA11" i="40"/>
  <c r="NE11" i="40"/>
  <c r="ND11" i="40"/>
  <c r="NC11" i="40"/>
  <c r="NB11" i="40"/>
  <c r="NA11" i="40"/>
  <c r="MZ11" i="40"/>
  <c r="MX11" i="40"/>
  <c r="MW11" i="40"/>
  <c r="MV11" i="40"/>
  <c r="MU11" i="40"/>
  <c r="MT11" i="40"/>
  <c r="MS11" i="40"/>
  <c r="LW11" i="40"/>
  <c r="LV11" i="40"/>
  <c r="LU11" i="40"/>
  <c r="LT11" i="40"/>
  <c r="LS11" i="40"/>
  <c r="LR11" i="40"/>
  <c r="LP11" i="40"/>
  <c r="LO11" i="40"/>
  <c r="LN11" i="40"/>
  <c r="LM11" i="40"/>
  <c r="LL11" i="40"/>
  <c r="LK11" i="40"/>
  <c r="KO11" i="40"/>
  <c r="KN11" i="40"/>
  <c r="KM11" i="40"/>
  <c r="KL11" i="40"/>
  <c r="KK11" i="40"/>
  <c r="KJ11" i="40"/>
  <c r="KH11" i="40"/>
  <c r="KG11" i="40"/>
  <c r="KF11" i="40"/>
  <c r="KE11" i="40"/>
  <c r="KD11" i="40"/>
  <c r="KC11" i="40"/>
  <c r="JG11" i="40"/>
  <c r="JF11" i="40"/>
  <c r="JE11" i="40"/>
  <c r="JD11" i="40"/>
  <c r="JC11" i="40"/>
  <c r="JB11" i="40"/>
  <c r="IZ11" i="40"/>
  <c r="IY11" i="40"/>
  <c r="IX11" i="40"/>
  <c r="IW11" i="40"/>
  <c r="IV11" i="40"/>
  <c r="IU11" i="40"/>
  <c r="HY11" i="40"/>
  <c r="HX11" i="40"/>
  <c r="HW11" i="40"/>
  <c r="HV11" i="40"/>
  <c r="HU11" i="40"/>
  <c r="HT11" i="40"/>
  <c r="HR11" i="40"/>
  <c r="HQ11" i="40"/>
  <c r="HP11" i="40"/>
  <c r="HO11" i="40"/>
  <c r="HN11" i="40"/>
  <c r="HM11" i="40"/>
  <c r="GQ11" i="40"/>
  <c r="GP11" i="40"/>
  <c r="GO11" i="40"/>
  <c r="GN11" i="40"/>
  <c r="GM11" i="40"/>
  <c r="GL11" i="40"/>
  <c r="GJ11" i="40"/>
  <c r="GI11" i="40"/>
  <c r="GH11" i="40"/>
  <c r="GG11" i="40"/>
  <c r="GF11" i="40"/>
  <c r="GE11" i="40"/>
  <c r="FI11" i="40"/>
  <c r="FH11" i="40"/>
  <c r="FG11" i="40"/>
  <c r="FF11" i="40"/>
  <c r="FE11" i="40"/>
  <c r="FD11" i="40"/>
  <c r="FB11" i="40"/>
  <c r="FA11" i="40"/>
  <c r="EZ11" i="40"/>
  <c r="EY11" i="40"/>
  <c r="EX11" i="40"/>
  <c r="EW11" i="40"/>
  <c r="EA11" i="40"/>
  <c r="DZ11" i="40"/>
  <c r="DY11" i="40"/>
  <c r="DX11" i="40"/>
  <c r="DW11" i="40"/>
  <c r="DV11" i="40"/>
  <c r="DT11" i="40"/>
  <c r="DS11" i="40"/>
  <c r="DR11" i="40"/>
  <c r="DQ11" i="40"/>
  <c r="DU11" i="40" s="1"/>
  <c r="DP11" i="40"/>
  <c r="DO11" i="40"/>
  <c r="CR11" i="40"/>
  <c r="CQ11" i="40"/>
  <c r="CP11" i="40"/>
  <c r="CN11" i="40"/>
  <c r="CM11" i="40"/>
  <c r="CL11" i="40"/>
  <c r="CK11" i="40"/>
  <c r="CO11" i="40" s="1"/>
  <c r="CJ11" i="40"/>
  <c r="CI11" i="40"/>
  <c r="BQ11" i="40"/>
  <c r="BP11" i="40"/>
  <c r="BO11" i="40"/>
  <c r="BM11" i="40"/>
  <c r="BL11" i="40"/>
  <c r="BK11" i="40"/>
  <c r="BJ11" i="40"/>
  <c r="BN11" i="40" s="1"/>
  <c r="BI11" i="40"/>
  <c r="BH11" i="40"/>
  <c r="AP11" i="40"/>
  <c r="AO11" i="40"/>
  <c r="AN11" i="40"/>
  <c r="AL11" i="40"/>
  <c r="AK11" i="40"/>
  <c r="AJ11" i="40"/>
  <c r="AI11" i="40"/>
  <c r="AH11" i="40"/>
  <c r="AG11" i="40"/>
  <c r="WI10" i="40"/>
  <c r="WH10" i="40"/>
  <c r="WG10" i="40"/>
  <c r="WF10" i="40"/>
  <c r="WE10" i="40"/>
  <c r="WD10" i="40"/>
  <c r="WB10" i="40"/>
  <c r="WA10" i="40"/>
  <c r="VZ10" i="40"/>
  <c r="VY10" i="40"/>
  <c r="VX10" i="40"/>
  <c r="VW10" i="40"/>
  <c r="VA10" i="40"/>
  <c r="UZ10" i="40"/>
  <c r="UY10" i="40"/>
  <c r="UX10" i="40"/>
  <c r="UW10" i="40"/>
  <c r="UV10" i="40"/>
  <c r="UT10" i="40"/>
  <c r="US10" i="40"/>
  <c r="UR10" i="40"/>
  <c r="UQ10" i="40"/>
  <c r="UP10" i="40"/>
  <c r="UO10" i="40"/>
  <c r="TS10" i="40"/>
  <c r="TR10" i="40"/>
  <c r="TQ10" i="40"/>
  <c r="TP10" i="40"/>
  <c r="TO10" i="40"/>
  <c r="TN10" i="40"/>
  <c r="TL10" i="40"/>
  <c r="TK10" i="40"/>
  <c r="TJ10" i="40"/>
  <c r="TI10" i="40"/>
  <c r="TH10" i="40"/>
  <c r="TG10" i="40"/>
  <c r="SK10" i="40"/>
  <c r="SJ10" i="40"/>
  <c r="SI10" i="40"/>
  <c r="SH10" i="40"/>
  <c r="SG10" i="40"/>
  <c r="SF10" i="40"/>
  <c r="SD10" i="40"/>
  <c r="SC10" i="40"/>
  <c r="SB10" i="40"/>
  <c r="SA10" i="40"/>
  <c r="RZ10" i="40"/>
  <c r="RY10" i="40"/>
  <c r="RC10" i="40"/>
  <c r="RB10" i="40"/>
  <c r="RA10" i="40"/>
  <c r="QZ10" i="40"/>
  <c r="QY10" i="40"/>
  <c r="QX10" i="40"/>
  <c r="QV10" i="40"/>
  <c r="QU10" i="40"/>
  <c r="QT10" i="40"/>
  <c r="QS10" i="40"/>
  <c r="QR10" i="40"/>
  <c r="QQ10" i="40"/>
  <c r="PU10" i="40"/>
  <c r="PT10" i="40"/>
  <c r="PS10" i="40"/>
  <c r="PR10" i="40"/>
  <c r="PQ10" i="40"/>
  <c r="PP10" i="40"/>
  <c r="PN10" i="40"/>
  <c r="PM10" i="40"/>
  <c r="PL10" i="40"/>
  <c r="PK10" i="40"/>
  <c r="PJ10" i="40"/>
  <c r="PI10" i="40"/>
  <c r="OM10" i="40"/>
  <c r="OL10" i="40"/>
  <c r="OK10" i="40"/>
  <c r="OJ10" i="40"/>
  <c r="OI10" i="40"/>
  <c r="OH10" i="40"/>
  <c r="OF10" i="40"/>
  <c r="OE10" i="40"/>
  <c r="OD10" i="40"/>
  <c r="OC10" i="40"/>
  <c r="OB10" i="40"/>
  <c r="OA10" i="40"/>
  <c r="NE10" i="40"/>
  <c r="ND10" i="40"/>
  <c r="NC10" i="40"/>
  <c r="NB10" i="40"/>
  <c r="NA10" i="40"/>
  <c r="MZ10" i="40"/>
  <c r="MX10" i="40"/>
  <c r="MW10" i="40"/>
  <c r="MV10" i="40"/>
  <c r="MU10" i="40"/>
  <c r="MT10" i="40"/>
  <c r="MS10" i="40"/>
  <c r="LW10" i="40"/>
  <c r="LV10" i="40"/>
  <c r="LU10" i="40"/>
  <c r="LT10" i="40"/>
  <c r="LS10" i="40"/>
  <c r="LR10" i="40"/>
  <c r="LP10" i="40"/>
  <c r="LO10" i="40"/>
  <c r="LN10" i="40"/>
  <c r="LM10" i="40"/>
  <c r="LL10" i="40"/>
  <c r="LK10" i="40"/>
  <c r="KO10" i="40"/>
  <c r="KN10" i="40"/>
  <c r="KM10" i="40"/>
  <c r="KL10" i="40"/>
  <c r="KK10" i="40"/>
  <c r="KJ10" i="40"/>
  <c r="KH10" i="40"/>
  <c r="KG10" i="40"/>
  <c r="KF10" i="40"/>
  <c r="KE10" i="40"/>
  <c r="KD10" i="40"/>
  <c r="KC10" i="40"/>
  <c r="JG10" i="40"/>
  <c r="JF10" i="40"/>
  <c r="JE10" i="40"/>
  <c r="JD10" i="40"/>
  <c r="JC10" i="40"/>
  <c r="JB10" i="40"/>
  <c r="IZ10" i="40"/>
  <c r="IY10" i="40"/>
  <c r="IX10" i="40"/>
  <c r="IW10" i="40"/>
  <c r="IV10" i="40"/>
  <c r="IU10" i="40"/>
  <c r="HY10" i="40"/>
  <c r="HX10" i="40"/>
  <c r="HW10" i="40"/>
  <c r="HV10" i="40"/>
  <c r="HU10" i="40"/>
  <c r="HT10" i="40"/>
  <c r="HR10" i="40"/>
  <c r="HQ10" i="40"/>
  <c r="HP10" i="40"/>
  <c r="HO10" i="40"/>
  <c r="HN10" i="40"/>
  <c r="HM10" i="40"/>
  <c r="GQ10" i="40"/>
  <c r="GP10" i="40"/>
  <c r="GO10" i="40"/>
  <c r="GN10" i="40"/>
  <c r="GM10" i="40"/>
  <c r="GL10" i="40"/>
  <c r="GJ10" i="40"/>
  <c r="GI10" i="40"/>
  <c r="GH10" i="40"/>
  <c r="GG10" i="40"/>
  <c r="GF10" i="40"/>
  <c r="GE10" i="40"/>
  <c r="FI10" i="40"/>
  <c r="FH10" i="40"/>
  <c r="FG10" i="40"/>
  <c r="FF10" i="40"/>
  <c r="FE10" i="40"/>
  <c r="FD10" i="40"/>
  <c r="FB10" i="40"/>
  <c r="FA10" i="40"/>
  <c r="EZ10" i="40"/>
  <c r="EY10" i="40"/>
  <c r="EX10" i="40"/>
  <c r="EW10" i="40"/>
  <c r="EA10" i="40"/>
  <c r="DZ10" i="40"/>
  <c r="DY10" i="40"/>
  <c r="DX10" i="40"/>
  <c r="DW10" i="40"/>
  <c r="DV10" i="40"/>
  <c r="DT10" i="40"/>
  <c r="DS10" i="40"/>
  <c r="DR10" i="40"/>
  <c r="DQ10" i="40"/>
  <c r="DP10" i="40"/>
  <c r="DO10" i="40"/>
  <c r="CR10" i="40"/>
  <c r="CQ10" i="40"/>
  <c r="CP10" i="40"/>
  <c r="CN10" i="40"/>
  <c r="CM10" i="40"/>
  <c r="CL10" i="40"/>
  <c r="CK10" i="40"/>
  <c r="CO10" i="40" s="1"/>
  <c r="CJ10" i="40"/>
  <c r="CI10" i="40"/>
  <c r="BQ10" i="40"/>
  <c r="BP10" i="40"/>
  <c r="BO10" i="40"/>
  <c r="BM10" i="40"/>
  <c r="BL10" i="40"/>
  <c r="BK10" i="40"/>
  <c r="BJ10" i="40"/>
  <c r="BI10" i="40"/>
  <c r="BH10" i="40"/>
  <c r="AP10" i="40"/>
  <c r="AO10" i="40"/>
  <c r="AN10" i="40"/>
  <c r="AL10" i="40"/>
  <c r="AK10" i="40"/>
  <c r="AJ10" i="40"/>
  <c r="AI10" i="40"/>
  <c r="AM10" i="40" s="1"/>
  <c r="AH10" i="40"/>
  <c r="AG10" i="40"/>
  <c r="WI9" i="40"/>
  <c r="WH9" i="40"/>
  <c r="WG9" i="40"/>
  <c r="WF9" i="40"/>
  <c r="WE9" i="40"/>
  <c r="WD9" i="40"/>
  <c r="WB9" i="40"/>
  <c r="WA9" i="40"/>
  <c r="VZ9" i="40"/>
  <c r="VY9" i="40"/>
  <c r="VX9" i="40"/>
  <c r="VW9" i="40"/>
  <c r="VA9" i="40"/>
  <c r="UZ9" i="40"/>
  <c r="UY9" i="40"/>
  <c r="UX9" i="40"/>
  <c r="UW9" i="40"/>
  <c r="UV9" i="40"/>
  <c r="UT9" i="40"/>
  <c r="US9" i="40"/>
  <c r="UR9" i="40"/>
  <c r="UQ9" i="40"/>
  <c r="UP9" i="40"/>
  <c r="UO9" i="40"/>
  <c r="TS9" i="40"/>
  <c r="TR9" i="40"/>
  <c r="TQ9" i="40"/>
  <c r="TP9" i="40"/>
  <c r="TO9" i="40"/>
  <c r="TN9" i="40"/>
  <c r="TL9" i="40"/>
  <c r="TK9" i="40"/>
  <c r="TJ9" i="40"/>
  <c r="TI9" i="40"/>
  <c r="TH9" i="40"/>
  <c r="TG9" i="40"/>
  <c r="SK9" i="40"/>
  <c r="SJ9" i="40"/>
  <c r="SI9" i="40"/>
  <c r="SH9" i="40"/>
  <c r="SG9" i="40"/>
  <c r="SF9" i="40"/>
  <c r="SD9" i="40"/>
  <c r="SC9" i="40"/>
  <c r="SB9" i="40"/>
  <c r="SA9" i="40"/>
  <c r="RZ9" i="40"/>
  <c r="RY9" i="40"/>
  <c r="RC9" i="40"/>
  <c r="RB9" i="40"/>
  <c r="RA9" i="40"/>
  <c r="QZ9" i="40"/>
  <c r="QY9" i="40"/>
  <c r="QX9" i="40"/>
  <c r="QV9" i="40"/>
  <c r="QU9" i="40"/>
  <c r="QT9" i="40"/>
  <c r="QS9" i="40"/>
  <c r="QR9" i="40"/>
  <c r="QQ9" i="40"/>
  <c r="PU9" i="40"/>
  <c r="PT9" i="40"/>
  <c r="PS9" i="40"/>
  <c r="PR9" i="40"/>
  <c r="PQ9" i="40"/>
  <c r="PP9" i="40"/>
  <c r="PN9" i="40"/>
  <c r="PM9" i="40"/>
  <c r="PL9" i="40"/>
  <c r="PK9" i="40"/>
  <c r="PO9" i="40" s="1"/>
  <c r="PJ9" i="40"/>
  <c r="PI9" i="40"/>
  <c r="OM9" i="40"/>
  <c r="OL9" i="40"/>
  <c r="OK9" i="40"/>
  <c r="OJ9" i="40"/>
  <c r="OI9" i="40"/>
  <c r="OH9" i="40"/>
  <c r="OF9" i="40"/>
  <c r="OE9" i="40"/>
  <c r="OD9" i="40"/>
  <c r="OC9" i="40"/>
  <c r="OB9" i="40"/>
  <c r="OA9" i="40"/>
  <c r="NE9" i="40"/>
  <c r="ND9" i="40"/>
  <c r="NC9" i="40"/>
  <c r="NB9" i="40"/>
  <c r="NA9" i="40"/>
  <c r="MZ9" i="40"/>
  <c r="MX9" i="40"/>
  <c r="MW9" i="40"/>
  <c r="MV9" i="40"/>
  <c r="MU9" i="40"/>
  <c r="MT9" i="40"/>
  <c r="MS9" i="40"/>
  <c r="LW9" i="40"/>
  <c r="LV9" i="40"/>
  <c r="LU9" i="40"/>
  <c r="LT9" i="40"/>
  <c r="LS9" i="40"/>
  <c r="LR9" i="40"/>
  <c r="LP9" i="40"/>
  <c r="LO9" i="40"/>
  <c r="LN9" i="40"/>
  <c r="LM9" i="40"/>
  <c r="LL9" i="40"/>
  <c r="LK9" i="40"/>
  <c r="KO9" i="40"/>
  <c r="KN9" i="40"/>
  <c r="KM9" i="40"/>
  <c r="KL9" i="40"/>
  <c r="KK9" i="40"/>
  <c r="KJ9" i="40"/>
  <c r="KH9" i="40"/>
  <c r="KG9" i="40"/>
  <c r="KF9" i="40"/>
  <c r="KE9" i="40"/>
  <c r="KD9" i="40"/>
  <c r="KC9" i="40"/>
  <c r="JG9" i="40"/>
  <c r="JF9" i="40"/>
  <c r="JE9" i="40"/>
  <c r="JD9" i="40"/>
  <c r="JC9" i="40"/>
  <c r="JB9" i="40"/>
  <c r="IZ9" i="40"/>
  <c r="IY9" i="40"/>
  <c r="IX9" i="40"/>
  <c r="IW9" i="40"/>
  <c r="IV9" i="40"/>
  <c r="IU9" i="40"/>
  <c r="HY9" i="40"/>
  <c r="HX9" i="40"/>
  <c r="HW9" i="40"/>
  <c r="HV9" i="40"/>
  <c r="HU9" i="40"/>
  <c r="HT9" i="40"/>
  <c r="HR9" i="40"/>
  <c r="HQ9" i="40"/>
  <c r="HP9" i="40"/>
  <c r="HO9" i="40"/>
  <c r="HN9" i="40"/>
  <c r="HM9" i="40"/>
  <c r="GQ9" i="40"/>
  <c r="GP9" i="40"/>
  <c r="GO9" i="40"/>
  <c r="GN9" i="40"/>
  <c r="GM9" i="40"/>
  <c r="GL9" i="40"/>
  <c r="GJ9" i="40"/>
  <c r="GI9" i="40"/>
  <c r="GH9" i="40"/>
  <c r="GG9" i="40"/>
  <c r="GK9" i="40" s="1"/>
  <c r="GF9" i="40"/>
  <c r="GE9" i="40"/>
  <c r="FI9" i="40"/>
  <c r="FH9" i="40"/>
  <c r="FG9" i="40"/>
  <c r="FF9" i="40"/>
  <c r="FE9" i="40"/>
  <c r="FD9" i="40"/>
  <c r="FB9" i="40"/>
  <c r="FA9" i="40"/>
  <c r="EZ9" i="40"/>
  <c r="EY9" i="40"/>
  <c r="EX9" i="40"/>
  <c r="EW9" i="40"/>
  <c r="EA9" i="40"/>
  <c r="DZ9" i="40"/>
  <c r="DY9" i="40"/>
  <c r="DX9" i="40"/>
  <c r="DW9" i="40"/>
  <c r="DV9" i="40"/>
  <c r="DT9" i="40"/>
  <c r="DS9" i="40"/>
  <c r="DR9" i="40"/>
  <c r="DQ9" i="40"/>
  <c r="DP9" i="40"/>
  <c r="DO9" i="40"/>
  <c r="CR9" i="40"/>
  <c r="CQ9" i="40"/>
  <c r="CP9" i="40"/>
  <c r="CN9" i="40"/>
  <c r="CM9" i="40"/>
  <c r="CL9" i="40"/>
  <c r="CK9" i="40"/>
  <c r="CO9" i="40" s="1"/>
  <c r="CJ9" i="40"/>
  <c r="CI9" i="40"/>
  <c r="BQ9" i="40"/>
  <c r="BP9" i="40"/>
  <c r="BO9" i="40"/>
  <c r="BM9" i="40"/>
  <c r="BL9" i="40"/>
  <c r="BK9" i="40"/>
  <c r="BJ9" i="40"/>
  <c r="BN9" i="40" s="1"/>
  <c r="BI9" i="40"/>
  <c r="BH9" i="40"/>
  <c r="AP9" i="40"/>
  <c r="AO9" i="40"/>
  <c r="AN9" i="40"/>
  <c r="AL9" i="40"/>
  <c r="AK9" i="40"/>
  <c r="AJ9" i="40"/>
  <c r="AI9" i="40"/>
  <c r="AH9" i="40"/>
  <c r="AG9" i="40"/>
  <c r="WI8" i="40"/>
  <c r="WH8" i="40"/>
  <c r="WG8" i="40"/>
  <c r="WF8" i="40"/>
  <c r="WE8" i="40"/>
  <c r="WD8" i="40"/>
  <c r="WB8" i="40"/>
  <c r="WA8" i="40"/>
  <c r="VZ8" i="40"/>
  <c r="VY8" i="40"/>
  <c r="WC8" i="40" s="1"/>
  <c r="VX8" i="40"/>
  <c r="VW8" i="40"/>
  <c r="VA8" i="40"/>
  <c r="UZ8" i="40"/>
  <c r="UY8" i="40"/>
  <c r="UX8" i="40"/>
  <c r="UW8" i="40"/>
  <c r="UV8" i="40"/>
  <c r="UT8" i="40"/>
  <c r="US8" i="40"/>
  <c r="UR8" i="40"/>
  <c r="UQ8" i="40"/>
  <c r="UP8" i="40"/>
  <c r="UO8" i="40"/>
  <c r="TS8" i="40"/>
  <c r="TR8" i="40"/>
  <c r="TQ8" i="40"/>
  <c r="TP8" i="40"/>
  <c r="TO8" i="40"/>
  <c r="TN8" i="40"/>
  <c r="TL8" i="40"/>
  <c r="TK8" i="40"/>
  <c r="TJ8" i="40"/>
  <c r="TI8" i="40"/>
  <c r="TM8" i="40" s="1"/>
  <c r="TH8" i="40"/>
  <c r="TG8" i="40"/>
  <c r="SK8" i="40"/>
  <c r="SJ8" i="40"/>
  <c r="SI8" i="40"/>
  <c r="SH8" i="40"/>
  <c r="SG8" i="40"/>
  <c r="SF8" i="40"/>
  <c r="SD8" i="40"/>
  <c r="SC8" i="40"/>
  <c r="SB8" i="40"/>
  <c r="SA8" i="40"/>
  <c r="RZ8" i="40"/>
  <c r="RY8" i="40"/>
  <c r="RC8" i="40"/>
  <c r="RB8" i="40"/>
  <c r="RA8" i="40"/>
  <c r="QZ8" i="40"/>
  <c r="QY8" i="40"/>
  <c r="QX8" i="40"/>
  <c r="QV8" i="40"/>
  <c r="QU8" i="40"/>
  <c r="QT8" i="40"/>
  <c r="QS8" i="40"/>
  <c r="QR8" i="40"/>
  <c r="QQ8" i="40"/>
  <c r="PU8" i="40"/>
  <c r="PT8" i="40"/>
  <c r="PS8" i="40"/>
  <c r="PR8" i="40"/>
  <c r="PQ8" i="40"/>
  <c r="PP8" i="40"/>
  <c r="PN8" i="40"/>
  <c r="PM8" i="40"/>
  <c r="PL8" i="40"/>
  <c r="PK8" i="40"/>
  <c r="PJ8" i="40"/>
  <c r="PI8" i="40"/>
  <c r="OM8" i="40"/>
  <c r="OL8" i="40"/>
  <c r="OK8" i="40"/>
  <c r="OJ8" i="40"/>
  <c r="OI8" i="40"/>
  <c r="OH8" i="40"/>
  <c r="OF8" i="40"/>
  <c r="OE8" i="40"/>
  <c r="OD8" i="40"/>
  <c r="OC8" i="40"/>
  <c r="OB8" i="40"/>
  <c r="OA8" i="40"/>
  <c r="NE8" i="40"/>
  <c r="ND8" i="40"/>
  <c r="NC8" i="40"/>
  <c r="NB8" i="40"/>
  <c r="NA8" i="40"/>
  <c r="MZ8" i="40"/>
  <c r="MX8" i="40"/>
  <c r="MW8" i="40"/>
  <c r="MV8" i="40"/>
  <c r="MU8" i="40"/>
  <c r="MT8" i="40"/>
  <c r="MS8" i="40"/>
  <c r="LW8" i="40"/>
  <c r="LV8" i="40"/>
  <c r="LU8" i="40"/>
  <c r="LT8" i="40"/>
  <c r="LS8" i="40"/>
  <c r="LR8" i="40"/>
  <c r="LP8" i="40"/>
  <c r="LO8" i="40"/>
  <c r="LN8" i="40"/>
  <c r="LM8" i="40"/>
  <c r="LL8" i="40"/>
  <c r="LK8" i="40"/>
  <c r="KO8" i="40"/>
  <c r="KN8" i="40"/>
  <c r="KM8" i="40"/>
  <c r="KL8" i="40"/>
  <c r="KK8" i="40"/>
  <c r="KJ8" i="40"/>
  <c r="KH8" i="40"/>
  <c r="KG8" i="40"/>
  <c r="KF8" i="40"/>
  <c r="KE8" i="40"/>
  <c r="KD8" i="40"/>
  <c r="KC8" i="40"/>
  <c r="JG8" i="40"/>
  <c r="JF8" i="40"/>
  <c r="JE8" i="40"/>
  <c r="JD8" i="40"/>
  <c r="JC8" i="40"/>
  <c r="JB8" i="40"/>
  <c r="IZ8" i="40"/>
  <c r="IY8" i="40"/>
  <c r="IX8" i="40"/>
  <c r="IW8" i="40"/>
  <c r="JA8" i="40" s="1"/>
  <c r="IV8" i="40"/>
  <c r="IU8" i="40"/>
  <c r="HY8" i="40"/>
  <c r="HX8" i="40"/>
  <c r="HW8" i="40"/>
  <c r="HV8" i="40"/>
  <c r="HU8" i="40"/>
  <c r="HT8" i="40"/>
  <c r="HR8" i="40"/>
  <c r="HQ8" i="40"/>
  <c r="HP8" i="40"/>
  <c r="HO8" i="40"/>
  <c r="HN8" i="40"/>
  <c r="HM8" i="40"/>
  <c r="GQ8" i="40"/>
  <c r="GP8" i="40"/>
  <c r="GO8" i="40"/>
  <c r="GN8" i="40"/>
  <c r="GM8" i="40"/>
  <c r="GL8" i="40"/>
  <c r="GJ8" i="40"/>
  <c r="GI8" i="40"/>
  <c r="GH8" i="40"/>
  <c r="GG8" i="40"/>
  <c r="GF8" i="40"/>
  <c r="GE8" i="40"/>
  <c r="FI8" i="40"/>
  <c r="FH8" i="40"/>
  <c r="FG8" i="40"/>
  <c r="FF8" i="40"/>
  <c r="FE8" i="40"/>
  <c r="FD8" i="40"/>
  <c r="FB8" i="40"/>
  <c r="FA8" i="40"/>
  <c r="EZ8" i="40"/>
  <c r="EY8" i="40"/>
  <c r="EX8" i="40"/>
  <c r="EW8" i="40"/>
  <c r="EA8" i="40"/>
  <c r="DZ8" i="40"/>
  <c r="DY8" i="40"/>
  <c r="DX8" i="40"/>
  <c r="DW8" i="40"/>
  <c r="DV8" i="40"/>
  <c r="DT8" i="40"/>
  <c r="DS8" i="40"/>
  <c r="DR8" i="40"/>
  <c r="DQ8" i="40"/>
  <c r="DP8" i="40"/>
  <c r="DO8" i="40"/>
  <c r="CR8" i="40"/>
  <c r="CQ8" i="40"/>
  <c r="CP8" i="40"/>
  <c r="CN8" i="40"/>
  <c r="CM8" i="40"/>
  <c r="CL8" i="40"/>
  <c r="CK8" i="40"/>
  <c r="CO8" i="40" s="1"/>
  <c r="CJ8" i="40"/>
  <c r="CI8" i="40"/>
  <c r="BQ8" i="40"/>
  <c r="BP8" i="40"/>
  <c r="BO8" i="40"/>
  <c r="BM8" i="40"/>
  <c r="BL8" i="40"/>
  <c r="BK8" i="40"/>
  <c r="BJ8" i="40"/>
  <c r="BI8" i="40"/>
  <c r="BH8" i="40"/>
  <c r="AP8" i="40"/>
  <c r="AO8" i="40"/>
  <c r="AN8" i="40"/>
  <c r="AL8" i="40"/>
  <c r="AK8" i="40"/>
  <c r="AJ8" i="40"/>
  <c r="AI8" i="40"/>
  <c r="AH8" i="40"/>
  <c r="AG8" i="40"/>
  <c r="WI7" i="40"/>
  <c r="WH7" i="40"/>
  <c r="WG7" i="40"/>
  <c r="WF7" i="40"/>
  <c r="WE7" i="40"/>
  <c r="WD7" i="40"/>
  <c r="WB7" i="40"/>
  <c r="WA7" i="40"/>
  <c r="VZ7" i="40"/>
  <c r="VY7" i="40"/>
  <c r="VX7" i="40"/>
  <c r="VW7" i="40"/>
  <c r="VA7" i="40"/>
  <c r="UZ7" i="40"/>
  <c r="UY7" i="40"/>
  <c r="UX7" i="40"/>
  <c r="UW7" i="40"/>
  <c r="UV7" i="40"/>
  <c r="UT7" i="40"/>
  <c r="US7" i="40"/>
  <c r="UR7" i="40"/>
  <c r="UQ7" i="40"/>
  <c r="UP7" i="40"/>
  <c r="UO7" i="40"/>
  <c r="TS7" i="40"/>
  <c r="TR7" i="40"/>
  <c r="TQ7" i="40"/>
  <c r="TP7" i="40"/>
  <c r="TO7" i="40"/>
  <c r="TN7" i="40"/>
  <c r="TL7" i="40"/>
  <c r="TK7" i="40"/>
  <c r="TJ7" i="40"/>
  <c r="TI7" i="40"/>
  <c r="TM7" i="40" s="1"/>
  <c r="TH7" i="40"/>
  <c r="TG7" i="40"/>
  <c r="SK7" i="40"/>
  <c r="SJ7" i="40"/>
  <c r="SI7" i="40"/>
  <c r="SH7" i="40"/>
  <c r="SG7" i="40"/>
  <c r="SF7" i="40"/>
  <c r="SD7" i="40"/>
  <c r="SC7" i="40"/>
  <c r="SB7" i="40"/>
  <c r="SA7" i="40"/>
  <c r="RZ7" i="40"/>
  <c r="RY7" i="40"/>
  <c r="RC7" i="40"/>
  <c r="RB7" i="40"/>
  <c r="RA7" i="40"/>
  <c r="QZ7" i="40"/>
  <c r="QY7" i="40"/>
  <c r="QX7" i="40"/>
  <c r="QV7" i="40"/>
  <c r="QU7" i="40"/>
  <c r="QT7" i="40"/>
  <c r="QS7" i="40"/>
  <c r="QR7" i="40"/>
  <c r="QQ7" i="40"/>
  <c r="PU7" i="40"/>
  <c r="PT7" i="40"/>
  <c r="PS7" i="40"/>
  <c r="PR7" i="40"/>
  <c r="PQ7" i="40"/>
  <c r="PP7" i="40"/>
  <c r="PN7" i="40"/>
  <c r="PM7" i="40"/>
  <c r="PL7" i="40"/>
  <c r="PK7" i="40"/>
  <c r="PJ7" i="40"/>
  <c r="PI7" i="40"/>
  <c r="OM7" i="40"/>
  <c r="OL7" i="40"/>
  <c r="OK7" i="40"/>
  <c r="OJ7" i="40"/>
  <c r="OI7" i="40"/>
  <c r="OH7" i="40"/>
  <c r="OF7" i="40"/>
  <c r="OE7" i="40"/>
  <c r="OD7" i="40"/>
  <c r="OC7" i="40"/>
  <c r="OB7" i="40"/>
  <c r="OA7" i="40"/>
  <c r="NE7" i="40"/>
  <c r="ND7" i="40"/>
  <c r="NC7" i="40"/>
  <c r="NB7" i="40"/>
  <c r="NA7" i="40"/>
  <c r="MZ7" i="40"/>
  <c r="MX7" i="40"/>
  <c r="MW7" i="40"/>
  <c r="MV7" i="40"/>
  <c r="MU7" i="40"/>
  <c r="MT7" i="40"/>
  <c r="MS7" i="40"/>
  <c r="LW7" i="40"/>
  <c r="LV7" i="40"/>
  <c r="LU7" i="40"/>
  <c r="LT7" i="40"/>
  <c r="LS7" i="40"/>
  <c r="LR7" i="40"/>
  <c r="LP7" i="40"/>
  <c r="LO7" i="40"/>
  <c r="LN7" i="40"/>
  <c r="LM7" i="40"/>
  <c r="LL7" i="40"/>
  <c r="LK7" i="40"/>
  <c r="KO7" i="40"/>
  <c r="KN7" i="40"/>
  <c r="KM7" i="40"/>
  <c r="KL7" i="40"/>
  <c r="KK7" i="40"/>
  <c r="KJ7" i="40"/>
  <c r="KH7" i="40"/>
  <c r="KG7" i="40"/>
  <c r="KF7" i="40"/>
  <c r="KE7" i="40"/>
  <c r="KI7" i="40" s="1"/>
  <c r="KD7" i="40"/>
  <c r="KC7" i="40"/>
  <c r="JG7" i="40"/>
  <c r="JF7" i="40"/>
  <c r="JE7" i="40"/>
  <c r="JD7" i="40"/>
  <c r="JC7" i="40"/>
  <c r="JB7" i="40"/>
  <c r="IZ7" i="40"/>
  <c r="IY7" i="40"/>
  <c r="IX7" i="40"/>
  <c r="IW7" i="40"/>
  <c r="IV7" i="40"/>
  <c r="IU7" i="40"/>
  <c r="HY7" i="40"/>
  <c r="HX7" i="40"/>
  <c r="HW7" i="40"/>
  <c r="HV7" i="40"/>
  <c r="HU7" i="40"/>
  <c r="HT7" i="40"/>
  <c r="HR7" i="40"/>
  <c r="HQ7" i="40"/>
  <c r="HP7" i="40"/>
  <c r="HO7" i="40"/>
  <c r="HN7" i="40"/>
  <c r="HM7" i="40"/>
  <c r="GQ7" i="40"/>
  <c r="GP7" i="40"/>
  <c r="GO7" i="40"/>
  <c r="GN7" i="40"/>
  <c r="GM7" i="40"/>
  <c r="GL7" i="40"/>
  <c r="GJ7" i="40"/>
  <c r="GI7" i="40"/>
  <c r="GH7" i="40"/>
  <c r="GG7" i="40"/>
  <c r="GF7" i="40"/>
  <c r="GE7" i="40"/>
  <c r="FI7" i="40"/>
  <c r="FH7" i="40"/>
  <c r="FG7" i="40"/>
  <c r="FF7" i="40"/>
  <c r="FE7" i="40"/>
  <c r="FD7" i="40"/>
  <c r="FB7" i="40"/>
  <c r="FA7" i="40"/>
  <c r="EZ7" i="40"/>
  <c r="EY7" i="40"/>
  <c r="EX7" i="40"/>
  <c r="EW7" i="40"/>
  <c r="EA7" i="40"/>
  <c r="DZ7" i="40"/>
  <c r="DY7" i="40"/>
  <c r="DX7" i="40"/>
  <c r="DW7" i="40"/>
  <c r="DV7" i="40"/>
  <c r="DT7" i="40"/>
  <c r="DS7" i="40"/>
  <c r="DR7" i="40"/>
  <c r="DQ7" i="40"/>
  <c r="DP7" i="40"/>
  <c r="DO7" i="40"/>
  <c r="CR7" i="40"/>
  <c r="CQ7" i="40"/>
  <c r="CP7" i="40"/>
  <c r="CN7" i="40"/>
  <c r="CM7" i="40"/>
  <c r="CL7" i="40"/>
  <c r="CK7" i="40"/>
  <c r="CO7" i="40" s="1"/>
  <c r="CJ7" i="40"/>
  <c r="CI7" i="40"/>
  <c r="BQ7" i="40"/>
  <c r="BP7" i="40"/>
  <c r="BO7" i="40"/>
  <c r="BM7" i="40"/>
  <c r="BL7" i="40"/>
  <c r="BK7" i="40"/>
  <c r="BJ7" i="40"/>
  <c r="BI7" i="40"/>
  <c r="BH7" i="40"/>
  <c r="AP7" i="40"/>
  <c r="AO7" i="40"/>
  <c r="AN7" i="40"/>
  <c r="AL7" i="40"/>
  <c r="AK7" i="40"/>
  <c r="AJ7" i="40"/>
  <c r="AI7" i="40"/>
  <c r="AH7" i="40"/>
  <c r="AG7" i="40"/>
  <c r="WI6" i="40"/>
  <c r="WH6" i="40"/>
  <c r="WG6" i="40"/>
  <c r="WF6" i="40"/>
  <c r="WE6" i="40"/>
  <c r="WD6" i="40"/>
  <c r="WB6" i="40"/>
  <c r="WA6" i="40"/>
  <c r="VZ6" i="40"/>
  <c r="VY6" i="40"/>
  <c r="WC6" i="40" s="1"/>
  <c r="VX6" i="40"/>
  <c r="VW6" i="40"/>
  <c r="VA6" i="40"/>
  <c r="UZ6" i="40"/>
  <c r="UY6" i="40"/>
  <c r="UX6" i="40"/>
  <c r="UW6" i="40"/>
  <c r="UV6" i="40"/>
  <c r="UT6" i="40"/>
  <c r="US6" i="40"/>
  <c r="UR6" i="40"/>
  <c r="UQ6" i="40"/>
  <c r="UP6" i="40"/>
  <c r="UO6" i="40"/>
  <c r="TS6" i="40"/>
  <c r="TR6" i="40"/>
  <c r="TQ6" i="40"/>
  <c r="TP6" i="40"/>
  <c r="TO6" i="40"/>
  <c r="TN6" i="40"/>
  <c r="TL6" i="40"/>
  <c r="TK6" i="40"/>
  <c r="TJ6" i="40"/>
  <c r="TI6" i="40"/>
  <c r="TH6" i="40"/>
  <c r="TG6" i="40"/>
  <c r="SK6" i="40"/>
  <c r="SJ6" i="40"/>
  <c r="SI6" i="40"/>
  <c r="SH6" i="40"/>
  <c r="SG6" i="40"/>
  <c r="SF6" i="40"/>
  <c r="SD6" i="40"/>
  <c r="SC6" i="40"/>
  <c r="SB6" i="40"/>
  <c r="SA6" i="40"/>
  <c r="RZ6" i="40"/>
  <c r="RY6" i="40"/>
  <c r="RC6" i="40"/>
  <c r="RB6" i="40"/>
  <c r="RA6" i="40"/>
  <c r="QZ6" i="40"/>
  <c r="QY6" i="40"/>
  <c r="QX6" i="40"/>
  <c r="QV6" i="40"/>
  <c r="QU6" i="40"/>
  <c r="QT6" i="40"/>
  <c r="QS6" i="40"/>
  <c r="QR6" i="40"/>
  <c r="QQ6" i="40"/>
  <c r="PU6" i="40"/>
  <c r="PT6" i="40"/>
  <c r="PS6" i="40"/>
  <c r="PR6" i="40"/>
  <c r="PQ6" i="40"/>
  <c r="PP6" i="40"/>
  <c r="PN6" i="40"/>
  <c r="PM6" i="40"/>
  <c r="PL6" i="40"/>
  <c r="PK6" i="40"/>
  <c r="PJ6" i="40"/>
  <c r="PI6" i="40"/>
  <c r="OM6" i="40"/>
  <c r="OL6" i="40"/>
  <c r="OK6" i="40"/>
  <c r="OJ6" i="40"/>
  <c r="OI6" i="40"/>
  <c r="OH6" i="40"/>
  <c r="OF6" i="40"/>
  <c r="OE6" i="40"/>
  <c r="OD6" i="40"/>
  <c r="OC6" i="40"/>
  <c r="OG6" i="40" s="1"/>
  <c r="OB6" i="40"/>
  <c r="OA6" i="40"/>
  <c r="NE6" i="40"/>
  <c r="ND6" i="40"/>
  <c r="NC6" i="40"/>
  <c r="NB6" i="40"/>
  <c r="NA6" i="40"/>
  <c r="MZ6" i="40"/>
  <c r="MX6" i="40"/>
  <c r="MW6" i="40"/>
  <c r="MV6" i="40"/>
  <c r="MU6" i="40"/>
  <c r="MY6" i="40" s="1"/>
  <c r="MT6" i="40"/>
  <c r="MS6" i="40"/>
  <c r="LW6" i="40"/>
  <c r="LV6" i="40"/>
  <c r="LU6" i="40"/>
  <c r="LT6" i="40"/>
  <c r="LS6" i="40"/>
  <c r="LR6" i="40"/>
  <c r="LP6" i="40"/>
  <c r="LO6" i="40"/>
  <c r="LN6" i="40"/>
  <c r="LM6" i="40"/>
  <c r="LL6" i="40"/>
  <c r="LK6" i="40"/>
  <c r="KO6" i="40"/>
  <c r="KN6" i="40"/>
  <c r="KM6" i="40"/>
  <c r="KL6" i="40"/>
  <c r="KK6" i="40"/>
  <c r="KJ6" i="40"/>
  <c r="KH6" i="40"/>
  <c r="KG6" i="40"/>
  <c r="KF6" i="40"/>
  <c r="KE6" i="40"/>
  <c r="KD6" i="40"/>
  <c r="KC6" i="40"/>
  <c r="JG6" i="40"/>
  <c r="JF6" i="40"/>
  <c r="JE6" i="40"/>
  <c r="JD6" i="40"/>
  <c r="JC6" i="40"/>
  <c r="JB6" i="40"/>
  <c r="IZ6" i="40"/>
  <c r="IY6" i="40"/>
  <c r="IX6" i="40"/>
  <c r="IW6" i="40"/>
  <c r="IV6" i="40"/>
  <c r="IU6" i="40"/>
  <c r="HY6" i="40"/>
  <c r="HX6" i="40"/>
  <c r="HW6" i="40"/>
  <c r="HV6" i="40"/>
  <c r="HU6" i="40"/>
  <c r="HT6" i="40"/>
  <c r="HR6" i="40"/>
  <c r="HQ6" i="40"/>
  <c r="HP6" i="40"/>
  <c r="HO6" i="40"/>
  <c r="HN6" i="40"/>
  <c r="HM6" i="40"/>
  <c r="GQ6" i="40"/>
  <c r="GP6" i="40"/>
  <c r="GO6" i="40"/>
  <c r="GN6" i="40"/>
  <c r="GM6" i="40"/>
  <c r="GL6" i="40"/>
  <c r="GJ6" i="40"/>
  <c r="GI6" i="40"/>
  <c r="GH6" i="40"/>
  <c r="GG6" i="40"/>
  <c r="GF6" i="40"/>
  <c r="GE6" i="40"/>
  <c r="FI6" i="40"/>
  <c r="FH6" i="40"/>
  <c r="FG6" i="40"/>
  <c r="FF6" i="40"/>
  <c r="FE6" i="40"/>
  <c r="FD6" i="40"/>
  <c r="FB6" i="40"/>
  <c r="FA6" i="40"/>
  <c r="EZ6" i="40"/>
  <c r="EY6" i="40"/>
  <c r="FC6" i="40" s="1"/>
  <c r="EX6" i="40"/>
  <c r="EW6" i="40"/>
  <c r="EA6" i="40"/>
  <c r="DZ6" i="40"/>
  <c r="DY6" i="40"/>
  <c r="DX6" i="40"/>
  <c r="DW6" i="40"/>
  <c r="DV6" i="40"/>
  <c r="DT6" i="40"/>
  <c r="DS6" i="40"/>
  <c r="DR6" i="40"/>
  <c r="DQ6" i="40"/>
  <c r="DU6" i="40" s="1"/>
  <c r="DP6" i="40"/>
  <c r="DO6" i="40"/>
  <c r="CR6" i="40"/>
  <c r="CQ6" i="40"/>
  <c r="CP6" i="40"/>
  <c r="CN6" i="40"/>
  <c r="CM6" i="40"/>
  <c r="CL6" i="40"/>
  <c r="CK6" i="40"/>
  <c r="CO6" i="40" s="1"/>
  <c r="CJ6" i="40"/>
  <c r="CI6" i="40"/>
  <c r="BQ6" i="40"/>
  <c r="BP6" i="40"/>
  <c r="BO6" i="40"/>
  <c r="BM6" i="40"/>
  <c r="BL6" i="40"/>
  <c r="BK6" i="40"/>
  <c r="BJ6" i="40"/>
  <c r="BI6" i="40"/>
  <c r="BH6" i="40"/>
  <c r="AP6" i="40"/>
  <c r="AO6" i="40"/>
  <c r="AN6" i="40"/>
  <c r="AL6" i="40"/>
  <c r="AK6" i="40"/>
  <c r="AJ6" i="40"/>
  <c r="AI6" i="40"/>
  <c r="AH6" i="40"/>
  <c r="AG6" i="40"/>
  <c r="WI5" i="40"/>
  <c r="WH5" i="40"/>
  <c r="WG5" i="40"/>
  <c r="WF5" i="40"/>
  <c r="WE5" i="40"/>
  <c r="WD5" i="40"/>
  <c r="WB5" i="40"/>
  <c r="WA5" i="40"/>
  <c r="VZ5" i="40"/>
  <c r="VY5" i="40"/>
  <c r="VX5" i="40"/>
  <c r="VW5" i="40"/>
  <c r="VA5" i="40"/>
  <c r="UZ5" i="40"/>
  <c r="UY5" i="40"/>
  <c r="UX5" i="40"/>
  <c r="UW5" i="40"/>
  <c r="UV5" i="40"/>
  <c r="UT5" i="40"/>
  <c r="US5" i="40"/>
  <c r="UR5" i="40"/>
  <c r="UQ5" i="40"/>
  <c r="UP5" i="40"/>
  <c r="UO5" i="40"/>
  <c r="TS5" i="40"/>
  <c r="TR5" i="40"/>
  <c r="TQ5" i="40"/>
  <c r="TP5" i="40"/>
  <c r="TO5" i="40"/>
  <c r="TN5" i="40"/>
  <c r="TL5" i="40"/>
  <c r="TK5" i="40"/>
  <c r="TJ5" i="40"/>
  <c r="TI5" i="40"/>
  <c r="TH5" i="40"/>
  <c r="TG5" i="40"/>
  <c r="SK5" i="40"/>
  <c r="SJ5" i="40"/>
  <c r="SI5" i="40"/>
  <c r="SH5" i="40"/>
  <c r="SG5" i="40"/>
  <c r="SF5" i="40"/>
  <c r="SD5" i="40"/>
  <c r="SC5" i="40"/>
  <c r="SB5" i="40"/>
  <c r="SA5" i="40"/>
  <c r="SE5" i="40" s="1"/>
  <c r="RZ5" i="40"/>
  <c r="RY5" i="40"/>
  <c r="RC5" i="40"/>
  <c r="RB5" i="40"/>
  <c r="RA5" i="40"/>
  <c r="QZ5" i="40"/>
  <c r="QY5" i="40"/>
  <c r="QX5" i="40"/>
  <c r="QV5" i="40"/>
  <c r="QU5" i="40"/>
  <c r="QT5" i="40"/>
  <c r="QS5" i="40"/>
  <c r="QR5" i="40"/>
  <c r="QQ5" i="40"/>
  <c r="PU5" i="40"/>
  <c r="PT5" i="40"/>
  <c r="PS5" i="40"/>
  <c r="PR5" i="40"/>
  <c r="PQ5" i="40"/>
  <c r="PP5" i="40"/>
  <c r="PN5" i="40"/>
  <c r="PM5" i="40"/>
  <c r="PL5" i="40"/>
  <c r="PK5" i="40"/>
  <c r="PO5" i="40" s="1"/>
  <c r="PJ5" i="40"/>
  <c r="PI5" i="40"/>
  <c r="OM5" i="40"/>
  <c r="OL5" i="40"/>
  <c r="OK5" i="40"/>
  <c r="OJ5" i="40"/>
  <c r="OI5" i="40"/>
  <c r="OH5" i="40"/>
  <c r="OF5" i="40"/>
  <c r="OE5" i="40"/>
  <c r="OD5" i="40"/>
  <c r="OC5" i="40"/>
  <c r="OG5" i="40" s="1"/>
  <c r="OB5" i="40"/>
  <c r="OA5" i="40"/>
  <c r="NE5" i="40"/>
  <c r="ND5" i="40"/>
  <c r="NC5" i="40"/>
  <c r="NB5" i="40"/>
  <c r="NA5" i="40"/>
  <c r="MZ5" i="40"/>
  <c r="MX5" i="40"/>
  <c r="MW5" i="40"/>
  <c r="MV5" i="40"/>
  <c r="MU5" i="40"/>
  <c r="MT5" i="40"/>
  <c r="MS5" i="40"/>
  <c r="LW5" i="40"/>
  <c r="LV5" i="40"/>
  <c r="LU5" i="40"/>
  <c r="LT5" i="40"/>
  <c r="LS5" i="40"/>
  <c r="LR5" i="40"/>
  <c r="LP5" i="40"/>
  <c r="LO5" i="40"/>
  <c r="LN5" i="40"/>
  <c r="LM5" i="40"/>
  <c r="LL5" i="40"/>
  <c r="LK5" i="40"/>
  <c r="KO5" i="40"/>
  <c r="KN5" i="40"/>
  <c r="KM5" i="40"/>
  <c r="KL5" i="40"/>
  <c r="KK5" i="40"/>
  <c r="KJ5" i="40"/>
  <c r="KH5" i="40"/>
  <c r="KG5" i="40"/>
  <c r="KF5" i="40"/>
  <c r="KE5" i="40"/>
  <c r="KD5" i="40"/>
  <c r="KC5" i="40"/>
  <c r="JG5" i="40"/>
  <c r="JF5" i="40"/>
  <c r="JE5" i="40"/>
  <c r="JD5" i="40"/>
  <c r="JC5" i="40"/>
  <c r="JB5" i="40"/>
  <c r="IZ5" i="40"/>
  <c r="IY5" i="40"/>
  <c r="IX5" i="40"/>
  <c r="IW5" i="40"/>
  <c r="JA5" i="40" s="1"/>
  <c r="IV5" i="40"/>
  <c r="IU5" i="40"/>
  <c r="HY5" i="40"/>
  <c r="HX5" i="40"/>
  <c r="HW5" i="40"/>
  <c r="HV5" i="40"/>
  <c r="HU5" i="40"/>
  <c r="HT5" i="40"/>
  <c r="HR5" i="40"/>
  <c r="HQ5" i="40"/>
  <c r="HP5" i="40"/>
  <c r="HO5" i="40"/>
  <c r="HN5" i="40"/>
  <c r="HM5" i="40"/>
  <c r="GQ5" i="40"/>
  <c r="GP5" i="40"/>
  <c r="GO5" i="40"/>
  <c r="GN5" i="40"/>
  <c r="GM5" i="40"/>
  <c r="GL5" i="40"/>
  <c r="GJ5" i="40"/>
  <c r="GI5" i="40"/>
  <c r="GH5" i="40"/>
  <c r="GG5" i="40"/>
  <c r="GK5" i="40" s="1"/>
  <c r="GF5" i="40"/>
  <c r="GE5" i="40"/>
  <c r="FI5" i="40"/>
  <c r="FH5" i="40"/>
  <c r="FG5" i="40"/>
  <c r="FF5" i="40"/>
  <c r="FE5" i="40"/>
  <c r="FD5" i="40"/>
  <c r="FB5" i="40"/>
  <c r="FA5" i="40"/>
  <c r="EZ5" i="40"/>
  <c r="EY5" i="40"/>
  <c r="FC5" i="40" s="1"/>
  <c r="EX5" i="40"/>
  <c r="EW5" i="40"/>
  <c r="EA5" i="40"/>
  <c r="DZ5" i="40"/>
  <c r="DY5" i="40"/>
  <c r="DX5" i="40"/>
  <c r="DW5" i="40"/>
  <c r="DV5" i="40"/>
  <c r="DT5" i="40"/>
  <c r="DS5" i="40"/>
  <c r="DR5" i="40"/>
  <c r="DQ5" i="40"/>
  <c r="DP5" i="40"/>
  <c r="DO5" i="40"/>
  <c r="CR5" i="40"/>
  <c r="CQ5" i="40"/>
  <c r="CP5" i="40"/>
  <c r="CN5" i="40"/>
  <c r="CM5" i="40"/>
  <c r="CL5" i="40"/>
  <c r="CK5" i="40"/>
  <c r="CO5" i="40" s="1"/>
  <c r="CJ5" i="40"/>
  <c r="CI5" i="40"/>
  <c r="BQ5" i="40"/>
  <c r="BP5" i="40"/>
  <c r="BO5" i="40"/>
  <c r="BM5" i="40"/>
  <c r="BL5" i="40"/>
  <c r="BK5" i="40"/>
  <c r="BJ5" i="40"/>
  <c r="BI5" i="40"/>
  <c r="BH5" i="40"/>
  <c r="AP5" i="40"/>
  <c r="AO5" i="40"/>
  <c r="AN5" i="40"/>
  <c r="AL5" i="40"/>
  <c r="AK5" i="40"/>
  <c r="AJ5" i="40"/>
  <c r="AI5" i="40"/>
  <c r="AH5" i="40"/>
  <c r="AG5" i="40"/>
  <c r="WI4" i="40"/>
  <c r="WH4" i="40"/>
  <c r="WG4" i="40"/>
  <c r="WF4" i="40"/>
  <c r="WE4" i="40"/>
  <c r="WD4" i="40"/>
  <c r="WB4" i="40"/>
  <c r="WA4" i="40"/>
  <c r="VZ4" i="40"/>
  <c r="VY4" i="40"/>
  <c r="VX4" i="40"/>
  <c r="VW4" i="40"/>
  <c r="VA4" i="40"/>
  <c r="UZ4" i="40"/>
  <c r="UY4" i="40"/>
  <c r="UX4" i="40"/>
  <c r="UW4" i="40"/>
  <c r="UV4" i="40"/>
  <c r="UT4" i="40"/>
  <c r="US4" i="40"/>
  <c r="UR4" i="40"/>
  <c r="UQ4" i="40"/>
  <c r="UP4" i="40"/>
  <c r="UO4" i="40"/>
  <c r="TS4" i="40"/>
  <c r="TR4" i="40"/>
  <c r="TQ4" i="40"/>
  <c r="TP4" i="40"/>
  <c r="TO4" i="40"/>
  <c r="TN4" i="40"/>
  <c r="TL4" i="40"/>
  <c r="TK4" i="40"/>
  <c r="TJ4" i="40"/>
  <c r="TI4" i="40"/>
  <c r="TH4" i="40"/>
  <c r="TG4" i="40"/>
  <c r="SK4" i="40"/>
  <c r="SJ4" i="40"/>
  <c r="SI4" i="40"/>
  <c r="SH4" i="40"/>
  <c r="SG4" i="40"/>
  <c r="SF4" i="40"/>
  <c r="SD4" i="40"/>
  <c r="SC4" i="40"/>
  <c r="SB4" i="40"/>
  <c r="SA4" i="40"/>
  <c r="RZ4" i="40"/>
  <c r="RY4" i="40"/>
  <c r="RC4" i="40"/>
  <c r="RB4" i="40"/>
  <c r="RA4" i="40"/>
  <c r="QZ4" i="40"/>
  <c r="QY4" i="40"/>
  <c r="QX4" i="40"/>
  <c r="QV4" i="40"/>
  <c r="QU4" i="40"/>
  <c r="QT4" i="40"/>
  <c r="QS4" i="40"/>
  <c r="QR4" i="40"/>
  <c r="QQ4" i="40"/>
  <c r="PU4" i="40"/>
  <c r="PT4" i="40"/>
  <c r="PS4" i="40"/>
  <c r="PR4" i="40"/>
  <c r="PQ4" i="40"/>
  <c r="PP4" i="40"/>
  <c r="PN4" i="40"/>
  <c r="PM4" i="40"/>
  <c r="PL4" i="40"/>
  <c r="PK4" i="40"/>
  <c r="PJ4" i="40"/>
  <c r="PI4" i="40"/>
  <c r="OM4" i="40"/>
  <c r="OL4" i="40"/>
  <c r="OK4" i="40"/>
  <c r="OJ4" i="40"/>
  <c r="OI4" i="40"/>
  <c r="OH4" i="40"/>
  <c r="OF4" i="40"/>
  <c r="OE4" i="40"/>
  <c r="OD4" i="40"/>
  <c r="OC4" i="40"/>
  <c r="OB4" i="40"/>
  <c r="OA4" i="40"/>
  <c r="NE4" i="40"/>
  <c r="ND4" i="40"/>
  <c r="NC4" i="40"/>
  <c r="NB4" i="40"/>
  <c r="NA4" i="40"/>
  <c r="MZ4" i="40"/>
  <c r="MX4" i="40"/>
  <c r="MW4" i="40"/>
  <c r="MV4" i="40"/>
  <c r="MU4" i="40"/>
  <c r="MT4" i="40"/>
  <c r="MS4" i="40"/>
  <c r="LW4" i="40"/>
  <c r="LV4" i="40"/>
  <c r="LU4" i="40"/>
  <c r="LT4" i="40"/>
  <c r="LS4" i="40"/>
  <c r="LR4" i="40"/>
  <c r="LP4" i="40"/>
  <c r="LO4" i="40"/>
  <c r="LN4" i="40"/>
  <c r="LM4" i="40"/>
  <c r="LL4" i="40"/>
  <c r="LK4" i="40"/>
  <c r="KO4" i="40"/>
  <c r="KN4" i="40"/>
  <c r="KM4" i="40"/>
  <c r="KL4" i="40"/>
  <c r="KK4" i="40"/>
  <c r="KJ4" i="40"/>
  <c r="KH4" i="40"/>
  <c r="KG4" i="40"/>
  <c r="KF4" i="40"/>
  <c r="KE4" i="40"/>
  <c r="KD4" i="40"/>
  <c r="KC4" i="40"/>
  <c r="JG4" i="40"/>
  <c r="JF4" i="40"/>
  <c r="JE4" i="40"/>
  <c r="JD4" i="40"/>
  <c r="JC4" i="40"/>
  <c r="JB4" i="40"/>
  <c r="IZ4" i="40"/>
  <c r="IY4" i="40"/>
  <c r="IX4" i="40"/>
  <c r="IW4" i="40"/>
  <c r="IV4" i="40"/>
  <c r="IU4" i="40"/>
  <c r="HY4" i="40"/>
  <c r="HX4" i="40"/>
  <c r="HW4" i="40"/>
  <c r="HV4" i="40"/>
  <c r="HU4" i="40"/>
  <c r="HT4" i="40"/>
  <c r="HR4" i="40"/>
  <c r="HQ4" i="40"/>
  <c r="HP4" i="40"/>
  <c r="HO4" i="40"/>
  <c r="HN4" i="40"/>
  <c r="HM4" i="40"/>
  <c r="GQ4" i="40"/>
  <c r="GP4" i="40"/>
  <c r="GO4" i="40"/>
  <c r="GN4" i="40"/>
  <c r="GM4" i="40"/>
  <c r="GL4" i="40"/>
  <c r="GJ4" i="40"/>
  <c r="GI4" i="40"/>
  <c r="GH4" i="40"/>
  <c r="GG4" i="40"/>
  <c r="GF4" i="40"/>
  <c r="GE4" i="40"/>
  <c r="FI4" i="40"/>
  <c r="FH4" i="40"/>
  <c r="FG4" i="40"/>
  <c r="FF4" i="40"/>
  <c r="FE4" i="40"/>
  <c r="FD4" i="40"/>
  <c r="FB4" i="40"/>
  <c r="FA4" i="40"/>
  <c r="EZ4" i="40"/>
  <c r="EY4" i="40"/>
  <c r="EX4" i="40"/>
  <c r="EW4" i="40"/>
  <c r="EA4" i="40"/>
  <c r="DZ4" i="40"/>
  <c r="DY4" i="40"/>
  <c r="DX4" i="40"/>
  <c r="DW4" i="40"/>
  <c r="DV4" i="40"/>
  <c r="DT4" i="40"/>
  <c r="DS4" i="40"/>
  <c r="DR4" i="40"/>
  <c r="DQ4" i="40"/>
  <c r="DP4" i="40"/>
  <c r="DO4" i="40"/>
  <c r="CR4" i="40"/>
  <c r="CQ4" i="40"/>
  <c r="CP4" i="40"/>
  <c r="CN4" i="40"/>
  <c r="CM4" i="40"/>
  <c r="CL4" i="40"/>
  <c r="CK4" i="40"/>
  <c r="CO4" i="40" s="1"/>
  <c r="CJ4" i="40"/>
  <c r="CI4" i="40"/>
  <c r="BQ4" i="40"/>
  <c r="BP4" i="40"/>
  <c r="BO4" i="40"/>
  <c r="BM4" i="40"/>
  <c r="BL4" i="40"/>
  <c r="BK4" i="40"/>
  <c r="BJ4" i="40"/>
  <c r="BI4" i="40"/>
  <c r="BH4" i="40"/>
  <c r="AP4" i="40"/>
  <c r="AO4" i="40"/>
  <c r="AN4" i="40"/>
  <c r="AL4" i="40"/>
  <c r="AK4" i="40"/>
  <c r="AJ4" i="40"/>
  <c r="AI4" i="40"/>
  <c r="AH4" i="40"/>
  <c r="AG4" i="40"/>
  <c r="AG9" i="39"/>
  <c r="AH9" i="39"/>
  <c r="AI9" i="39"/>
  <c r="AM9" i="39" s="1"/>
  <c r="AJ9" i="39"/>
  <c r="AK9" i="39"/>
  <c r="AL9" i="39"/>
  <c r="AN9" i="39"/>
  <c r="AO9" i="39"/>
  <c r="AP9" i="39"/>
  <c r="BH9" i="39"/>
  <c r="BI9" i="39"/>
  <c r="BJ9" i="39"/>
  <c r="BK9" i="39"/>
  <c r="BL9" i="39"/>
  <c r="BM9" i="39"/>
  <c r="BO9" i="39"/>
  <c r="BP9" i="39"/>
  <c r="BQ9" i="39"/>
  <c r="CI9" i="39"/>
  <c r="CJ9" i="39"/>
  <c r="CK9" i="39"/>
  <c r="CO9" i="39" s="1"/>
  <c r="CL9" i="39"/>
  <c r="CM9" i="39"/>
  <c r="CN9" i="39"/>
  <c r="CP9" i="39"/>
  <c r="CQ9" i="39"/>
  <c r="CR9" i="39"/>
  <c r="DO9" i="39"/>
  <c r="DP9" i="39"/>
  <c r="DQ9" i="39"/>
  <c r="DR9" i="39"/>
  <c r="DS9" i="39"/>
  <c r="DT9" i="39"/>
  <c r="DV9" i="39"/>
  <c r="DW9" i="39"/>
  <c r="DX9" i="39"/>
  <c r="DY9" i="39"/>
  <c r="DZ9" i="39"/>
  <c r="EA9" i="39"/>
  <c r="EW9" i="39"/>
  <c r="EX9" i="39"/>
  <c r="EY9" i="39"/>
  <c r="EZ9" i="39"/>
  <c r="FA9" i="39"/>
  <c r="FB9" i="39"/>
  <c r="FD9" i="39"/>
  <c r="FE9" i="39"/>
  <c r="FF9" i="39"/>
  <c r="FG9" i="39"/>
  <c r="FH9" i="39"/>
  <c r="FI9" i="39"/>
  <c r="GE9" i="39"/>
  <c r="GF9" i="39"/>
  <c r="GG9" i="39"/>
  <c r="GH9" i="39"/>
  <c r="GI9" i="39"/>
  <c r="GJ9" i="39"/>
  <c r="GL9" i="39"/>
  <c r="GM9" i="39"/>
  <c r="GN9" i="39"/>
  <c r="GO9" i="39"/>
  <c r="GP9" i="39"/>
  <c r="GQ9" i="39"/>
  <c r="HM9" i="39"/>
  <c r="HN9" i="39"/>
  <c r="HO9" i="39"/>
  <c r="HP9" i="39"/>
  <c r="HQ9" i="39"/>
  <c r="HR9" i="39"/>
  <c r="HT9" i="39"/>
  <c r="HU9" i="39"/>
  <c r="HV9" i="39"/>
  <c r="HW9" i="39"/>
  <c r="HX9" i="39"/>
  <c r="HY9" i="39"/>
  <c r="IU9" i="39"/>
  <c r="IV9" i="39"/>
  <c r="IW9" i="39"/>
  <c r="IX9" i="39"/>
  <c r="IY9" i="39"/>
  <c r="IZ9" i="39"/>
  <c r="JB9" i="39"/>
  <c r="JC9" i="39"/>
  <c r="JD9" i="39"/>
  <c r="JE9" i="39"/>
  <c r="JF9" i="39"/>
  <c r="JG9" i="39"/>
  <c r="KC9" i="39"/>
  <c r="KD9" i="39"/>
  <c r="KE9" i="39"/>
  <c r="KF9" i="39"/>
  <c r="KG9" i="39"/>
  <c r="KH9" i="39"/>
  <c r="KJ9" i="39"/>
  <c r="KK9" i="39"/>
  <c r="KL9" i="39"/>
  <c r="KM9" i="39"/>
  <c r="KN9" i="39"/>
  <c r="KO9" i="39"/>
  <c r="LK9" i="39"/>
  <c r="LL9" i="39"/>
  <c r="LM9" i="39"/>
  <c r="LN9" i="39"/>
  <c r="LO9" i="39"/>
  <c r="LP9" i="39"/>
  <c r="LR9" i="39"/>
  <c r="LS9" i="39"/>
  <c r="LT9" i="39"/>
  <c r="LU9" i="39"/>
  <c r="LV9" i="39"/>
  <c r="LW9" i="39"/>
  <c r="MS9" i="39"/>
  <c r="MT9" i="39"/>
  <c r="MU9" i="39"/>
  <c r="MV9" i="39"/>
  <c r="MW9" i="39"/>
  <c r="MX9" i="39"/>
  <c r="MZ9" i="39"/>
  <c r="NA9" i="39"/>
  <c r="NB9" i="39"/>
  <c r="NC9" i="39"/>
  <c r="ND9" i="39"/>
  <c r="NE9" i="39"/>
  <c r="OA9" i="39"/>
  <c r="OB9" i="39"/>
  <c r="OC9" i="39"/>
  <c r="OD9" i="39"/>
  <c r="OE9" i="39"/>
  <c r="OF9" i="39"/>
  <c r="OH9" i="39"/>
  <c r="OI9" i="39"/>
  <c r="OJ9" i="39"/>
  <c r="OK9" i="39"/>
  <c r="OL9" i="39"/>
  <c r="OM9" i="39"/>
  <c r="PI9" i="39"/>
  <c r="PJ9" i="39"/>
  <c r="PK9" i="39"/>
  <c r="PL9" i="39"/>
  <c r="PM9" i="39"/>
  <c r="PN9" i="39"/>
  <c r="PP9" i="39"/>
  <c r="PQ9" i="39"/>
  <c r="PR9" i="39"/>
  <c r="PS9" i="39"/>
  <c r="PT9" i="39"/>
  <c r="PU9" i="39"/>
  <c r="QQ9" i="39"/>
  <c r="QR9" i="39"/>
  <c r="QS9" i="39"/>
  <c r="QT9" i="39"/>
  <c r="QU9" i="39"/>
  <c r="QV9" i="39"/>
  <c r="QX9" i="39"/>
  <c r="QY9" i="39"/>
  <c r="QZ9" i="39"/>
  <c r="RA9" i="39"/>
  <c r="RB9" i="39"/>
  <c r="RC9" i="39"/>
  <c r="RY9" i="39"/>
  <c r="RZ9" i="39"/>
  <c r="SA9" i="39"/>
  <c r="SB9" i="39"/>
  <c r="SC9" i="39"/>
  <c r="SD9" i="39"/>
  <c r="SF9" i="39"/>
  <c r="SG9" i="39"/>
  <c r="SH9" i="39"/>
  <c r="SI9" i="39"/>
  <c r="SJ9" i="39"/>
  <c r="SK9" i="39"/>
  <c r="TG9" i="39"/>
  <c r="TH9" i="39"/>
  <c r="TI9" i="39"/>
  <c r="TJ9" i="39"/>
  <c r="TK9" i="39"/>
  <c r="TL9" i="39"/>
  <c r="TN9" i="39"/>
  <c r="TO9" i="39"/>
  <c r="TP9" i="39"/>
  <c r="TQ9" i="39"/>
  <c r="TR9" i="39"/>
  <c r="TS9" i="39"/>
  <c r="UO9" i="39"/>
  <c r="UP9" i="39"/>
  <c r="UQ9" i="39"/>
  <c r="UR9" i="39"/>
  <c r="US9" i="39"/>
  <c r="UT9" i="39"/>
  <c r="UV9" i="39"/>
  <c r="UW9" i="39"/>
  <c r="UX9" i="39"/>
  <c r="UY9" i="39"/>
  <c r="UZ9" i="39"/>
  <c r="VA9" i="39"/>
  <c r="VW9" i="39"/>
  <c r="VX9" i="39"/>
  <c r="VY9" i="39"/>
  <c r="VZ9" i="39"/>
  <c r="WA9" i="39"/>
  <c r="WB9" i="39"/>
  <c r="WD9" i="39"/>
  <c r="WE9" i="39"/>
  <c r="WF9" i="39"/>
  <c r="WG9" i="39"/>
  <c r="WH9" i="39"/>
  <c r="WI9" i="39"/>
  <c r="AG10" i="39"/>
  <c r="AH10" i="39"/>
  <c r="AI10" i="39"/>
  <c r="AJ10" i="39"/>
  <c r="AK10" i="39"/>
  <c r="AL10" i="39"/>
  <c r="AN10" i="39"/>
  <c r="AO10" i="39"/>
  <c r="AP10" i="39"/>
  <c r="BH10" i="39"/>
  <c r="BI10" i="39"/>
  <c r="BJ10" i="39"/>
  <c r="BK10" i="39"/>
  <c r="BL10" i="39"/>
  <c r="BM10" i="39"/>
  <c r="BO10" i="39"/>
  <c r="BP10" i="39"/>
  <c r="BQ10" i="39"/>
  <c r="CI10" i="39"/>
  <c r="CJ10" i="39"/>
  <c r="CK10" i="39"/>
  <c r="CO10" i="39" s="1"/>
  <c r="CL10" i="39"/>
  <c r="CM10" i="39"/>
  <c r="CN10" i="39"/>
  <c r="CP10" i="39"/>
  <c r="CQ10" i="39"/>
  <c r="CR10" i="39"/>
  <c r="DO10" i="39"/>
  <c r="DP10" i="39"/>
  <c r="DQ10" i="39"/>
  <c r="DR10" i="39"/>
  <c r="DS10" i="39"/>
  <c r="DT10" i="39"/>
  <c r="DV10" i="39"/>
  <c r="DW10" i="39"/>
  <c r="DX10" i="39"/>
  <c r="DY10" i="39"/>
  <c r="DZ10" i="39"/>
  <c r="EA10" i="39"/>
  <c r="EW10" i="39"/>
  <c r="EX10" i="39"/>
  <c r="EY10" i="39"/>
  <c r="EZ10" i="39"/>
  <c r="FA10" i="39"/>
  <c r="FB10" i="39"/>
  <c r="FD10" i="39"/>
  <c r="FE10" i="39"/>
  <c r="FF10" i="39"/>
  <c r="FG10" i="39"/>
  <c r="FH10" i="39"/>
  <c r="FI10" i="39"/>
  <c r="GE10" i="39"/>
  <c r="GF10" i="39"/>
  <c r="GG10" i="39"/>
  <c r="GH10" i="39"/>
  <c r="GI10" i="39"/>
  <c r="GJ10" i="39"/>
  <c r="GL10" i="39"/>
  <c r="GM10" i="39"/>
  <c r="GN10" i="39"/>
  <c r="GO10" i="39"/>
  <c r="GP10" i="39"/>
  <c r="GQ10" i="39"/>
  <c r="HM10" i="39"/>
  <c r="HN10" i="39"/>
  <c r="HO10" i="39"/>
  <c r="HP10" i="39"/>
  <c r="HQ10" i="39"/>
  <c r="HR10" i="39"/>
  <c r="HT10" i="39"/>
  <c r="HU10" i="39"/>
  <c r="HV10" i="39"/>
  <c r="HW10" i="39"/>
  <c r="HX10" i="39"/>
  <c r="HY10" i="39"/>
  <c r="IU10" i="39"/>
  <c r="IV10" i="39"/>
  <c r="IW10" i="39"/>
  <c r="IX10" i="39"/>
  <c r="IY10" i="39"/>
  <c r="IZ10" i="39"/>
  <c r="JB10" i="39"/>
  <c r="JC10" i="39"/>
  <c r="JD10" i="39"/>
  <c r="JE10" i="39"/>
  <c r="JF10" i="39"/>
  <c r="JG10" i="39"/>
  <c r="KC10" i="39"/>
  <c r="KD10" i="39"/>
  <c r="KE10" i="39"/>
  <c r="KF10" i="39"/>
  <c r="KG10" i="39"/>
  <c r="KH10" i="39"/>
  <c r="KJ10" i="39"/>
  <c r="KK10" i="39"/>
  <c r="KL10" i="39"/>
  <c r="KM10" i="39"/>
  <c r="KN10" i="39"/>
  <c r="KO10" i="39"/>
  <c r="LK10" i="39"/>
  <c r="LL10" i="39"/>
  <c r="LM10" i="39"/>
  <c r="LN10" i="39"/>
  <c r="LO10" i="39"/>
  <c r="LP10" i="39"/>
  <c r="LR10" i="39"/>
  <c r="LS10" i="39"/>
  <c r="LT10" i="39"/>
  <c r="LU10" i="39"/>
  <c r="LV10" i="39"/>
  <c r="LW10" i="39"/>
  <c r="MS10" i="39"/>
  <c r="MT10" i="39"/>
  <c r="MU10" i="39"/>
  <c r="MV10" i="39"/>
  <c r="MW10" i="39"/>
  <c r="MX10" i="39"/>
  <c r="MZ10" i="39"/>
  <c r="NA10" i="39"/>
  <c r="NB10" i="39"/>
  <c r="NC10" i="39"/>
  <c r="ND10" i="39"/>
  <c r="NE10" i="39"/>
  <c r="OA10" i="39"/>
  <c r="OB10" i="39"/>
  <c r="OC10" i="39"/>
  <c r="OD10" i="39"/>
  <c r="OE10" i="39"/>
  <c r="OF10" i="39"/>
  <c r="OH10" i="39"/>
  <c r="OI10" i="39"/>
  <c r="OJ10" i="39"/>
  <c r="OK10" i="39"/>
  <c r="OL10" i="39"/>
  <c r="OM10" i="39"/>
  <c r="PI10" i="39"/>
  <c r="PJ10" i="39"/>
  <c r="PK10" i="39"/>
  <c r="PL10" i="39"/>
  <c r="PM10" i="39"/>
  <c r="PN10" i="39"/>
  <c r="PP10" i="39"/>
  <c r="PQ10" i="39"/>
  <c r="PR10" i="39"/>
  <c r="PS10" i="39"/>
  <c r="PT10" i="39"/>
  <c r="PU10" i="39"/>
  <c r="QQ10" i="39"/>
  <c r="QR10" i="39"/>
  <c r="QS10" i="39"/>
  <c r="QT10" i="39"/>
  <c r="QU10" i="39"/>
  <c r="QV10" i="39"/>
  <c r="QX10" i="39"/>
  <c r="QY10" i="39"/>
  <c r="QZ10" i="39"/>
  <c r="RA10" i="39"/>
  <c r="RB10" i="39"/>
  <c r="RC10" i="39"/>
  <c r="RY10" i="39"/>
  <c r="RZ10" i="39"/>
  <c r="SA10" i="39"/>
  <c r="SB10" i="39"/>
  <c r="SC10" i="39"/>
  <c r="SD10" i="39"/>
  <c r="SE10" i="39" s="1"/>
  <c r="SF10" i="39"/>
  <c r="SG10" i="39"/>
  <c r="SH10" i="39"/>
  <c r="SI10" i="39"/>
  <c r="SJ10" i="39"/>
  <c r="SK10" i="39"/>
  <c r="TG10" i="39"/>
  <c r="TH10" i="39"/>
  <c r="TI10" i="39"/>
  <c r="TJ10" i="39"/>
  <c r="TK10" i="39"/>
  <c r="TL10" i="39"/>
  <c r="TN10" i="39"/>
  <c r="TO10" i="39"/>
  <c r="TP10" i="39"/>
  <c r="TQ10" i="39"/>
  <c r="TR10" i="39"/>
  <c r="TS10" i="39"/>
  <c r="UO10" i="39"/>
  <c r="UP10" i="39"/>
  <c r="UQ10" i="39"/>
  <c r="UR10" i="39"/>
  <c r="US10" i="39"/>
  <c r="UT10" i="39"/>
  <c r="UV10" i="39"/>
  <c r="UW10" i="39"/>
  <c r="UX10" i="39"/>
  <c r="UY10" i="39"/>
  <c r="UZ10" i="39"/>
  <c r="VA10" i="39"/>
  <c r="VW10" i="39"/>
  <c r="VX10" i="39"/>
  <c r="VY10" i="39"/>
  <c r="VZ10" i="39"/>
  <c r="WA10" i="39"/>
  <c r="WB10" i="39"/>
  <c r="WD10" i="39"/>
  <c r="WE10" i="39"/>
  <c r="WF10" i="39"/>
  <c r="WG10" i="39"/>
  <c r="WH10" i="39"/>
  <c r="WI10" i="39"/>
  <c r="AG11" i="39"/>
  <c r="AH11" i="39"/>
  <c r="AI11" i="39"/>
  <c r="AM11" i="39" s="1"/>
  <c r="AJ11" i="39"/>
  <c r="AK11" i="39"/>
  <c r="AL11" i="39"/>
  <c r="AN11" i="39"/>
  <c r="AO11" i="39"/>
  <c r="AP11" i="39"/>
  <c r="BH11" i="39"/>
  <c r="BI11" i="39"/>
  <c r="BJ11" i="39"/>
  <c r="BN11" i="39" s="1"/>
  <c r="BK11" i="39"/>
  <c r="BL11" i="39"/>
  <c r="BM11" i="39"/>
  <c r="BO11" i="39"/>
  <c r="BP11" i="39"/>
  <c r="BQ11" i="39"/>
  <c r="CI11" i="39"/>
  <c r="CJ11" i="39"/>
  <c r="CK11" i="39"/>
  <c r="CL11" i="39"/>
  <c r="CM11" i="39"/>
  <c r="CN11" i="39"/>
  <c r="CP11" i="39"/>
  <c r="CQ11" i="39"/>
  <c r="CR11" i="39"/>
  <c r="DO11" i="39"/>
  <c r="DP11" i="39"/>
  <c r="DQ11" i="39"/>
  <c r="DR11" i="39"/>
  <c r="DS11" i="39"/>
  <c r="DT11" i="39"/>
  <c r="DV11" i="39"/>
  <c r="DW11" i="39"/>
  <c r="DX11" i="39"/>
  <c r="DY11" i="39"/>
  <c r="DZ11" i="39"/>
  <c r="EA11" i="39"/>
  <c r="EW11" i="39"/>
  <c r="EX11" i="39"/>
  <c r="EY11" i="39"/>
  <c r="EZ11" i="39"/>
  <c r="FA11" i="39"/>
  <c r="FB11" i="39"/>
  <c r="FD11" i="39"/>
  <c r="FE11" i="39"/>
  <c r="FF11" i="39"/>
  <c r="FG11" i="39"/>
  <c r="FH11" i="39"/>
  <c r="FI11" i="39"/>
  <c r="GE11" i="39"/>
  <c r="GF11" i="39"/>
  <c r="GG11" i="39"/>
  <c r="GH11" i="39"/>
  <c r="GI11" i="39"/>
  <c r="GJ11" i="39"/>
  <c r="GL11" i="39"/>
  <c r="GM11" i="39"/>
  <c r="GN11" i="39"/>
  <c r="GO11" i="39"/>
  <c r="GP11" i="39"/>
  <c r="GQ11" i="39"/>
  <c r="HM11" i="39"/>
  <c r="HN11" i="39"/>
  <c r="HO11" i="39"/>
  <c r="HP11" i="39"/>
  <c r="HQ11" i="39"/>
  <c r="HR11" i="39"/>
  <c r="HT11" i="39"/>
  <c r="HU11" i="39"/>
  <c r="HV11" i="39"/>
  <c r="HW11" i="39"/>
  <c r="HX11" i="39"/>
  <c r="HY11" i="39"/>
  <c r="IU11" i="39"/>
  <c r="IV11" i="39"/>
  <c r="IW11" i="39"/>
  <c r="IX11" i="39"/>
  <c r="IY11" i="39"/>
  <c r="IZ11" i="39"/>
  <c r="JA11" i="39" s="1"/>
  <c r="JB11" i="39"/>
  <c r="JC11" i="39"/>
  <c r="JD11" i="39"/>
  <c r="JE11" i="39"/>
  <c r="JF11" i="39"/>
  <c r="JG11" i="39"/>
  <c r="KC11" i="39"/>
  <c r="KD11" i="39"/>
  <c r="KE11" i="39"/>
  <c r="KF11" i="39"/>
  <c r="KG11" i="39"/>
  <c r="KH11" i="39"/>
  <c r="KJ11" i="39"/>
  <c r="KK11" i="39"/>
  <c r="KL11" i="39"/>
  <c r="KM11" i="39"/>
  <c r="KN11" i="39"/>
  <c r="KO11" i="39"/>
  <c r="LK11" i="39"/>
  <c r="LL11" i="39"/>
  <c r="LM11" i="39"/>
  <c r="LN11" i="39"/>
  <c r="LO11" i="39"/>
  <c r="LP11" i="39"/>
  <c r="LR11" i="39"/>
  <c r="LS11" i="39"/>
  <c r="LT11" i="39"/>
  <c r="LU11" i="39"/>
  <c r="LV11" i="39"/>
  <c r="LW11" i="39"/>
  <c r="MS11" i="39"/>
  <c r="MT11" i="39"/>
  <c r="MU11" i="39"/>
  <c r="MV11" i="39"/>
  <c r="MW11" i="39"/>
  <c r="MX11" i="39"/>
  <c r="MZ11" i="39"/>
  <c r="NA11" i="39"/>
  <c r="NB11" i="39"/>
  <c r="NC11" i="39"/>
  <c r="ND11" i="39"/>
  <c r="NE11" i="39"/>
  <c r="OA11" i="39"/>
  <c r="OB11" i="39"/>
  <c r="OC11" i="39"/>
  <c r="OD11" i="39"/>
  <c r="OE11" i="39"/>
  <c r="OF11" i="39"/>
  <c r="OH11" i="39"/>
  <c r="OI11" i="39"/>
  <c r="OJ11" i="39"/>
  <c r="OK11" i="39"/>
  <c r="OL11" i="39"/>
  <c r="OM11" i="39"/>
  <c r="PI11" i="39"/>
  <c r="PJ11" i="39"/>
  <c r="PK11" i="39"/>
  <c r="PL11" i="39"/>
  <c r="PM11" i="39"/>
  <c r="PN11" i="39"/>
  <c r="PP11" i="39"/>
  <c r="PQ11" i="39"/>
  <c r="PR11" i="39"/>
  <c r="PS11" i="39"/>
  <c r="PT11" i="39"/>
  <c r="PU11" i="39"/>
  <c r="QQ11" i="39"/>
  <c r="QR11" i="39"/>
  <c r="QS11" i="39"/>
  <c r="QT11" i="39"/>
  <c r="QU11" i="39"/>
  <c r="QV11" i="39"/>
  <c r="QW11" i="39" s="1"/>
  <c r="QX11" i="39"/>
  <c r="QY11" i="39"/>
  <c r="QZ11" i="39"/>
  <c r="RA11" i="39"/>
  <c r="RB11" i="39"/>
  <c r="RC11" i="39"/>
  <c r="RY11" i="39"/>
  <c r="RZ11" i="39"/>
  <c r="SA11" i="39"/>
  <c r="SB11" i="39"/>
  <c r="SC11" i="39"/>
  <c r="SD11" i="39"/>
  <c r="SE11" i="39" s="1"/>
  <c r="SF11" i="39"/>
  <c r="SG11" i="39"/>
  <c r="SH11" i="39"/>
  <c r="SI11" i="39"/>
  <c r="SJ11" i="39"/>
  <c r="SK11" i="39"/>
  <c r="TG11" i="39"/>
  <c r="TH11" i="39"/>
  <c r="TI11" i="39"/>
  <c r="TJ11" i="39"/>
  <c r="TK11" i="39"/>
  <c r="TL11" i="39"/>
  <c r="TN11" i="39"/>
  <c r="TO11" i="39"/>
  <c r="TP11" i="39"/>
  <c r="TQ11" i="39"/>
  <c r="TR11" i="39"/>
  <c r="TS11" i="39"/>
  <c r="UO11" i="39"/>
  <c r="UP11" i="39"/>
  <c r="UQ11" i="39"/>
  <c r="UR11" i="39"/>
  <c r="US11" i="39"/>
  <c r="UT11" i="39"/>
  <c r="UV11" i="39"/>
  <c r="UW11" i="39"/>
  <c r="UX11" i="39"/>
  <c r="UY11" i="39"/>
  <c r="UZ11" i="39"/>
  <c r="VA11" i="39"/>
  <c r="VW11" i="39"/>
  <c r="VX11" i="39"/>
  <c r="VY11" i="39"/>
  <c r="VZ11" i="39"/>
  <c r="WA11" i="39"/>
  <c r="WB11" i="39"/>
  <c r="WD11" i="39"/>
  <c r="WE11" i="39"/>
  <c r="WF11" i="39"/>
  <c r="WG11" i="39"/>
  <c r="WH11" i="39"/>
  <c r="WI11" i="39"/>
  <c r="AG12" i="39"/>
  <c r="AH12" i="39"/>
  <c r="AI12" i="39"/>
  <c r="AJ12" i="39"/>
  <c r="AK12" i="39"/>
  <c r="AL12" i="39"/>
  <c r="AN12" i="39"/>
  <c r="AO12" i="39"/>
  <c r="AP12" i="39"/>
  <c r="BH12" i="39"/>
  <c r="BI12" i="39"/>
  <c r="BJ12" i="39"/>
  <c r="BN12" i="39" s="1"/>
  <c r="BK12" i="39"/>
  <c r="BL12" i="39"/>
  <c r="BM12" i="39"/>
  <c r="BO12" i="39"/>
  <c r="BP12" i="39"/>
  <c r="BQ12" i="39"/>
  <c r="CI12" i="39"/>
  <c r="CJ12" i="39"/>
  <c r="CK12" i="39"/>
  <c r="CO12" i="39" s="1"/>
  <c r="CL12" i="39"/>
  <c r="CM12" i="39"/>
  <c r="CN12" i="39"/>
  <c r="CP12" i="39"/>
  <c r="CQ12" i="39"/>
  <c r="CR12" i="39"/>
  <c r="DO12" i="39"/>
  <c r="DP12" i="39"/>
  <c r="DQ12" i="39"/>
  <c r="DR12" i="39"/>
  <c r="DS12" i="39"/>
  <c r="DT12" i="39"/>
  <c r="DV12" i="39"/>
  <c r="DW12" i="39"/>
  <c r="DX12" i="39"/>
  <c r="DY12" i="39"/>
  <c r="DZ12" i="39"/>
  <c r="EA12" i="39"/>
  <c r="EW12" i="39"/>
  <c r="EX12" i="39"/>
  <c r="EY12" i="39"/>
  <c r="EZ12" i="39"/>
  <c r="FA12" i="39"/>
  <c r="FB12" i="39"/>
  <c r="FD12" i="39"/>
  <c r="FE12" i="39"/>
  <c r="FF12" i="39"/>
  <c r="FG12" i="39"/>
  <c r="FH12" i="39"/>
  <c r="FI12" i="39"/>
  <c r="GE12" i="39"/>
  <c r="GF12" i="39"/>
  <c r="GG12" i="39"/>
  <c r="GH12" i="39"/>
  <c r="GI12" i="39"/>
  <c r="GJ12" i="39"/>
  <c r="GL12" i="39"/>
  <c r="GM12" i="39"/>
  <c r="GN12" i="39"/>
  <c r="GO12" i="39"/>
  <c r="GP12" i="39"/>
  <c r="GQ12" i="39"/>
  <c r="HM12" i="39"/>
  <c r="HN12" i="39"/>
  <c r="HO12" i="39"/>
  <c r="HP12" i="39"/>
  <c r="HQ12" i="39"/>
  <c r="HR12" i="39"/>
  <c r="HT12" i="39"/>
  <c r="HU12" i="39"/>
  <c r="HV12" i="39"/>
  <c r="HW12" i="39"/>
  <c r="HX12" i="39"/>
  <c r="HY12" i="39"/>
  <c r="IU12" i="39"/>
  <c r="IV12" i="39"/>
  <c r="IW12" i="39"/>
  <c r="IX12" i="39"/>
  <c r="IY12" i="39"/>
  <c r="IZ12" i="39"/>
  <c r="JB12" i="39"/>
  <c r="JC12" i="39"/>
  <c r="JD12" i="39"/>
  <c r="JE12" i="39"/>
  <c r="JF12" i="39"/>
  <c r="JG12" i="39"/>
  <c r="KC12" i="39"/>
  <c r="KD12" i="39"/>
  <c r="KE12" i="39"/>
  <c r="KF12" i="39"/>
  <c r="KG12" i="39"/>
  <c r="KH12" i="39"/>
  <c r="KJ12" i="39"/>
  <c r="KK12" i="39"/>
  <c r="KL12" i="39"/>
  <c r="KM12" i="39"/>
  <c r="KN12" i="39"/>
  <c r="KO12" i="39"/>
  <c r="LK12" i="39"/>
  <c r="LL12" i="39"/>
  <c r="LM12" i="39"/>
  <c r="LN12" i="39"/>
  <c r="LO12" i="39"/>
  <c r="LP12" i="39"/>
  <c r="LR12" i="39"/>
  <c r="LS12" i="39"/>
  <c r="LT12" i="39"/>
  <c r="LU12" i="39"/>
  <c r="LV12" i="39"/>
  <c r="LW12" i="39"/>
  <c r="MS12" i="39"/>
  <c r="MT12" i="39"/>
  <c r="MU12" i="39"/>
  <c r="MV12" i="39"/>
  <c r="MW12" i="39"/>
  <c r="MX12" i="39"/>
  <c r="MZ12" i="39"/>
  <c r="NA12" i="39"/>
  <c r="NB12" i="39"/>
  <c r="NC12" i="39"/>
  <c r="ND12" i="39"/>
  <c r="NE12" i="39"/>
  <c r="OA12" i="39"/>
  <c r="OB12" i="39"/>
  <c r="OC12" i="39"/>
  <c r="OD12" i="39"/>
  <c r="OE12" i="39"/>
  <c r="OF12" i="39"/>
  <c r="OH12" i="39"/>
  <c r="OI12" i="39"/>
  <c r="OJ12" i="39"/>
  <c r="OK12" i="39"/>
  <c r="OL12" i="39"/>
  <c r="OM12" i="39"/>
  <c r="PI12" i="39"/>
  <c r="PJ12" i="39"/>
  <c r="PK12" i="39"/>
  <c r="PL12" i="39"/>
  <c r="PM12" i="39"/>
  <c r="PN12" i="39"/>
  <c r="PP12" i="39"/>
  <c r="PQ12" i="39"/>
  <c r="PR12" i="39"/>
  <c r="PS12" i="39"/>
  <c r="PT12" i="39"/>
  <c r="PU12" i="39"/>
  <c r="QQ12" i="39"/>
  <c r="QR12" i="39"/>
  <c r="QS12" i="39"/>
  <c r="QT12" i="39"/>
  <c r="QU12" i="39"/>
  <c r="QV12" i="39"/>
  <c r="QX12" i="39"/>
  <c r="QY12" i="39"/>
  <c r="QZ12" i="39"/>
  <c r="RA12" i="39"/>
  <c r="RB12" i="39"/>
  <c r="RC12" i="39"/>
  <c r="RY12" i="39"/>
  <c r="RZ12" i="39"/>
  <c r="SA12" i="39"/>
  <c r="SB12" i="39"/>
  <c r="SC12" i="39"/>
  <c r="SD12" i="39"/>
  <c r="SF12" i="39"/>
  <c r="SG12" i="39"/>
  <c r="SH12" i="39"/>
  <c r="SI12" i="39"/>
  <c r="SJ12" i="39"/>
  <c r="SK12" i="39"/>
  <c r="TG12" i="39"/>
  <c r="TH12" i="39"/>
  <c r="TI12" i="39"/>
  <c r="TJ12" i="39"/>
  <c r="TK12" i="39"/>
  <c r="TL12" i="39"/>
  <c r="TN12" i="39"/>
  <c r="TO12" i="39"/>
  <c r="TP12" i="39"/>
  <c r="TQ12" i="39"/>
  <c r="TR12" i="39"/>
  <c r="TS12" i="39"/>
  <c r="UO12" i="39"/>
  <c r="UP12" i="39"/>
  <c r="UQ12" i="39"/>
  <c r="UR12" i="39"/>
  <c r="US12" i="39"/>
  <c r="UT12" i="39"/>
  <c r="UV12" i="39"/>
  <c r="UW12" i="39"/>
  <c r="UX12" i="39"/>
  <c r="UY12" i="39"/>
  <c r="UZ12" i="39"/>
  <c r="VA12" i="39"/>
  <c r="VW12" i="39"/>
  <c r="VX12" i="39"/>
  <c r="VY12" i="39"/>
  <c r="VZ12" i="39"/>
  <c r="WA12" i="39"/>
  <c r="WB12" i="39"/>
  <c r="WD12" i="39"/>
  <c r="WE12" i="39"/>
  <c r="WF12" i="39"/>
  <c r="WG12" i="39"/>
  <c r="WH12" i="39"/>
  <c r="WI12" i="39"/>
  <c r="AG13" i="39"/>
  <c r="AH13" i="39"/>
  <c r="AI13" i="39"/>
  <c r="AM13" i="39" s="1"/>
  <c r="AJ13" i="39"/>
  <c r="AK13" i="39"/>
  <c r="AL13" i="39"/>
  <c r="AN13" i="39"/>
  <c r="AO13" i="39"/>
  <c r="AP13" i="39"/>
  <c r="BH13" i="39"/>
  <c r="BI13" i="39"/>
  <c r="BJ13" i="39"/>
  <c r="BN13" i="39" s="1"/>
  <c r="BK13" i="39"/>
  <c r="BL13" i="39"/>
  <c r="BM13" i="39"/>
  <c r="BO13" i="39"/>
  <c r="BP13" i="39"/>
  <c r="BQ13" i="39"/>
  <c r="CI13" i="39"/>
  <c r="CJ13" i="39"/>
  <c r="CK13" i="39"/>
  <c r="CO13" i="39" s="1"/>
  <c r="CL13" i="39"/>
  <c r="CM13" i="39"/>
  <c r="CN13" i="39"/>
  <c r="CP13" i="39"/>
  <c r="CQ13" i="39"/>
  <c r="CR13" i="39"/>
  <c r="DO13" i="39"/>
  <c r="DP13" i="39"/>
  <c r="DQ13" i="39"/>
  <c r="DR13" i="39"/>
  <c r="DS13" i="39"/>
  <c r="DT13" i="39"/>
  <c r="DV13" i="39"/>
  <c r="DW13" i="39"/>
  <c r="DX13" i="39"/>
  <c r="DY13" i="39"/>
  <c r="DZ13" i="39"/>
  <c r="EA13" i="39"/>
  <c r="EW13" i="39"/>
  <c r="EX13" i="39"/>
  <c r="EY13" i="39"/>
  <c r="EZ13" i="39"/>
  <c r="FA13" i="39"/>
  <c r="FB13" i="39"/>
  <c r="FD13" i="39"/>
  <c r="FE13" i="39"/>
  <c r="FF13" i="39"/>
  <c r="FG13" i="39"/>
  <c r="FH13" i="39"/>
  <c r="FI13" i="39"/>
  <c r="GE13" i="39"/>
  <c r="GF13" i="39"/>
  <c r="GG13" i="39"/>
  <c r="GH13" i="39"/>
  <c r="GI13" i="39"/>
  <c r="GJ13" i="39"/>
  <c r="GL13" i="39"/>
  <c r="GM13" i="39"/>
  <c r="GN13" i="39"/>
  <c r="GO13" i="39"/>
  <c r="GP13" i="39"/>
  <c r="GQ13" i="39"/>
  <c r="HM13" i="39"/>
  <c r="HN13" i="39"/>
  <c r="HO13" i="39"/>
  <c r="HP13" i="39"/>
  <c r="HQ13" i="39"/>
  <c r="HR13" i="39"/>
  <c r="HT13" i="39"/>
  <c r="HU13" i="39"/>
  <c r="HV13" i="39"/>
  <c r="HW13" i="39"/>
  <c r="HX13" i="39"/>
  <c r="HY13" i="39"/>
  <c r="IU13" i="39"/>
  <c r="IV13" i="39"/>
  <c r="IW13" i="39"/>
  <c r="IX13" i="39"/>
  <c r="IY13" i="39"/>
  <c r="IZ13" i="39"/>
  <c r="JB13" i="39"/>
  <c r="JC13" i="39"/>
  <c r="JD13" i="39"/>
  <c r="JE13" i="39"/>
  <c r="JF13" i="39"/>
  <c r="JG13" i="39"/>
  <c r="KC13" i="39"/>
  <c r="KD13" i="39"/>
  <c r="KE13" i="39"/>
  <c r="KF13" i="39"/>
  <c r="KG13" i="39"/>
  <c r="KH13" i="39"/>
  <c r="KJ13" i="39"/>
  <c r="KK13" i="39"/>
  <c r="KL13" i="39"/>
  <c r="KM13" i="39"/>
  <c r="KN13" i="39"/>
  <c r="KO13" i="39"/>
  <c r="LK13" i="39"/>
  <c r="LL13" i="39"/>
  <c r="LM13" i="39"/>
  <c r="LN13" i="39"/>
  <c r="LO13" i="39"/>
  <c r="LP13" i="39"/>
  <c r="LR13" i="39"/>
  <c r="LS13" i="39"/>
  <c r="LT13" i="39"/>
  <c r="LU13" i="39"/>
  <c r="LV13" i="39"/>
  <c r="LW13" i="39"/>
  <c r="MS13" i="39"/>
  <c r="MT13" i="39"/>
  <c r="MU13" i="39"/>
  <c r="MV13" i="39"/>
  <c r="MW13" i="39"/>
  <c r="MX13" i="39"/>
  <c r="MZ13" i="39"/>
  <c r="NA13" i="39"/>
  <c r="NB13" i="39"/>
  <c r="NC13" i="39"/>
  <c r="ND13" i="39"/>
  <c r="NE13" i="39"/>
  <c r="OA13" i="39"/>
  <c r="OB13" i="39"/>
  <c r="OC13" i="39"/>
  <c r="OD13" i="39"/>
  <c r="OE13" i="39"/>
  <c r="OF13" i="39"/>
  <c r="OG13" i="39"/>
  <c r="OH13" i="39"/>
  <c r="OI13" i="39"/>
  <c r="OJ13" i="39"/>
  <c r="OK13" i="39"/>
  <c r="OL13" i="39"/>
  <c r="OM13" i="39"/>
  <c r="PI13" i="39"/>
  <c r="PJ13" i="39"/>
  <c r="PK13" i="39"/>
  <c r="PL13" i="39"/>
  <c r="PM13" i="39"/>
  <c r="PN13" i="39"/>
  <c r="PP13" i="39"/>
  <c r="PQ13" i="39"/>
  <c r="PR13" i="39"/>
  <c r="PS13" i="39"/>
  <c r="PT13" i="39"/>
  <c r="PU13" i="39"/>
  <c r="QQ13" i="39"/>
  <c r="QR13" i="39"/>
  <c r="QS13" i="39"/>
  <c r="QT13" i="39"/>
  <c r="QU13" i="39"/>
  <c r="QV13" i="39"/>
  <c r="QX13" i="39"/>
  <c r="QY13" i="39"/>
  <c r="QZ13" i="39"/>
  <c r="RA13" i="39"/>
  <c r="RB13" i="39"/>
  <c r="RC13" i="39"/>
  <c r="RY13" i="39"/>
  <c r="RZ13" i="39"/>
  <c r="SA13" i="39"/>
  <c r="SB13" i="39"/>
  <c r="SC13" i="39"/>
  <c r="SD13" i="39"/>
  <c r="SF13" i="39"/>
  <c r="SG13" i="39"/>
  <c r="SH13" i="39"/>
  <c r="SI13" i="39"/>
  <c r="SJ13" i="39"/>
  <c r="SK13" i="39"/>
  <c r="TG13" i="39"/>
  <c r="TH13" i="39"/>
  <c r="TI13" i="39"/>
  <c r="TJ13" i="39"/>
  <c r="TK13" i="39"/>
  <c r="TL13" i="39"/>
  <c r="TN13" i="39"/>
  <c r="TO13" i="39"/>
  <c r="TP13" i="39"/>
  <c r="TQ13" i="39"/>
  <c r="TR13" i="39"/>
  <c r="TS13" i="39"/>
  <c r="UO13" i="39"/>
  <c r="UP13" i="39"/>
  <c r="UQ13" i="39"/>
  <c r="UR13" i="39"/>
  <c r="US13" i="39"/>
  <c r="UT13" i="39"/>
  <c r="UV13" i="39"/>
  <c r="UW13" i="39"/>
  <c r="UX13" i="39"/>
  <c r="UY13" i="39"/>
  <c r="UZ13" i="39"/>
  <c r="VA13" i="39"/>
  <c r="VW13" i="39"/>
  <c r="VX13" i="39"/>
  <c r="VY13" i="39"/>
  <c r="VZ13" i="39"/>
  <c r="WA13" i="39"/>
  <c r="WB13" i="39"/>
  <c r="WD13" i="39"/>
  <c r="WE13" i="39"/>
  <c r="WF13" i="39"/>
  <c r="WG13" i="39"/>
  <c r="WH13" i="39"/>
  <c r="WI13" i="39"/>
  <c r="WI19" i="39"/>
  <c r="WH19" i="39"/>
  <c r="WG19" i="39"/>
  <c r="WF19" i="39"/>
  <c r="WE19" i="39"/>
  <c r="WD19" i="39"/>
  <c r="WB19" i="39"/>
  <c r="WA19" i="39"/>
  <c r="VZ19" i="39"/>
  <c r="VY19" i="39"/>
  <c r="WC19" i="39" s="1"/>
  <c r="VX19" i="39"/>
  <c r="VW19" i="39"/>
  <c r="VA19" i="39"/>
  <c r="UZ19" i="39"/>
  <c r="UY19" i="39"/>
  <c r="UX19" i="39"/>
  <c r="UW19" i="39"/>
  <c r="UV19" i="39"/>
  <c r="UT19" i="39"/>
  <c r="US19" i="39"/>
  <c r="UR19" i="39"/>
  <c r="UQ19" i="39"/>
  <c r="UP19" i="39"/>
  <c r="UO19" i="39"/>
  <c r="TS19" i="39"/>
  <c r="TR19" i="39"/>
  <c r="TQ19" i="39"/>
  <c r="TP19" i="39"/>
  <c r="TO19" i="39"/>
  <c r="TN19" i="39"/>
  <c r="TL19" i="39"/>
  <c r="TK19" i="39"/>
  <c r="TJ19" i="39"/>
  <c r="TI19" i="39"/>
  <c r="TH19" i="39"/>
  <c r="TG19" i="39"/>
  <c r="SK19" i="39"/>
  <c r="SJ19" i="39"/>
  <c r="SI19" i="39"/>
  <c r="SH19" i="39"/>
  <c r="SG19" i="39"/>
  <c r="SF19" i="39"/>
  <c r="SD19" i="39"/>
  <c r="SC19" i="39"/>
  <c r="SB19" i="39"/>
  <c r="SA19" i="39"/>
  <c r="SE19" i="39" s="1"/>
  <c r="RZ19" i="39"/>
  <c r="RY19" i="39"/>
  <c r="RC19" i="39"/>
  <c r="RB19" i="39"/>
  <c r="RA19" i="39"/>
  <c r="QZ19" i="39"/>
  <c r="QY19" i="39"/>
  <c r="QX19" i="39"/>
  <c r="QV19" i="39"/>
  <c r="QU19" i="39"/>
  <c r="QT19" i="39"/>
  <c r="QS19" i="39"/>
  <c r="QR19" i="39"/>
  <c r="QQ19" i="39"/>
  <c r="PU19" i="39"/>
  <c r="PT19" i="39"/>
  <c r="PS19" i="39"/>
  <c r="PR19" i="39"/>
  <c r="PQ19" i="39"/>
  <c r="PP19" i="39"/>
  <c r="PN19" i="39"/>
  <c r="PM19" i="39"/>
  <c r="PL19" i="39"/>
  <c r="PK19" i="39"/>
  <c r="PJ19" i="39"/>
  <c r="PI19" i="39"/>
  <c r="OM19" i="39"/>
  <c r="OL19" i="39"/>
  <c r="OK19" i="39"/>
  <c r="OJ19" i="39"/>
  <c r="OI19" i="39"/>
  <c r="OH19" i="39"/>
  <c r="OF19" i="39"/>
  <c r="OE19" i="39"/>
  <c r="OD19" i="39"/>
  <c r="OC19" i="39"/>
  <c r="OB19" i="39"/>
  <c r="OA19" i="39"/>
  <c r="NE19" i="39"/>
  <c r="ND19" i="39"/>
  <c r="NC19" i="39"/>
  <c r="NB19" i="39"/>
  <c r="NA19" i="39"/>
  <c r="MZ19" i="39"/>
  <c r="MX19" i="39"/>
  <c r="MW19" i="39"/>
  <c r="MV19" i="39"/>
  <c r="MU19" i="39"/>
  <c r="MT19" i="39"/>
  <c r="MS19" i="39"/>
  <c r="LW19" i="39"/>
  <c r="LV19" i="39"/>
  <c r="LU19" i="39"/>
  <c r="LT19" i="39"/>
  <c r="LS19" i="39"/>
  <c r="LR19" i="39"/>
  <c r="LP19" i="39"/>
  <c r="LO19" i="39"/>
  <c r="LN19" i="39"/>
  <c r="LM19" i="39"/>
  <c r="LL19" i="39"/>
  <c r="LK19" i="39"/>
  <c r="KO19" i="39"/>
  <c r="KN19" i="39"/>
  <c r="KM19" i="39"/>
  <c r="KL19" i="39"/>
  <c r="KK19" i="39"/>
  <c r="KJ19" i="39"/>
  <c r="KH19" i="39"/>
  <c r="KG19" i="39"/>
  <c r="KF19" i="39"/>
  <c r="KE19" i="39"/>
  <c r="KD19" i="39"/>
  <c r="KC19" i="39"/>
  <c r="JG19" i="39"/>
  <c r="JF19" i="39"/>
  <c r="JE19" i="39"/>
  <c r="JD19" i="39"/>
  <c r="JC19" i="39"/>
  <c r="JB19" i="39"/>
  <c r="IZ19" i="39"/>
  <c r="IY19" i="39"/>
  <c r="IX19" i="39"/>
  <c r="IW19" i="39"/>
  <c r="IV19" i="39"/>
  <c r="IU19" i="39"/>
  <c r="HY19" i="39"/>
  <c r="HX19" i="39"/>
  <c r="HW19" i="39"/>
  <c r="HV19" i="39"/>
  <c r="HU19" i="39"/>
  <c r="HT19" i="39"/>
  <c r="HR19" i="39"/>
  <c r="HQ19" i="39"/>
  <c r="HP19" i="39"/>
  <c r="HO19" i="39"/>
  <c r="HN19" i="39"/>
  <c r="HM19" i="39"/>
  <c r="GQ19" i="39"/>
  <c r="GP19" i="39"/>
  <c r="GO19" i="39"/>
  <c r="GN19" i="39"/>
  <c r="GM19" i="39"/>
  <c r="GL19" i="39"/>
  <c r="GJ19" i="39"/>
  <c r="GI19" i="39"/>
  <c r="GH19" i="39"/>
  <c r="GG19" i="39"/>
  <c r="GF19" i="39"/>
  <c r="GE19" i="39"/>
  <c r="FI19" i="39"/>
  <c r="FH19" i="39"/>
  <c r="FG19" i="39"/>
  <c r="FF19" i="39"/>
  <c r="FE19" i="39"/>
  <c r="FD19" i="39"/>
  <c r="FB19" i="39"/>
  <c r="FA19" i="39"/>
  <c r="EZ19" i="39"/>
  <c r="EY19" i="39"/>
  <c r="EX19" i="39"/>
  <c r="EW19" i="39"/>
  <c r="EA19" i="39"/>
  <c r="DZ19" i="39"/>
  <c r="DY19" i="39"/>
  <c r="DX19" i="39"/>
  <c r="DW19" i="39"/>
  <c r="DV19" i="39"/>
  <c r="DT19" i="39"/>
  <c r="DS19" i="39"/>
  <c r="DR19" i="39"/>
  <c r="DQ19" i="39"/>
  <c r="DU19" i="39" s="1"/>
  <c r="DP19" i="39"/>
  <c r="DO19" i="39"/>
  <c r="CR19" i="39"/>
  <c r="CQ19" i="39"/>
  <c r="CP19" i="39"/>
  <c r="CN19" i="39"/>
  <c r="CM19" i="39"/>
  <c r="CL19" i="39"/>
  <c r="CK19" i="39"/>
  <c r="CO19" i="39" s="1"/>
  <c r="CJ19" i="39"/>
  <c r="CI19" i="39"/>
  <c r="BQ19" i="39"/>
  <c r="BP19" i="39"/>
  <c r="BO19" i="39"/>
  <c r="BM19" i="39"/>
  <c r="BL19" i="39"/>
  <c r="BK19" i="39"/>
  <c r="BJ19" i="39"/>
  <c r="BN19" i="39" s="1"/>
  <c r="BI19" i="39"/>
  <c r="BH19" i="39"/>
  <c r="AP19" i="39"/>
  <c r="AO19" i="39"/>
  <c r="AN19" i="39"/>
  <c r="AL19" i="39"/>
  <c r="AK19" i="39"/>
  <c r="AJ19" i="39"/>
  <c r="AI19" i="39"/>
  <c r="AH19" i="39"/>
  <c r="AG19" i="39"/>
  <c r="WI18" i="39"/>
  <c r="WH18" i="39"/>
  <c r="WG18" i="39"/>
  <c r="WF18" i="39"/>
  <c r="WE18" i="39"/>
  <c r="WD18" i="39"/>
  <c r="WB18" i="39"/>
  <c r="WA18" i="39"/>
  <c r="VZ18" i="39"/>
  <c r="VY18" i="39"/>
  <c r="VX18" i="39"/>
  <c r="VW18" i="39"/>
  <c r="VA18" i="39"/>
  <c r="UZ18" i="39"/>
  <c r="UY18" i="39"/>
  <c r="UX18" i="39"/>
  <c r="UW18" i="39"/>
  <c r="UV18" i="39"/>
  <c r="UT18" i="39"/>
  <c r="US18" i="39"/>
  <c r="UR18" i="39"/>
  <c r="UQ18" i="39"/>
  <c r="UP18" i="39"/>
  <c r="UO18" i="39"/>
  <c r="TS18" i="39"/>
  <c r="TR18" i="39"/>
  <c r="TQ18" i="39"/>
  <c r="TP18" i="39"/>
  <c r="TO18" i="39"/>
  <c r="TN18" i="39"/>
  <c r="TL18" i="39"/>
  <c r="TK18" i="39"/>
  <c r="TJ18" i="39"/>
  <c r="TI18" i="39"/>
  <c r="TH18" i="39"/>
  <c r="TG18" i="39"/>
  <c r="SK18" i="39"/>
  <c r="SJ18" i="39"/>
  <c r="SI18" i="39"/>
  <c r="SH18" i="39"/>
  <c r="SG18" i="39"/>
  <c r="SF18" i="39"/>
  <c r="SD18" i="39"/>
  <c r="SC18" i="39"/>
  <c r="SB18" i="39"/>
  <c r="SA18" i="39"/>
  <c r="RZ18" i="39"/>
  <c r="RY18" i="39"/>
  <c r="RC18" i="39"/>
  <c r="RB18" i="39"/>
  <c r="RA18" i="39"/>
  <c r="QZ18" i="39"/>
  <c r="QY18" i="39"/>
  <c r="QX18" i="39"/>
  <c r="QV18" i="39"/>
  <c r="QU18" i="39"/>
  <c r="QT18" i="39"/>
  <c r="QS18" i="39"/>
  <c r="QR18" i="39"/>
  <c r="QQ18" i="39"/>
  <c r="PU18" i="39"/>
  <c r="PT18" i="39"/>
  <c r="PS18" i="39"/>
  <c r="PR18" i="39"/>
  <c r="PQ18" i="39"/>
  <c r="PP18" i="39"/>
  <c r="PN18" i="39"/>
  <c r="PM18" i="39"/>
  <c r="PL18" i="39"/>
  <c r="PK18" i="39"/>
  <c r="PJ18" i="39"/>
  <c r="PI18" i="39"/>
  <c r="OM18" i="39"/>
  <c r="OL18" i="39"/>
  <c r="OK18" i="39"/>
  <c r="OJ18" i="39"/>
  <c r="OI18" i="39"/>
  <c r="OH18" i="39"/>
  <c r="OF18" i="39"/>
  <c r="OE18" i="39"/>
  <c r="OD18" i="39"/>
  <c r="OC18" i="39"/>
  <c r="OB18" i="39"/>
  <c r="OA18" i="39"/>
  <c r="NE18" i="39"/>
  <c r="ND18" i="39"/>
  <c r="NC18" i="39"/>
  <c r="NB18" i="39"/>
  <c r="NA18" i="39"/>
  <c r="MZ18" i="39"/>
  <c r="MX18" i="39"/>
  <c r="MW18" i="39"/>
  <c r="MV18" i="39"/>
  <c r="MU18" i="39"/>
  <c r="MT18" i="39"/>
  <c r="MS18" i="39"/>
  <c r="LW18" i="39"/>
  <c r="LV18" i="39"/>
  <c r="LU18" i="39"/>
  <c r="LT18" i="39"/>
  <c r="LS18" i="39"/>
  <c r="LR18" i="39"/>
  <c r="LP18" i="39"/>
  <c r="LO18" i="39"/>
  <c r="LN18" i="39"/>
  <c r="LM18" i="39"/>
  <c r="LL18" i="39"/>
  <c r="LK18" i="39"/>
  <c r="KO18" i="39"/>
  <c r="KN18" i="39"/>
  <c r="KM18" i="39"/>
  <c r="KL18" i="39"/>
  <c r="KK18" i="39"/>
  <c r="KJ18" i="39"/>
  <c r="KH18" i="39"/>
  <c r="KG18" i="39"/>
  <c r="KF18" i="39"/>
  <c r="KE18" i="39"/>
  <c r="KD18" i="39"/>
  <c r="KC18" i="39"/>
  <c r="JG18" i="39"/>
  <c r="JF18" i="39"/>
  <c r="JE18" i="39"/>
  <c r="JD18" i="39"/>
  <c r="JC18" i="39"/>
  <c r="JB18" i="39"/>
  <c r="IZ18" i="39"/>
  <c r="IY18" i="39"/>
  <c r="IX18" i="39"/>
  <c r="IW18" i="39"/>
  <c r="IV18" i="39"/>
  <c r="IU18" i="39"/>
  <c r="HY18" i="39"/>
  <c r="HX18" i="39"/>
  <c r="HW18" i="39"/>
  <c r="HV18" i="39"/>
  <c r="HU18" i="39"/>
  <c r="HT18" i="39"/>
  <c r="HR18" i="39"/>
  <c r="HQ18" i="39"/>
  <c r="HP18" i="39"/>
  <c r="HO18" i="39"/>
  <c r="HN18" i="39"/>
  <c r="HM18" i="39"/>
  <c r="GQ18" i="39"/>
  <c r="GP18" i="39"/>
  <c r="GO18" i="39"/>
  <c r="GN18" i="39"/>
  <c r="GM18" i="39"/>
  <c r="GL18" i="39"/>
  <c r="GJ18" i="39"/>
  <c r="GI18" i="39"/>
  <c r="GH18" i="39"/>
  <c r="GG18" i="39"/>
  <c r="GF18" i="39"/>
  <c r="GE18" i="39"/>
  <c r="FI18" i="39"/>
  <c r="FH18" i="39"/>
  <c r="FG18" i="39"/>
  <c r="FF18" i="39"/>
  <c r="FE18" i="39"/>
  <c r="FD18" i="39"/>
  <c r="FB18" i="39"/>
  <c r="FA18" i="39"/>
  <c r="EZ18" i="39"/>
  <c r="EY18" i="39"/>
  <c r="EX18" i="39"/>
  <c r="EW18" i="39"/>
  <c r="EA18" i="39"/>
  <c r="DZ18" i="39"/>
  <c r="DY18" i="39"/>
  <c r="DX18" i="39"/>
  <c r="DW18" i="39"/>
  <c r="DV18" i="39"/>
  <c r="DT18" i="39"/>
  <c r="DS18" i="39"/>
  <c r="DR18" i="39"/>
  <c r="DQ18" i="39"/>
  <c r="DP18" i="39"/>
  <c r="DO18" i="39"/>
  <c r="CR18" i="39"/>
  <c r="CQ18" i="39"/>
  <c r="CP18" i="39"/>
  <c r="CN18" i="39"/>
  <c r="CM18" i="39"/>
  <c r="CL18" i="39"/>
  <c r="CK18" i="39"/>
  <c r="CO18" i="39" s="1"/>
  <c r="CJ18" i="39"/>
  <c r="CI18" i="39"/>
  <c r="BQ18" i="39"/>
  <c r="BP18" i="39"/>
  <c r="BO18" i="39"/>
  <c r="BM18" i="39"/>
  <c r="BL18" i="39"/>
  <c r="BK18" i="39"/>
  <c r="BJ18" i="39"/>
  <c r="BI18" i="39"/>
  <c r="BH18" i="39"/>
  <c r="AP18" i="39"/>
  <c r="AO18" i="39"/>
  <c r="AN18" i="39"/>
  <c r="AL18" i="39"/>
  <c r="AK18" i="39"/>
  <c r="AJ18" i="39"/>
  <c r="AI18" i="39"/>
  <c r="AH18" i="39"/>
  <c r="AG18" i="39"/>
  <c r="WI17" i="39"/>
  <c r="WH17" i="39"/>
  <c r="WG17" i="39"/>
  <c r="WF17" i="39"/>
  <c r="WE17" i="39"/>
  <c r="WD17" i="39"/>
  <c r="WB17" i="39"/>
  <c r="WA17" i="39"/>
  <c r="VZ17" i="39"/>
  <c r="VY17" i="39"/>
  <c r="VX17" i="39"/>
  <c r="VW17" i="39"/>
  <c r="VA17" i="39"/>
  <c r="UZ17" i="39"/>
  <c r="UY17" i="39"/>
  <c r="UX17" i="39"/>
  <c r="UW17" i="39"/>
  <c r="UV17" i="39"/>
  <c r="UT17" i="39"/>
  <c r="US17" i="39"/>
  <c r="UR17" i="39"/>
  <c r="UQ17" i="39"/>
  <c r="UP17" i="39"/>
  <c r="UO17" i="39"/>
  <c r="TS17" i="39"/>
  <c r="TR17" i="39"/>
  <c r="TQ17" i="39"/>
  <c r="TP17" i="39"/>
  <c r="TO17" i="39"/>
  <c r="TN17" i="39"/>
  <c r="TL17" i="39"/>
  <c r="TK17" i="39"/>
  <c r="TJ17" i="39"/>
  <c r="TI17" i="39"/>
  <c r="TH17" i="39"/>
  <c r="TG17" i="39"/>
  <c r="SK17" i="39"/>
  <c r="SJ17" i="39"/>
  <c r="SI17" i="39"/>
  <c r="SH17" i="39"/>
  <c r="SG17" i="39"/>
  <c r="SF17" i="39"/>
  <c r="SD17" i="39"/>
  <c r="SC17" i="39"/>
  <c r="SB17" i="39"/>
  <c r="SA17" i="39"/>
  <c r="RZ17" i="39"/>
  <c r="RY17" i="39"/>
  <c r="RC17" i="39"/>
  <c r="RB17" i="39"/>
  <c r="RA17" i="39"/>
  <c r="QZ17" i="39"/>
  <c r="QY17" i="39"/>
  <c r="QX17" i="39"/>
  <c r="QV17" i="39"/>
  <c r="QU17" i="39"/>
  <c r="QT17" i="39"/>
  <c r="QS17" i="39"/>
  <c r="QR17" i="39"/>
  <c r="QQ17" i="39"/>
  <c r="PU17" i="39"/>
  <c r="PT17" i="39"/>
  <c r="PS17" i="39"/>
  <c r="PR17" i="39"/>
  <c r="PQ17" i="39"/>
  <c r="PP17" i="39"/>
  <c r="PN17" i="39"/>
  <c r="PM17" i="39"/>
  <c r="PL17" i="39"/>
  <c r="PK17" i="39"/>
  <c r="PJ17" i="39"/>
  <c r="PI17" i="39"/>
  <c r="OM17" i="39"/>
  <c r="OL17" i="39"/>
  <c r="OK17" i="39"/>
  <c r="OJ17" i="39"/>
  <c r="OI17" i="39"/>
  <c r="OH17" i="39"/>
  <c r="OF17" i="39"/>
  <c r="OE17" i="39"/>
  <c r="OD17" i="39"/>
  <c r="OC17" i="39"/>
  <c r="OB17" i="39"/>
  <c r="OA17" i="39"/>
  <c r="NE17" i="39"/>
  <c r="ND17" i="39"/>
  <c r="NC17" i="39"/>
  <c r="NB17" i="39"/>
  <c r="NA17" i="39"/>
  <c r="MZ17" i="39"/>
  <c r="MX17" i="39"/>
  <c r="MW17" i="39"/>
  <c r="MV17" i="39"/>
  <c r="MU17" i="39"/>
  <c r="MT17" i="39"/>
  <c r="MS17" i="39"/>
  <c r="LW17" i="39"/>
  <c r="LV17" i="39"/>
  <c r="LU17" i="39"/>
  <c r="LT17" i="39"/>
  <c r="LS17" i="39"/>
  <c r="LR17" i="39"/>
  <c r="LP17" i="39"/>
  <c r="LO17" i="39"/>
  <c r="LN17" i="39"/>
  <c r="LM17" i="39"/>
  <c r="LL17" i="39"/>
  <c r="LK17" i="39"/>
  <c r="KO17" i="39"/>
  <c r="KN17" i="39"/>
  <c r="KM17" i="39"/>
  <c r="KL17" i="39"/>
  <c r="KK17" i="39"/>
  <c r="KJ17" i="39"/>
  <c r="KH17" i="39"/>
  <c r="KG17" i="39"/>
  <c r="KF17" i="39"/>
  <c r="KE17" i="39"/>
  <c r="KD17" i="39"/>
  <c r="KC17" i="39"/>
  <c r="JG17" i="39"/>
  <c r="JF17" i="39"/>
  <c r="JE17" i="39"/>
  <c r="JD17" i="39"/>
  <c r="JC17" i="39"/>
  <c r="JB17" i="39"/>
  <c r="IZ17" i="39"/>
  <c r="IY17" i="39"/>
  <c r="IX17" i="39"/>
  <c r="IW17" i="39"/>
  <c r="IV17" i="39"/>
  <c r="IU17" i="39"/>
  <c r="HY17" i="39"/>
  <c r="HX17" i="39"/>
  <c r="HW17" i="39"/>
  <c r="HV17" i="39"/>
  <c r="HU17" i="39"/>
  <c r="HT17" i="39"/>
  <c r="HR17" i="39"/>
  <c r="HQ17" i="39"/>
  <c r="HP17" i="39"/>
  <c r="HO17" i="39"/>
  <c r="HN17" i="39"/>
  <c r="HM17" i="39"/>
  <c r="GQ17" i="39"/>
  <c r="GP17" i="39"/>
  <c r="GO17" i="39"/>
  <c r="GN17" i="39"/>
  <c r="GM17" i="39"/>
  <c r="GL17" i="39"/>
  <c r="GJ17" i="39"/>
  <c r="GI17" i="39"/>
  <c r="GH17" i="39"/>
  <c r="GG17" i="39"/>
  <c r="GF17" i="39"/>
  <c r="GE17" i="39"/>
  <c r="FI17" i="39"/>
  <c r="FH17" i="39"/>
  <c r="FG17" i="39"/>
  <c r="FF17" i="39"/>
  <c r="FE17" i="39"/>
  <c r="FD17" i="39"/>
  <c r="FB17" i="39"/>
  <c r="FA17" i="39"/>
  <c r="EZ17" i="39"/>
  <c r="EY17" i="39"/>
  <c r="EX17" i="39"/>
  <c r="EW17" i="39"/>
  <c r="EA17" i="39"/>
  <c r="DZ17" i="39"/>
  <c r="DY17" i="39"/>
  <c r="DX17" i="39"/>
  <c r="DW17" i="39"/>
  <c r="DV17" i="39"/>
  <c r="DT17" i="39"/>
  <c r="DS17" i="39"/>
  <c r="DR17" i="39"/>
  <c r="DQ17" i="39"/>
  <c r="DP17" i="39"/>
  <c r="DO17" i="39"/>
  <c r="CR17" i="39"/>
  <c r="CQ17" i="39"/>
  <c r="CP17" i="39"/>
  <c r="CN17" i="39"/>
  <c r="CM17" i="39"/>
  <c r="CL17" i="39"/>
  <c r="CK17" i="39"/>
  <c r="CO17" i="39" s="1"/>
  <c r="CJ17" i="39"/>
  <c r="CI17" i="39"/>
  <c r="BQ17" i="39"/>
  <c r="BP17" i="39"/>
  <c r="BO17" i="39"/>
  <c r="BM17" i="39"/>
  <c r="BL17" i="39"/>
  <c r="BK17" i="39"/>
  <c r="BJ17" i="39"/>
  <c r="BN17" i="39" s="1"/>
  <c r="BI17" i="39"/>
  <c r="BH17" i="39"/>
  <c r="AP17" i="39"/>
  <c r="AO17" i="39"/>
  <c r="AN17" i="39"/>
  <c r="AL17" i="39"/>
  <c r="AK17" i="39"/>
  <c r="AJ17" i="39"/>
  <c r="AI17" i="39"/>
  <c r="AH17" i="39"/>
  <c r="AG17" i="39"/>
  <c r="WI16" i="39"/>
  <c r="WH16" i="39"/>
  <c r="WG16" i="39"/>
  <c r="WF16" i="39"/>
  <c r="WE16" i="39"/>
  <c r="WD16" i="39"/>
  <c r="WB16" i="39"/>
  <c r="WA16" i="39"/>
  <c r="VZ16" i="39"/>
  <c r="VY16" i="39"/>
  <c r="VX16" i="39"/>
  <c r="VW16" i="39"/>
  <c r="VA16" i="39"/>
  <c r="UZ16" i="39"/>
  <c r="UY16" i="39"/>
  <c r="UX16" i="39"/>
  <c r="UW16" i="39"/>
  <c r="UV16" i="39"/>
  <c r="UT16" i="39"/>
  <c r="US16" i="39"/>
  <c r="UR16" i="39"/>
  <c r="UQ16" i="39"/>
  <c r="UP16" i="39"/>
  <c r="UO16" i="39"/>
  <c r="TS16" i="39"/>
  <c r="TR16" i="39"/>
  <c r="TQ16" i="39"/>
  <c r="TP16" i="39"/>
  <c r="TO16" i="39"/>
  <c r="TN16" i="39"/>
  <c r="TL16" i="39"/>
  <c r="TK16" i="39"/>
  <c r="TJ16" i="39"/>
  <c r="TI16" i="39"/>
  <c r="TH16" i="39"/>
  <c r="TG16" i="39"/>
  <c r="SK16" i="39"/>
  <c r="SJ16" i="39"/>
  <c r="SI16" i="39"/>
  <c r="SH16" i="39"/>
  <c r="SG16" i="39"/>
  <c r="SF16" i="39"/>
  <c r="SD16" i="39"/>
  <c r="SC16" i="39"/>
  <c r="SB16" i="39"/>
  <c r="SA16" i="39"/>
  <c r="RZ16" i="39"/>
  <c r="RY16" i="39"/>
  <c r="RC16" i="39"/>
  <c r="RB16" i="39"/>
  <c r="RA16" i="39"/>
  <c r="QZ16" i="39"/>
  <c r="QY16" i="39"/>
  <c r="QX16" i="39"/>
  <c r="QV16" i="39"/>
  <c r="QU16" i="39"/>
  <c r="QT16" i="39"/>
  <c r="QS16" i="39"/>
  <c r="QR16" i="39"/>
  <c r="QQ16" i="39"/>
  <c r="PU16" i="39"/>
  <c r="PT16" i="39"/>
  <c r="PS16" i="39"/>
  <c r="PR16" i="39"/>
  <c r="PQ16" i="39"/>
  <c r="PP16" i="39"/>
  <c r="PN16" i="39"/>
  <c r="PM16" i="39"/>
  <c r="PL16" i="39"/>
  <c r="PK16" i="39"/>
  <c r="PJ16" i="39"/>
  <c r="PI16" i="39"/>
  <c r="OM16" i="39"/>
  <c r="OL16" i="39"/>
  <c r="OK16" i="39"/>
  <c r="OJ16" i="39"/>
  <c r="OI16" i="39"/>
  <c r="OH16" i="39"/>
  <c r="OF16" i="39"/>
  <c r="OE16" i="39"/>
  <c r="OD16" i="39"/>
  <c r="OC16" i="39"/>
  <c r="OB16" i="39"/>
  <c r="OA16" i="39"/>
  <c r="NE16" i="39"/>
  <c r="ND16" i="39"/>
  <c r="NC16" i="39"/>
  <c r="NB16" i="39"/>
  <c r="NA16" i="39"/>
  <c r="MZ16" i="39"/>
  <c r="MX16" i="39"/>
  <c r="MW16" i="39"/>
  <c r="MV16" i="39"/>
  <c r="MU16" i="39"/>
  <c r="MT16" i="39"/>
  <c r="MS16" i="39"/>
  <c r="LW16" i="39"/>
  <c r="LV16" i="39"/>
  <c r="LU16" i="39"/>
  <c r="LT16" i="39"/>
  <c r="LS16" i="39"/>
  <c r="LR16" i="39"/>
  <c r="LP16" i="39"/>
  <c r="LO16" i="39"/>
  <c r="LN16" i="39"/>
  <c r="LM16" i="39"/>
  <c r="LL16" i="39"/>
  <c r="LK16" i="39"/>
  <c r="KO16" i="39"/>
  <c r="KN16" i="39"/>
  <c r="KM16" i="39"/>
  <c r="KL16" i="39"/>
  <c r="KK16" i="39"/>
  <c r="KJ16" i="39"/>
  <c r="KH16" i="39"/>
  <c r="KG16" i="39"/>
  <c r="KF16" i="39"/>
  <c r="KE16" i="39"/>
  <c r="KD16" i="39"/>
  <c r="KC16" i="39"/>
  <c r="JG16" i="39"/>
  <c r="JF16" i="39"/>
  <c r="JE16" i="39"/>
  <c r="JD16" i="39"/>
  <c r="JC16" i="39"/>
  <c r="JB16" i="39"/>
  <c r="IZ16" i="39"/>
  <c r="IY16" i="39"/>
  <c r="IX16" i="39"/>
  <c r="IW16" i="39"/>
  <c r="IV16" i="39"/>
  <c r="IU16" i="39"/>
  <c r="HY16" i="39"/>
  <c r="HX16" i="39"/>
  <c r="HW16" i="39"/>
  <c r="HV16" i="39"/>
  <c r="HU16" i="39"/>
  <c r="HT16" i="39"/>
  <c r="HR16" i="39"/>
  <c r="HQ16" i="39"/>
  <c r="HP16" i="39"/>
  <c r="HO16" i="39"/>
  <c r="HN16" i="39"/>
  <c r="HM16" i="39"/>
  <c r="GQ16" i="39"/>
  <c r="GP16" i="39"/>
  <c r="GO16" i="39"/>
  <c r="GN16" i="39"/>
  <c r="GM16" i="39"/>
  <c r="GL16" i="39"/>
  <c r="GJ16" i="39"/>
  <c r="GI16" i="39"/>
  <c r="GH16" i="39"/>
  <c r="GG16" i="39"/>
  <c r="GF16" i="39"/>
  <c r="GE16" i="39"/>
  <c r="FI16" i="39"/>
  <c r="FH16" i="39"/>
  <c r="FG16" i="39"/>
  <c r="FF16" i="39"/>
  <c r="FE16" i="39"/>
  <c r="FD16" i="39"/>
  <c r="FB16" i="39"/>
  <c r="FA16" i="39"/>
  <c r="EZ16" i="39"/>
  <c r="EY16" i="39"/>
  <c r="EX16" i="39"/>
  <c r="EW16" i="39"/>
  <c r="EA16" i="39"/>
  <c r="DZ16" i="39"/>
  <c r="DY16" i="39"/>
  <c r="DX16" i="39"/>
  <c r="DW16" i="39"/>
  <c r="DV16" i="39"/>
  <c r="DT16" i="39"/>
  <c r="DS16" i="39"/>
  <c r="DR16" i="39"/>
  <c r="DQ16" i="39"/>
  <c r="DP16" i="39"/>
  <c r="DO16" i="39"/>
  <c r="CR16" i="39"/>
  <c r="CQ16" i="39"/>
  <c r="CP16" i="39"/>
  <c r="CN16" i="39"/>
  <c r="CM16" i="39"/>
  <c r="CL16" i="39"/>
  <c r="CK16" i="39"/>
  <c r="CO16" i="39" s="1"/>
  <c r="CJ16" i="39"/>
  <c r="CI16" i="39"/>
  <c r="BQ16" i="39"/>
  <c r="BP16" i="39"/>
  <c r="BO16" i="39"/>
  <c r="BM16" i="39"/>
  <c r="BL16" i="39"/>
  <c r="BK16" i="39"/>
  <c r="BJ16" i="39"/>
  <c r="BI16" i="39"/>
  <c r="BH16" i="39"/>
  <c r="AP16" i="39"/>
  <c r="AO16" i="39"/>
  <c r="AN16" i="39"/>
  <c r="AL16" i="39"/>
  <c r="AK16" i="39"/>
  <c r="AJ16" i="39"/>
  <c r="AI16" i="39"/>
  <c r="AH16" i="39"/>
  <c r="AG16" i="39"/>
  <c r="WI15" i="39"/>
  <c r="WH15" i="39"/>
  <c r="WG15" i="39"/>
  <c r="WF15" i="39"/>
  <c r="WE15" i="39"/>
  <c r="WD15" i="39"/>
  <c r="WB15" i="39"/>
  <c r="WA15" i="39"/>
  <c r="VZ15" i="39"/>
  <c r="VY15" i="39"/>
  <c r="VX15" i="39"/>
  <c r="VW15" i="39"/>
  <c r="VA15" i="39"/>
  <c r="UZ15" i="39"/>
  <c r="UY15" i="39"/>
  <c r="UX15" i="39"/>
  <c r="UW15" i="39"/>
  <c r="UV15" i="39"/>
  <c r="UT15" i="39"/>
  <c r="US15" i="39"/>
  <c r="UR15" i="39"/>
  <c r="UQ15" i="39"/>
  <c r="UP15" i="39"/>
  <c r="UO15" i="39"/>
  <c r="TS15" i="39"/>
  <c r="TR15" i="39"/>
  <c r="TQ15" i="39"/>
  <c r="TP15" i="39"/>
  <c r="TO15" i="39"/>
  <c r="TN15" i="39"/>
  <c r="TL15" i="39"/>
  <c r="TK15" i="39"/>
  <c r="TJ15" i="39"/>
  <c r="TI15" i="39"/>
  <c r="TH15" i="39"/>
  <c r="TG15" i="39"/>
  <c r="SK15" i="39"/>
  <c r="SJ15" i="39"/>
  <c r="SI15" i="39"/>
  <c r="SH15" i="39"/>
  <c r="SG15" i="39"/>
  <c r="SF15" i="39"/>
  <c r="SD15" i="39"/>
  <c r="SC15" i="39"/>
  <c r="SB15" i="39"/>
  <c r="SA15" i="39"/>
  <c r="RZ15" i="39"/>
  <c r="RY15" i="39"/>
  <c r="RC15" i="39"/>
  <c r="RB15" i="39"/>
  <c r="RA15" i="39"/>
  <c r="QZ15" i="39"/>
  <c r="QY15" i="39"/>
  <c r="QX15" i="39"/>
  <c r="QV15" i="39"/>
  <c r="QU15" i="39"/>
  <c r="QT15" i="39"/>
  <c r="QS15" i="39"/>
  <c r="QR15" i="39"/>
  <c r="QQ15" i="39"/>
  <c r="PU15" i="39"/>
  <c r="PT15" i="39"/>
  <c r="PS15" i="39"/>
  <c r="PR15" i="39"/>
  <c r="PQ15" i="39"/>
  <c r="PP15" i="39"/>
  <c r="PN15" i="39"/>
  <c r="PM15" i="39"/>
  <c r="PL15" i="39"/>
  <c r="PK15" i="39"/>
  <c r="PJ15" i="39"/>
  <c r="PI15" i="39"/>
  <c r="OM15" i="39"/>
  <c r="OL15" i="39"/>
  <c r="OK15" i="39"/>
  <c r="OJ15" i="39"/>
  <c r="OI15" i="39"/>
  <c r="OH15" i="39"/>
  <c r="OF15" i="39"/>
  <c r="OE15" i="39"/>
  <c r="OD15" i="39"/>
  <c r="OC15" i="39"/>
  <c r="OB15" i="39"/>
  <c r="OA15" i="39"/>
  <c r="NE15" i="39"/>
  <c r="ND15" i="39"/>
  <c r="NC15" i="39"/>
  <c r="NB15" i="39"/>
  <c r="NA15" i="39"/>
  <c r="MZ15" i="39"/>
  <c r="MX15" i="39"/>
  <c r="MW15" i="39"/>
  <c r="MV15" i="39"/>
  <c r="MU15" i="39"/>
  <c r="MT15" i="39"/>
  <c r="MS15" i="39"/>
  <c r="LW15" i="39"/>
  <c r="LV15" i="39"/>
  <c r="LU15" i="39"/>
  <c r="LT15" i="39"/>
  <c r="LS15" i="39"/>
  <c r="LR15" i="39"/>
  <c r="LP15" i="39"/>
  <c r="LO15" i="39"/>
  <c r="LN15" i="39"/>
  <c r="LM15" i="39"/>
  <c r="LL15" i="39"/>
  <c r="LK15" i="39"/>
  <c r="KO15" i="39"/>
  <c r="KN15" i="39"/>
  <c r="KM15" i="39"/>
  <c r="KL15" i="39"/>
  <c r="KK15" i="39"/>
  <c r="KJ15" i="39"/>
  <c r="KH15" i="39"/>
  <c r="KG15" i="39"/>
  <c r="KF15" i="39"/>
  <c r="KE15" i="39"/>
  <c r="KD15" i="39"/>
  <c r="KC15" i="39"/>
  <c r="JG15" i="39"/>
  <c r="JF15" i="39"/>
  <c r="JE15" i="39"/>
  <c r="JD15" i="39"/>
  <c r="JC15" i="39"/>
  <c r="JB15" i="39"/>
  <c r="IZ15" i="39"/>
  <c r="IY15" i="39"/>
  <c r="IX15" i="39"/>
  <c r="IW15" i="39"/>
  <c r="IV15" i="39"/>
  <c r="IU15" i="39"/>
  <c r="HY15" i="39"/>
  <c r="HX15" i="39"/>
  <c r="HW15" i="39"/>
  <c r="HV15" i="39"/>
  <c r="HU15" i="39"/>
  <c r="HT15" i="39"/>
  <c r="HR15" i="39"/>
  <c r="HQ15" i="39"/>
  <c r="HP15" i="39"/>
  <c r="HO15" i="39"/>
  <c r="HN15" i="39"/>
  <c r="HM15" i="39"/>
  <c r="GQ15" i="39"/>
  <c r="GP15" i="39"/>
  <c r="GO15" i="39"/>
  <c r="GN15" i="39"/>
  <c r="GM15" i="39"/>
  <c r="GL15" i="39"/>
  <c r="GJ15" i="39"/>
  <c r="GI15" i="39"/>
  <c r="GH15" i="39"/>
  <c r="GG15" i="39"/>
  <c r="GF15" i="39"/>
  <c r="GE15" i="39"/>
  <c r="FI15" i="39"/>
  <c r="FH15" i="39"/>
  <c r="FG15" i="39"/>
  <c r="FF15" i="39"/>
  <c r="FE15" i="39"/>
  <c r="FD15" i="39"/>
  <c r="FB15" i="39"/>
  <c r="FA15" i="39"/>
  <c r="EZ15" i="39"/>
  <c r="EY15" i="39"/>
  <c r="EX15" i="39"/>
  <c r="EW15" i="39"/>
  <c r="EA15" i="39"/>
  <c r="DZ15" i="39"/>
  <c r="DY15" i="39"/>
  <c r="DX15" i="39"/>
  <c r="DW15" i="39"/>
  <c r="DV15" i="39"/>
  <c r="DT15" i="39"/>
  <c r="DS15" i="39"/>
  <c r="DR15" i="39"/>
  <c r="DQ15" i="39"/>
  <c r="DP15" i="39"/>
  <c r="DO15" i="39"/>
  <c r="CR15" i="39"/>
  <c r="CQ15" i="39"/>
  <c r="CP15" i="39"/>
  <c r="CN15" i="39"/>
  <c r="CM15" i="39"/>
  <c r="CL15" i="39"/>
  <c r="CK15" i="39"/>
  <c r="CO15" i="39" s="1"/>
  <c r="CJ15" i="39"/>
  <c r="CI15" i="39"/>
  <c r="BQ15" i="39"/>
  <c r="BP15" i="39"/>
  <c r="BO15" i="39"/>
  <c r="BM15" i="39"/>
  <c r="BL15" i="39"/>
  <c r="BK15" i="39"/>
  <c r="BJ15" i="39"/>
  <c r="BI15" i="39"/>
  <c r="BH15" i="39"/>
  <c r="AP15" i="39"/>
  <c r="AO15" i="39"/>
  <c r="AN15" i="39"/>
  <c r="AL15" i="39"/>
  <c r="AK15" i="39"/>
  <c r="AJ15" i="39"/>
  <c r="AI15" i="39"/>
  <c r="AH15" i="39"/>
  <c r="AG15" i="39"/>
  <c r="WI14" i="39"/>
  <c r="WH14" i="39"/>
  <c r="WG14" i="39"/>
  <c r="WF14" i="39"/>
  <c r="WE14" i="39"/>
  <c r="WD14" i="39"/>
  <c r="WB14" i="39"/>
  <c r="WA14" i="39"/>
  <c r="VZ14" i="39"/>
  <c r="VY14" i="39"/>
  <c r="VX14" i="39"/>
  <c r="VW14" i="39"/>
  <c r="VA14" i="39"/>
  <c r="UZ14" i="39"/>
  <c r="UY14" i="39"/>
  <c r="UX14" i="39"/>
  <c r="UW14" i="39"/>
  <c r="UV14" i="39"/>
  <c r="UT14" i="39"/>
  <c r="US14" i="39"/>
  <c r="UR14" i="39"/>
  <c r="UQ14" i="39"/>
  <c r="UP14" i="39"/>
  <c r="UO14" i="39"/>
  <c r="TS14" i="39"/>
  <c r="TR14" i="39"/>
  <c r="TQ14" i="39"/>
  <c r="TP14" i="39"/>
  <c r="TO14" i="39"/>
  <c r="TN14" i="39"/>
  <c r="TL14" i="39"/>
  <c r="TK14" i="39"/>
  <c r="TJ14" i="39"/>
  <c r="TI14" i="39"/>
  <c r="TH14" i="39"/>
  <c r="TG14" i="39"/>
  <c r="SK14" i="39"/>
  <c r="SJ14" i="39"/>
  <c r="SI14" i="39"/>
  <c r="SH14" i="39"/>
  <c r="SG14" i="39"/>
  <c r="SF14" i="39"/>
  <c r="SD14" i="39"/>
  <c r="SC14" i="39"/>
  <c r="SB14" i="39"/>
  <c r="SA14" i="39"/>
  <c r="RZ14" i="39"/>
  <c r="RY14" i="39"/>
  <c r="RC14" i="39"/>
  <c r="RB14" i="39"/>
  <c r="RA14" i="39"/>
  <c r="QZ14" i="39"/>
  <c r="QY14" i="39"/>
  <c r="QX14" i="39"/>
  <c r="QV14" i="39"/>
  <c r="QU14" i="39"/>
  <c r="QT14" i="39"/>
  <c r="QS14" i="39"/>
  <c r="QR14" i="39"/>
  <c r="QQ14" i="39"/>
  <c r="PU14" i="39"/>
  <c r="PT14" i="39"/>
  <c r="PS14" i="39"/>
  <c r="PR14" i="39"/>
  <c r="PQ14" i="39"/>
  <c r="PP14" i="39"/>
  <c r="PN14" i="39"/>
  <c r="PM14" i="39"/>
  <c r="PL14" i="39"/>
  <c r="PK14" i="39"/>
  <c r="PJ14" i="39"/>
  <c r="PI14" i="39"/>
  <c r="OM14" i="39"/>
  <c r="OL14" i="39"/>
  <c r="OK14" i="39"/>
  <c r="OJ14" i="39"/>
  <c r="OI14" i="39"/>
  <c r="OH14" i="39"/>
  <c r="OF14" i="39"/>
  <c r="OE14" i="39"/>
  <c r="OD14" i="39"/>
  <c r="OC14" i="39"/>
  <c r="OB14" i="39"/>
  <c r="OA14" i="39"/>
  <c r="NE14" i="39"/>
  <c r="ND14" i="39"/>
  <c r="NC14" i="39"/>
  <c r="NB14" i="39"/>
  <c r="NA14" i="39"/>
  <c r="MZ14" i="39"/>
  <c r="MX14" i="39"/>
  <c r="MW14" i="39"/>
  <c r="MV14" i="39"/>
  <c r="MU14" i="39"/>
  <c r="MT14" i="39"/>
  <c r="MS14" i="39"/>
  <c r="LW14" i="39"/>
  <c r="LV14" i="39"/>
  <c r="LU14" i="39"/>
  <c r="LT14" i="39"/>
  <c r="LS14" i="39"/>
  <c r="LR14" i="39"/>
  <c r="LP14" i="39"/>
  <c r="LO14" i="39"/>
  <c r="LN14" i="39"/>
  <c r="LM14" i="39"/>
  <c r="LL14" i="39"/>
  <c r="LK14" i="39"/>
  <c r="KO14" i="39"/>
  <c r="KN14" i="39"/>
  <c r="KM14" i="39"/>
  <c r="KL14" i="39"/>
  <c r="KK14" i="39"/>
  <c r="KJ14" i="39"/>
  <c r="KH14" i="39"/>
  <c r="KG14" i="39"/>
  <c r="KF14" i="39"/>
  <c r="KE14" i="39"/>
  <c r="KD14" i="39"/>
  <c r="KC14" i="39"/>
  <c r="JG14" i="39"/>
  <c r="JF14" i="39"/>
  <c r="JE14" i="39"/>
  <c r="JD14" i="39"/>
  <c r="JC14" i="39"/>
  <c r="JB14" i="39"/>
  <c r="IZ14" i="39"/>
  <c r="IY14" i="39"/>
  <c r="IX14" i="39"/>
  <c r="IW14" i="39"/>
  <c r="IV14" i="39"/>
  <c r="IU14" i="39"/>
  <c r="HY14" i="39"/>
  <c r="HX14" i="39"/>
  <c r="HW14" i="39"/>
  <c r="HV14" i="39"/>
  <c r="HU14" i="39"/>
  <c r="HT14" i="39"/>
  <c r="HR14" i="39"/>
  <c r="HQ14" i="39"/>
  <c r="HP14" i="39"/>
  <c r="HO14" i="39"/>
  <c r="HN14" i="39"/>
  <c r="HM14" i="39"/>
  <c r="GQ14" i="39"/>
  <c r="GP14" i="39"/>
  <c r="GO14" i="39"/>
  <c r="GN14" i="39"/>
  <c r="GM14" i="39"/>
  <c r="GL14" i="39"/>
  <c r="GJ14" i="39"/>
  <c r="GI14" i="39"/>
  <c r="GH14" i="39"/>
  <c r="GG14" i="39"/>
  <c r="GF14" i="39"/>
  <c r="GE14" i="39"/>
  <c r="FI14" i="39"/>
  <c r="FH14" i="39"/>
  <c r="FG14" i="39"/>
  <c r="FF14" i="39"/>
  <c r="FE14" i="39"/>
  <c r="FD14" i="39"/>
  <c r="FB14" i="39"/>
  <c r="FA14" i="39"/>
  <c r="EZ14" i="39"/>
  <c r="EY14" i="39"/>
  <c r="EX14" i="39"/>
  <c r="EW14" i="39"/>
  <c r="EA14" i="39"/>
  <c r="DZ14" i="39"/>
  <c r="DY14" i="39"/>
  <c r="DX14" i="39"/>
  <c r="DW14" i="39"/>
  <c r="DV14" i="39"/>
  <c r="DT14" i="39"/>
  <c r="DS14" i="39"/>
  <c r="DR14" i="39"/>
  <c r="DQ14" i="39"/>
  <c r="DP14" i="39"/>
  <c r="DO14" i="39"/>
  <c r="CR14" i="39"/>
  <c r="CQ14" i="39"/>
  <c r="CP14" i="39"/>
  <c r="CN14" i="39"/>
  <c r="CM14" i="39"/>
  <c r="CL14" i="39"/>
  <c r="CK14" i="39"/>
  <c r="CO14" i="39" s="1"/>
  <c r="CJ14" i="39"/>
  <c r="CI14" i="39"/>
  <c r="BQ14" i="39"/>
  <c r="BP14" i="39"/>
  <c r="BO14" i="39"/>
  <c r="BM14" i="39"/>
  <c r="BL14" i="39"/>
  <c r="BK14" i="39"/>
  <c r="BJ14" i="39"/>
  <c r="BN14" i="39" s="1"/>
  <c r="BI14" i="39"/>
  <c r="BH14" i="39"/>
  <c r="AP14" i="39"/>
  <c r="AO14" i="39"/>
  <c r="AN14" i="39"/>
  <c r="AL14" i="39"/>
  <c r="AK14" i="39"/>
  <c r="AJ14" i="39"/>
  <c r="AI14" i="39"/>
  <c r="AH14" i="39"/>
  <c r="AG14" i="39"/>
  <c r="WI8" i="39"/>
  <c r="WH8" i="39"/>
  <c r="WG8" i="39"/>
  <c r="WF8" i="39"/>
  <c r="WE8" i="39"/>
  <c r="WD8" i="39"/>
  <c r="WB8" i="39"/>
  <c r="WA8" i="39"/>
  <c r="VZ8" i="39"/>
  <c r="VY8" i="39"/>
  <c r="VX8" i="39"/>
  <c r="VW8" i="39"/>
  <c r="VA8" i="39"/>
  <c r="UZ8" i="39"/>
  <c r="UY8" i="39"/>
  <c r="UX8" i="39"/>
  <c r="UW8" i="39"/>
  <c r="UV8" i="39"/>
  <c r="UT8" i="39"/>
  <c r="US8" i="39"/>
  <c r="UR8" i="39"/>
  <c r="UQ8" i="39"/>
  <c r="UU8" i="39" s="1"/>
  <c r="UP8" i="39"/>
  <c r="UO8" i="39"/>
  <c r="TS8" i="39"/>
  <c r="TR8" i="39"/>
  <c r="TQ8" i="39"/>
  <c r="TP8" i="39"/>
  <c r="TO8" i="39"/>
  <c r="TN8" i="39"/>
  <c r="TL8" i="39"/>
  <c r="TK8" i="39"/>
  <c r="TJ8" i="39"/>
  <c r="TI8" i="39"/>
  <c r="TH8" i="39"/>
  <c r="TG8" i="39"/>
  <c r="SK8" i="39"/>
  <c r="SJ8" i="39"/>
  <c r="SI8" i="39"/>
  <c r="SH8" i="39"/>
  <c r="SG8" i="39"/>
  <c r="SF8" i="39"/>
  <c r="SD8" i="39"/>
  <c r="SC8" i="39"/>
  <c r="SB8" i="39"/>
  <c r="SA8" i="39"/>
  <c r="RZ8" i="39"/>
  <c r="RY8" i="39"/>
  <c r="RC8" i="39"/>
  <c r="RB8" i="39"/>
  <c r="RA8" i="39"/>
  <c r="QZ8" i="39"/>
  <c r="QY8" i="39"/>
  <c r="QX8" i="39"/>
  <c r="QV8" i="39"/>
  <c r="QU8" i="39"/>
  <c r="QT8" i="39"/>
  <c r="QS8" i="39"/>
  <c r="QR8" i="39"/>
  <c r="QQ8" i="39"/>
  <c r="PU8" i="39"/>
  <c r="PT8" i="39"/>
  <c r="PS8" i="39"/>
  <c r="PR8" i="39"/>
  <c r="PQ8" i="39"/>
  <c r="PP8" i="39"/>
  <c r="PN8" i="39"/>
  <c r="PM8" i="39"/>
  <c r="PL8" i="39"/>
  <c r="PK8" i="39"/>
  <c r="PJ8" i="39"/>
  <c r="PI8" i="39"/>
  <c r="OM8" i="39"/>
  <c r="OL8" i="39"/>
  <c r="OK8" i="39"/>
  <c r="OJ8" i="39"/>
  <c r="OI8" i="39"/>
  <c r="OH8" i="39"/>
  <c r="OF8" i="39"/>
  <c r="OE8" i="39"/>
  <c r="OD8" i="39"/>
  <c r="OC8" i="39"/>
  <c r="OB8" i="39"/>
  <c r="OA8" i="39"/>
  <c r="NE8" i="39"/>
  <c r="ND8" i="39"/>
  <c r="NC8" i="39"/>
  <c r="NB8" i="39"/>
  <c r="NA8" i="39"/>
  <c r="MZ8" i="39"/>
  <c r="MX8" i="39"/>
  <c r="MW8" i="39"/>
  <c r="MV8" i="39"/>
  <c r="MU8" i="39"/>
  <c r="MT8" i="39"/>
  <c r="MS8" i="39"/>
  <c r="LW8" i="39"/>
  <c r="LV8" i="39"/>
  <c r="LU8" i="39"/>
  <c r="LT8" i="39"/>
  <c r="LS8" i="39"/>
  <c r="LR8" i="39"/>
  <c r="LP8" i="39"/>
  <c r="LO8" i="39"/>
  <c r="LN8" i="39"/>
  <c r="LM8" i="39"/>
  <c r="LQ8" i="39" s="1"/>
  <c r="LL8" i="39"/>
  <c r="LK8" i="39"/>
  <c r="KO8" i="39"/>
  <c r="KN8" i="39"/>
  <c r="KM8" i="39"/>
  <c r="KL8" i="39"/>
  <c r="KK8" i="39"/>
  <c r="KJ8" i="39"/>
  <c r="KH8" i="39"/>
  <c r="KG8" i="39"/>
  <c r="KF8" i="39"/>
  <c r="KE8" i="39"/>
  <c r="KD8" i="39"/>
  <c r="KC8" i="39"/>
  <c r="JG8" i="39"/>
  <c r="JF8" i="39"/>
  <c r="JE8" i="39"/>
  <c r="JD8" i="39"/>
  <c r="JC8" i="39"/>
  <c r="JB8" i="39"/>
  <c r="IZ8" i="39"/>
  <c r="IY8" i="39"/>
  <c r="IX8" i="39"/>
  <c r="IW8" i="39"/>
  <c r="IV8" i="39"/>
  <c r="IU8" i="39"/>
  <c r="HY8" i="39"/>
  <c r="HX8" i="39"/>
  <c r="HW8" i="39"/>
  <c r="HV8" i="39"/>
  <c r="HU8" i="39"/>
  <c r="HT8" i="39"/>
  <c r="HR8" i="39"/>
  <c r="HQ8" i="39"/>
  <c r="HP8" i="39"/>
  <c r="HO8" i="39"/>
  <c r="HN8" i="39"/>
  <c r="HM8" i="39"/>
  <c r="GQ8" i="39"/>
  <c r="GP8" i="39"/>
  <c r="GO8" i="39"/>
  <c r="GN8" i="39"/>
  <c r="GM8" i="39"/>
  <c r="GL8" i="39"/>
  <c r="GJ8" i="39"/>
  <c r="GI8" i="39"/>
  <c r="GH8" i="39"/>
  <c r="GG8" i="39"/>
  <c r="GK8" i="39" s="1"/>
  <c r="GF8" i="39"/>
  <c r="GE8" i="39"/>
  <c r="FI8" i="39"/>
  <c r="FH8" i="39"/>
  <c r="FG8" i="39"/>
  <c r="FF8" i="39"/>
  <c r="FE8" i="39"/>
  <c r="FD8" i="39"/>
  <c r="FB8" i="39"/>
  <c r="FA8" i="39"/>
  <c r="EZ8" i="39"/>
  <c r="EY8" i="39"/>
  <c r="EX8" i="39"/>
  <c r="EW8" i="39"/>
  <c r="EA8" i="39"/>
  <c r="DZ8" i="39"/>
  <c r="DY8" i="39"/>
  <c r="DX8" i="39"/>
  <c r="DW8" i="39"/>
  <c r="DV8" i="39"/>
  <c r="DT8" i="39"/>
  <c r="DS8" i="39"/>
  <c r="DR8" i="39"/>
  <c r="DQ8" i="39"/>
  <c r="DP8" i="39"/>
  <c r="DO8" i="39"/>
  <c r="CR8" i="39"/>
  <c r="CQ8" i="39"/>
  <c r="CP8" i="39"/>
  <c r="CN8" i="39"/>
  <c r="CM8" i="39"/>
  <c r="CL8" i="39"/>
  <c r="CK8" i="39"/>
  <c r="CO8" i="39" s="1"/>
  <c r="CJ8" i="39"/>
  <c r="CI8" i="39"/>
  <c r="BQ8" i="39"/>
  <c r="BP8" i="39"/>
  <c r="BO8" i="39"/>
  <c r="BM8" i="39"/>
  <c r="BL8" i="39"/>
  <c r="BK8" i="39"/>
  <c r="BJ8" i="39"/>
  <c r="BN8" i="39" s="1"/>
  <c r="BI8" i="39"/>
  <c r="BH8" i="39"/>
  <c r="AP8" i="39"/>
  <c r="AO8" i="39"/>
  <c r="AN8" i="39"/>
  <c r="AL8" i="39"/>
  <c r="AK8" i="39"/>
  <c r="AJ8" i="39"/>
  <c r="AI8" i="39"/>
  <c r="AH8" i="39"/>
  <c r="AG8" i="39"/>
  <c r="WI7" i="39"/>
  <c r="WH7" i="39"/>
  <c r="WG7" i="39"/>
  <c r="WF7" i="39"/>
  <c r="WE7" i="39"/>
  <c r="WD7" i="39"/>
  <c r="WB7" i="39"/>
  <c r="WA7" i="39"/>
  <c r="VZ7" i="39"/>
  <c r="VY7" i="39"/>
  <c r="VX7" i="39"/>
  <c r="VW7" i="39"/>
  <c r="VA7" i="39"/>
  <c r="UZ7" i="39"/>
  <c r="UY7" i="39"/>
  <c r="UX7" i="39"/>
  <c r="UW7" i="39"/>
  <c r="UV7" i="39"/>
  <c r="UT7" i="39"/>
  <c r="US7" i="39"/>
  <c r="UR7" i="39"/>
  <c r="UQ7" i="39"/>
  <c r="UP7" i="39"/>
  <c r="UO7" i="39"/>
  <c r="TS7" i="39"/>
  <c r="TR7" i="39"/>
  <c r="TQ7" i="39"/>
  <c r="TP7" i="39"/>
  <c r="TO7" i="39"/>
  <c r="TN7" i="39"/>
  <c r="TL7" i="39"/>
  <c r="TK7" i="39"/>
  <c r="TJ7" i="39"/>
  <c r="TI7" i="39"/>
  <c r="TH7" i="39"/>
  <c r="TG7" i="39"/>
  <c r="SK7" i="39"/>
  <c r="SJ7" i="39"/>
  <c r="SI7" i="39"/>
  <c r="SH7" i="39"/>
  <c r="SG7" i="39"/>
  <c r="SF7" i="39"/>
  <c r="SD7" i="39"/>
  <c r="SC7" i="39"/>
  <c r="SB7" i="39"/>
  <c r="SA7" i="39"/>
  <c r="RZ7" i="39"/>
  <c r="RY7" i="39"/>
  <c r="RC7" i="39"/>
  <c r="RB7" i="39"/>
  <c r="RA7" i="39"/>
  <c r="QZ7" i="39"/>
  <c r="QY7" i="39"/>
  <c r="QX7" i="39"/>
  <c r="QV7" i="39"/>
  <c r="QU7" i="39"/>
  <c r="QT7" i="39"/>
  <c r="QS7" i="39"/>
  <c r="QR7" i="39"/>
  <c r="QQ7" i="39"/>
  <c r="PU7" i="39"/>
  <c r="PT7" i="39"/>
  <c r="PS7" i="39"/>
  <c r="PR7" i="39"/>
  <c r="PQ7" i="39"/>
  <c r="PP7" i="39"/>
  <c r="PN7" i="39"/>
  <c r="PM7" i="39"/>
  <c r="PL7" i="39"/>
  <c r="PK7" i="39"/>
  <c r="PJ7" i="39"/>
  <c r="PI7" i="39"/>
  <c r="OM7" i="39"/>
  <c r="OL7" i="39"/>
  <c r="OK7" i="39"/>
  <c r="OJ7" i="39"/>
  <c r="OI7" i="39"/>
  <c r="OH7" i="39"/>
  <c r="OF7" i="39"/>
  <c r="OE7" i="39"/>
  <c r="OD7" i="39"/>
  <c r="OC7" i="39"/>
  <c r="OB7" i="39"/>
  <c r="OA7" i="39"/>
  <c r="NE7" i="39"/>
  <c r="ND7" i="39"/>
  <c r="NC7" i="39"/>
  <c r="NB7" i="39"/>
  <c r="NA7" i="39"/>
  <c r="MZ7" i="39"/>
  <c r="MX7" i="39"/>
  <c r="MW7" i="39"/>
  <c r="MV7" i="39"/>
  <c r="MU7" i="39"/>
  <c r="MT7" i="39"/>
  <c r="MS7" i="39"/>
  <c r="LW7" i="39"/>
  <c r="LV7" i="39"/>
  <c r="LU7" i="39"/>
  <c r="LT7" i="39"/>
  <c r="LS7" i="39"/>
  <c r="LR7" i="39"/>
  <c r="LP7" i="39"/>
  <c r="LO7" i="39"/>
  <c r="LN7" i="39"/>
  <c r="LM7" i="39"/>
  <c r="LL7" i="39"/>
  <c r="LK7" i="39"/>
  <c r="KO7" i="39"/>
  <c r="KN7" i="39"/>
  <c r="KM7" i="39"/>
  <c r="KL7" i="39"/>
  <c r="KK7" i="39"/>
  <c r="KJ7" i="39"/>
  <c r="KH7" i="39"/>
  <c r="KG7" i="39"/>
  <c r="KF7" i="39"/>
  <c r="KE7" i="39"/>
  <c r="KD7" i="39"/>
  <c r="KC7" i="39"/>
  <c r="JG7" i="39"/>
  <c r="JF7" i="39"/>
  <c r="JE7" i="39"/>
  <c r="JD7" i="39"/>
  <c r="JC7" i="39"/>
  <c r="JB7" i="39"/>
  <c r="IZ7" i="39"/>
  <c r="IY7" i="39"/>
  <c r="IX7" i="39"/>
  <c r="IW7" i="39"/>
  <c r="IV7" i="39"/>
  <c r="IU7" i="39"/>
  <c r="HY7" i="39"/>
  <c r="HX7" i="39"/>
  <c r="HW7" i="39"/>
  <c r="HV7" i="39"/>
  <c r="HU7" i="39"/>
  <c r="HT7" i="39"/>
  <c r="HR7" i="39"/>
  <c r="HQ7" i="39"/>
  <c r="HP7" i="39"/>
  <c r="HO7" i="39"/>
  <c r="HN7" i="39"/>
  <c r="HM7" i="39"/>
  <c r="GQ7" i="39"/>
  <c r="GP7" i="39"/>
  <c r="GO7" i="39"/>
  <c r="GN7" i="39"/>
  <c r="GM7" i="39"/>
  <c r="GL7" i="39"/>
  <c r="GJ7" i="39"/>
  <c r="GI7" i="39"/>
  <c r="GH7" i="39"/>
  <c r="GG7" i="39"/>
  <c r="GF7" i="39"/>
  <c r="GE7" i="39"/>
  <c r="FI7" i="39"/>
  <c r="FH7" i="39"/>
  <c r="FG7" i="39"/>
  <c r="FF7" i="39"/>
  <c r="FE7" i="39"/>
  <c r="FD7" i="39"/>
  <c r="FB7" i="39"/>
  <c r="FA7" i="39"/>
  <c r="EZ7" i="39"/>
  <c r="EY7" i="39"/>
  <c r="EX7" i="39"/>
  <c r="EW7" i="39"/>
  <c r="EA7" i="39"/>
  <c r="DZ7" i="39"/>
  <c r="DY7" i="39"/>
  <c r="DX7" i="39"/>
  <c r="DW7" i="39"/>
  <c r="DV7" i="39"/>
  <c r="DT7" i="39"/>
  <c r="DS7" i="39"/>
  <c r="DR7" i="39"/>
  <c r="DQ7" i="39"/>
  <c r="DP7" i="39"/>
  <c r="DO7" i="39"/>
  <c r="CR7" i="39"/>
  <c r="CQ7" i="39"/>
  <c r="CP7" i="39"/>
  <c r="CN7" i="39"/>
  <c r="CM7" i="39"/>
  <c r="CL7" i="39"/>
  <c r="CK7" i="39"/>
  <c r="CO7" i="39" s="1"/>
  <c r="CJ7" i="39"/>
  <c r="CI7" i="39"/>
  <c r="BQ7" i="39"/>
  <c r="BP7" i="39"/>
  <c r="BO7" i="39"/>
  <c r="BM7" i="39"/>
  <c r="BL7" i="39"/>
  <c r="BK7" i="39"/>
  <c r="BJ7" i="39"/>
  <c r="BI7" i="39"/>
  <c r="BH7" i="39"/>
  <c r="AP7" i="39"/>
  <c r="AO7" i="39"/>
  <c r="AN7" i="39"/>
  <c r="AL7" i="39"/>
  <c r="AK7" i="39"/>
  <c r="AJ7" i="39"/>
  <c r="AI7" i="39"/>
  <c r="AH7" i="39"/>
  <c r="AG7" i="39"/>
  <c r="WI6" i="39"/>
  <c r="WH6" i="39"/>
  <c r="WG6" i="39"/>
  <c r="WF6" i="39"/>
  <c r="WE6" i="39"/>
  <c r="WD6" i="39"/>
  <c r="WB6" i="39"/>
  <c r="WA6" i="39"/>
  <c r="VZ6" i="39"/>
  <c r="VY6" i="39"/>
  <c r="VX6" i="39"/>
  <c r="VW6" i="39"/>
  <c r="VA6" i="39"/>
  <c r="UZ6" i="39"/>
  <c r="UY6" i="39"/>
  <c r="UX6" i="39"/>
  <c r="UW6" i="39"/>
  <c r="UV6" i="39"/>
  <c r="UT6" i="39"/>
  <c r="US6" i="39"/>
  <c r="UR6" i="39"/>
  <c r="UQ6" i="39"/>
  <c r="UP6" i="39"/>
  <c r="UO6" i="39"/>
  <c r="TS6" i="39"/>
  <c r="TR6" i="39"/>
  <c r="TQ6" i="39"/>
  <c r="TP6" i="39"/>
  <c r="TO6" i="39"/>
  <c r="TN6" i="39"/>
  <c r="TL6" i="39"/>
  <c r="TK6" i="39"/>
  <c r="TJ6" i="39"/>
  <c r="TI6" i="39"/>
  <c r="TH6" i="39"/>
  <c r="TG6" i="39"/>
  <c r="SK6" i="39"/>
  <c r="SJ6" i="39"/>
  <c r="SI6" i="39"/>
  <c r="SH6" i="39"/>
  <c r="SG6" i="39"/>
  <c r="SF6" i="39"/>
  <c r="SD6" i="39"/>
  <c r="SC6" i="39"/>
  <c r="SB6" i="39"/>
  <c r="SA6" i="39"/>
  <c r="RZ6" i="39"/>
  <c r="RY6" i="39"/>
  <c r="RC6" i="39"/>
  <c r="RB6" i="39"/>
  <c r="RA6" i="39"/>
  <c r="QZ6" i="39"/>
  <c r="QY6" i="39"/>
  <c r="QX6" i="39"/>
  <c r="QV6" i="39"/>
  <c r="QU6" i="39"/>
  <c r="QT6" i="39"/>
  <c r="QS6" i="39"/>
  <c r="QR6" i="39"/>
  <c r="QQ6" i="39"/>
  <c r="PU6" i="39"/>
  <c r="PT6" i="39"/>
  <c r="PS6" i="39"/>
  <c r="PR6" i="39"/>
  <c r="PQ6" i="39"/>
  <c r="PP6" i="39"/>
  <c r="PN6" i="39"/>
  <c r="PM6" i="39"/>
  <c r="PL6" i="39"/>
  <c r="PK6" i="39"/>
  <c r="PJ6" i="39"/>
  <c r="PI6" i="39"/>
  <c r="OM6" i="39"/>
  <c r="OL6" i="39"/>
  <c r="OK6" i="39"/>
  <c r="OJ6" i="39"/>
  <c r="OI6" i="39"/>
  <c r="OH6" i="39"/>
  <c r="OF6" i="39"/>
  <c r="OE6" i="39"/>
  <c r="OD6" i="39"/>
  <c r="OC6" i="39"/>
  <c r="OB6" i="39"/>
  <c r="OA6" i="39"/>
  <c r="NE6" i="39"/>
  <c r="ND6" i="39"/>
  <c r="NC6" i="39"/>
  <c r="NB6" i="39"/>
  <c r="NA6" i="39"/>
  <c r="MZ6" i="39"/>
  <c r="MX6" i="39"/>
  <c r="MW6" i="39"/>
  <c r="MV6" i="39"/>
  <c r="MU6" i="39"/>
  <c r="MT6" i="39"/>
  <c r="MS6" i="39"/>
  <c r="LW6" i="39"/>
  <c r="LV6" i="39"/>
  <c r="LU6" i="39"/>
  <c r="LT6" i="39"/>
  <c r="LS6" i="39"/>
  <c r="LR6" i="39"/>
  <c r="LP6" i="39"/>
  <c r="LO6" i="39"/>
  <c r="LN6" i="39"/>
  <c r="LM6" i="39"/>
  <c r="LL6" i="39"/>
  <c r="LK6" i="39"/>
  <c r="KO6" i="39"/>
  <c r="KN6" i="39"/>
  <c r="KM6" i="39"/>
  <c r="KL6" i="39"/>
  <c r="KK6" i="39"/>
  <c r="KJ6" i="39"/>
  <c r="KH6" i="39"/>
  <c r="KG6" i="39"/>
  <c r="KF6" i="39"/>
  <c r="KE6" i="39"/>
  <c r="KD6" i="39"/>
  <c r="KC6" i="39"/>
  <c r="JG6" i="39"/>
  <c r="JF6" i="39"/>
  <c r="JE6" i="39"/>
  <c r="JD6" i="39"/>
  <c r="JC6" i="39"/>
  <c r="JB6" i="39"/>
  <c r="IZ6" i="39"/>
  <c r="IY6" i="39"/>
  <c r="IX6" i="39"/>
  <c r="IW6" i="39"/>
  <c r="IV6" i="39"/>
  <c r="IU6" i="39"/>
  <c r="HY6" i="39"/>
  <c r="HX6" i="39"/>
  <c r="HW6" i="39"/>
  <c r="HV6" i="39"/>
  <c r="HU6" i="39"/>
  <c r="HT6" i="39"/>
  <c r="HR6" i="39"/>
  <c r="HQ6" i="39"/>
  <c r="HP6" i="39"/>
  <c r="HO6" i="39"/>
  <c r="HN6" i="39"/>
  <c r="HM6" i="39"/>
  <c r="GQ6" i="39"/>
  <c r="GP6" i="39"/>
  <c r="GO6" i="39"/>
  <c r="GN6" i="39"/>
  <c r="GM6" i="39"/>
  <c r="GL6" i="39"/>
  <c r="GJ6" i="39"/>
  <c r="GI6" i="39"/>
  <c r="GH6" i="39"/>
  <c r="GG6" i="39"/>
  <c r="GF6" i="39"/>
  <c r="GE6" i="39"/>
  <c r="FI6" i="39"/>
  <c r="FH6" i="39"/>
  <c r="FG6" i="39"/>
  <c r="FF6" i="39"/>
  <c r="FE6" i="39"/>
  <c r="FD6" i="39"/>
  <c r="FB6" i="39"/>
  <c r="FA6" i="39"/>
  <c r="EZ6" i="39"/>
  <c r="EY6" i="39"/>
  <c r="EX6" i="39"/>
  <c r="EW6" i="39"/>
  <c r="EA6" i="39"/>
  <c r="DZ6" i="39"/>
  <c r="DY6" i="39"/>
  <c r="DX6" i="39"/>
  <c r="DW6" i="39"/>
  <c r="DV6" i="39"/>
  <c r="DT6" i="39"/>
  <c r="DS6" i="39"/>
  <c r="DR6" i="39"/>
  <c r="DQ6" i="39"/>
  <c r="DP6" i="39"/>
  <c r="DO6" i="39"/>
  <c r="CR6" i="39"/>
  <c r="CQ6" i="39"/>
  <c r="CP6" i="39"/>
  <c r="CN6" i="39"/>
  <c r="CM6" i="39"/>
  <c r="CL6" i="39"/>
  <c r="CK6" i="39"/>
  <c r="CJ6" i="39"/>
  <c r="CI6" i="39"/>
  <c r="BQ6" i="39"/>
  <c r="BP6" i="39"/>
  <c r="BO6" i="39"/>
  <c r="BM6" i="39"/>
  <c r="BL6" i="39"/>
  <c r="BK6" i="39"/>
  <c r="BJ6" i="39"/>
  <c r="BI6" i="39"/>
  <c r="BH6" i="39"/>
  <c r="AP6" i="39"/>
  <c r="AO6" i="39"/>
  <c r="AN6" i="39"/>
  <c r="AL6" i="39"/>
  <c r="AK6" i="39"/>
  <c r="AJ6" i="39"/>
  <c r="AI6" i="39"/>
  <c r="L6" i="39" s="1"/>
  <c r="AH6" i="39"/>
  <c r="AG6" i="39"/>
  <c r="WI5" i="39"/>
  <c r="WH5" i="39"/>
  <c r="WG5" i="39"/>
  <c r="WF5" i="39"/>
  <c r="WE5" i="39"/>
  <c r="WD5" i="39"/>
  <c r="WB5" i="39"/>
  <c r="WA5" i="39"/>
  <c r="VZ5" i="39"/>
  <c r="VY5" i="39"/>
  <c r="VX5" i="39"/>
  <c r="VW5" i="39"/>
  <c r="VA5" i="39"/>
  <c r="UZ5" i="39"/>
  <c r="UY5" i="39"/>
  <c r="UX5" i="39"/>
  <c r="UW5" i="39"/>
  <c r="UV5" i="39"/>
  <c r="UT5" i="39"/>
  <c r="US5" i="39"/>
  <c r="UR5" i="39"/>
  <c r="UQ5" i="39"/>
  <c r="UP5" i="39"/>
  <c r="UO5" i="39"/>
  <c r="TS5" i="39"/>
  <c r="TR5" i="39"/>
  <c r="TQ5" i="39"/>
  <c r="TP5" i="39"/>
  <c r="TO5" i="39"/>
  <c r="TN5" i="39"/>
  <c r="TL5" i="39"/>
  <c r="TK5" i="39"/>
  <c r="TJ5" i="39"/>
  <c r="TI5" i="39"/>
  <c r="TH5" i="39"/>
  <c r="TG5" i="39"/>
  <c r="SK5" i="39"/>
  <c r="SJ5" i="39"/>
  <c r="SI5" i="39"/>
  <c r="SH5" i="39"/>
  <c r="SG5" i="39"/>
  <c r="SF5" i="39"/>
  <c r="SD5" i="39"/>
  <c r="SC5" i="39"/>
  <c r="SB5" i="39"/>
  <c r="SA5" i="39"/>
  <c r="RZ5" i="39"/>
  <c r="RY5" i="39"/>
  <c r="RC5" i="39"/>
  <c r="RB5" i="39"/>
  <c r="RA5" i="39"/>
  <c r="QZ5" i="39"/>
  <c r="QY5" i="39"/>
  <c r="QX5" i="39"/>
  <c r="QV5" i="39"/>
  <c r="QU5" i="39"/>
  <c r="QT5" i="39"/>
  <c r="QS5" i="39"/>
  <c r="QR5" i="39"/>
  <c r="QQ5" i="39"/>
  <c r="PU5" i="39"/>
  <c r="PT5" i="39"/>
  <c r="PS5" i="39"/>
  <c r="PR5" i="39"/>
  <c r="PQ5" i="39"/>
  <c r="PP5" i="39"/>
  <c r="PN5" i="39"/>
  <c r="PM5" i="39"/>
  <c r="PL5" i="39"/>
  <c r="PK5" i="39"/>
  <c r="PJ5" i="39"/>
  <c r="PI5" i="39"/>
  <c r="OM5" i="39"/>
  <c r="OL5" i="39"/>
  <c r="OK5" i="39"/>
  <c r="OJ5" i="39"/>
  <c r="OI5" i="39"/>
  <c r="OH5" i="39"/>
  <c r="OF5" i="39"/>
  <c r="OE5" i="39"/>
  <c r="OD5" i="39"/>
  <c r="OC5" i="39"/>
  <c r="OB5" i="39"/>
  <c r="OA5" i="39"/>
  <c r="NE5" i="39"/>
  <c r="ND5" i="39"/>
  <c r="NC5" i="39"/>
  <c r="NB5" i="39"/>
  <c r="NA5" i="39"/>
  <c r="MZ5" i="39"/>
  <c r="MX5" i="39"/>
  <c r="MW5" i="39"/>
  <c r="MV5" i="39"/>
  <c r="MU5" i="39"/>
  <c r="MT5" i="39"/>
  <c r="MS5" i="39"/>
  <c r="LW5" i="39"/>
  <c r="LV5" i="39"/>
  <c r="LU5" i="39"/>
  <c r="LT5" i="39"/>
  <c r="LS5" i="39"/>
  <c r="LR5" i="39"/>
  <c r="LP5" i="39"/>
  <c r="LO5" i="39"/>
  <c r="LN5" i="39"/>
  <c r="LM5" i="39"/>
  <c r="LL5" i="39"/>
  <c r="LK5" i="39"/>
  <c r="KO5" i="39"/>
  <c r="KN5" i="39"/>
  <c r="KM5" i="39"/>
  <c r="KL5" i="39"/>
  <c r="KK5" i="39"/>
  <c r="KJ5" i="39"/>
  <c r="KH5" i="39"/>
  <c r="KG5" i="39"/>
  <c r="KF5" i="39"/>
  <c r="KE5" i="39"/>
  <c r="KD5" i="39"/>
  <c r="KC5" i="39"/>
  <c r="JG5" i="39"/>
  <c r="JF5" i="39"/>
  <c r="JE5" i="39"/>
  <c r="JD5" i="39"/>
  <c r="JC5" i="39"/>
  <c r="JB5" i="39"/>
  <c r="IZ5" i="39"/>
  <c r="IY5" i="39"/>
  <c r="IX5" i="39"/>
  <c r="IW5" i="39"/>
  <c r="IV5" i="39"/>
  <c r="IU5" i="39"/>
  <c r="HY5" i="39"/>
  <c r="HX5" i="39"/>
  <c r="HW5" i="39"/>
  <c r="HV5" i="39"/>
  <c r="HU5" i="39"/>
  <c r="HT5" i="39"/>
  <c r="HR5" i="39"/>
  <c r="HQ5" i="39"/>
  <c r="HP5" i="39"/>
  <c r="HO5" i="39"/>
  <c r="HN5" i="39"/>
  <c r="HM5" i="39"/>
  <c r="GQ5" i="39"/>
  <c r="GP5" i="39"/>
  <c r="GO5" i="39"/>
  <c r="GN5" i="39"/>
  <c r="GM5" i="39"/>
  <c r="GL5" i="39"/>
  <c r="GJ5" i="39"/>
  <c r="GI5" i="39"/>
  <c r="GH5" i="39"/>
  <c r="GG5" i="39"/>
  <c r="GF5" i="39"/>
  <c r="GE5" i="39"/>
  <c r="FI5" i="39"/>
  <c r="FH5" i="39"/>
  <c r="FG5" i="39"/>
  <c r="FF5" i="39"/>
  <c r="FE5" i="39"/>
  <c r="FD5" i="39"/>
  <c r="FB5" i="39"/>
  <c r="FA5" i="39"/>
  <c r="EZ5" i="39"/>
  <c r="EY5" i="39"/>
  <c r="EX5" i="39"/>
  <c r="EW5" i="39"/>
  <c r="EA5" i="39"/>
  <c r="DZ5" i="39"/>
  <c r="DY5" i="39"/>
  <c r="DX5" i="39"/>
  <c r="DW5" i="39"/>
  <c r="DV5" i="39"/>
  <c r="DT5" i="39"/>
  <c r="DS5" i="39"/>
  <c r="DR5" i="39"/>
  <c r="DQ5" i="39"/>
  <c r="DP5" i="39"/>
  <c r="DO5" i="39"/>
  <c r="CR5" i="39"/>
  <c r="CQ5" i="39"/>
  <c r="CP5" i="39"/>
  <c r="CN5" i="39"/>
  <c r="CM5" i="39"/>
  <c r="CL5" i="39"/>
  <c r="CK5" i="39"/>
  <c r="CO5" i="39" s="1"/>
  <c r="CJ5" i="39"/>
  <c r="CI5" i="39"/>
  <c r="BQ5" i="39"/>
  <c r="BP5" i="39"/>
  <c r="BO5" i="39"/>
  <c r="BM5" i="39"/>
  <c r="BL5" i="39"/>
  <c r="BK5" i="39"/>
  <c r="BJ5" i="39"/>
  <c r="BI5" i="39"/>
  <c r="BH5" i="39"/>
  <c r="AP5" i="39"/>
  <c r="AO5" i="39"/>
  <c r="AN5" i="39"/>
  <c r="AL5" i="39"/>
  <c r="AK5" i="39"/>
  <c r="AJ5" i="39"/>
  <c r="AI5" i="39"/>
  <c r="AH5" i="39"/>
  <c r="AG5" i="39"/>
  <c r="WI4" i="39"/>
  <c r="WH4" i="39"/>
  <c r="WG4" i="39"/>
  <c r="WF4" i="39"/>
  <c r="WE4" i="39"/>
  <c r="WD4" i="39"/>
  <c r="WB4" i="39"/>
  <c r="WA4" i="39"/>
  <c r="VZ4" i="39"/>
  <c r="VY4" i="39"/>
  <c r="VX4" i="39"/>
  <c r="VW4" i="39"/>
  <c r="VA4" i="39"/>
  <c r="UZ4" i="39"/>
  <c r="UY4" i="39"/>
  <c r="UX4" i="39"/>
  <c r="UW4" i="39"/>
  <c r="UV4" i="39"/>
  <c r="UT4" i="39"/>
  <c r="US4" i="39"/>
  <c r="UR4" i="39"/>
  <c r="UQ4" i="39"/>
  <c r="UP4" i="39"/>
  <c r="UO4" i="39"/>
  <c r="TS4" i="39"/>
  <c r="TR4" i="39"/>
  <c r="TQ4" i="39"/>
  <c r="TP4" i="39"/>
  <c r="TO4" i="39"/>
  <c r="TN4" i="39"/>
  <c r="TL4" i="39"/>
  <c r="TK4" i="39"/>
  <c r="TJ4" i="39"/>
  <c r="TI4" i="39"/>
  <c r="TH4" i="39"/>
  <c r="TG4" i="39"/>
  <c r="SK4" i="39"/>
  <c r="SJ4" i="39"/>
  <c r="SI4" i="39"/>
  <c r="SH4" i="39"/>
  <c r="SG4" i="39"/>
  <c r="SF4" i="39"/>
  <c r="SD4" i="39"/>
  <c r="SC4" i="39"/>
  <c r="SB4" i="39"/>
  <c r="SA4" i="39"/>
  <c r="RZ4" i="39"/>
  <c r="RY4" i="39"/>
  <c r="RC4" i="39"/>
  <c r="RB4" i="39"/>
  <c r="RA4" i="39"/>
  <c r="QZ4" i="39"/>
  <c r="QY4" i="39"/>
  <c r="QX4" i="39"/>
  <c r="QV4" i="39"/>
  <c r="QU4" i="39"/>
  <c r="QT4" i="39"/>
  <c r="QS4" i="39"/>
  <c r="QR4" i="39"/>
  <c r="QQ4" i="39"/>
  <c r="PU4" i="39"/>
  <c r="PT4" i="39"/>
  <c r="PS4" i="39"/>
  <c r="PR4" i="39"/>
  <c r="PQ4" i="39"/>
  <c r="PP4" i="39"/>
  <c r="PN4" i="39"/>
  <c r="PM4" i="39"/>
  <c r="PL4" i="39"/>
  <c r="PK4" i="39"/>
  <c r="PJ4" i="39"/>
  <c r="PI4" i="39"/>
  <c r="OM4" i="39"/>
  <c r="OL4" i="39"/>
  <c r="OK4" i="39"/>
  <c r="OJ4" i="39"/>
  <c r="OI4" i="39"/>
  <c r="OH4" i="39"/>
  <c r="OF4" i="39"/>
  <c r="OE4" i="39"/>
  <c r="OD4" i="39"/>
  <c r="OC4" i="39"/>
  <c r="OB4" i="39"/>
  <c r="OA4" i="39"/>
  <c r="NE4" i="39"/>
  <c r="ND4" i="39"/>
  <c r="NC4" i="39"/>
  <c r="NB4" i="39"/>
  <c r="NA4" i="39"/>
  <c r="MZ4" i="39"/>
  <c r="MX4" i="39"/>
  <c r="MW4" i="39"/>
  <c r="MV4" i="39"/>
  <c r="MU4" i="39"/>
  <c r="MT4" i="39"/>
  <c r="MS4" i="39"/>
  <c r="LW4" i="39"/>
  <c r="LV4" i="39"/>
  <c r="LU4" i="39"/>
  <c r="LT4" i="39"/>
  <c r="LS4" i="39"/>
  <c r="LR4" i="39"/>
  <c r="LP4" i="39"/>
  <c r="LO4" i="39"/>
  <c r="LN4" i="39"/>
  <c r="LM4" i="39"/>
  <c r="LL4" i="39"/>
  <c r="LK4" i="39"/>
  <c r="KO4" i="39"/>
  <c r="KN4" i="39"/>
  <c r="KM4" i="39"/>
  <c r="KL4" i="39"/>
  <c r="KK4" i="39"/>
  <c r="KJ4" i="39"/>
  <c r="KH4" i="39"/>
  <c r="KG4" i="39"/>
  <c r="KF4" i="39"/>
  <c r="KE4" i="39"/>
  <c r="KD4" i="39"/>
  <c r="KC4" i="39"/>
  <c r="JG4" i="39"/>
  <c r="JF4" i="39"/>
  <c r="JE4" i="39"/>
  <c r="JD4" i="39"/>
  <c r="JC4" i="39"/>
  <c r="JB4" i="39"/>
  <c r="IZ4" i="39"/>
  <c r="IY4" i="39"/>
  <c r="IX4" i="39"/>
  <c r="IW4" i="39"/>
  <c r="IV4" i="39"/>
  <c r="IU4" i="39"/>
  <c r="HY4" i="39"/>
  <c r="HX4" i="39"/>
  <c r="HW4" i="39"/>
  <c r="HV4" i="39"/>
  <c r="HU4" i="39"/>
  <c r="HT4" i="39"/>
  <c r="HR4" i="39"/>
  <c r="HQ4" i="39"/>
  <c r="HP4" i="39"/>
  <c r="HO4" i="39"/>
  <c r="HN4" i="39"/>
  <c r="HM4" i="39"/>
  <c r="GQ4" i="39"/>
  <c r="GP4" i="39"/>
  <c r="GO4" i="39"/>
  <c r="GN4" i="39"/>
  <c r="GM4" i="39"/>
  <c r="GL4" i="39"/>
  <c r="GJ4" i="39"/>
  <c r="GI4" i="39"/>
  <c r="GH4" i="39"/>
  <c r="GG4" i="39"/>
  <c r="GF4" i="39"/>
  <c r="GE4" i="39"/>
  <c r="FI4" i="39"/>
  <c r="FH4" i="39"/>
  <c r="FG4" i="39"/>
  <c r="FF4" i="39"/>
  <c r="FE4" i="39"/>
  <c r="FD4" i="39"/>
  <c r="FB4" i="39"/>
  <c r="FA4" i="39"/>
  <c r="EZ4" i="39"/>
  <c r="EY4" i="39"/>
  <c r="EX4" i="39"/>
  <c r="EW4" i="39"/>
  <c r="EA4" i="39"/>
  <c r="DZ4" i="39"/>
  <c r="DY4" i="39"/>
  <c r="DX4" i="39"/>
  <c r="DW4" i="39"/>
  <c r="DV4" i="39"/>
  <c r="DT4" i="39"/>
  <c r="DS4" i="39"/>
  <c r="DR4" i="39"/>
  <c r="DQ4" i="39"/>
  <c r="DP4" i="39"/>
  <c r="DO4" i="39"/>
  <c r="CR4" i="39"/>
  <c r="CQ4" i="39"/>
  <c r="CP4" i="39"/>
  <c r="CN4" i="39"/>
  <c r="CM4" i="39"/>
  <c r="CL4" i="39"/>
  <c r="CK4" i="39"/>
  <c r="CJ4" i="39"/>
  <c r="CI4" i="39"/>
  <c r="BQ4" i="39"/>
  <c r="BP4" i="39"/>
  <c r="BO4" i="39"/>
  <c r="BM4" i="39"/>
  <c r="BL4" i="39"/>
  <c r="BK4" i="39"/>
  <c r="BJ4" i="39"/>
  <c r="BI4" i="39"/>
  <c r="BH4" i="39"/>
  <c r="AP4" i="39"/>
  <c r="AO4" i="39"/>
  <c r="AN4" i="39"/>
  <c r="AL4" i="39"/>
  <c r="AK4" i="39"/>
  <c r="AJ4" i="39"/>
  <c r="AI4" i="39"/>
  <c r="AH4" i="39"/>
  <c r="AG4" i="39"/>
  <c r="WL14" i="38"/>
  <c r="WK14" i="38"/>
  <c r="WJ14" i="38"/>
  <c r="WI14" i="38"/>
  <c r="WH14" i="38"/>
  <c r="WG14" i="38"/>
  <c r="WE14" i="38"/>
  <c r="WD14" i="38"/>
  <c r="WC14" i="38"/>
  <c r="WB14" i="38"/>
  <c r="WA14" i="38"/>
  <c r="VZ14" i="38"/>
  <c r="VD14" i="38"/>
  <c r="VC14" i="38"/>
  <c r="VB14" i="38"/>
  <c r="VA14" i="38"/>
  <c r="UZ14" i="38"/>
  <c r="UY14" i="38"/>
  <c r="UW14" i="38"/>
  <c r="UV14" i="38"/>
  <c r="UU14" i="38"/>
  <c r="UT14" i="38"/>
  <c r="US14" i="38"/>
  <c r="UR14" i="38"/>
  <c r="TV14" i="38"/>
  <c r="TU14" i="38"/>
  <c r="TT14" i="38"/>
  <c r="TS14" i="38"/>
  <c r="TR14" i="38"/>
  <c r="TQ14" i="38"/>
  <c r="TO14" i="38"/>
  <c r="TN14" i="38"/>
  <c r="TM14" i="38"/>
  <c r="TL14" i="38"/>
  <c r="TK14" i="38"/>
  <c r="TJ14" i="38"/>
  <c r="SN14" i="38"/>
  <c r="SM14" i="38"/>
  <c r="SL14" i="38"/>
  <c r="SK14" i="38"/>
  <c r="SJ14" i="38"/>
  <c r="SI14" i="38"/>
  <c r="SG14" i="38"/>
  <c r="SF14" i="38"/>
  <c r="SE14" i="38"/>
  <c r="SD14" i="38"/>
  <c r="SC14" i="38"/>
  <c r="SB14" i="38"/>
  <c r="RF14" i="38"/>
  <c r="RE14" i="38"/>
  <c r="RD14" i="38"/>
  <c r="RC14" i="38"/>
  <c r="RB14" i="38"/>
  <c r="RA14" i="38"/>
  <c r="QY14" i="38"/>
  <c r="QX14" i="38"/>
  <c r="QW14" i="38"/>
  <c r="QV14" i="38"/>
  <c r="QU14" i="38"/>
  <c r="QT14" i="38"/>
  <c r="PX14" i="38"/>
  <c r="PW14" i="38"/>
  <c r="PV14" i="38"/>
  <c r="PU14" i="38"/>
  <c r="PT14" i="38"/>
  <c r="PS14" i="38"/>
  <c r="PQ14" i="38"/>
  <c r="PP14" i="38"/>
  <c r="PO14" i="38"/>
  <c r="PN14" i="38"/>
  <c r="PM14" i="38"/>
  <c r="PL14" i="38"/>
  <c r="OP14" i="38"/>
  <c r="OO14" i="38"/>
  <c r="ON14" i="38"/>
  <c r="OM14" i="38"/>
  <c r="OL14" i="38"/>
  <c r="OK14" i="38"/>
  <c r="OI14" i="38"/>
  <c r="OH14" i="38"/>
  <c r="OG14" i="38"/>
  <c r="OF14" i="38"/>
  <c r="OE14" i="38"/>
  <c r="OD14" i="38"/>
  <c r="NH14" i="38"/>
  <c r="NG14" i="38"/>
  <c r="NF14" i="38"/>
  <c r="NE14" i="38"/>
  <c r="ND14" i="38"/>
  <c r="NC14" i="38"/>
  <c r="NA14" i="38"/>
  <c r="MZ14" i="38"/>
  <c r="MY14" i="38"/>
  <c r="MX14" i="38"/>
  <c r="MW14" i="38"/>
  <c r="MV14" i="38"/>
  <c r="LZ14" i="38"/>
  <c r="LY14" i="38"/>
  <c r="LX14" i="38"/>
  <c r="LW14" i="38"/>
  <c r="LV14" i="38"/>
  <c r="LU14" i="38"/>
  <c r="LS14" i="38"/>
  <c r="LR14" i="38"/>
  <c r="LQ14" i="38"/>
  <c r="LP14" i="38"/>
  <c r="LO14" i="38"/>
  <c r="LN14" i="38"/>
  <c r="KR14" i="38"/>
  <c r="KQ14" i="38"/>
  <c r="KP14" i="38"/>
  <c r="KO14" i="38"/>
  <c r="KN14" i="38"/>
  <c r="KM14" i="38"/>
  <c r="KK14" i="38"/>
  <c r="KJ14" i="38"/>
  <c r="KI14" i="38"/>
  <c r="KH14" i="38"/>
  <c r="KG14" i="38"/>
  <c r="KF14" i="38"/>
  <c r="JJ14" i="38"/>
  <c r="JI14" i="38"/>
  <c r="JH14" i="38"/>
  <c r="JG14" i="38"/>
  <c r="JF14" i="38"/>
  <c r="JE14" i="38"/>
  <c r="JC14" i="38"/>
  <c r="JB14" i="38"/>
  <c r="JA14" i="38"/>
  <c r="IZ14" i="38"/>
  <c r="JD14" i="38" s="1"/>
  <c r="IY14" i="38"/>
  <c r="IX14" i="38"/>
  <c r="IB14" i="38"/>
  <c r="IA14" i="38"/>
  <c r="HZ14" i="38"/>
  <c r="HY14" i="38"/>
  <c r="HX14" i="38"/>
  <c r="HW14" i="38"/>
  <c r="HU14" i="38"/>
  <c r="HT14" i="38"/>
  <c r="HS14" i="38"/>
  <c r="HR14" i="38"/>
  <c r="HQ14" i="38"/>
  <c r="HP14" i="38"/>
  <c r="GT14" i="38"/>
  <c r="GS14" i="38"/>
  <c r="GR14" i="38"/>
  <c r="GQ14" i="38"/>
  <c r="GP14" i="38"/>
  <c r="GO14" i="38"/>
  <c r="GM14" i="38"/>
  <c r="GL14" i="38"/>
  <c r="GK14" i="38"/>
  <c r="GJ14" i="38"/>
  <c r="GI14" i="38"/>
  <c r="GH14" i="38"/>
  <c r="FL14" i="38"/>
  <c r="FK14" i="38"/>
  <c r="FJ14" i="38"/>
  <c r="FI14" i="38"/>
  <c r="FH14" i="38"/>
  <c r="FG14" i="38"/>
  <c r="FE14" i="38"/>
  <c r="FD14" i="38"/>
  <c r="FC14" i="38"/>
  <c r="FB14" i="38"/>
  <c r="FA14" i="38"/>
  <c r="EZ14" i="38"/>
  <c r="ED14" i="38"/>
  <c r="EC14" i="38"/>
  <c r="EB14" i="38"/>
  <c r="EA14" i="38"/>
  <c r="DZ14" i="38"/>
  <c r="DY14" i="38"/>
  <c r="DW14" i="38"/>
  <c r="DV14" i="38"/>
  <c r="DU14" i="38"/>
  <c r="DT14" i="38"/>
  <c r="DS14" i="38"/>
  <c r="DR14" i="38"/>
  <c r="CT14" i="38"/>
  <c r="CS14" i="38"/>
  <c r="CR14" i="38"/>
  <c r="CP14" i="38"/>
  <c r="CO14" i="38"/>
  <c r="CN14" i="38"/>
  <c r="CM14" i="38"/>
  <c r="CQ14" i="38" s="1"/>
  <c r="CL14" i="38"/>
  <c r="CK14" i="38"/>
  <c r="BS14" i="38"/>
  <c r="BR14" i="38"/>
  <c r="BQ14" i="38"/>
  <c r="BO14" i="38"/>
  <c r="BN14" i="38"/>
  <c r="BM14" i="38"/>
  <c r="BL14" i="38"/>
  <c r="BP14" i="38" s="1"/>
  <c r="BT14" i="38" s="1"/>
  <c r="BK14" i="38"/>
  <c r="BJ14" i="38"/>
  <c r="AR14" i="38"/>
  <c r="AQ14" i="38"/>
  <c r="AP14" i="38"/>
  <c r="AN14" i="38"/>
  <c r="AM14" i="38"/>
  <c r="AL14" i="38"/>
  <c r="AK14" i="38"/>
  <c r="AJ14" i="38"/>
  <c r="AI14" i="38"/>
  <c r="WL13" i="38"/>
  <c r="WK13" i="38"/>
  <c r="WJ13" i="38"/>
  <c r="WI13" i="38"/>
  <c r="WH13" i="38"/>
  <c r="WG13" i="38"/>
  <c r="WE13" i="38"/>
  <c r="WD13" i="38"/>
  <c r="WC13" i="38"/>
  <c r="WB13" i="38"/>
  <c r="WA13" i="38"/>
  <c r="VZ13" i="38"/>
  <c r="VD13" i="38"/>
  <c r="VC13" i="38"/>
  <c r="VB13" i="38"/>
  <c r="VA13" i="38"/>
  <c r="UZ13" i="38"/>
  <c r="UY13" i="38"/>
  <c r="UW13" i="38"/>
  <c r="UV13" i="38"/>
  <c r="UU13" i="38"/>
  <c r="UT13" i="38"/>
  <c r="US13" i="38"/>
  <c r="UR13" i="38"/>
  <c r="TV13" i="38"/>
  <c r="TU13" i="38"/>
  <c r="TT13" i="38"/>
  <c r="TS13" i="38"/>
  <c r="TR13" i="38"/>
  <c r="TQ13" i="38"/>
  <c r="TO13" i="38"/>
  <c r="TN13" i="38"/>
  <c r="TM13" i="38"/>
  <c r="TL13" i="38"/>
  <c r="TP13" i="38" s="1"/>
  <c r="TK13" i="38"/>
  <c r="TJ13" i="38"/>
  <c r="SN13" i="38"/>
  <c r="SM13" i="38"/>
  <c r="SL13" i="38"/>
  <c r="SK13" i="38"/>
  <c r="SJ13" i="38"/>
  <c r="SI13" i="38"/>
  <c r="SG13" i="38"/>
  <c r="SF13" i="38"/>
  <c r="SE13" i="38"/>
  <c r="SD13" i="38"/>
  <c r="SC13" i="38"/>
  <c r="SB13" i="38"/>
  <c r="RF13" i="38"/>
  <c r="RE13" i="38"/>
  <c r="RD13" i="38"/>
  <c r="RC13" i="38"/>
  <c r="RB13" i="38"/>
  <c r="RA13" i="38"/>
  <c r="QY13" i="38"/>
  <c r="QX13" i="38"/>
  <c r="QW13" i="38"/>
  <c r="QV13" i="38"/>
  <c r="QU13" i="38"/>
  <c r="QT13" i="38"/>
  <c r="PX13" i="38"/>
  <c r="PW13" i="38"/>
  <c r="PV13" i="38"/>
  <c r="PU13" i="38"/>
  <c r="PT13" i="38"/>
  <c r="PS13" i="38"/>
  <c r="PQ13" i="38"/>
  <c r="PP13" i="38"/>
  <c r="PO13" i="38"/>
  <c r="PN13" i="38"/>
  <c r="PM13" i="38"/>
  <c r="PL13" i="38"/>
  <c r="OP13" i="38"/>
  <c r="OO13" i="38"/>
  <c r="ON13" i="38"/>
  <c r="OM13" i="38"/>
  <c r="OL13" i="38"/>
  <c r="OK13" i="38"/>
  <c r="OI13" i="38"/>
  <c r="OH13" i="38"/>
  <c r="OG13" i="38"/>
  <c r="OF13" i="38"/>
  <c r="OE13" i="38"/>
  <c r="OD13" i="38"/>
  <c r="NH13" i="38"/>
  <c r="NG13" i="38"/>
  <c r="NF13" i="38"/>
  <c r="NE13" i="38"/>
  <c r="ND13" i="38"/>
  <c r="NC13" i="38"/>
  <c r="NA13" i="38"/>
  <c r="MZ13" i="38"/>
  <c r="MY13" i="38"/>
  <c r="MX13" i="38"/>
  <c r="MW13" i="38"/>
  <c r="MV13" i="38"/>
  <c r="LZ13" i="38"/>
  <c r="LY13" i="38"/>
  <c r="LX13" i="38"/>
  <c r="LW13" i="38"/>
  <c r="LV13" i="38"/>
  <c r="LU13" i="38"/>
  <c r="LS13" i="38"/>
  <c r="LR13" i="38"/>
  <c r="LQ13" i="38"/>
  <c r="LP13" i="38"/>
  <c r="LO13" i="38"/>
  <c r="LN13" i="38"/>
  <c r="KR13" i="38"/>
  <c r="KQ13" i="38"/>
  <c r="KP13" i="38"/>
  <c r="KO13" i="38"/>
  <c r="KN13" i="38"/>
  <c r="KM13" i="38"/>
  <c r="KK13" i="38"/>
  <c r="KJ13" i="38"/>
  <c r="KI13" i="38"/>
  <c r="KH13" i="38"/>
  <c r="KG13" i="38"/>
  <c r="KF13" i="38"/>
  <c r="JJ13" i="38"/>
  <c r="JI13" i="38"/>
  <c r="JH13" i="38"/>
  <c r="JG13" i="38"/>
  <c r="JF13" i="38"/>
  <c r="JE13" i="38"/>
  <c r="JC13" i="38"/>
  <c r="JB13" i="38"/>
  <c r="JA13" i="38"/>
  <c r="IZ13" i="38"/>
  <c r="IY13" i="38"/>
  <c r="IX13" i="38"/>
  <c r="IB13" i="38"/>
  <c r="IA13" i="38"/>
  <c r="HZ13" i="38"/>
  <c r="HY13" i="38"/>
  <c r="HX13" i="38"/>
  <c r="HW13" i="38"/>
  <c r="HU13" i="38"/>
  <c r="HT13" i="38"/>
  <c r="HS13" i="38"/>
  <c r="HR13" i="38"/>
  <c r="HQ13" i="38"/>
  <c r="HP13" i="38"/>
  <c r="GT13" i="38"/>
  <c r="GS13" i="38"/>
  <c r="GR13" i="38"/>
  <c r="GQ13" i="38"/>
  <c r="GP13" i="38"/>
  <c r="GO13" i="38"/>
  <c r="GM13" i="38"/>
  <c r="GL13" i="38"/>
  <c r="GK13" i="38"/>
  <c r="GJ13" i="38"/>
  <c r="GI13" i="38"/>
  <c r="GH13" i="38"/>
  <c r="FL13" i="38"/>
  <c r="FK13" i="38"/>
  <c r="FJ13" i="38"/>
  <c r="FI13" i="38"/>
  <c r="FH13" i="38"/>
  <c r="FG13" i="38"/>
  <c r="FE13" i="38"/>
  <c r="FD13" i="38"/>
  <c r="FC13" i="38"/>
  <c r="FB13" i="38"/>
  <c r="FA13" i="38"/>
  <c r="EZ13" i="38"/>
  <c r="ED13" i="38"/>
  <c r="EC13" i="38"/>
  <c r="EB13" i="38"/>
  <c r="EA13" i="38"/>
  <c r="DZ13" i="38"/>
  <c r="DY13" i="38"/>
  <c r="DW13" i="38"/>
  <c r="DV13" i="38"/>
  <c r="DU13" i="38"/>
  <c r="DT13" i="38"/>
  <c r="DS13" i="38"/>
  <c r="DR13" i="38"/>
  <c r="CT13" i="38"/>
  <c r="CS13" i="38"/>
  <c r="CR13" i="38"/>
  <c r="CP13" i="38"/>
  <c r="CO13" i="38"/>
  <c r="CN13" i="38"/>
  <c r="CM13" i="38"/>
  <c r="CQ13" i="38" s="1"/>
  <c r="CL13" i="38"/>
  <c r="CK13" i="38"/>
  <c r="BS13" i="38"/>
  <c r="BR13" i="38"/>
  <c r="BQ13" i="38"/>
  <c r="BO13" i="38"/>
  <c r="BN13" i="38"/>
  <c r="BM13" i="38"/>
  <c r="BL13" i="38"/>
  <c r="BK13" i="38"/>
  <c r="BJ13" i="38"/>
  <c r="AR13" i="38"/>
  <c r="AQ13" i="38"/>
  <c r="AP13" i="38"/>
  <c r="AN13" i="38"/>
  <c r="AM13" i="38"/>
  <c r="AL13" i="38"/>
  <c r="AK13" i="38"/>
  <c r="AJ13" i="38"/>
  <c r="AI13" i="38"/>
  <c r="WL12" i="38"/>
  <c r="WK12" i="38"/>
  <c r="WJ12" i="38"/>
  <c r="WI12" i="38"/>
  <c r="WH12" i="38"/>
  <c r="WG12" i="38"/>
  <c r="WE12" i="38"/>
  <c r="WD12" i="38"/>
  <c r="WC12" i="38"/>
  <c r="WB12" i="38"/>
  <c r="WF12" i="38" s="1"/>
  <c r="WM12" i="38" s="1"/>
  <c r="WA12" i="38"/>
  <c r="VZ12" i="38"/>
  <c r="VD12" i="38"/>
  <c r="VC12" i="38"/>
  <c r="VB12" i="38"/>
  <c r="VA12" i="38"/>
  <c r="UZ12" i="38"/>
  <c r="UY12" i="38"/>
  <c r="UW12" i="38"/>
  <c r="UV12" i="38"/>
  <c r="UU12" i="38"/>
  <c r="UT12" i="38"/>
  <c r="UX12" i="38" s="1"/>
  <c r="US12" i="38"/>
  <c r="UR12" i="38"/>
  <c r="TV12" i="38"/>
  <c r="TU12" i="38"/>
  <c r="TT12" i="38"/>
  <c r="TS12" i="38"/>
  <c r="TR12" i="38"/>
  <c r="TQ12" i="38"/>
  <c r="TO12" i="38"/>
  <c r="TN12" i="38"/>
  <c r="TM12" i="38"/>
  <c r="TL12" i="38"/>
  <c r="TK12" i="38"/>
  <c r="TJ12" i="38"/>
  <c r="SN12" i="38"/>
  <c r="SM12" i="38"/>
  <c r="SL12" i="38"/>
  <c r="SK12" i="38"/>
  <c r="SJ12" i="38"/>
  <c r="SI12" i="38"/>
  <c r="SG12" i="38"/>
  <c r="SF12" i="38"/>
  <c r="SE12" i="38"/>
  <c r="SD12" i="38"/>
  <c r="SH12" i="38" s="1"/>
  <c r="SC12" i="38"/>
  <c r="SB12" i="38"/>
  <c r="RF12" i="38"/>
  <c r="RE12" i="38"/>
  <c r="RD12" i="38"/>
  <c r="RC12" i="38"/>
  <c r="RB12" i="38"/>
  <c r="RA12" i="38"/>
  <c r="QY12" i="38"/>
  <c r="QX12" i="38"/>
  <c r="QW12" i="38"/>
  <c r="QV12" i="38"/>
  <c r="QU12" i="38"/>
  <c r="QT12" i="38"/>
  <c r="PX12" i="38"/>
  <c r="PW12" i="38"/>
  <c r="PV12" i="38"/>
  <c r="PU12" i="38"/>
  <c r="PT12" i="38"/>
  <c r="PS12" i="38"/>
  <c r="PQ12" i="38"/>
  <c r="PP12" i="38"/>
  <c r="PO12" i="38"/>
  <c r="PN12" i="38"/>
  <c r="PM12" i="38"/>
  <c r="PL12" i="38"/>
  <c r="OP12" i="38"/>
  <c r="OO12" i="38"/>
  <c r="ON12" i="38"/>
  <c r="OM12" i="38"/>
  <c r="OL12" i="38"/>
  <c r="OK12" i="38"/>
  <c r="OI12" i="38"/>
  <c r="OH12" i="38"/>
  <c r="OG12" i="38"/>
  <c r="OF12" i="38"/>
  <c r="OE12" i="38"/>
  <c r="OD12" i="38"/>
  <c r="NH12" i="38"/>
  <c r="NG12" i="38"/>
  <c r="NF12" i="38"/>
  <c r="NE12" i="38"/>
  <c r="ND12" i="38"/>
  <c r="NC12" i="38"/>
  <c r="NA12" i="38"/>
  <c r="MZ12" i="38"/>
  <c r="MY12" i="38"/>
  <c r="MX12" i="38"/>
  <c r="NB12" i="38" s="1"/>
  <c r="MW12" i="38"/>
  <c r="MV12" i="38"/>
  <c r="LZ12" i="38"/>
  <c r="LY12" i="38"/>
  <c r="LX12" i="38"/>
  <c r="LW12" i="38"/>
  <c r="LV12" i="38"/>
  <c r="LU12" i="38"/>
  <c r="LS12" i="38"/>
  <c r="LR12" i="38"/>
  <c r="LQ12" i="38"/>
  <c r="LP12" i="38"/>
  <c r="LT12" i="38" s="1"/>
  <c r="LO12" i="38"/>
  <c r="LN12" i="38"/>
  <c r="KR12" i="38"/>
  <c r="KQ12" i="38"/>
  <c r="KP12" i="38"/>
  <c r="KO12" i="38"/>
  <c r="KN12" i="38"/>
  <c r="KM12" i="38"/>
  <c r="KK12" i="38"/>
  <c r="KJ12" i="38"/>
  <c r="KI12" i="38"/>
  <c r="KH12" i="38"/>
  <c r="KG12" i="38"/>
  <c r="KF12" i="38"/>
  <c r="JJ12" i="38"/>
  <c r="JI12" i="38"/>
  <c r="JH12" i="38"/>
  <c r="JG12" i="38"/>
  <c r="JF12" i="38"/>
  <c r="JE12" i="38"/>
  <c r="JC12" i="38"/>
  <c r="JB12" i="38"/>
  <c r="JA12" i="38"/>
  <c r="IZ12" i="38"/>
  <c r="IY12" i="38"/>
  <c r="IX12" i="38"/>
  <c r="IB12" i="38"/>
  <c r="IA12" i="38"/>
  <c r="HZ12" i="38"/>
  <c r="HY12" i="38"/>
  <c r="HX12" i="38"/>
  <c r="HW12" i="38"/>
  <c r="HU12" i="38"/>
  <c r="HT12" i="38"/>
  <c r="HS12" i="38"/>
  <c r="HR12" i="38"/>
  <c r="HQ12" i="38"/>
  <c r="HP12" i="38"/>
  <c r="GT12" i="38"/>
  <c r="GS12" i="38"/>
  <c r="GR12" i="38"/>
  <c r="GQ12" i="38"/>
  <c r="GP12" i="38"/>
  <c r="GO12" i="38"/>
  <c r="GM12" i="38"/>
  <c r="GL12" i="38"/>
  <c r="GK12" i="38"/>
  <c r="GJ12" i="38"/>
  <c r="GI12" i="38"/>
  <c r="GH12" i="38"/>
  <c r="FL12" i="38"/>
  <c r="FK12" i="38"/>
  <c r="FJ12" i="38"/>
  <c r="FI12" i="38"/>
  <c r="FH12" i="38"/>
  <c r="FG12" i="38"/>
  <c r="FE12" i="38"/>
  <c r="FD12" i="38"/>
  <c r="FC12" i="38"/>
  <c r="FB12" i="38"/>
  <c r="FA12" i="38"/>
  <c r="EZ12" i="38"/>
  <c r="ED12" i="38"/>
  <c r="EC12" i="38"/>
  <c r="EB12" i="38"/>
  <c r="EA12" i="38"/>
  <c r="DZ12" i="38"/>
  <c r="DY12" i="38"/>
  <c r="DW12" i="38"/>
  <c r="DV12" i="38"/>
  <c r="DU12" i="38"/>
  <c r="DT12" i="38"/>
  <c r="DX12" i="38" s="1"/>
  <c r="DS12" i="38"/>
  <c r="DR12" i="38"/>
  <c r="CT12" i="38"/>
  <c r="CS12" i="38"/>
  <c r="CR12" i="38"/>
  <c r="CP12" i="38"/>
  <c r="CO12" i="38"/>
  <c r="CN12" i="38"/>
  <c r="CM12" i="38"/>
  <c r="CL12" i="38"/>
  <c r="CK12" i="38"/>
  <c r="BS12" i="38"/>
  <c r="BR12" i="38"/>
  <c r="BQ12" i="38"/>
  <c r="BO12" i="38"/>
  <c r="BN12" i="38"/>
  <c r="BM12" i="38"/>
  <c r="BL12" i="38"/>
  <c r="BK12" i="38"/>
  <c r="BJ12" i="38"/>
  <c r="AR12" i="38"/>
  <c r="AQ12" i="38"/>
  <c r="AP12" i="38"/>
  <c r="AN12" i="38"/>
  <c r="AM12" i="38"/>
  <c r="AL12" i="38"/>
  <c r="AK12" i="38"/>
  <c r="AJ12" i="38"/>
  <c r="AI12" i="38"/>
  <c r="WL11" i="38"/>
  <c r="WK11" i="38"/>
  <c r="WJ11" i="38"/>
  <c r="WI11" i="38"/>
  <c r="WH11" i="38"/>
  <c r="WG11" i="38"/>
  <c r="WE11" i="38"/>
  <c r="WD11" i="38"/>
  <c r="WC11" i="38"/>
  <c r="WB11" i="38"/>
  <c r="WA11" i="38"/>
  <c r="VZ11" i="38"/>
  <c r="VD11" i="38"/>
  <c r="VC11" i="38"/>
  <c r="VB11" i="38"/>
  <c r="VA11" i="38"/>
  <c r="UZ11" i="38"/>
  <c r="UY11" i="38"/>
  <c r="UW11" i="38"/>
  <c r="UV11" i="38"/>
  <c r="UU11" i="38"/>
  <c r="UT11" i="38"/>
  <c r="US11" i="38"/>
  <c r="UR11" i="38"/>
  <c r="TV11" i="38"/>
  <c r="TU11" i="38"/>
  <c r="TT11" i="38"/>
  <c r="TS11" i="38"/>
  <c r="TR11" i="38"/>
  <c r="TQ11" i="38"/>
  <c r="TO11" i="38"/>
  <c r="TN11" i="38"/>
  <c r="TM11" i="38"/>
  <c r="TL11" i="38"/>
  <c r="TK11" i="38"/>
  <c r="TJ11" i="38"/>
  <c r="SN11" i="38"/>
  <c r="SM11" i="38"/>
  <c r="SL11" i="38"/>
  <c r="SK11" i="38"/>
  <c r="SJ11" i="38"/>
  <c r="SI11" i="38"/>
  <c r="SG11" i="38"/>
  <c r="SF11" i="38"/>
  <c r="SE11" i="38"/>
  <c r="SD11" i="38"/>
  <c r="SC11" i="38"/>
  <c r="SB11" i="38"/>
  <c r="RF11" i="38"/>
  <c r="RE11" i="38"/>
  <c r="RD11" i="38"/>
  <c r="RC11" i="38"/>
  <c r="RB11" i="38"/>
  <c r="RA11" i="38"/>
  <c r="QY11" i="38"/>
  <c r="QX11" i="38"/>
  <c r="QW11" i="38"/>
  <c r="QV11" i="38"/>
  <c r="QU11" i="38"/>
  <c r="QT11" i="38"/>
  <c r="PX11" i="38"/>
  <c r="PW11" i="38"/>
  <c r="PV11" i="38"/>
  <c r="PU11" i="38"/>
  <c r="PT11" i="38"/>
  <c r="PS11" i="38"/>
  <c r="PQ11" i="38"/>
  <c r="PP11" i="38"/>
  <c r="PO11" i="38"/>
  <c r="PN11" i="38"/>
  <c r="PM11" i="38"/>
  <c r="PL11" i="38"/>
  <c r="OP11" i="38"/>
  <c r="OO11" i="38"/>
  <c r="ON11" i="38"/>
  <c r="OM11" i="38"/>
  <c r="OL11" i="38"/>
  <c r="OK11" i="38"/>
  <c r="OI11" i="38"/>
  <c r="OH11" i="38"/>
  <c r="OG11" i="38"/>
  <c r="OF11" i="38"/>
  <c r="OJ11" i="38" s="1"/>
  <c r="OE11" i="38"/>
  <c r="OD11" i="38"/>
  <c r="NH11" i="38"/>
  <c r="NG11" i="38"/>
  <c r="NF11" i="38"/>
  <c r="NE11" i="38"/>
  <c r="ND11" i="38"/>
  <c r="NC11" i="38"/>
  <c r="NA11" i="38"/>
  <c r="MZ11" i="38"/>
  <c r="MY11" i="38"/>
  <c r="MX11" i="38"/>
  <c r="MW11" i="38"/>
  <c r="MV11" i="38"/>
  <c r="LZ11" i="38"/>
  <c r="LY11" i="38"/>
  <c r="LX11" i="38"/>
  <c r="LW11" i="38"/>
  <c r="LV11" i="38"/>
  <c r="LU11" i="38"/>
  <c r="LS11" i="38"/>
  <c r="LR11" i="38"/>
  <c r="LQ11" i="38"/>
  <c r="LP11" i="38"/>
  <c r="LO11" i="38"/>
  <c r="LN11" i="38"/>
  <c r="KR11" i="38"/>
  <c r="KQ11" i="38"/>
  <c r="KP11" i="38"/>
  <c r="KO11" i="38"/>
  <c r="KN11" i="38"/>
  <c r="KM11" i="38"/>
  <c r="KK11" i="38"/>
  <c r="KJ11" i="38"/>
  <c r="KI11" i="38"/>
  <c r="KH11" i="38"/>
  <c r="KG11" i="38"/>
  <c r="KF11" i="38"/>
  <c r="JJ11" i="38"/>
  <c r="JI11" i="38"/>
  <c r="JH11" i="38"/>
  <c r="JG11" i="38"/>
  <c r="JF11" i="38"/>
  <c r="JE11" i="38"/>
  <c r="JC11" i="38"/>
  <c r="JB11" i="38"/>
  <c r="JA11" i="38"/>
  <c r="IZ11" i="38"/>
  <c r="IY11" i="38"/>
  <c r="IX11" i="38"/>
  <c r="IB11" i="38"/>
  <c r="IA11" i="38"/>
  <c r="HZ11" i="38"/>
  <c r="HY11" i="38"/>
  <c r="HX11" i="38"/>
  <c r="HW11" i="38"/>
  <c r="HU11" i="38"/>
  <c r="HT11" i="38"/>
  <c r="HS11" i="38"/>
  <c r="HR11" i="38"/>
  <c r="HQ11" i="38"/>
  <c r="HP11" i="38"/>
  <c r="GT11" i="38"/>
  <c r="GS11" i="38"/>
  <c r="GR11" i="38"/>
  <c r="GQ11" i="38"/>
  <c r="GP11" i="38"/>
  <c r="GO11" i="38"/>
  <c r="GM11" i="38"/>
  <c r="GL11" i="38"/>
  <c r="GK11" i="38"/>
  <c r="GJ11" i="38"/>
  <c r="GI11" i="38"/>
  <c r="GH11" i="38"/>
  <c r="FL11" i="38"/>
  <c r="FK11" i="38"/>
  <c r="FJ11" i="38"/>
  <c r="FI11" i="38"/>
  <c r="FH11" i="38"/>
  <c r="FG11" i="38"/>
  <c r="FE11" i="38"/>
  <c r="FD11" i="38"/>
  <c r="FC11" i="38"/>
  <c r="FB11" i="38"/>
  <c r="FF11" i="38" s="1"/>
  <c r="FA11" i="38"/>
  <c r="EZ11" i="38"/>
  <c r="ED11" i="38"/>
  <c r="EC11" i="38"/>
  <c r="EB11" i="38"/>
  <c r="EA11" i="38"/>
  <c r="DZ11" i="38"/>
  <c r="DY11" i="38"/>
  <c r="DW11" i="38"/>
  <c r="DV11" i="38"/>
  <c r="DU11" i="38"/>
  <c r="DT11" i="38"/>
  <c r="DS11" i="38"/>
  <c r="DR11" i="38"/>
  <c r="CT11" i="38"/>
  <c r="CS11" i="38"/>
  <c r="CR11" i="38"/>
  <c r="CP11" i="38"/>
  <c r="CO11" i="38"/>
  <c r="CN11" i="38"/>
  <c r="CM11" i="38"/>
  <c r="CL11" i="38"/>
  <c r="CK11" i="38"/>
  <c r="BS11" i="38"/>
  <c r="BR11" i="38"/>
  <c r="BQ11" i="38"/>
  <c r="BO11" i="38"/>
  <c r="BN11" i="38"/>
  <c r="BM11" i="38"/>
  <c r="BL11" i="38"/>
  <c r="BK11" i="38"/>
  <c r="BJ11" i="38"/>
  <c r="AR11" i="38"/>
  <c r="AQ11" i="38"/>
  <c r="AP11" i="38"/>
  <c r="AN11" i="38"/>
  <c r="AM11" i="38"/>
  <c r="AL11" i="38"/>
  <c r="AK11" i="38"/>
  <c r="AJ11" i="38"/>
  <c r="AI11" i="38"/>
  <c r="WL10" i="38"/>
  <c r="WK10" i="38"/>
  <c r="WJ10" i="38"/>
  <c r="WI10" i="38"/>
  <c r="WH10" i="38"/>
  <c r="WG10" i="38"/>
  <c r="WE10" i="38"/>
  <c r="WD10" i="38"/>
  <c r="WC10" i="38"/>
  <c r="WB10" i="38"/>
  <c r="WA10" i="38"/>
  <c r="VZ10" i="38"/>
  <c r="VD10" i="38"/>
  <c r="VC10" i="38"/>
  <c r="VB10" i="38"/>
  <c r="VA10" i="38"/>
  <c r="UZ10" i="38"/>
  <c r="UY10" i="38"/>
  <c r="UW10" i="38"/>
  <c r="UV10" i="38"/>
  <c r="UU10" i="38"/>
  <c r="UT10" i="38"/>
  <c r="US10" i="38"/>
  <c r="UR10" i="38"/>
  <c r="TV10" i="38"/>
  <c r="TU10" i="38"/>
  <c r="TT10" i="38"/>
  <c r="TS10" i="38"/>
  <c r="TR10" i="38"/>
  <c r="TQ10" i="38"/>
  <c r="TO10" i="38"/>
  <c r="TN10" i="38"/>
  <c r="TM10" i="38"/>
  <c r="TL10" i="38"/>
  <c r="TK10" i="38"/>
  <c r="TJ10" i="38"/>
  <c r="SN10" i="38"/>
  <c r="SM10" i="38"/>
  <c r="SL10" i="38"/>
  <c r="SK10" i="38"/>
  <c r="SJ10" i="38"/>
  <c r="SI10" i="38"/>
  <c r="SG10" i="38"/>
  <c r="SF10" i="38"/>
  <c r="SE10" i="38"/>
  <c r="SD10" i="38"/>
  <c r="SC10" i="38"/>
  <c r="SB10" i="38"/>
  <c r="RF10" i="38"/>
  <c r="RE10" i="38"/>
  <c r="RD10" i="38"/>
  <c r="RC10" i="38"/>
  <c r="RB10" i="38"/>
  <c r="RA10" i="38"/>
  <c r="QY10" i="38"/>
  <c r="QX10" i="38"/>
  <c r="QW10" i="38"/>
  <c r="QV10" i="38"/>
  <c r="QU10" i="38"/>
  <c r="QT10" i="38"/>
  <c r="PX10" i="38"/>
  <c r="PW10" i="38"/>
  <c r="PV10" i="38"/>
  <c r="PU10" i="38"/>
  <c r="PT10" i="38"/>
  <c r="PS10" i="38"/>
  <c r="PQ10" i="38"/>
  <c r="PP10" i="38"/>
  <c r="PO10" i="38"/>
  <c r="PN10" i="38"/>
  <c r="PR10" i="38" s="1"/>
  <c r="PM10" i="38"/>
  <c r="PL10" i="38"/>
  <c r="OP10" i="38"/>
  <c r="OO10" i="38"/>
  <c r="ON10" i="38"/>
  <c r="OM10" i="38"/>
  <c r="OL10" i="38"/>
  <c r="OK10" i="38"/>
  <c r="OI10" i="38"/>
  <c r="OH10" i="38"/>
  <c r="OG10" i="38"/>
  <c r="OF10" i="38"/>
  <c r="OE10" i="38"/>
  <c r="OD10" i="38"/>
  <c r="NH10" i="38"/>
  <c r="NG10" i="38"/>
  <c r="NF10" i="38"/>
  <c r="NE10" i="38"/>
  <c r="ND10" i="38"/>
  <c r="NC10" i="38"/>
  <c r="NA10" i="38"/>
  <c r="MZ10" i="38"/>
  <c r="MY10" i="38"/>
  <c r="MX10" i="38"/>
  <c r="NB10" i="38" s="1"/>
  <c r="MW10" i="38"/>
  <c r="MV10" i="38"/>
  <c r="LZ10" i="38"/>
  <c r="LY10" i="38"/>
  <c r="LX10" i="38"/>
  <c r="LW10" i="38"/>
  <c r="LV10" i="38"/>
  <c r="LU10" i="38"/>
  <c r="LS10" i="38"/>
  <c r="LR10" i="38"/>
  <c r="LQ10" i="38"/>
  <c r="LP10" i="38"/>
  <c r="LO10" i="38"/>
  <c r="LN10" i="38"/>
  <c r="KR10" i="38"/>
  <c r="KQ10" i="38"/>
  <c r="KP10" i="38"/>
  <c r="KO10" i="38"/>
  <c r="KN10" i="38"/>
  <c r="KM10" i="38"/>
  <c r="KK10" i="38"/>
  <c r="KJ10" i="38"/>
  <c r="KI10" i="38"/>
  <c r="KH10" i="38"/>
  <c r="KG10" i="38"/>
  <c r="KF10" i="38"/>
  <c r="JJ10" i="38"/>
  <c r="JI10" i="38"/>
  <c r="JH10" i="38"/>
  <c r="JG10" i="38"/>
  <c r="JF10" i="38"/>
  <c r="JE10" i="38"/>
  <c r="JC10" i="38"/>
  <c r="JB10" i="38"/>
  <c r="JA10" i="38"/>
  <c r="IZ10" i="38"/>
  <c r="IY10" i="38"/>
  <c r="IX10" i="38"/>
  <c r="IB10" i="38"/>
  <c r="IA10" i="38"/>
  <c r="HZ10" i="38"/>
  <c r="HY10" i="38"/>
  <c r="HX10" i="38"/>
  <c r="HW10" i="38"/>
  <c r="HU10" i="38"/>
  <c r="HT10" i="38"/>
  <c r="HS10" i="38"/>
  <c r="HR10" i="38"/>
  <c r="HQ10" i="38"/>
  <c r="HP10" i="38"/>
  <c r="GT10" i="38"/>
  <c r="GS10" i="38"/>
  <c r="GR10" i="38"/>
  <c r="GQ10" i="38"/>
  <c r="GP10" i="38"/>
  <c r="GO10" i="38"/>
  <c r="GM10" i="38"/>
  <c r="GL10" i="38"/>
  <c r="GK10" i="38"/>
  <c r="GJ10" i="38"/>
  <c r="GI10" i="38"/>
  <c r="GH10" i="38"/>
  <c r="FL10" i="38"/>
  <c r="FK10" i="38"/>
  <c r="FJ10" i="38"/>
  <c r="FI10" i="38"/>
  <c r="FH10" i="38"/>
  <c r="FG10" i="38"/>
  <c r="FE10" i="38"/>
  <c r="FD10" i="38"/>
  <c r="FC10" i="38"/>
  <c r="FB10" i="38"/>
  <c r="FA10" i="38"/>
  <c r="EZ10" i="38"/>
  <c r="ED10" i="38"/>
  <c r="EC10" i="38"/>
  <c r="EB10" i="38"/>
  <c r="EA10" i="38"/>
  <c r="DZ10" i="38"/>
  <c r="DY10" i="38"/>
  <c r="DW10" i="38"/>
  <c r="DV10" i="38"/>
  <c r="DU10" i="38"/>
  <c r="DT10" i="38"/>
  <c r="DX10" i="38" s="1"/>
  <c r="DS10" i="38"/>
  <c r="DR10" i="38"/>
  <c r="CT10" i="38"/>
  <c r="CS10" i="38"/>
  <c r="CR10" i="38"/>
  <c r="CP10" i="38"/>
  <c r="CO10" i="38"/>
  <c r="CN10" i="38"/>
  <c r="CM10" i="38"/>
  <c r="CL10" i="38"/>
  <c r="CK10" i="38"/>
  <c r="BS10" i="38"/>
  <c r="BR10" i="38"/>
  <c r="BQ10" i="38"/>
  <c r="BO10" i="38"/>
  <c r="BN10" i="38"/>
  <c r="BM10" i="38"/>
  <c r="BL10" i="38"/>
  <c r="BK10" i="38"/>
  <c r="BJ10" i="38"/>
  <c r="AR10" i="38"/>
  <c r="AQ10" i="38"/>
  <c r="AP10" i="38"/>
  <c r="AN10" i="38"/>
  <c r="AM10" i="38"/>
  <c r="AL10" i="38"/>
  <c r="AK10" i="38"/>
  <c r="AJ10" i="38"/>
  <c r="AI10" i="38"/>
  <c r="WL9" i="38"/>
  <c r="WK9" i="38"/>
  <c r="WJ9" i="38"/>
  <c r="WI9" i="38"/>
  <c r="WH9" i="38"/>
  <c r="WG9" i="38"/>
  <c r="WE9" i="38"/>
  <c r="WD9" i="38"/>
  <c r="WC9" i="38"/>
  <c r="WB9" i="38"/>
  <c r="WA9" i="38"/>
  <c r="VZ9" i="38"/>
  <c r="VD9" i="38"/>
  <c r="VC9" i="38"/>
  <c r="VB9" i="38"/>
  <c r="VA9" i="38"/>
  <c r="UZ9" i="38"/>
  <c r="UY9" i="38"/>
  <c r="UW9" i="38"/>
  <c r="UV9" i="38"/>
  <c r="UU9" i="38"/>
  <c r="UT9" i="38"/>
  <c r="US9" i="38"/>
  <c r="UR9" i="38"/>
  <c r="TV9" i="38"/>
  <c r="TU9" i="38"/>
  <c r="TT9" i="38"/>
  <c r="TS9" i="38"/>
  <c r="TR9" i="38"/>
  <c r="TQ9" i="38"/>
  <c r="TO9" i="38"/>
  <c r="TN9" i="38"/>
  <c r="TM9" i="38"/>
  <c r="TL9" i="38"/>
  <c r="TK9" i="38"/>
  <c r="TJ9" i="38"/>
  <c r="SN9" i="38"/>
  <c r="SM9" i="38"/>
  <c r="SL9" i="38"/>
  <c r="SK9" i="38"/>
  <c r="SJ9" i="38"/>
  <c r="SI9" i="38"/>
  <c r="SG9" i="38"/>
  <c r="SF9" i="38"/>
  <c r="SE9" i="38"/>
  <c r="SD9" i="38"/>
  <c r="SC9" i="38"/>
  <c r="SB9" i="38"/>
  <c r="RF9" i="38"/>
  <c r="RE9" i="38"/>
  <c r="RD9" i="38"/>
  <c r="RC9" i="38"/>
  <c r="RB9" i="38"/>
  <c r="RA9" i="38"/>
  <c r="QY9" i="38"/>
  <c r="QX9" i="38"/>
  <c r="QW9" i="38"/>
  <c r="QV9" i="38"/>
  <c r="QU9" i="38"/>
  <c r="QT9" i="38"/>
  <c r="PX9" i="38"/>
  <c r="PW9" i="38"/>
  <c r="PV9" i="38"/>
  <c r="PU9" i="38"/>
  <c r="PT9" i="38"/>
  <c r="PS9" i="38"/>
  <c r="PQ9" i="38"/>
  <c r="PP9" i="38"/>
  <c r="PO9" i="38"/>
  <c r="PN9" i="38"/>
  <c r="PM9" i="38"/>
  <c r="PL9" i="38"/>
  <c r="OP9" i="38"/>
  <c r="OO9" i="38"/>
  <c r="ON9" i="38"/>
  <c r="OM9" i="38"/>
  <c r="OL9" i="38"/>
  <c r="OK9" i="38"/>
  <c r="OI9" i="38"/>
  <c r="OH9" i="38"/>
  <c r="OG9" i="38"/>
  <c r="OF9" i="38"/>
  <c r="OE9" i="38"/>
  <c r="OD9" i="38"/>
  <c r="NH9" i="38"/>
  <c r="NG9" i="38"/>
  <c r="NF9" i="38"/>
  <c r="NE9" i="38"/>
  <c r="ND9" i="38"/>
  <c r="NC9" i="38"/>
  <c r="NA9" i="38"/>
  <c r="MZ9" i="38"/>
  <c r="MY9" i="38"/>
  <c r="MX9" i="38"/>
  <c r="MW9" i="38"/>
  <c r="MV9" i="38"/>
  <c r="LZ9" i="38"/>
  <c r="LY9" i="38"/>
  <c r="LX9" i="38"/>
  <c r="LW9" i="38"/>
  <c r="LV9" i="38"/>
  <c r="LU9" i="38"/>
  <c r="LS9" i="38"/>
  <c r="LR9" i="38"/>
  <c r="LQ9" i="38"/>
  <c r="LP9" i="38"/>
  <c r="LO9" i="38"/>
  <c r="LN9" i="38"/>
  <c r="KR9" i="38"/>
  <c r="KQ9" i="38"/>
  <c r="KP9" i="38"/>
  <c r="KO9" i="38"/>
  <c r="KN9" i="38"/>
  <c r="KM9" i="38"/>
  <c r="KK9" i="38"/>
  <c r="KJ9" i="38"/>
  <c r="KI9" i="38"/>
  <c r="KH9" i="38"/>
  <c r="KG9" i="38"/>
  <c r="KF9" i="38"/>
  <c r="JJ9" i="38"/>
  <c r="JI9" i="38"/>
  <c r="JH9" i="38"/>
  <c r="JG9" i="38"/>
  <c r="JF9" i="38"/>
  <c r="JE9" i="38"/>
  <c r="JC9" i="38"/>
  <c r="JB9" i="38"/>
  <c r="JA9" i="38"/>
  <c r="IZ9" i="38"/>
  <c r="JD9" i="38" s="1"/>
  <c r="IY9" i="38"/>
  <c r="IX9" i="38"/>
  <c r="IB9" i="38"/>
  <c r="IA9" i="38"/>
  <c r="HZ9" i="38"/>
  <c r="HY9" i="38"/>
  <c r="HX9" i="38"/>
  <c r="HW9" i="38"/>
  <c r="HU9" i="38"/>
  <c r="HT9" i="38"/>
  <c r="HS9" i="38"/>
  <c r="HR9" i="38"/>
  <c r="HQ9" i="38"/>
  <c r="HP9" i="38"/>
  <c r="GT9" i="38"/>
  <c r="GS9" i="38"/>
  <c r="GR9" i="38"/>
  <c r="GQ9" i="38"/>
  <c r="GP9" i="38"/>
  <c r="GO9" i="38"/>
  <c r="GM9" i="38"/>
  <c r="GL9" i="38"/>
  <c r="GK9" i="38"/>
  <c r="GJ9" i="38"/>
  <c r="GI9" i="38"/>
  <c r="GH9" i="38"/>
  <c r="FL9" i="38"/>
  <c r="FK9" i="38"/>
  <c r="FJ9" i="38"/>
  <c r="FI9" i="38"/>
  <c r="FH9" i="38"/>
  <c r="FG9" i="38"/>
  <c r="FE9" i="38"/>
  <c r="FD9" i="38"/>
  <c r="FC9" i="38"/>
  <c r="FB9" i="38"/>
  <c r="FA9" i="38"/>
  <c r="EZ9" i="38"/>
  <c r="ED9" i="38"/>
  <c r="EC9" i="38"/>
  <c r="EB9" i="38"/>
  <c r="EA9" i="38"/>
  <c r="DZ9" i="38"/>
  <c r="DY9" i="38"/>
  <c r="DW9" i="38"/>
  <c r="DV9" i="38"/>
  <c r="DU9" i="38"/>
  <c r="DT9" i="38"/>
  <c r="DS9" i="38"/>
  <c r="DR9" i="38"/>
  <c r="CT9" i="38"/>
  <c r="CS9" i="38"/>
  <c r="CR9" i="38"/>
  <c r="CP9" i="38"/>
  <c r="CO9" i="38"/>
  <c r="CN9" i="38"/>
  <c r="CM9" i="38"/>
  <c r="CL9" i="38"/>
  <c r="CK9" i="38"/>
  <c r="BS9" i="38"/>
  <c r="BR9" i="38"/>
  <c r="BQ9" i="38"/>
  <c r="BO9" i="38"/>
  <c r="BN9" i="38"/>
  <c r="BM9" i="38"/>
  <c r="BL9" i="38"/>
  <c r="BP9" i="38" s="1"/>
  <c r="BK9" i="38"/>
  <c r="BJ9" i="38"/>
  <c r="AR9" i="38"/>
  <c r="AQ9" i="38"/>
  <c r="AP9" i="38"/>
  <c r="AN9" i="38"/>
  <c r="AM9" i="38"/>
  <c r="AL9" i="38"/>
  <c r="AK9" i="38"/>
  <c r="AJ9" i="38"/>
  <c r="AI9" i="38"/>
  <c r="WL8" i="38"/>
  <c r="WK8" i="38"/>
  <c r="WJ8" i="38"/>
  <c r="WI8" i="38"/>
  <c r="WH8" i="38"/>
  <c r="WG8" i="38"/>
  <c r="WE8" i="38"/>
  <c r="WD8" i="38"/>
  <c r="WC8" i="38"/>
  <c r="WB8" i="38"/>
  <c r="WA8" i="38"/>
  <c r="VZ8" i="38"/>
  <c r="VD8" i="38"/>
  <c r="VC8" i="38"/>
  <c r="VB8" i="38"/>
  <c r="VA8" i="38"/>
  <c r="UZ8" i="38"/>
  <c r="UY8" i="38"/>
  <c r="UW8" i="38"/>
  <c r="UV8" i="38"/>
  <c r="UU8" i="38"/>
  <c r="UT8" i="38"/>
  <c r="UX8" i="38" s="1"/>
  <c r="US8" i="38"/>
  <c r="UR8" i="38"/>
  <c r="TV8" i="38"/>
  <c r="TU8" i="38"/>
  <c r="TT8" i="38"/>
  <c r="TS8" i="38"/>
  <c r="TR8" i="38"/>
  <c r="TQ8" i="38"/>
  <c r="TO8" i="38"/>
  <c r="TN8" i="38"/>
  <c r="TM8" i="38"/>
  <c r="TL8" i="38"/>
  <c r="TK8" i="38"/>
  <c r="TJ8" i="38"/>
  <c r="SN8" i="38"/>
  <c r="SM8" i="38"/>
  <c r="SL8" i="38"/>
  <c r="SK8" i="38"/>
  <c r="SJ8" i="38"/>
  <c r="SI8" i="38"/>
  <c r="SG8" i="38"/>
  <c r="SF8" i="38"/>
  <c r="SE8" i="38"/>
  <c r="SD8" i="38"/>
  <c r="SC8" i="38"/>
  <c r="SB8" i="38"/>
  <c r="RF8" i="38"/>
  <c r="RE8" i="38"/>
  <c r="RD8" i="38"/>
  <c r="RC8" i="38"/>
  <c r="RB8" i="38"/>
  <c r="RA8" i="38"/>
  <c r="QY8" i="38"/>
  <c r="QX8" i="38"/>
  <c r="QW8" i="38"/>
  <c r="QV8" i="38"/>
  <c r="QZ8" i="38" s="1"/>
  <c r="QU8" i="38"/>
  <c r="QT8" i="38"/>
  <c r="PX8" i="38"/>
  <c r="PW8" i="38"/>
  <c r="PV8" i="38"/>
  <c r="PU8" i="38"/>
  <c r="PT8" i="38"/>
  <c r="PS8" i="38"/>
  <c r="PQ8" i="38"/>
  <c r="PP8" i="38"/>
  <c r="PO8" i="38"/>
  <c r="PN8" i="38"/>
  <c r="PM8" i="38"/>
  <c r="PL8" i="38"/>
  <c r="OP8" i="38"/>
  <c r="OO8" i="38"/>
  <c r="ON8" i="38"/>
  <c r="OM8" i="38"/>
  <c r="OL8" i="38"/>
  <c r="OK8" i="38"/>
  <c r="OI8" i="38"/>
  <c r="OH8" i="38"/>
  <c r="OG8" i="38"/>
  <c r="OF8" i="38"/>
  <c r="OE8" i="38"/>
  <c r="OD8" i="38"/>
  <c r="NH8" i="38"/>
  <c r="NG8" i="38"/>
  <c r="NF8" i="38"/>
  <c r="NE8" i="38"/>
  <c r="ND8" i="38"/>
  <c r="NC8" i="38"/>
  <c r="NA8" i="38"/>
  <c r="MZ8" i="38"/>
  <c r="MY8" i="38"/>
  <c r="MX8" i="38"/>
  <c r="MW8" i="38"/>
  <c r="MV8" i="38"/>
  <c r="LZ8" i="38"/>
  <c r="LY8" i="38"/>
  <c r="LX8" i="38"/>
  <c r="LW8" i="38"/>
  <c r="LV8" i="38"/>
  <c r="LU8" i="38"/>
  <c r="LS8" i="38"/>
  <c r="LR8" i="38"/>
  <c r="LQ8" i="38"/>
  <c r="LP8" i="38"/>
  <c r="LT8" i="38" s="1"/>
  <c r="LO8" i="38"/>
  <c r="LN8" i="38"/>
  <c r="KR8" i="38"/>
  <c r="KQ8" i="38"/>
  <c r="KP8" i="38"/>
  <c r="KO8" i="38"/>
  <c r="KN8" i="38"/>
  <c r="KM8" i="38"/>
  <c r="KK8" i="38"/>
  <c r="KJ8" i="38"/>
  <c r="KI8" i="38"/>
  <c r="KH8" i="38"/>
  <c r="KG8" i="38"/>
  <c r="KF8" i="38"/>
  <c r="JJ8" i="38"/>
  <c r="JI8" i="38"/>
  <c r="JH8" i="38"/>
  <c r="JG8" i="38"/>
  <c r="JF8" i="38"/>
  <c r="JE8" i="38"/>
  <c r="JC8" i="38"/>
  <c r="JB8" i="38"/>
  <c r="JA8" i="38"/>
  <c r="IZ8" i="38"/>
  <c r="IY8" i="38"/>
  <c r="IX8" i="38"/>
  <c r="IB8" i="38"/>
  <c r="IA8" i="38"/>
  <c r="HZ8" i="38"/>
  <c r="HY8" i="38"/>
  <c r="HX8" i="38"/>
  <c r="HW8" i="38"/>
  <c r="HU8" i="38"/>
  <c r="HT8" i="38"/>
  <c r="HS8" i="38"/>
  <c r="HR8" i="38"/>
  <c r="HQ8" i="38"/>
  <c r="HP8" i="38"/>
  <c r="GT8" i="38"/>
  <c r="GS8" i="38"/>
  <c r="GR8" i="38"/>
  <c r="GQ8" i="38"/>
  <c r="GP8" i="38"/>
  <c r="GO8" i="38"/>
  <c r="GM8" i="38"/>
  <c r="GL8" i="38"/>
  <c r="GK8" i="38"/>
  <c r="GJ8" i="38"/>
  <c r="GI8" i="38"/>
  <c r="GH8" i="38"/>
  <c r="FL8" i="38"/>
  <c r="FK8" i="38"/>
  <c r="FJ8" i="38"/>
  <c r="FI8" i="38"/>
  <c r="FH8" i="38"/>
  <c r="FG8" i="38"/>
  <c r="FE8" i="38"/>
  <c r="FD8" i="38"/>
  <c r="FC8" i="38"/>
  <c r="FB8" i="38"/>
  <c r="FA8" i="38"/>
  <c r="EZ8" i="38"/>
  <c r="ED8" i="38"/>
  <c r="EC8" i="38"/>
  <c r="EB8" i="38"/>
  <c r="EA8" i="38"/>
  <c r="DZ8" i="38"/>
  <c r="DY8" i="38"/>
  <c r="DW8" i="38"/>
  <c r="DV8" i="38"/>
  <c r="DU8" i="38"/>
  <c r="DT8" i="38"/>
  <c r="DS8" i="38"/>
  <c r="DR8" i="38"/>
  <c r="CT8" i="38"/>
  <c r="CS8" i="38"/>
  <c r="CR8" i="38"/>
  <c r="CP8" i="38"/>
  <c r="CO8" i="38"/>
  <c r="CN8" i="38"/>
  <c r="CM8" i="38"/>
  <c r="CL8" i="38"/>
  <c r="CK8" i="38"/>
  <c r="BS8" i="38"/>
  <c r="BR8" i="38"/>
  <c r="BQ8" i="38"/>
  <c r="BO8" i="38"/>
  <c r="BN8" i="38"/>
  <c r="BM8" i="38"/>
  <c r="BL8" i="38"/>
  <c r="BK8" i="38"/>
  <c r="BJ8" i="38"/>
  <c r="AR8" i="38"/>
  <c r="AQ8" i="38"/>
  <c r="AP8" i="38"/>
  <c r="AN8" i="38"/>
  <c r="AM8" i="38"/>
  <c r="AL8" i="38"/>
  <c r="AK8" i="38"/>
  <c r="AJ8" i="38"/>
  <c r="AI8" i="38"/>
  <c r="WL7" i="38"/>
  <c r="WK7" i="38"/>
  <c r="WJ7" i="38"/>
  <c r="WI7" i="38"/>
  <c r="WH7" i="38"/>
  <c r="WG7" i="38"/>
  <c r="WE7" i="38"/>
  <c r="WD7" i="38"/>
  <c r="WC7" i="38"/>
  <c r="WB7" i="38"/>
  <c r="WA7" i="38"/>
  <c r="VZ7" i="38"/>
  <c r="VD7" i="38"/>
  <c r="VC7" i="38"/>
  <c r="VB7" i="38"/>
  <c r="VA7" i="38"/>
  <c r="UZ7" i="38"/>
  <c r="UY7" i="38"/>
  <c r="UW7" i="38"/>
  <c r="UV7" i="38"/>
  <c r="UU7" i="38"/>
  <c r="UT7" i="38"/>
  <c r="US7" i="38"/>
  <c r="UR7" i="38"/>
  <c r="TV7" i="38"/>
  <c r="TU7" i="38"/>
  <c r="TT7" i="38"/>
  <c r="TS7" i="38"/>
  <c r="TR7" i="38"/>
  <c r="TQ7" i="38"/>
  <c r="TO7" i="38"/>
  <c r="TN7" i="38"/>
  <c r="TM7" i="38"/>
  <c r="TL7" i="38"/>
  <c r="TK7" i="38"/>
  <c r="TJ7" i="38"/>
  <c r="SN7" i="38"/>
  <c r="SM7" i="38"/>
  <c r="SL7" i="38"/>
  <c r="SK7" i="38"/>
  <c r="SJ7" i="38"/>
  <c r="SI7" i="38"/>
  <c r="SG7" i="38"/>
  <c r="SF7" i="38"/>
  <c r="SE7" i="38"/>
  <c r="SD7" i="38"/>
  <c r="SC7" i="38"/>
  <c r="SB7" i="38"/>
  <c r="RF7" i="38"/>
  <c r="RE7" i="38"/>
  <c r="RD7" i="38"/>
  <c r="RC7" i="38"/>
  <c r="RB7" i="38"/>
  <c r="RA7" i="38"/>
  <c r="QY7" i="38"/>
  <c r="QX7" i="38"/>
  <c r="QW7" i="38"/>
  <c r="QV7" i="38"/>
  <c r="QU7" i="38"/>
  <c r="QT7" i="38"/>
  <c r="PX7" i="38"/>
  <c r="PW7" i="38"/>
  <c r="PV7" i="38"/>
  <c r="PU7" i="38"/>
  <c r="PT7" i="38"/>
  <c r="PS7" i="38"/>
  <c r="PQ7" i="38"/>
  <c r="PR7" i="38" s="1"/>
  <c r="PP7" i="38"/>
  <c r="PO7" i="38"/>
  <c r="PN7" i="38"/>
  <c r="PM7" i="38"/>
  <c r="PL7" i="38"/>
  <c r="OP7" i="38"/>
  <c r="OO7" i="38"/>
  <c r="ON7" i="38"/>
  <c r="OM7" i="38"/>
  <c r="OL7" i="38"/>
  <c r="OK7" i="38"/>
  <c r="OI7" i="38"/>
  <c r="OH7" i="38"/>
  <c r="OG7" i="38"/>
  <c r="OF7" i="38"/>
  <c r="OE7" i="38"/>
  <c r="OD7" i="38"/>
  <c r="NH7" i="38"/>
  <c r="NG7" i="38"/>
  <c r="NF7" i="38"/>
  <c r="NE7" i="38"/>
  <c r="ND7" i="38"/>
  <c r="NC7" i="38"/>
  <c r="NA7" i="38"/>
  <c r="MZ7" i="38"/>
  <c r="MY7" i="38"/>
  <c r="MX7" i="38"/>
  <c r="MW7" i="38"/>
  <c r="MV7" i="38"/>
  <c r="LZ7" i="38"/>
  <c r="LY7" i="38"/>
  <c r="LX7" i="38"/>
  <c r="LW7" i="38"/>
  <c r="LV7" i="38"/>
  <c r="LU7" i="38"/>
  <c r="LS7" i="38"/>
  <c r="LR7" i="38"/>
  <c r="LQ7" i="38"/>
  <c r="LP7" i="38"/>
  <c r="LO7" i="38"/>
  <c r="LN7" i="38"/>
  <c r="KR7" i="38"/>
  <c r="KQ7" i="38"/>
  <c r="KP7" i="38"/>
  <c r="KO7" i="38"/>
  <c r="KN7" i="38"/>
  <c r="KM7" i="38"/>
  <c r="KK7" i="38"/>
  <c r="KJ7" i="38"/>
  <c r="KI7" i="38"/>
  <c r="KH7" i="38"/>
  <c r="KG7" i="38"/>
  <c r="KF7" i="38"/>
  <c r="JJ7" i="38"/>
  <c r="JI7" i="38"/>
  <c r="JH7" i="38"/>
  <c r="JG7" i="38"/>
  <c r="JF7" i="38"/>
  <c r="JE7" i="38"/>
  <c r="JC7" i="38"/>
  <c r="JB7" i="38"/>
  <c r="JA7" i="38"/>
  <c r="IZ7" i="38"/>
  <c r="IY7" i="38"/>
  <c r="IX7" i="38"/>
  <c r="IB7" i="38"/>
  <c r="IA7" i="38"/>
  <c r="HZ7" i="38"/>
  <c r="HY7" i="38"/>
  <c r="HX7" i="38"/>
  <c r="HW7" i="38"/>
  <c r="HU7" i="38"/>
  <c r="HT7" i="38"/>
  <c r="HS7" i="38"/>
  <c r="HR7" i="38"/>
  <c r="HQ7" i="38"/>
  <c r="HP7" i="38"/>
  <c r="GT7" i="38"/>
  <c r="GS7" i="38"/>
  <c r="GR7" i="38"/>
  <c r="GQ7" i="38"/>
  <c r="GP7" i="38"/>
  <c r="GO7" i="38"/>
  <c r="GM7" i="38"/>
  <c r="GL7" i="38"/>
  <c r="GK7" i="38"/>
  <c r="GJ7" i="38"/>
  <c r="GI7" i="38"/>
  <c r="GH7" i="38"/>
  <c r="FL7" i="38"/>
  <c r="FK7" i="38"/>
  <c r="FJ7" i="38"/>
  <c r="FI7" i="38"/>
  <c r="FH7" i="38"/>
  <c r="FG7" i="38"/>
  <c r="FE7" i="38"/>
  <c r="FD7" i="38"/>
  <c r="FC7" i="38"/>
  <c r="FB7" i="38"/>
  <c r="FA7" i="38"/>
  <c r="EZ7" i="38"/>
  <c r="ED7" i="38"/>
  <c r="EC7" i="38"/>
  <c r="EB7" i="38"/>
  <c r="EA7" i="38"/>
  <c r="DZ7" i="38"/>
  <c r="DY7" i="38"/>
  <c r="DW7" i="38"/>
  <c r="DV7" i="38"/>
  <c r="DU7" i="38"/>
  <c r="DT7" i="38"/>
  <c r="DS7" i="38"/>
  <c r="DR7" i="38"/>
  <c r="CT7" i="38"/>
  <c r="CS7" i="38"/>
  <c r="CR7" i="38"/>
  <c r="CP7" i="38"/>
  <c r="CO7" i="38"/>
  <c r="CN7" i="38"/>
  <c r="CM7" i="38"/>
  <c r="CL7" i="38"/>
  <c r="CK7" i="38"/>
  <c r="BS7" i="38"/>
  <c r="BR7" i="38"/>
  <c r="BQ7" i="38"/>
  <c r="BO7" i="38"/>
  <c r="BN7" i="38"/>
  <c r="BM7" i="38"/>
  <c r="BL7" i="38"/>
  <c r="BK7" i="38"/>
  <c r="BJ7" i="38"/>
  <c r="AR7" i="38"/>
  <c r="AQ7" i="38"/>
  <c r="AP7" i="38"/>
  <c r="AN7" i="38"/>
  <c r="AM7" i="38"/>
  <c r="AL7" i="38"/>
  <c r="AK7" i="38"/>
  <c r="AJ7" i="38"/>
  <c r="AI7" i="38"/>
  <c r="WL6" i="38"/>
  <c r="WK6" i="38"/>
  <c r="WJ6" i="38"/>
  <c r="WI6" i="38"/>
  <c r="WH6" i="38"/>
  <c r="WG6" i="38"/>
  <c r="WE6" i="38"/>
  <c r="WD6" i="38"/>
  <c r="WC6" i="38"/>
  <c r="WB6" i="38"/>
  <c r="WA6" i="38"/>
  <c r="VZ6" i="38"/>
  <c r="VD6" i="38"/>
  <c r="VC6" i="38"/>
  <c r="VB6" i="38"/>
  <c r="VA6" i="38"/>
  <c r="UZ6" i="38"/>
  <c r="UY6" i="38"/>
  <c r="UW6" i="38"/>
  <c r="UV6" i="38"/>
  <c r="UU6" i="38"/>
  <c r="UT6" i="38"/>
  <c r="US6" i="38"/>
  <c r="UR6" i="38"/>
  <c r="TV6" i="38"/>
  <c r="TU6" i="38"/>
  <c r="TT6" i="38"/>
  <c r="TS6" i="38"/>
  <c r="TR6" i="38"/>
  <c r="TQ6" i="38"/>
  <c r="TO6" i="38"/>
  <c r="TN6" i="38"/>
  <c r="TM6" i="38"/>
  <c r="TL6" i="38"/>
  <c r="TK6" i="38"/>
  <c r="TJ6" i="38"/>
  <c r="SN6" i="38"/>
  <c r="SM6" i="38"/>
  <c r="SL6" i="38"/>
  <c r="SK6" i="38"/>
  <c r="SJ6" i="38"/>
  <c r="SI6" i="38"/>
  <c r="SG6" i="38"/>
  <c r="SF6" i="38"/>
  <c r="SE6" i="38"/>
  <c r="SD6" i="38"/>
  <c r="SC6" i="38"/>
  <c r="SB6" i="38"/>
  <c r="RF6" i="38"/>
  <c r="RE6" i="38"/>
  <c r="RD6" i="38"/>
  <c r="RC6" i="38"/>
  <c r="RB6" i="38"/>
  <c r="RA6" i="38"/>
  <c r="QY6" i="38"/>
  <c r="QX6" i="38"/>
  <c r="QW6" i="38"/>
  <c r="QV6" i="38"/>
  <c r="QU6" i="38"/>
  <c r="QT6" i="38"/>
  <c r="PX6" i="38"/>
  <c r="PW6" i="38"/>
  <c r="PV6" i="38"/>
  <c r="PU6" i="38"/>
  <c r="PT6" i="38"/>
  <c r="PS6" i="38"/>
  <c r="PQ6" i="38"/>
  <c r="PP6" i="38"/>
  <c r="PO6" i="38"/>
  <c r="PN6" i="38"/>
  <c r="PM6" i="38"/>
  <c r="PL6" i="38"/>
  <c r="OP6" i="38"/>
  <c r="OO6" i="38"/>
  <c r="ON6" i="38"/>
  <c r="OM6" i="38"/>
  <c r="OL6" i="38"/>
  <c r="OK6" i="38"/>
  <c r="OI6" i="38"/>
  <c r="OH6" i="38"/>
  <c r="OG6" i="38"/>
  <c r="OF6" i="38"/>
  <c r="OE6" i="38"/>
  <c r="OD6" i="38"/>
  <c r="NH6" i="38"/>
  <c r="NG6" i="38"/>
  <c r="NF6" i="38"/>
  <c r="NE6" i="38"/>
  <c r="ND6" i="38"/>
  <c r="NC6" i="38"/>
  <c r="NA6" i="38"/>
  <c r="MZ6" i="38"/>
  <c r="MY6" i="38"/>
  <c r="MX6" i="38"/>
  <c r="MW6" i="38"/>
  <c r="MV6" i="38"/>
  <c r="LZ6" i="38"/>
  <c r="LY6" i="38"/>
  <c r="LX6" i="38"/>
  <c r="LW6" i="38"/>
  <c r="LV6" i="38"/>
  <c r="LU6" i="38"/>
  <c r="LS6" i="38"/>
  <c r="LR6" i="38"/>
  <c r="LQ6" i="38"/>
  <c r="LP6" i="38"/>
  <c r="LO6" i="38"/>
  <c r="LN6" i="38"/>
  <c r="KR6" i="38"/>
  <c r="KQ6" i="38"/>
  <c r="KP6" i="38"/>
  <c r="KO6" i="38"/>
  <c r="KN6" i="38"/>
  <c r="KM6" i="38"/>
  <c r="KK6" i="38"/>
  <c r="KJ6" i="38"/>
  <c r="KI6" i="38"/>
  <c r="KH6" i="38"/>
  <c r="KG6" i="38"/>
  <c r="KF6" i="38"/>
  <c r="JJ6" i="38"/>
  <c r="JI6" i="38"/>
  <c r="JH6" i="38"/>
  <c r="JG6" i="38"/>
  <c r="JF6" i="38"/>
  <c r="JE6" i="38"/>
  <c r="JC6" i="38"/>
  <c r="JB6" i="38"/>
  <c r="JA6" i="38"/>
  <c r="IZ6" i="38"/>
  <c r="IY6" i="38"/>
  <c r="IX6" i="38"/>
  <c r="IB6" i="38"/>
  <c r="IA6" i="38"/>
  <c r="HZ6" i="38"/>
  <c r="HY6" i="38"/>
  <c r="HX6" i="38"/>
  <c r="HW6" i="38"/>
  <c r="HU6" i="38"/>
  <c r="HT6" i="38"/>
  <c r="HS6" i="38"/>
  <c r="HR6" i="38"/>
  <c r="HQ6" i="38"/>
  <c r="HP6" i="38"/>
  <c r="GT6" i="38"/>
  <c r="GS6" i="38"/>
  <c r="GR6" i="38"/>
  <c r="GQ6" i="38"/>
  <c r="GP6" i="38"/>
  <c r="GO6" i="38"/>
  <c r="GM6" i="38"/>
  <c r="GL6" i="38"/>
  <c r="GK6" i="38"/>
  <c r="GJ6" i="38"/>
  <c r="GI6" i="38"/>
  <c r="GH6" i="38"/>
  <c r="FL6" i="38"/>
  <c r="FK6" i="38"/>
  <c r="FJ6" i="38"/>
  <c r="FI6" i="38"/>
  <c r="FH6" i="38"/>
  <c r="FG6" i="38"/>
  <c r="FE6" i="38"/>
  <c r="FD6" i="38"/>
  <c r="FC6" i="38"/>
  <c r="FB6" i="38"/>
  <c r="FA6" i="38"/>
  <c r="EZ6" i="38"/>
  <c r="ED6" i="38"/>
  <c r="EC6" i="38"/>
  <c r="EB6" i="38"/>
  <c r="EA6" i="38"/>
  <c r="DZ6" i="38"/>
  <c r="DY6" i="38"/>
  <c r="DW6" i="38"/>
  <c r="DV6" i="38"/>
  <c r="DU6" i="38"/>
  <c r="DT6" i="38"/>
  <c r="DS6" i="38"/>
  <c r="DR6" i="38"/>
  <c r="CT6" i="38"/>
  <c r="CS6" i="38"/>
  <c r="CR6" i="38"/>
  <c r="CP6" i="38"/>
  <c r="CO6" i="38"/>
  <c r="CN6" i="38"/>
  <c r="CM6" i="38"/>
  <c r="CL6" i="38"/>
  <c r="CK6" i="38"/>
  <c r="BS6" i="38"/>
  <c r="BR6" i="38"/>
  <c r="BQ6" i="38"/>
  <c r="BO6" i="38"/>
  <c r="BN6" i="38"/>
  <c r="BM6" i="38"/>
  <c r="BL6" i="38"/>
  <c r="BK6" i="38"/>
  <c r="BJ6" i="38"/>
  <c r="AR6" i="38"/>
  <c r="AQ6" i="38"/>
  <c r="AP6" i="38"/>
  <c r="AN6" i="38"/>
  <c r="AM6" i="38"/>
  <c r="AL6" i="38"/>
  <c r="AK6" i="38"/>
  <c r="AJ6" i="38"/>
  <c r="AI6" i="38"/>
  <c r="WL5" i="38"/>
  <c r="WK5" i="38"/>
  <c r="WJ5" i="38"/>
  <c r="WI5" i="38"/>
  <c r="WH5" i="38"/>
  <c r="WG5" i="38"/>
  <c r="WE5" i="38"/>
  <c r="WD5" i="38"/>
  <c r="WC5" i="38"/>
  <c r="WB5" i="38"/>
  <c r="WA5" i="38"/>
  <c r="VZ5" i="38"/>
  <c r="VD5" i="38"/>
  <c r="VC5" i="38"/>
  <c r="VB5" i="38"/>
  <c r="VA5" i="38"/>
  <c r="UZ5" i="38"/>
  <c r="UY5" i="38"/>
  <c r="UW5" i="38"/>
  <c r="UV5" i="38"/>
  <c r="UU5" i="38"/>
  <c r="UT5" i="38"/>
  <c r="US5" i="38"/>
  <c r="UR5" i="38"/>
  <c r="TV5" i="38"/>
  <c r="TU5" i="38"/>
  <c r="TT5" i="38"/>
  <c r="TS5" i="38"/>
  <c r="TR5" i="38"/>
  <c r="TQ5" i="38"/>
  <c r="TO5" i="38"/>
  <c r="TN5" i="38"/>
  <c r="TM5" i="38"/>
  <c r="TL5" i="38"/>
  <c r="TK5" i="38"/>
  <c r="TJ5" i="38"/>
  <c r="SN5" i="38"/>
  <c r="SM5" i="38"/>
  <c r="SL5" i="38"/>
  <c r="SK5" i="38"/>
  <c r="SJ5" i="38"/>
  <c r="SI5" i="38"/>
  <c r="SG5" i="38"/>
  <c r="SF5" i="38"/>
  <c r="SE5" i="38"/>
  <c r="SD5" i="38"/>
  <c r="SC5" i="38"/>
  <c r="SB5" i="38"/>
  <c r="RF5" i="38"/>
  <c r="RE5" i="38"/>
  <c r="RD5" i="38"/>
  <c r="RC5" i="38"/>
  <c r="RB5" i="38"/>
  <c r="RA5" i="38"/>
  <c r="QY5" i="38"/>
  <c r="QX5" i="38"/>
  <c r="QW5" i="38"/>
  <c r="QV5" i="38"/>
  <c r="QZ5" i="38" s="1"/>
  <c r="QU5" i="38"/>
  <c r="QT5" i="38"/>
  <c r="PX5" i="38"/>
  <c r="PW5" i="38"/>
  <c r="PV5" i="38"/>
  <c r="PU5" i="38"/>
  <c r="PT5" i="38"/>
  <c r="PS5" i="38"/>
  <c r="PQ5" i="38"/>
  <c r="PP5" i="38"/>
  <c r="PO5" i="38"/>
  <c r="PN5" i="38"/>
  <c r="PM5" i="38"/>
  <c r="PL5" i="38"/>
  <c r="OP5" i="38"/>
  <c r="OO5" i="38"/>
  <c r="ON5" i="38"/>
  <c r="OM5" i="38"/>
  <c r="OL5" i="38"/>
  <c r="OK5" i="38"/>
  <c r="OI5" i="38"/>
  <c r="OH5" i="38"/>
  <c r="OG5" i="38"/>
  <c r="OF5" i="38"/>
  <c r="OE5" i="38"/>
  <c r="OD5" i="38"/>
  <c r="NH5" i="38"/>
  <c r="NG5" i="38"/>
  <c r="NF5" i="38"/>
  <c r="NE5" i="38"/>
  <c r="ND5" i="38"/>
  <c r="NC5" i="38"/>
  <c r="NA5" i="38"/>
  <c r="MZ5" i="38"/>
  <c r="MY5" i="38"/>
  <c r="MX5" i="38"/>
  <c r="MW5" i="38"/>
  <c r="MV5" i="38"/>
  <c r="LZ5" i="38"/>
  <c r="LY5" i="38"/>
  <c r="LX5" i="38"/>
  <c r="LW5" i="38"/>
  <c r="LV5" i="38"/>
  <c r="LU5" i="38"/>
  <c r="LS5" i="38"/>
  <c r="LR5" i="38"/>
  <c r="LQ5" i="38"/>
  <c r="LP5" i="38"/>
  <c r="LO5" i="38"/>
  <c r="LN5" i="38"/>
  <c r="KR5" i="38"/>
  <c r="KQ5" i="38"/>
  <c r="KP5" i="38"/>
  <c r="KO5" i="38"/>
  <c r="KN5" i="38"/>
  <c r="KM5" i="38"/>
  <c r="KK5" i="38"/>
  <c r="KJ5" i="38"/>
  <c r="KI5" i="38"/>
  <c r="KH5" i="38"/>
  <c r="KG5" i="38"/>
  <c r="KF5" i="38"/>
  <c r="JJ5" i="38"/>
  <c r="JI5" i="38"/>
  <c r="JH5" i="38"/>
  <c r="JG5" i="38"/>
  <c r="JF5" i="38"/>
  <c r="JE5" i="38"/>
  <c r="JC5" i="38"/>
  <c r="JB5" i="38"/>
  <c r="JA5" i="38"/>
  <c r="IZ5" i="38"/>
  <c r="IY5" i="38"/>
  <c r="IX5" i="38"/>
  <c r="IB5" i="38"/>
  <c r="IA5" i="38"/>
  <c r="HZ5" i="38"/>
  <c r="HY5" i="38"/>
  <c r="HX5" i="38"/>
  <c r="HW5" i="38"/>
  <c r="HU5" i="38"/>
  <c r="HT5" i="38"/>
  <c r="HS5" i="38"/>
  <c r="HR5" i="38"/>
  <c r="HQ5" i="38"/>
  <c r="HP5" i="38"/>
  <c r="GT5" i="38"/>
  <c r="GS5" i="38"/>
  <c r="GR5" i="38"/>
  <c r="GQ5" i="38"/>
  <c r="GP5" i="38"/>
  <c r="GO5" i="38"/>
  <c r="GM5" i="38"/>
  <c r="GL5" i="38"/>
  <c r="GK5" i="38"/>
  <c r="GJ5" i="38"/>
  <c r="GI5" i="38"/>
  <c r="GH5" i="38"/>
  <c r="FL5" i="38"/>
  <c r="FK5" i="38"/>
  <c r="FJ5" i="38"/>
  <c r="FI5" i="38"/>
  <c r="FH5" i="38"/>
  <c r="FG5" i="38"/>
  <c r="FE5" i="38"/>
  <c r="FD5" i="38"/>
  <c r="FC5" i="38"/>
  <c r="FB5" i="38"/>
  <c r="FA5" i="38"/>
  <c r="EZ5" i="38"/>
  <c r="ED5" i="38"/>
  <c r="EC5" i="38"/>
  <c r="EB5" i="38"/>
  <c r="EA5" i="38"/>
  <c r="DZ5" i="38"/>
  <c r="DY5" i="38"/>
  <c r="DW5" i="38"/>
  <c r="DV5" i="38"/>
  <c r="DU5" i="38"/>
  <c r="DT5" i="38"/>
  <c r="DS5" i="38"/>
  <c r="DR5" i="38"/>
  <c r="CT5" i="38"/>
  <c r="CS5" i="38"/>
  <c r="CR5" i="38"/>
  <c r="CP5" i="38"/>
  <c r="CO5" i="38"/>
  <c r="CN5" i="38"/>
  <c r="CM5" i="38"/>
  <c r="CL5" i="38"/>
  <c r="CK5" i="38"/>
  <c r="BS5" i="38"/>
  <c r="BR5" i="38"/>
  <c r="BQ5" i="38"/>
  <c r="BO5" i="38"/>
  <c r="BN5" i="38"/>
  <c r="BM5" i="38"/>
  <c r="BL5" i="38"/>
  <c r="BP5" i="38" s="1"/>
  <c r="BK5" i="38"/>
  <c r="BJ5" i="38"/>
  <c r="AR5" i="38"/>
  <c r="AQ5" i="38"/>
  <c r="AP5" i="38"/>
  <c r="AN5" i="38"/>
  <c r="AM5" i="38"/>
  <c r="AL5" i="38"/>
  <c r="AK5" i="38"/>
  <c r="AJ5" i="38"/>
  <c r="AI5" i="38"/>
  <c r="WL4" i="38"/>
  <c r="WK4" i="38"/>
  <c r="WJ4" i="38"/>
  <c r="WI4" i="38"/>
  <c r="WH4" i="38"/>
  <c r="WG4" i="38"/>
  <c r="WE4" i="38"/>
  <c r="WD4" i="38"/>
  <c r="WC4" i="38"/>
  <c r="WB4" i="38"/>
  <c r="WA4" i="38"/>
  <c r="VZ4" i="38"/>
  <c r="VD4" i="38"/>
  <c r="VC4" i="38"/>
  <c r="VB4" i="38"/>
  <c r="VA4" i="38"/>
  <c r="UZ4" i="38"/>
  <c r="UY4" i="38"/>
  <c r="UW4" i="38"/>
  <c r="UV4" i="38"/>
  <c r="UU4" i="38"/>
  <c r="UT4" i="38"/>
  <c r="US4" i="38"/>
  <c r="UR4" i="38"/>
  <c r="TV4" i="38"/>
  <c r="TU4" i="38"/>
  <c r="TT4" i="38"/>
  <c r="TS4" i="38"/>
  <c r="TR4" i="38"/>
  <c r="TQ4" i="38"/>
  <c r="TO4" i="38"/>
  <c r="TN4" i="38"/>
  <c r="TM4" i="38"/>
  <c r="TL4" i="38"/>
  <c r="TK4" i="38"/>
  <c r="TJ4" i="38"/>
  <c r="SN4" i="38"/>
  <c r="SM4" i="38"/>
  <c r="SL4" i="38"/>
  <c r="SK4" i="38"/>
  <c r="SJ4" i="38"/>
  <c r="SI4" i="38"/>
  <c r="SG4" i="38"/>
  <c r="SF4" i="38"/>
  <c r="SE4" i="38"/>
  <c r="SD4" i="38"/>
  <c r="SH4" i="38" s="1"/>
  <c r="SC4" i="38"/>
  <c r="SB4" i="38"/>
  <c r="RF4" i="38"/>
  <c r="RE4" i="38"/>
  <c r="RD4" i="38"/>
  <c r="RC4" i="38"/>
  <c r="RB4" i="38"/>
  <c r="RA4" i="38"/>
  <c r="QY4" i="38"/>
  <c r="QX4" i="38"/>
  <c r="QW4" i="38"/>
  <c r="QV4" i="38"/>
  <c r="QU4" i="38"/>
  <c r="QT4" i="38"/>
  <c r="PX4" i="38"/>
  <c r="PW4" i="38"/>
  <c r="PV4" i="38"/>
  <c r="PU4" i="38"/>
  <c r="PT4" i="38"/>
  <c r="PS4" i="38"/>
  <c r="PQ4" i="38"/>
  <c r="PP4" i="38"/>
  <c r="PO4" i="38"/>
  <c r="PN4" i="38"/>
  <c r="PM4" i="38"/>
  <c r="PL4" i="38"/>
  <c r="OP4" i="38"/>
  <c r="OO4" i="38"/>
  <c r="ON4" i="38"/>
  <c r="OM4" i="38"/>
  <c r="OL4" i="38"/>
  <c r="OK4" i="38"/>
  <c r="OI4" i="38"/>
  <c r="OH4" i="38"/>
  <c r="OG4" i="38"/>
  <c r="OF4" i="38"/>
  <c r="OE4" i="38"/>
  <c r="OD4" i="38"/>
  <c r="NH4" i="38"/>
  <c r="NG4" i="38"/>
  <c r="NF4" i="38"/>
  <c r="NE4" i="38"/>
  <c r="ND4" i="38"/>
  <c r="NC4" i="38"/>
  <c r="NA4" i="38"/>
  <c r="MZ4" i="38"/>
  <c r="MY4" i="38"/>
  <c r="MX4" i="38"/>
  <c r="MW4" i="38"/>
  <c r="MV4" i="38"/>
  <c r="LZ4" i="38"/>
  <c r="LY4" i="38"/>
  <c r="LX4" i="38"/>
  <c r="LW4" i="38"/>
  <c r="LV4" i="38"/>
  <c r="LU4" i="38"/>
  <c r="LS4" i="38"/>
  <c r="LR4" i="38"/>
  <c r="LQ4" i="38"/>
  <c r="LP4" i="38"/>
  <c r="LO4" i="38"/>
  <c r="LN4" i="38"/>
  <c r="KR4" i="38"/>
  <c r="KQ4" i="38"/>
  <c r="KP4" i="38"/>
  <c r="KO4" i="38"/>
  <c r="KN4" i="38"/>
  <c r="KM4" i="38"/>
  <c r="KK4" i="38"/>
  <c r="KJ4" i="38"/>
  <c r="KI4" i="38"/>
  <c r="KH4" i="38"/>
  <c r="KG4" i="38"/>
  <c r="KF4" i="38"/>
  <c r="JJ4" i="38"/>
  <c r="JI4" i="38"/>
  <c r="JH4" i="38"/>
  <c r="JG4" i="38"/>
  <c r="JF4" i="38"/>
  <c r="JE4" i="38"/>
  <c r="JC4" i="38"/>
  <c r="JB4" i="38"/>
  <c r="JA4" i="38"/>
  <c r="IZ4" i="38"/>
  <c r="JD4" i="38" s="1"/>
  <c r="IY4" i="38"/>
  <c r="IX4" i="38"/>
  <c r="IB4" i="38"/>
  <c r="IA4" i="38"/>
  <c r="HZ4" i="38"/>
  <c r="HY4" i="38"/>
  <c r="HX4" i="38"/>
  <c r="HW4" i="38"/>
  <c r="HU4" i="38"/>
  <c r="HT4" i="38"/>
  <c r="HS4" i="38"/>
  <c r="HR4" i="38"/>
  <c r="HQ4" i="38"/>
  <c r="HP4" i="38"/>
  <c r="GT4" i="38"/>
  <c r="GS4" i="38"/>
  <c r="GR4" i="38"/>
  <c r="GQ4" i="38"/>
  <c r="GP4" i="38"/>
  <c r="GO4" i="38"/>
  <c r="GM4" i="38"/>
  <c r="GL4" i="38"/>
  <c r="GK4" i="38"/>
  <c r="GJ4" i="38"/>
  <c r="GI4" i="38"/>
  <c r="GH4" i="38"/>
  <c r="FL4" i="38"/>
  <c r="FK4" i="38"/>
  <c r="FJ4" i="38"/>
  <c r="FI4" i="38"/>
  <c r="FH4" i="38"/>
  <c r="FG4" i="38"/>
  <c r="FE4" i="38"/>
  <c r="FD4" i="38"/>
  <c r="FC4" i="38"/>
  <c r="FB4" i="38"/>
  <c r="FA4" i="38"/>
  <c r="EZ4" i="38"/>
  <c r="ED4" i="38"/>
  <c r="EC4" i="38"/>
  <c r="EB4" i="38"/>
  <c r="EA4" i="38"/>
  <c r="DZ4" i="38"/>
  <c r="DY4" i="38"/>
  <c r="DW4" i="38"/>
  <c r="DV4" i="38"/>
  <c r="DU4" i="38"/>
  <c r="DT4" i="38"/>
  <c r="DS4" i="38"/>
  <c r="DR4" i="38"/>
  <c r="CT4" i="38"/>
  <c r="CS4" i="38"/>
  <c r="CR4" i="38"/>
  <c r="CP4" i="38"/>
  <c r="CO4" i="38"/>
  <c r="CN4" i="38"/>
  <c r="CM4" i="38"/>
  <c r="CL4" i="38"/>
  <c r="CK4" i="38"/>
  <c r="BS4" i="38"/>
  <c r="BR4" i="38"/>
  <c r="BQ4" i="38"/>
  <c r="BO4" i="38"/>
  <c r="BN4" i="38"/>
  <c r="BM4" i="38"/>
  <c r="BL4" i="38"/>
  <c r="BK4" i="38"/>
  <c r="BJ4" i="38"/>
  <c r="AR4" i="38"/>
  <c r="AQ4" i="38"/>
  <c r="AP4" i="38"/>
  <c r="AN4" i="38"/>
  <c r="AM4" i="38"/>
  <c r="AL4" i="38"/>
  <c r="AK4" i="38"/>
  <c r="AJ4" i="38"/>
  <c r="AI4" i="38"/>
  <c r="AI12" i="4"/>
  <c r="AJ12" i="4"/>
  <c r="AK12" i="4"/>
  <c r="AL12" i="4"/>
  <c r="AM12" i="4"/>
  <c r="AN12" i="4"/>
  <c r="AP12" i="4"/>
  <c r="AQ12" i="4"/>
  <c r="AR12" i="4"/>
  <c r="BJ12" i="4"/>
  <c r="BK12" i="4"/>
  <c r="BL12" i="4"/>
  <c r="BM12" i="4"/>
  <c r="BN12" i="4"/>
  <c r="BO12" i="4"/>
  <c r="BQ12" i="4"/>
  <c r="BR12" i="4"/>
  <c r="BS12" i="4"/>
  <c r="CK12" i="4"/>
  <c r="CL12" i="4"/>
  <c r="CM12" i="4"/>
  <c r="CN12" i="4"/>
  <c r="CO12" i="4"/>
  <c r="CP12" i="4"/>
  <c r="CR12" i="4"/>
  <c r="CS12" i="4"/>
  <c r="CT12" i="4"/>
  <c r="DR12" i="4"/>
  <c r="DS12" i="4"/>
  <c r="DT12" i="4"/>
  <c r="DU12" i="4"/>
  <c r="DV12" i="4"/>
  <c r="DW12" i="4"/>
  <c r="DY12" i="4"/>
  <c r="DZ12" i="4"/>
  <c r="EA12" i="4"/>
  <c r="EB12" i="4"/>
  <c r="EC12" i="4"/>
  <c r="ED12" i="4"/>
  <c r="EZ12" i="4"/>
  <c r="FA12" i="4"/>
  <c r="FB12" i="4"/>
  <c r="FC12" i="4"/>
  <c r="FD12" i="4"/>
  <c r="FE12" i="4"/>
  <c r="FG12" i="4"/>
  <c r="FH12" i="4"/>
  <c r="FI12" i="4"/>
  <c r="FJ12" i="4"/>
  <c r="FK12" i="4"/>
  <c r="FL12" i="4"/>
  <c r="GH12" i="4"/>
  <c r="GI12" i="4"/>
  <c r="GJ12" i="4"/>
  <c r="GK12" i="4"/>
  <c r="GL12" i="4"/>
  <c r="GM12" i="4"/>
  <c r="GO12" i="4"/>
  <c r="GP12" i="4"/>
  <c r="GQ12" i="4"/>
  <c r="GR12" i="4"/>
  <c r="GS12" i="4"/>
  <c r="GT12" i="4"/>
  <c r="HP12" i="4"/>
  <c r="HQ12" i="4"/>
  <c r="HR12" i="4"/>
  <c r="HS12" i="4"/>
  <c r="HT12" i="4"/>
  <c r="HU12" i="4"/>
  <c r="HW12" i="4"/>
  <c r="HX12" i="4"/>
  <c r="HY12" i="4"/>
  <c r="HZ12" i="4"/>
  <c r="IA12" i="4"/>
  <c r="IB12" i="4"/>
  <c r="IX12" i="4"/>
  <c r="IY12" i="4"/>
  <c r="IZ12" i="4"/>
  <c r="JA12" i="4"/>
  <c r="JB12" i="4"/>
  <c r="JC12" i="4"/>
  <c r="JE12" i="4"/>
  <c r="JF12" i="4"/>
  <c r="JG12" i="4"/>
  <c r="JH12" i="4"/>
  <c r="JI12" i="4"/>
  <c r="JJ12" i="4"/>
  <c r="KF12" i="4"/>
  <c r="KG12" i="4"/>
  <c r="KH12" i="4"/>
  <c r="KI12" i="4"/>
  <c r="KJ12" i="4"/>
  <c r="KK12" i="4"/>
  <c r="KM12" i="4"/>
  <c r="KN12" i="4"/>
  <c r="KO12" i="4"/>
  <c r="KP12" i="4"/>
  <c r="KQ12" i="4"/>
  <c r="KR12" i="4"/>
  <c r="LN12" i="4"/>
  <c r="LO12" i="4"/>
  <c r="LP12" i="4"/>
  <c r="LQ12" i="4"/>
  <c r="LR12" i="4"/>
  <c r="LS12" i="4"/>
  <c r="LU12" i="4"/>
  <c r="LV12" i="4"/>
  <c r="LW12" i="4"/>
  <c r="LX12" i="4"/>
  <c r="LY12" i="4"/>
  <c r="LZ12" i="4"/>
  <c r="MV12" i="4"/>
  <c r="MW12" i="4"/>
  <c r="MX12" i="4"/>
  <c r="MY12" i="4"/>
  <c r="MZ12" i="4"/>
  <c r="NA12" i="4"/>
  <c r="NC12" i="4"/>
  <c r="ND12" i="4"/>
  <c r="NE12" i="4"/>
  <c r="NF12" i="4"/>
  <c r="NG12" i="4"/>
  <c r="NH12" i="4"/>
  <c r="OD12" i="4"/>
  <c r="OE12" i="4"/>
  <c r="OF12" i="4"/>
  <c r="OG12" i="4"/>
  <c r="OH12" i="4"/>
  <c r="OI12" i="4"/>
  <c r="OK12" i="4"/>
  <c r="OL12" i="4"/>
  <c r="OM12" i="4"/>
  <c r="ON12" i="4"/>
  <c r="OO12" i="4"/>
  <c r="OP12" i="4"/>
  <c r="PL12" i="4"/>
  <c r="PM12" i="4"/>
  <c r="PN12" i="4"/>
  <c r="PO12" i="4"/>
  <c r="PP12" i="4"/>
  <c r="PQ12" i="4"/>
  <c r="PS12" i="4"/>
  <c r="PT12" i="4"/>
  <c r="PU12" i="4"/>
  <c r="PV12" i="4"/>
  <c r="PW12" i="4"/>
  <c r="PX12" i="4"/>
  <c r="QT12" i="4"/>
  <c r="QU12" i="4"/>
  <c r="QV12" i="4"/>
  <c r="QW12" i="4"/>
  <c r="QX12" i="4"/>
  <c r="QY12" i="4"/>
  <c r="RA12" i="4"/>
  <c r="RB12" i="4"/>
  <c r="RC12" i="4"/>
  <c r="RD12" i="4"/>
  <c r="RE12" i="4"/>
  <c r="RF12" i="4"/>
  <c r="SB12" i="4"/>
  <c r="SC12" i="4"/>
  <c r="SD12" i="4"/>
  <c r="SE12" i="4"/>
  <c r="SF12" i="4"/>
  <c r="SG12" i="4"/>
  <c r="SI12" i="4"/>
  <c r="SJ12" i="4"/>
  <c r="SK12" i="4"/>
  <c r="SL12" i="4"/>
  <c r="SM12" i="4"/>
  <c r="SN12" i="4"/>
  <c r="TJ12" i="4"/>
  <c r="TK12" i="4"/>
  <c r="TL12" i="4"/>
  <c r="TM12" i="4"/>
  <c r="TN12" i="4"/>
  <c r="TO12" i="4"/>
  <c r="TQ12" i="4"/>
  <c r="TR12" i="4"/>
  <c r="TS12" i="4"/>
  <c r="TT12" i="4"/>
  <c r="TU12" i="4"/>
  <c r="TV12" i="4"/>
  <c r="UR12" i="4"/>
  <c r="US12" i="4"/>
  <c r="UT12" i="4"/>
  <c r="UU12" i="4"/>
  <c r="UV12" i="4"/>
  <c r="UW12" i="4"/>
  <c r="UY12" i="4"/>
  <c r="UZ12" i="4"/>
  <c r="VA12" i="4"/>
  <c r="VB12" i="4"/>
  <c r="VC12" i="4"/>
  <c r="VD12" i="4"/>
  <c r="VZ12" i="4"/>
  <c r="WA12" i="4"/>
  <c r="WB12" i="4"/>
  <c r="WC12" i="4"/>
  <c r="WD12" i="4"/>
  <c r="WE12" i="4"/>
  <c r="WG12" i="4"/>
  <c r="WH12" i="4"/>
  <c r="WI12" i="4"/>
  <c r="WJ12" i="4"/>
  <c r="WK12" i="4"/>
  <c r="WL12" i="4"/>
  <c r="AI19" i="4"/>
  <c r="AJ19" i="4"/>
  <c r="AK19" i="4"/>
  <c r="AO19" i="4" s="1"/>
  <c r="AL19" i="4"/>
  <c r="AM19" i="4"/>
  <c r="AN19" i="4"/>
  <c r="AP19" i="4"/>
  <c r="AQ19" i="4"/>
  <c r="AR19" i="4"/>
  <c r="BJ19" i="4"/>
  <c r="BK19" i="4"/>
  <c r="BL19" i="4"/>
  <c r="BP19" i="4" s="1"/>
  <c r="BM19" i="4"/>
  <c r="BN19" i="4"/>
  <c r="BO19" i="4"/>
  <c r="BQ19" i="4"/>
  <c r="BR19" i="4"/>
  <c r="BS19" i="4"/>
  <c r="CK19" i="4"/>
  <c r="CL19" i="4"/>
  <c r="CM19" i="4"/>
  <c r="CN19" i="4"/>
  <c r="CO19" i="4"/>
  <c r="CP19" i="4"/>
  <c r="CR19" i="4"/>
  <c r="CS19" i="4"/>
  <c r="CT19" i="4"/>
  <c r="DR19" i="4"/>
  <c r="DS19" i="4"/>
  <c r="DT19" i="4"/>
  <c r="DU19" i="4"/>
  <c r="DV19" i="4"/>
  <c r="DW19" i="4"/>
  <c r="DY19" i="4"/>
  <c r="DZ19" i="4"/>
  <c r="EA19" i="4"/>
  <c r="EB19" i="4"/>
  <c r="EC19" i="4"/>
  <c r="ED19" i="4"/>
  <c r="EZ19" i="4"/>
  <c r="FA19" i="4"/>
  <c r="FB19" i="4"/>
  <c r="FC19" i="4"/>
  <c r="FD19" i="4"/>
  <c r="FE19" i="4"/>
  <c r="FG19" i="4"/>
  <c r="FH19" i="4"/>
  <c r="FI19" i="4"/>
  <c r="FJ19" i="4"/>
  <c r="FK19" i="4"/>
  <c r="FL19" i="4"/>
  <c r="GH19" i="4"/>
  <c r="GI19" i="4"/>
  <c r="GJ19" i="4"/>
  <c r="GK19" i="4"/>
  <c r="GL19" i="4"/>
  <c r="GM19" i="4"/>
  <c r="GO19" i="4"/>
  <c r="GP19" i="4"/>
  <c r="GQ19" i="4"/>
  <c r="GR19" i="4"/>
  <c r="GS19" i="4"/>
  <c r="GT19" i="4"/>
  <c r="HP19" i="4"/>
  <c r="HQ19" i="4"/>
  <c r="HR19" i="4"/>
  <c r="HS19" i="4"/>
  <c r="HT19" i="4"/>
  <c r="HU19" i="4"/>
  <c r="HW19" i="4"/>
  <c r="HX19" i="4"/>
  <c r="HY19" i="4"/>
  <c r="HZ19" i="4"/>
  <c r="IA19" i="4"/>
  <c r="IB19" i="4"/>
  <c r="IX19" i="4"/>
  <c r="IY19" i="4"/>
  <c r="IZ19" i="4"/>
  <c r="JA19" i="4"/>
  <c r="JB19" i="4"/>
  <c r="JC19" i="4"/>
  <c r="JE19" i="4"/>
  <c r="JF19" i="4"/>
  <c r="JG19" i="4"/>
  <c r="JH19" i="4"/>
  <c r="JI19" i="4"/>
  <c r="JJ19" i="4"/>
  <c r="KF19" i="4"/>
  <c r="KG19" i="4"/>
  <c r="KH19" i="4"/>
  <c r="KI19" i="4"/>
  <c r="KJ19" i="4"/>
  <c r="KK19" i="4"/>
  <c r="KM19" i="4"/>
  <c r="KN19" i="4"/>
  <c r="KO19" i="4"/>
  <c r="KP19" i="4"/>
  <c r="KQ19" i="4"/>
  <c r="KR19" i="4"/>
  <c r="LN19" i="4"/>
  <c r="LO19" i="4"/>
  <c r="LP19" i="4"/>
  <c r="LQ19" i="4"/>
  <c r="LR19" i="4"/>
  <c r="LS19" i="4"/>
  <c r="LU19" i="4"/>
  <c r="LV19" i="4"/>
  <c r="LW19" i="4"/>
  <c r="LX19" i="4"/>
  <c r="LY19" i="4"/>
  <c r="LZ19" i="4"/>
  <c r="MV19" i="4"/>
  <c r="MW19" i="4"/>
  <c r="MX19" i="4"/>
  <c r="MY19" i="4"/>
  <c r="MZ19" i="4"/>
  <c r="NA19" i="4"/>
  <c r="NC19" i="4"/>
  <c r="ND19" i="4"/>
  <c r="NE19" i="4"/>
  <c r="NF19" i="4"/>
  <c r="NG19" i="4"/>
  <c r="NH19" i="4"/>
  <c r="OD19" i="4"/>
  <c r="OE19" i="4"/>
  <c r="OF19" i="4"/>
  <c r="OG19" i="4"/>
  <c r="OH19" i="4"/>
  <c r="OI19" i="4"/>
  <c r="OK19" i="4"/>
  <c r="OL19" i="4"/>
  <c r="OM19" i="4"/>
  <c r="ON19" i="4"/>
  <c r="OO19" i="4"/>
  <c r="OP19" i="4"/>
  <c r="PL19" i="4"/>
  <c r="PM19" i="4"/>
  <c r="PN19" i="4"/>
  <c r="PO19" i="4"/>
  <c r="PP19" i="4"/>
  <c r="PQ19" i="4"/>
  <c r="PS19" i="4"/>
  <c r="PT19" i="4"/>
  <c r="PU19" i="4"/>
  <c r="PV19" i="4"/>
  <c r="PW19" i="4"/>
  <c r="PX19" i="4"/>
  <c r="QT19" i="4"/>
  <c r="QU19" i="4"/>
  <c r="QV19" i="4"/>
  <c r="QW19" i="4"/>
  <c r="QX19" i="4"/>
  <c r="QY19" i="4"/>
  <c r="RA19" i="4"/>
  <c r="RB19" i="4"/>
  <c r="RC19" i="4"/>
  <c r="RD19" i="4"/>
  <c r="RE19" i="4"/>
  <c r="RF19" i="4"/>
  <c r="SB19" i="4"/>
  <c r="SC19" i="4"/>
  <c r="SD19" i="4"/>
  <c r="SE19" i="4"/>
  <c r="SF19" i="4"/>
  <c r="SG19" i="4"/>
  <c r="SI19" i="4"/>
  <c r="SJ19" i="4"/>
  <c r="SK19" i="4"/>
  <c r="SL19" i="4"/>
  <c r="SM19" i="4"/>
  <c r="SN19" i="4"/>
  <c r="TJ19" i="4"/>
  <c r="TK19" i="4"/>
  <c r="TL19" i="4"/>
  <c r="TM19" i="4"/>
  <c r="TN19" i="4"/>
  <c r="TO19" i="4"/>
  <c r="TQ19" i="4"/>
  <c r="TR19" i="4"/>
  <c r="TS19" i="4"/>
  <c r="TT19" i="4"/>
  <c r="TU19" i="4"/>
  <c r="TV19" i="4"/>
  <c r="UR19" i="4"/>
  <c r="US19" i="4"/>
  <c r="UT19" i="4"/>
  <c r="UU19" i="4"/>
  <c r="UV19" i="4"/>
  <c r="UW19" i="4"/>
  <c r="UY19" i="4"/>
  <c r="UZ19" i="4"/>
  <c r="VA19" i="4"/>
  <c r="VB19" i="4"/>
  <c r="VC19" i="4"/>
  <c r="VD19" i="4"/>
  <c r="VZ19" i="4"/>
  <c r="WA19" i="4"/>
  <c r="WB19" i="4"/>
  <c r="WC19" i="4"/>
  <c r="WD19" i="4"/>
  <c r="WE19" i="4"/>
  <c r="WG19" i="4"/>
  <c r="WH19" i="4"/>
  <c r="WI19" i="4"/>
  <c r="WJ19" i="4"/>
  <c r="WK19" i="4"/>
  <c r="WL19" i="4"/>
  <c r="BS20" i="4"/>
  <c r="BR20" i="4"/>
  <c r="BQ20" i="4"/>
  <c r="BO20" i="4"/>
  <c r="BN20" i="4"/>
  <c r="BM20" i="4"/>
  <c r="BL20" i="4"/>
  <c r="BP20" i="4" s="1"/>
  <c r="BK20" i="4"/>
  <c r="BJ20" i="4"/>
  <c r="BS23" i="4"/>
  <c r="BR23" i="4"/>
  <c r="BQ23" i="4"/>
  <c r="BO23" i="4"/>
  <c r="BN23" i="4"/>
  <c r="BM23" i="4"/>
  <c r="BL23" i="4"/>
  <c r="BK23" i="4"/>
  <c r="BJ23" i="4"/>
  <c r="BS25" i="4"/>
  <c r="BR25" i="4"/>
  <c r="BQ25" i="4"/>
  <c r="BO25" i="4"/>
  <c r="BN25" i="4"/>
  <c r="BM25" i="4"/>
  <c r="BL25" i="4"/>
  <c r="BP25" i="4" s="1"/>
  <c r="BK25" i="4"/>
  <c r="BJ25" i="4"/>
  <c r="BS18" i="4"/>
  <c r="BR18" i="4"/>
  <c r="BQ18" i="4"/>
  <c r="BO18" i="4"/>
  <c r="BN18" i="4"/>
  <c r="BM18" i="4"/>
  <c r="BL18" i="4"/>
  <c r="BK18" i="4"/>
  <c r="BJ18" i="4"/>
  <c r="BS26" i="4"/>
  <c r="BR26" i="4"/>
  <c r="BQ26" i="4"/>
  <c r="BO26" i="4"/>
  <c r="BN26" i="4"/>
  <c r="BM26" i="4"/>
  <c r="BL26" i="4"/>
  <c r="BP26" i="4" s="1"/>
  <c r="BK26" i="4"/>
  <c r="BJ26" i="4"/>
  <c r="BS15" i="4"/>
  <c r="BR15" i="4"/>
  <c r="BQ15" i="4"/>
  <c r="BO15" i="4"/>
  <c r="BN15" i="4"/>
  <c r="BM15" i="4"/>
  <c r="BL15" i="4"/>
  <c r="BK15" i="4"/>
  <c r="BJ15" i="4"/>
  <c r="BS16" i="4"/>
  <c r="BR16" i="4"/>
  <c r="BQ16" i="4"/>
  <c r="BO16" i="4"/>
  <c r="BN16" i="4"/>
  <c r="BM16" i="4"/>
  <c r="BL16" i="4"/>
  <c r="BK16" i="4"/>
  <c r="BJ16" i="4"/>
  <c r="BS24" i="4"/>
  <c r="BR24" i="4"/>
  <c r="BQ24" i="4"/>
  <c r="BO24" i="4"/>
  <c r="BN24" i="4"/>
  <c r="BM24" i="4"/>
  <c r="BL24" i="4"/>
  <c r="BP24" i="4" s="1"/>
  <c r="BK24" i="4"/>
  <c r="BJ24" i="4"/>
  <c r="BS21" i="4"/>
  <c r="BR21" i="4"/>
  <c r="BQ21" i="4"/>
  <c r="BO21" i="4"/>
  <c r="BN21" i="4"/>
  <c r="BM21" i="4"/>
  <c r="BL21" i="4"/>
  <c r="BK21" i="4"/>
  <c r="BJ21" i="4"/>
  <c r="BS13" i="4"/>
  <c r="BR13" i="4"/>
  <c r="BQ13" i="4"/>
  <c r="BO13" i="4"/>
  <c r="BN13" i="4"/>
  <c r="BM13" i="4"/>
  <c r="BL13" i="4"/>
  <c r="BK13" i="4"/>
  <c r="BJ13" i="4"/>
  <c r="BS9" i="4"/>
  <c r="BR9" i="4"/>
  <c r="BQ9" i="4"/>
  <c r="BO9" i="4"/>
  <c r="BN9" i="4"/>
  <c r="BM9" i="4"/>
  <c r="BL9" i="4"/>
  <c r="BK9" i="4"/>
  <c r="BJ9" i="4"/>
  <c r="BS14" i="4"/>
  <c r="BR14" i="4"/>
  <c r="BQ14" i="4"/>
  <c r="BO14" i="4"/>
  <c r="BN14" i="4"/>
  <c r="BM14" i="4"/>
  <c r="BL14" i="4"/>
  <c r="BK14" i="4"/>
  <c r="BJ14" i="4"/>
  <c r="BS11" i="4"/>
  <c r="BR11" i="4"/>
  <c r="BQ11" i="4"/>
  <c r="BO11" i="4"/>
  <c r="BN11" i="4"/>
  <c r="BM11" i="4"/>
  <c r="BL11" i="4"/>
  <c r="BK11" i="4"/>
  <c r="BJ11" i="4"/>
  <c r="BS10" i="4"/>
  <c r="BR10" i="4"/>
  <c r="BQ10" i="4"/>
  <c r="BO10" i="4"/>
  <c r="BN10" i="4"/>
  <c r="BM10" i="4"/>
  <c r="BL10" i="4"/>
  <c r="BK10" i="4"/>
  <c r="BJ10" i="4"/>
  <c r="BS17" i="4"/>
  <c r="BR17" i="4"/>
  <c r="BQ17" i="4"/>
  <c r="BO17" i="4"/>
  <c r="BN17" i="4"/>
  <c r="BM17" i="4"/>
  <c r="BL17" i="4"/>
  <c r="BK17" i="4"/>
  <c r="BJ17" i="4"/>
  <c r="BS8" i="4"/>
  <c r="BR8" i="4"/>
  <c r="BQ8" i="4"/>
  <c r="BO8" i="4"/>
  <c r="BN8" i="4"/>
  <c r="BM8" i="4"/>
  <c r="BL8" i="4"/>
  <c r="BK8" i="4"/>
  <c r="BJ8" i="4"/>
  <c r="BS22" i="4"/>
  <c r="BR22" i="4"/>
  <c r="BQ22" i="4"/>
  <c r="BO22" i="4"/>
  <c r="BN22" i="4"/>
  <c r="BM22" i="4"/>
  <c r="BL22" i="4"/>
  <c r="BK22" i="4"/>
  <c r="BJ22" i="4"/>
  <c r="BS7" i="4"/>
  <c r="BR7" i="4"/>
  <c r="BQ7" i="4"/>
  <c r="BO7" i="4"/>
  <c r="BN7" i="4"/>
  <c r="BM7" i="4"/>
  <c r="BL7" i="4"/>
  <c r="BK7" i="4"/>
  <c r="BJ7" i="4"/>
  <c r="BS6" i="4"/>
  <c r="BR6" i="4"/>
  <c r="BQ6" i="4"/>
  <c r="BO6" i="4"/>
  <c r="BN6" i="4"/>
  <c r="BM6" i="4"/>
  <c r="BL6" i="4"/>
  <c r="BK6" i="4"/>
  <c r="BJ6" i="4"/>
  <c r="BS4" i="4"/>
  <c r="BR4" i="4"/>
  <c r="BQ4" i="4"/>
  <c r="BO4" i="4"/>
  <c r="BN4" i="4"/>
  <c r="BM4" i="4"/>
  <c r="BL4" i="4"/>
  <c r="BK4" i="4"/>
  <c r="BJ4" i="4"/>
  <c r="BS5" i="4"/>
  <c r="BR5" i="4"/>
  <c r="BQ5" i="4"/>
  <c r="BO5" i="4"/>
  <c r="BN5" i="4"/>
  <c r="BM5" i="4"/>
  <c r="BL5" i="4"/>
  <c r="BK5" i="4"/>
  <c r="BJ5" i="4"/>
  <c r="AR20" i="4"/>
  <c r="AQ20" i="4"/>
  <c r="AP20" i="4"/>
  <c r="AN20" i="4"/>
  <c r="AM20" i="4"/>
  <c r="AL20" i="4"/>
  <c r="AK20" i="4"/>
  <c r="AJ20" i="4"/>
  <c r="AI20" i="4"/>
  <c r="AR23" i="4"/>
  <c r="AQ23" i="4"/>
  <c r="AP23" i="4"/>
  <c r="AN23" i="4"/>
  <c r="AM23" i="4"/>
  <c r="AL23" i="4"/>
  <c r="AK23" i="4"/>
  <c r="AJ23" i="4"/>
  <c r="AI23" i="4"/>
  <c r="AR25" i="4"/>
  <c r="AQ25" i="4"/>
  <c r="AP25" i="4"/>
  <c r="AN25" i="4"/>
  <c r="AM25" i="4"/>
  <c r="AL25" i="4"/>
  <c r="AK25" i="4"/>
  <c r="AJ25" i="4"/>
  <c r="AI25" i="4"/>
  <c r="AR18" i="4"/>
  <c r="AQ18" i="4"/>
  <c r="AP18" i="4"/>
  <c r="AN18" i="4"/>
  <c r="AM18" i="4"/>
  <c r="AL18" i="4"/>
  <c r="AK18" i="4"/>
  <c r="AJ18" i="4"/>
  <c r="AI18" i="4"/>
  <c r="AR26" i="4"/>
  <c r="AQ26" i="4"/>
  <c r="AP26" i="4"/>
  <c r="AN26" i="4"/>
  <c r="AM26" i="4"/>
  <c r="AL26" i="4"/>
  <c r="AK26" i="4"/>
  <c r="AJ26" i="4"/>
  <c r="AI26" i="4"/>
  <c r="AR15" i="4"/>
  <c r="AQ15" i="4"/>
  <c r="AP15" i="4"/>
  <c r="AN15" i="4"/>
  <c r="AM15" i="4"/>
  <c r="AL15" i="4"/>
  <c r="AK15" i="4"/>
  <c r="AJ15" i="4"/>
  <c r="AI15" i="4"/>
  <c r="AR16" i="4"/>
  <c r="AQ16" i="4"/>
  <c r="AP16" i="4"/>
  <c r="AN16" i="4"/>
  <c r="AM16" i="4"/>
  <c r="AL16" i="4"/>
  <c r="AK16" i="4"/>
  <c r="AJ16" i="4"/>
  <c r="AI16" i="4"/>
  <c r="AR24" i="4"/>
  <c r="AQ24" i="4"/>
  <c r="AP24" i="4"/>
  <c r="AN24" i="4"/>
  <c r="AM24" i="4"/>
  <c r="AL24" i="4"/>
  <c r="AK24" i="4"/>
  <c r="AJ24" i="4"/>
  <c r="AI24" i="4"/>
  <c r="AR21" i="4"/>
  <c r="AQ21" i="4"/>
  <c r="AP21" i="4"/>
  <c r="AN21" i="4"/>
  <c r="AM21" i="4"/>
  <c r="AL21" i="4"/>
  <c r="AK21" i="4"/>
  <c r="AJ21" i="4"/>
  <c r="AI21" i="4"/>
  <c r="AR13" i="4"/>
  <c r="AQ13" i="4"/>
  <c r="AP13" i="4"/>
  <c r="AN13" i="4"/>
  <c r="AM13" i="4"/>
  <c r="AL13" i="4"/>
  <c r="AK13" i="4"/>
  <c r="AJ13" i="4"/>
  <c r="AI13" i="4"/>
  <c r="AR9" i="4"/>
  <c r="AQ9" i="4"/>
  <c r="AP9" i="4"/>
  <c r="AN9" i="4"/>
  <c r="AM9" i="4"/>
  <c r="AL9" i="4"/>
  <c r="AK9" i="4"/>
  <c r="AJ9" i="4"/>
  <c r="AI9" i="4"/>
  <c r="AR14" i="4"/>
  <c r="AQ14" i="4"/>
  <c r="AP14" i="4"/>
  <c r="AN14" i="4"/>
  <c r="AM14" i="4"/>
  <c r="AL14" i="4"/>
  <c r="AK14" i="4"/>
  <c r="AJ14" i="4"/>
  <c r="AI14" i="4"/>
  <c r="AR11" i="4"/>
  <c r="AQ11" i="4"/>
  <c r="AP11" i="4"/>
  <c r="AN11" i="4"/>
  <c r="AM11" i="4"/>
  <c r="AL11" i="4"/>
  <c r="AK11" i="4"/>
  <c r="AJ11" i="4"/>
  <c r="AI11" i="4"/>
  <c r="AR10" i="4"/>
  <c r="AQ10" i="4"/>
  <c r="AP10" i="4"/>
  <c r="AN10" i="4"/>
  <c r="AM10" i="4"/>
  <c r="AL10" i="4"/>
  <c r="AK10" i="4"/>
  <c r="AJ10" i="4"/>
  <c r="AI10" i="4"/>
  <c r="AR17" i="4"/>
  <c r="AQ17" i="4"/>
  <c r="AP17" i="4"/>
  <c r="AN17" i="4"/>
  <c r="AM17" i="4"/>
  <c r="AL17" i="4"/>
  <c r="AK17" i="4"/>
  <c r="AJ17" i="4"/>
  <c r="AI17" i="4"/>
  <c r="AR8" i="4"/>
  <c r="AQ8" i="4"/>
  <c r="AP8" i="4"/>
  <c r="AN8" i="4"/>
  <c r="AM8" i="4"/>
  <c r="AL8" i="4"/>
  <c r="AK8" i="4"/>
  <c r="AJ8" i="4"/>
  <c r="AI8" i="4"/>
  <c r="AR22" i="4"/>
  <c r="AQ22" i="4"/>
  <c r="AP22" i="4"/>
  <c r="AN22" i="4"/>
  <c r="AM22" i="4"/>
  <c r="AL22" i="4"/>
  <c r="AK22" i="4"/>
  <c r="AJ22" i="4"/>
  <c r="AI22" i="4"/>
  <c r="AR7" i="4"/>
  <c r="AQ7" i="4"/>
  <c r="AP7" i="4"/>
  <c r="AN7" i="4"/>
  <c r="AM7" i="4"/>
  <c r="AL7" i="4"/>
  <c r="AK7" i="4"/>
  <c r="AJ7" i="4"/>
  <c r="AI7" i="4"/>
  <c r="AR6" i="4"/>
  <c r="AQ6" i="4"/>
  <c r="AP6" i="4"/>
  <c r="AN6" i="4"/>
  <c r="AM6" i="4"/>
  <c r="AL6" i="4"/>
  <c r="AK6" i="4"/>
  <c r="AJ6" i="4"/>
  <c r="AI6" i="4"/>
  <c r="AR4" i="4"/>
  <c r="AQ4" i="4"/>
  <c r="AP4" i="4"/>
  <c r="AN4" i="4"/>
  <c r="AM4" i="4"/>
  <c r="AL4" i="4"/>
  <c r="AK4" i="4"/>
  <c r="AJ4" i="4"/>
  <c r="AI4" i="4"/>
  <c r="AR5" i="4"/>
  <c r="AQ5" i="4"/>
  <c r="AP5" i="4"/>
  <c r="AN5" i="4"/>
  <c r="AM5" i="4"/>
  <c r="AL5" i="4"/>
  <c r="AK5" i="4"/>
  <c r="AJ5" i="4"/>
  <c r="AI5" i="4"/>
  <c r="VD20" i="4"/>
  <c r="VC20" i="4"/>
  <c r="VB20" i="4"/>
  <c r="VA20" i="4"/>
  <c r="UZ20" i="4"/>
  <c r="UY20" i="4"/>
  <c r="UW20" i="4"/>
  <c r="UV20" i="4"/>
  <c r="UU20" i="4"/>
  <c r="UT20" i="4"/>
  <c r="US20" i="4"/>
  <c r="UR20" i="4"/>
  <c r="VD25" i="4"/>
  <c r="VC25" i="4"/>
  <c r="VB25" i="4"/>
  <c r="VA25" i="4"/>
  <c r="UZ25" i="4"/>
  <c r="UY25" i="4"/>
  <c r="UW25" i="4"/>
  <c r="UV25" i="4"/>
  <c r="UU25" i="4"/>
  <c r="UT25" i="4"/>
  <c r="US25" i="4"/>
  <c r="UR25" i="4"/>
  <c r="VD26" i="4"/>
  <c r="VC26" i="4"/>
  <c r="VB26" i="4"/>
  <c r="VA26" i="4"/>
  <c r="UZ26" i="4"/>
  <c r="UY26" i="4"/>
  <c r="UW26" i="4"/>
  <c r="UV26" i="4"/>
  <c r="UU26" i="4"/>
  <c r="UT26" i="4"/>
  <c r="US26" i="4"/>
  <c r="UR26" i="4"/>
  <c r="VD15" i="4"/>
  <c r="VC15" i="4"/>
  <c r="VB15" i="4"/>
  <c r="VA15" i="4"/>
  <c r="UZ15" i="4"/>
  <c r="UY15" i="4"/>
  <c r="UW15" i="4"/>
  <c r="UV15" i="4"/>
  <c r="UU15" i="4"/>
  <c r="UT15" i="4"/>
  <c r="US15" i="4"/>
  <c r="UR15" i="4"/>
  <c r="VD18" i="4"/>
  <c r="VC18" i="4"/>
  <c r="VB18" i="4"/>
  <c r="VA18" i="4"/>
  <c r="UZ18" i="4"/>
  <c r="UY18" i="4"/>
  <c r="UW18" i="4"/>
  <c r="UV18" i="4"/>
  <c r="UU18" i="4"/>
  <c r="UT18" i="4"/>
  <c r="US18" i="4"/>
  <c r="UR18" i="4"/>
  <c r="VD16" i="4"/>
  <c r="VC16" i="4"/>
  <c r="VB16" i="4"/>
  <c r="VA16" i="4"/>
  <c r="UZ16" i="4"/>
  <c r="UY16" i="4"/>
  <c r="UW16" i="4"/>
  <c r="UV16" i="4"/>
  <c r="UU16" i="4"/>
  <c r="UT16" i="4"/>
  <c r="US16" i="4"/>
  <c r="UR16" i="4"/>
  <c r="VD24" i="4"/>
  <c r="VC24" i="4"/>
  <c r="VB24" i="4"/>
  <c r="VA24" i="4"/>
  <c r="UZ24" i="4"/>
  <c r="UY24" i="4"/>
  <c r="UW24" i="4"/>
  <c r="UV24" i="4"/>
  <c r="UU24" i="4"/>
  <c r="UT24" i="4"/>
  <c r="US24" i="4"/>
  <c r="UR24" i="4"/>
  <c r="VD21" i="4"/>
  <c r="VC21" i="4"/>
  <c r="VB21" i="4"/>
  <c r="VA21" i="4"/>
  <c r="UZ21" i="4"/>
  <c r="UY21" i="4"/>
  <c r="UW21" i="4"/>
  <c r="UV21" i="4"/>
  <c r="UU21" i="4"/>
  <c r="UT21" i="4"/>
  <c r="US21" i="4"/>
  <c r="UR21" i="4"/>
  <c r="VD13" i="4"/>
  <c r="VC13" i="4"/>
  <c r="VB13" i="4"/>
  <c r="VA13" i="4"/>
  <c r="UZ13" i="4"/>
  <c r="UY13" i="4"/>
  <c r="UW13" i="4"/>
  <c r="UV13" i="4"/>
  <c r="UU13" i="4"/>
  <c r="UT13" i="4"/>
  <c r="US13" i="4"/>
  <c r="UR13" i="4"/>
  <c r="VD14" i="4"/>
  <c r="VC14" i="4"/>
  <c r="VB14" i="4"/>
  <c r="VA14" i="4"/>
  <c r="UZ14" i="4"/>
  <c r="UY14" i="4"/>
  <c r="UW14" i="4"/>
  <c r="UV14" i="4"/>
  <c r="UU14" i="4"/>
  <c r="UT14" i="4"/>
  <c r="US14" i="4"/>
  <c r="UR14" i="4"/>
  <c r="VD10" i="4"/>
  <c r="VC10" i="4"/>
  <c r="VB10" i="4"/>
  <c r="VA10" i="4"/>
  <c r="UZ10" i="4"/>
  <c r="UY10" i="4"/>
  <c r="UW10" i="4"/>
  <c r="UV10" i="4"/>
  <c r="UU10" i="4"/>
  <c r="UT10" i="4"/>
  <c r="US10" i="4"/>
  <c r="UR10" i="4"/>
  <c r="VD11" i="4"/>
  <c r="VC11" i="4"/>
  <c r="VB11" i="4"/>
  <c r="VA11" i="4"/>
  <c r="UZ11" i="4"/>
  <c r="UY11" i="4"/>
  <c r="UW11" i="4"/>
  <c r="UV11" i="4"/>
  <c r="UU11" i="4"/>
  <c r="UT11" i="4"/>
  <c r="US11" i="4"/>
  <c r="UR11" i="4"/>
  <c r="VD23" i="4"/>
  <c r="VC23" i="4"/>
  <c r="VB23" i="4"/>
  <c r="VA23" i="4"/>
  <c r="UZ23" i="4"/>
  <c r="UY23" i="4"/>
  <c r="UW23" i="4"/>
  <c r="UV23" i="4"/>
  <c r="UU23" i="4"/>
  <c r="UT23" i="4"/>
  <c r="US23" i="4"/>
  <c r="UR23" i="4"/>
  <c r="VD17" i="4"/>
  <c r="VC17" i="4"/>
  <c r="VB17" i="4"/>
  <c r="VA17" i="4"/>
  <c r="UZ17" i="4"/>
  <c r="UY17" i="4"/>
  <c r="UW17" i="4"/>
  <c r="UV17" i="4"/>
  <c r="UU17" i="4"/>
  <c r="UT17" i="4"/>
  <c r="US17" i="4"/>
  <c r="UR17" i="4"/>
  <c r="VD8" i="4"/>
  <c r="VC8" i="4"/>
  <c r="VB8" i="4"/>
  <c r="VA8" i="4"/>
  <c r="UZ8" i="4"/>
  <c r="UY8" i="4"/>
  <c r="UW8" i="4"/>
  <c r="UV8" i="4"/>
  <c r="UU8" i="4"/>
  <c r="UT8" i="4"/>
  <c r="US8" i="4"/>
  <c r="UR8" i="4"/>
  <c r="VD9" i="4"/>
  <c r="VC9" i="4"/>
  <c r="VB9" i="4"/>
  <c r="VA9" i="4"/>
  <c r="UZ9" i="4"/>
  <c r="UY9" i="4"/>
  <c r="UW9" i="4"/>
  <c r="UV9" i="4"/>
  <c r="UU9" i="4"/>
  <c r="UT9" i="4"/>
  <c r="US9" i="4"/>
  <c r="UR9" i="4"/>
  <c r="VD22" i="4"/>
  <c r="VC22" i="4"/>
  <c r="VB22" i="4"/>
  <c r="VA22" i="4"/>
  <c r="UZ22" i="4"/>
  <c r="UY22" i="4"/>
  <c r="UW22" i="4"/>
  <c r="UV22" i="4"/>
  <c r="UU22" i="4"/>
  <c r="UT22" i="4"/>
  <c r="US22" i="4"/>
  <c r="UR22" i="4"/>
  <c r="VD7" i="4"/>
  <c r="VC7" i="4"/>
  <c r="VB7" i="4"/>
  <c r="VA7" i="4"/>
  <c r="UZ7" i="4"/>
  <c r="UY7" i="4"/>
  <c r="UW7" i="4"/>
  <c r="UV7" i="4"/>
  <c r="UU7" i="4"/>
  <c r="UT7" i="4"/>
  <c r="US7" i="4"/>
  <c r="UR7" i="4"/>
  <c r="VD6" i="4"/>
  <c r="VC6" i="4"/>
  <c r="VB6" i="4"/>
  <c r="VA6" i="4"/>
  <c r="UZ6" i="4"/>
  <c r="UY6" i="4"/>
  <c r="UW6" i="4"/>
  <c r="UV6" i="4"/>
  <c r="UU6" i="4"/>
  <c r="UT6" i="4"/>
  <c r="US6" i="4"/>
  <c r="UR6" i="4"/>
  <c r="VD4" i="4"/>
  <c r="VC4" i="4"/>
  <c r="VB4" i="4"/>
  <c r="VA4" i="4"/>
  <c r="UZ4" i="4"/>
  <c r="UY4" i="4"/>
  <c r="UW4" i="4"/>
  <c r="UV4" i="4"/>
  <c r="UU4" i="4"/>
  <c r="UT4" i="4"/>
  <c r="US4" i="4"/>
  <c r="UR4" i="4"/>
  <c r="VD5" i="4"/>
  <c r="VC5" i="4"/>
  <c r="VB5" i="4"/>
  <c r="VA5" i="4"/>
  <c r="UZ5" i="4"/>
  <c r="UY5" i="4"/>
  <c r="UW5" i="4"/>
  <c r="UV5" i="4"/>
  <c r="UU5" i="4"/>
  <c r="UT5" i="4"/>
  <c r="US5" i="4"/>
  <c r="UR5" i="4"/>
  <c r="TV20" i="4"/>
  <c r="TU20" i="4"/>
  <c r="TT20" i="4"/>
  <c r="TS20" i="4"/>
  <c r="TR20" i="4"/>
  <c r="TQ20" i="4"/>
  <c r="TO20" i="4"/>
  <c r="TN20" i="4"/>
  <c r="TM20" i="4"/>
  <c r="TL20" i="4"/>
  <c r="TK20" i="4"/>
  <c r="TJ20" i="4"/>
  <c r="TV25" i="4"/>
  <c r="TU25" i="4"/>
  <c r="TT25" i="4"/>
  <c r="TS25" i="4"/>
  <c r="TR25" i="4"/>
  <c r="TQ25" i="4"/>
  <c r="TO25" i="4"/>
  <c r="TN25" i="4"/>
  <c r="TM25" i="4"/>
  <c r="TL25" i="4"/>
  <c r="TK25" i="4"/>
  <c r="TJ25" i="4"/>
  <c r="TV26" i="4"/>
  <c r="TU26" i="4"/>
  <c r="TT26" i="4"/>
  <c r="TS26" i="4"/>
  <c r="TR26" i="4"/>
  <c r="TQ26" i="4"/>
  <c r="TO26" i="4"/>
  <c r="TN26" i="4"/>
  <c r="TM26" i="4"/>
  <c r="TL26" i="4"/>
  <c r="TK26" i="4"/>
  <c r="TJ26" i="4"/>
  <c r="TV15" i="4"/>
  <c r="TU15" i="4"/>
  <c r="TT15" i="4"/>
  <c r="TS15" i="4"/>
  <c r="TR15" i="4"/>
  <c r="TQ15" i="4"/>
  <c r="TO15" i="4"/>
  <c r="TN15" i="4"/>
  <c r="TM15" i="4"/>
  <c r="TL15" i="4"/>
  <c r="TK15" i="4"/>
  <c r="TJ15" i="4"/>
  <c r="TV18" i="4"/>
  <c r="TU18" i="4"/>
  <c r="TT18" i="4"/>
  <c r="TS18" i="4"/>
  <c r="TR18" i="4"/>
  <c r="TQ18" i="4"/>
  <c r="TO18" i="4"/>
  <c r="TN18" i="4"/>
  <c r="TM18" i="4"/>
  <c r="TL18" i="4"/>
  <c r="TK18" i="4"/>
  <c r="TJ18" i="4"/>
  <c r="TV16" i="4"/>
  <c r="TU16" i="4"/>
  <c r="TT16" i="4"/>
  <c r="TS16" i="4"/>
  <c r="TR16" i="4"/>
  <c r="TQ16" i="4"/>
  <c r="TO16" i="4"/>
  <c r="TN16" i="4"/>
  <c r="TM16" i="4"/>
  <c r="TL16" i="4"/>
  <c r="TK16" i="4"/>
  <c r="TJ16" i="4"/>
  <c r="TV24" i="4"/>
  <c r="TU24" i="4"/>
  <c r="TT24" i="4"/>
  <c r="TS24" i="4"/>
  <c r="TR24" i="4"/>
  <c r="TQ24" i="4"/>
  <c r="TO24" i="4"/>
  <c r="TN24" i="4"/>
  <c r="TM24" i="4"/>
  <c r="TL24" i="4"/>
  <c r="TK24" i="4"/>
  <c r="TJ24" i="4"/>
  <c r="TV21" i="4"/>
  <c r="TU21" i="4"/>
  <c r="TT21" i="4"/>
  <c r="TS21" i="4"/>
  <c r="TR21" i="4"/>
  <c r="TQ21" i="4"/>
  <c r="TO21" i="4"/>
  <c r="TN21" i="4"/>
  <c r="TM21" i="4"/>
  <c r="TL21" i="4"/>
  <c r="TK21" i="4"/>
  <c r="TJ21" i="4"/>
  <c r="TV13" i="4"/>
  <c r="TU13" i="4"/>
  <c r="TT13" i="4"/>
  <c r="TS13" i="4"/>
  <c r="TR13" i="4"/>
  <c r="TQ13" i="4"/>
  <c r="TO13" i="4"/>
  <c r="TN13" i="4"/>
  <c r="TM13" i="4"/>
  <c r="TL13" i="4"/>
  <c r="TK13" i="4"/>
  <c r="TJ13" i="4"/>
  <c r="TV14" i="4"/>
  <c r="TU14" i="4"/>
  <c r="TT14" i="4"/>
  <c r="TS14" i="4"/>
  <c r="TR14" i="4"/>
  <c r="TQ14" i="4"/>
  <c r="TO14" i="4"/>
  <c r="TN14" i="4"/>
  <c r="TM14" i="4"/>
  <c r="TL14" i="4"/>
  <c r="TK14" i="4"/>
  <c r="TJ14" i="4"/>
  <c r="TV10" i="4"/>
  <c r="TU10" i="4"/>
  <c r="TT10" i="4"/>
  <c r="TS10" i="4"/>
  <c r="TR10" i="4"/>
  <c r="TQ10" i="4"/>
  <c r="TO10" i="4"/>
  <c r="TN10" i="4"/>
  <c r="TM10" i="4"/>
  <c r="TL10" i="4"/>
  <c r="TK10" i="4"/>
  <c r="TJ10" i="4"/>
  <c r="TV11" i="4"/>
  <c r="TU11" i="4"/>
  <c r="TT11" i="4"/>
  <c r="TS11" i="4"/>
  <c r="TR11" i="4"/>
  <c r="TQ11" i="4"/>
  <c r="TO11" i="4"/>
  <c r="TN11" i="4"/>
  <c r="TM11" i="4"/>
  <c r="TL11" i="4"/>
  <c r="TK11" i="4"/>
  <c r="TJ11" i="4"/>
  <c r="TV23" i="4"/>
  <c r="TU23" i="4"/>
  <c r="TT23" i="4"/>
  <c r="TS23" i="4"/>
  <c r="TR23" i="4"/>
  <c r="TQ23" i="4"/>
  <c r="TO23" i="4"/>
  <c r="TN23" i="4"/>
  <c r="TM23" i="4"/>
  <c r="TL23" i="4"/>
  <c r="TK23" i="4"/>
  <c r="TJ23" i="4"/>
  <c r="TV17" i="4"/>
  <c r="TU17" i="4"/>
  <c r="TT17" i="4"/>
  <c r="TS17" i="4"/>
  <c r="TR17" i="4"/>
  <c r="TQ17" i="4"/>
  <c r="TO17" i="4"/>
  <c r="TN17" i="4"/>
  <c r="TM17" i="4"/>
  <c r="TL17" i="4"/>
  <c r="TK17" i="4"/>
  <c r="TJ17" i="4"/>
  <c r="TV8" i="4"/>
  <c r="TU8" i="4"/>
  <c r="TT8" i="4"/>
  <c r="TS8" i="4"/>
  <c r="TR8" i="4"/>
  <c r="TQ8" i="4"/>
  <c r="TO8" i="4"/>
  <c r="TN8" i="4"/>
  <c r="TM8" i="4"/>
  <c r="TL8" i="4"/>
  <c r="TK8" i="4"/>
  <c r="TJ8" i="4"/>
  <c r="TV9" i="4"/>
  <c r="TU9" i="4"/>
  <c r="TT9" i="4"/>
  <c r="TS9" i="4"/>
  <c r="TR9" i="4"/>
  <c r="TQ9" i="4"/>
  <c r="TO9" i="4"/>
  <c r="TN9" i="4"/>
  <c r="TM9" i="4"/>
  <c r="TL9" i="4"/>
  <c r="TK9" i="4"/>
  <c r="TJ9" i="4"/>
  <c r="TV22" i="4"/>
  <c r="TU22" i="4"/>
  <c r="TT22" i="4"/>
  <c r="TS22" i="4"/>
  <c r="TR22" i="4"/>
  <c r="TQ22" i="4"/>
  <c r="TO22" i="4"/>
  <c r="TN22" i="4"/>
  <c r="TM22" i="4"/>
  <c r="TL22" i="4"/>
  <c r="TK22" i="4"/>
  <c r="TJ22" i="4"/>
  <c r="TV7" i="4"/>
  <c r="TU7" i="4"/>
  <c r="TT7" i="4"/>
  <c r="TS7" i="4"/>
  <c r="TR7" i="4"/>
  <c r="TQ7" i="4"/>
  <c r="TO7" i="4"/>
  <c r="TN7" i="4"/>
  <c r="TM7" i="4"/>
  <c r="TL7" i="4"/>
  <c r="TK7" i="4"/>
  <c r="TJ7" i="4"/>
  <c r="TV6" i="4"/>
  <c r="TU6" i="4"/>
  <c r="TT6" i="4"/>
  <c r="TS6" i="4"/>
  <c r="TR6" i="4"/>
  <c r="TQ6" i="4"/>
  <c r="TO6" i="4"/>
  <c r="TN6" i="4"/>
  <c r="TM6" i="4"/>
  <c r="TL6" i="4"/>
  <c r="TK6" i="4"/>
  <c r="TJ6" i="4"/>
  <c r="TV4" i="4"/>
  <c r="TU4" i="4"/>
  <c r="TT4" i="4"/>
  <c r="TS4" i="4"/>
  <c r="TR4" i="4"/>
  <c r="TQ4" i="4"/>
  <c r="TO4" i="4"/>
  <c r="TN4" i="4"/>
  <c r="TM4" i="4"/>
  <c r="TL4" i="4"/>
  <c r="TK4" i="4"/>
  <c r="TJ4" i="4"/>
  <c r="TV5" i="4"/>
  <c r="TU5" i="4"/>
  <c r="TT5" i="4"/>
  <c r="TS5" i="4"/>
  <c r="TR5" i="4"/>
  <c r="TQ5" i="4"/>
  <c r="TO5" i="4"/>
  <c r="TN5" i="4"/>
  <c r="TM5" i="4"/>
  <c r="TL5" i="4"/>
  <c r="TK5" i="4"/>
  <c r="TJ5" i="4"/>
  <c r="SN20" i="4"/>
  <c r="SM20" i="4"/>
  <c r="SL20" i="4"/>
  <c r="SK20" i="4"/>
  <c r="SJ20" i="4"/>
  <c r="SI20" i="4"/>
  <c r="SG20" i="4"/>
  <c r="SF20" i="4"/>
  <c r="SE20" i="4"/>
  <c r="SD20" i="4"/>
  <c r="SC20" i="4"/>
  <c r="SB20" i="4"/>
  <c r="SN25" i="4"/>
  <c r="SM25" i="4"/>
  <c r="SL25" i="4"/>
  <c r="SK25" i="4"/>
  <c r="SJ25" i="4"/>
  <c r="SI25" i="4"/>
  <c r="SG25" i="4"/>
  <c r="SF25" i="4"/>
  <c r="SE25" i="4"/>
  <c r="SD25" i="4"/>
  <c r="SC25" i="4"/>
  <c r="SB25" i="4"/>
  <c r="SN26" i="4"/>
  <c r="SM26" i="4"/>
  <c r="SL26" i="4"/>
  <c r="SK26" i="4"/>
  <c r="SJ26" i="4"/>
  <c r="SI26" i="4"/>
  <c r="SG26" i="4"/>
  <c r="SF26" i="4"/>
  <c r="SE26" i="4"/>
  <c r="SD26" i="4"/>
  <c r="SC26" i="4"/>
  <c r="SB26" i="4"/>
  <c r="SN15" i="4"/>
  <c r="SM15" i="4"/>
  <c r="SL15" i="4"/>
  <c r="SK15" i="4"/>
  <c r="SJ15" i="4"/>
  <c r="SI15" i="4"/>
  <c r="SG15" i="4"/>
  <c r="SF15" i="4"/>
  <c r="SE15" i="4"/>
  <c r="SD15" i="4"/>
  <c r="SC15" i="4"/>
  <c r="SB15" i="4"/>
  <c r="SN18" i="4"/>
  <c r="SM18" i="4"/>
  <c r="SL18" i="4"/>
  <c r="SK18" i="4"/>
  <c r="SJ18" i="4"/>
  <c r="SI18" i="4"/>
  <c r="SG18" i="4"/>
  <c r="SF18" i="4"/>
  <c r="SE18" i="4"/>
  <c r="SD18" i="4"/>
  <c r="SC18" i="4"/>
  <c r="SB18" i="4"/>
  <c r="SN16" i="4"/>
  <c r="SM16" i="4"/>
  <c r="SL16" i="4"/>
  <c r="SK16" i="4"/>
  <c r="SJ16" i="4"/>
  <c r="SI16" i="4"/>
  <c r="SG16" i="4"/>
  <c r="SF16" i="4"/>
  <c r="SE16" i="4"/>
  <c r="SD16" i="4"/>
  <c r="SC16" i="4"/>
  <c r="SB16" i="4"/>
  <c r="SN24" i="4"/>
  <c r="SM24" i="4"/>
  <c r="SL24" i="4"/>
  <c r="SK24" i="4"/>
  <c r="SJ24" i="4"/>
  <c r="SI24" i="4"/>
  <c r="SG24" i="4"/>
  <c r="SF24" i="4"/>
  <c r="SE24" i="4"/>
  <c r="SD24" i="4"/>
  <c r="SC24" i="4"/>
  <c r="SB24" i="4"/>
  <c r="SN21" i="4"/>
  <c r="SM21" i="4"/>
  <c r="SL21" i="4"/>
  <c r="SK21" i="4"/>
  <c r="SJ21" i="4"/>
  <c r="SI21" i="4"/>
  <c r="SG21" i="4"/>
  <c r="SF21" i="4"/>
  <c r="SE21" i="4"/>
  <c r="SD21" i="4"/>
  <c r="SC21" i="4"/>
  <c r="SB21" i="4"/>
  <c r="SN13" i="4"/>
  <c r="SM13" i="4"/>
  <c r="SL13" i="4"/>
  <c r="SK13" i="4"/>
  <c r="SJ13" i="4"/>
  <c r="SI13" i="4"/>
  <c r="SG13" i="4"/>
  <c r="SF13" i="4"/>
  <c r="SE13" i="4"/>
  <c r="SD13" i="4"/>
  <c r="SC13" i="4"/>
  <c r="SB13" i="4"/>
  <c r="SN14" i="4"/>
  <c r="SM14" i="4"/>
  <c r="SL14" i="4"/>
  <c r="SK14" i="4"/>
  <c r="SJ14" i="4"/>
  <c r="SI14" i="4"/>
  <c r="SG14" i="4"/>
  <c r="SF14" i="4"/>
  <c r="SE14" i="4"/>
  <c r="SD14" i="4"/>
  <c r="SC14" i="4"/>
  <c r="SB14" i="4"/>
  <c r="SN10" i="4"/>
  <c r="SM10" i="4"/>
  <c r="SL10" i="4"/>
  <c r="SK10" i="4"/>
  <c r="SJ10" i="4"/>
  <c r="SI10" i="4"/>
  <c r="SG10" i="4"/>
  <c r="SF10" i="4"/>
  <c r="SE10" i="4"/>
  <c r="SD10" i="4"/>
  <c r="SC10" i="4"/>
  <c r="SB10" i="4"/>
  <c r="SN11" i="4"/>
  <c r="SM11" i="4"/>
  <c r="SL11" i="4"/>
  <c r="SK11" i="4"/>
  <c r="SJ11" i="4"/>
  <c r="SI11" i="4"/>
  <c r="SG11" i="4"/>
  <c r="SF11" i="4"/>
  <c r="SE11" i="4"/>
  <c r="SD11" i="4"/>
  <c r="SC11" i="4"/>
  <c r="SB11" i="4"/>
  <c r="SN23" i="4"/>
  <c r="SM23" i="4"/>
  <c r="SL23" i="4"/>
  <c r="SK23" i="4"/>
  <c r="SJ23" i="4"/>
  <c r="SI23" i="4"/>
  <c r="SG23" i="4"/>
  <c r="SF23" i="4"/>
  <c r="SE23" i="4"/>
  <c r="SD23" i="4"/>
  <c r="SC23" i="4"/>
  <c r="SB23" i="4"/>
  <c r="SN17" i="4"/>
  <c r="SM17" i="4"/>
  <c r="SL17" i="4"/>
  <c r="SK17" i="4"/>
  <c r="SJ17" i="4"/>
  <c r="SI17" i="4"/>
  <c r="SG17" i="4"/>
  <c r="SF17" i="4"/>
  <c r="SE17" i="4"/>
  <c r="SD17" i="4"/>
  <c r="SC17" i="4"/>
  <c r="SB17" i="4"/>
  <c r="SN8" i="4"/>
  <c r="SM8" i="4"/>
  <c r="SL8" i="4"/>
  <c r="SK8" i="4"/>
  <c r="SJ8" i="4"/>
  <c r="SI8" i="4"/>
  <c r="SG8" i="4"/>
  <c r="SF8" i="4"/>
  <c r="SE8" i="4"/>
  <c r="SD8" i="4"/>
  <c r="SC8" i="4"/>
  <c r="SB8" i="4"/>
  <c r="SN9" i="4"/>
  <c r="SM9" i="4"/>
  <c r="SL9" i="4"/>
  <c r="SK9" i="4"/>
  <c r="SJ9" i="4"/>
  <c r="SI9" i="4"/>
  <c r="SG9" i="4"/>
  <c r="SF9" i="4"/>
  <c r="SE9" i="4"/>
  <c r="SD9" i="4"/>
  <c r="SC9" i="4"/>
  <c r="SB9" i="4"/>
  <c r="SN22" i="4"/>
  <c r="SM22" i="4"/>
  <c r="SL22" i="4"/>
  <c r="SK22" i="4"/>
  <c r="SJ22" i="4"/>
  <c r="SI22" i="4"/>
  <c r="SG22" i="4"/>
  <c r="SF22" i="4"/>
  <c r="SE22" i="4"/>
  <c r="SD22" i="4"/>
  <c r="SC22" i="4"/>
  <c r="SB22" i="4"/>
  <c r="SN7" i="4"/>
  <c r="SM7" i="4"/>
  <c r="SL7" i="4"/>
  <c r="SK7" i="4"/>
  <c r="SJ7" i="4"/>
  <c r="SI7" i="4"/>
  <c r="SG7" i="4"/>
  <c r="SF7" i="4"/>
  <c r="SE7" i="4"/>
  <c r="SD7" i="4"/>
  <c r="SC7" i="4"/>
  <c r="SB7" i="4"/>
  <c r="SN6" i="4"/>
  <c r="SM6" i="4"/>
  <c r="SL6" i="4"/>
  <c r="SK6" i="4"/>
  <c r="SJ6" i="4"/>
  <c r="SI6" i="4"/>
  <c r="SG6" i="4"/>
  <c r="SF6" i="4"/>
  <c r="SE6" i="4"/>
  <c r="SD6" i="4"/>
  <c r="SC6" i="4"/>
  <c r="SB6" i="4"/>
  <c r="SN4" i="4"/>
  <c r="SM4" i="4"/>
  <c r="SL4" i="4"/>
  <c r="SK4" i="4"/>
  <c r="SJ4" i="4"/>
  <c r="SI4" i="4"/>
  <c r="SG4" i="4"/>
  <c r="SF4" i="4"/>
  <c r="SE4" i="4"/>
  <c r="SD4" i="4"/>
  <c r="SC4" i="4"/>
  <c r="SB4" i="4"/>
  <c r="SN5" i="4"/>
  <c r="SM5" i="4"/>
  <c r="SL5" i="4"/>
  <c r="SK5" i="4"/>
  <c r="SJ5" i="4"/>
  <c r="SI5" i="4"/>
  <c r="SG5" i="4"/>
  <c r="SF5" i="4"/>
  <c r="SE5" i="4"/>
  <c r="SD5" i="4"/>
  <c r="SC5" i="4"/>
  <c r="SB5" i="4"/>
  <c r="RF20" i="4"/>
  <c r="RE20" i="4"/>
  <c r="RD20" i="4"/>
  <c r="RC20" i="4"/>
  <c r="RB20" i="4"/>
  <c r="RA20" i="4"/>
  <c r="QY20" i="4"/>
  <c r="QX20" i="4"/>
  <c r="QW20" i="4"/>
  <c r="QV20" i="4"/>
  <c r="QU20" i="4"/>
  <c r="QT20" i="4"/>
  <c r="RF25" i="4"/>
  <c r="RE25" i="4"/>
  <c r="RD25" i="4"/>
  <c r="RC25" i="4"/>
  <c r="RB25" i="4"/>
  <c r="RA25" i="4"/>
  <c r="QY25" i="4"/>
  <c r="QX25" i="4"/>
  <c r="QW25" i="4"/>
  <c r="QV25" i="4"/>
  <c r="QU25" i="4"/>
  <c r="QT25" i="4"/>
  <c r="RF26" i="4"/>
  <c r="RE26" i="4"/>
  <c r="RD26" i="4"/>
  <c r="RC26" i="4"/>
  <c r="RB26" i="4"/>
  <c r="RA26" i="4"/>
  <c r="QY26" i="4"/>
  <c r="QX26" i="4"/>
  <c r="QW26" i="4"/>
  <c r="QV26" i="4"/>
  <c r="QU26" i="4"/>
  <c r="QT26" i="4"/>
  <c r="RF15" i="4"/>
  <c r="RE15" i="4"/>
  <c r="RD15" i="4"/>
  <c r="RC15" i="4"/>
  <c r="RB15" i="4"/>
  <c r="RA15" i="4"/>
  <c r="QY15" i="4"/>
  <c r="QX15" i="4"/>
  <c r="QW15" i="4"/>
  <c r="QV15" i="4"/>
  <c r="QU15" i="4"/>
  <c r="QT15" i="4"/>
  <c r="RF18" i="4"/>
  <c r="RE18" i="4"/>
  <c r="RD18" i="4"/>
  <c r="RC18" i="4"/>
  <c r="RB18" i="4"/>
  <c r="RA18" i="4"/>
  <c r="QY18" i="4"/>
  <c r="QX18" i="4"/>
  <c r="QW18" i="4"/>
  <c r="QV18" i="4"/>
  <c r="QU18" i="4"/>
  <c r="QT18" i="4"/>
  <c r="RF16" i="4"/>
  <c r="RE16" i="4"/>
  <c r="RD16" i="4"/>
  <c r="RC16" i="4"/>
  <c r="RB16" i="4"/>
  <c r="RA16" i="4"/>
  <c r="QY16" i="4"/>
  <c r="QX16" i="4"/>
  <c r="QW16" i="4"/>
  <c r="QV16" i="4"/>
  <c r="QU16" i="4"/>
  <c r="QT16" i="4"/>
  <c r="RF24" i="4"/>
  <c r="RE24" i="4"/>
  <c r="RD24" i="4"/>
  <c r="RC24" i="4"/>
  <c r="RB24" i="4"/>
  <c r="RA24" i="4"/>
  <c r="QY24" i="4"/>
  <c r="QX24" i="4"/>
  <c r="QW24" i="4"/>
  <c r="QV24" i="4"/>
  <c r="QU24" i="4"/>
  <c r="QT24" i="4"/>
  <c r="RF21" i="4"/>
  <c r="RE21" i="4"/>
  <c r="RD21" i="4"/>
  <c r="RC21" i="4"/>
  <c r="RB21" i="4"/>
  <c r="RA21" i="4"/>
  <c r="QY21" i="4"/>
  <c r="QX21" i="4"/>
  <c r="QW21" i="4"/>
  <c r="QV21" i="4"/>
  <c r="QU21" i="4"/>
  <c r="QT21" i="4"/>
  <c r="RF13" i="4"/>
  <c r="RE13" i="4"/>
  <c r="RD13" i="4"/>
  <c r="RC13" i="4"/>
  <c r="RB13" i="4"/>
  <c r="RA13" i="4"/>
  <c r="QY13" i="4"/>
  <c r="QX13" i="4"/>
  <c r="QW13" i="4"/>
  <c r="QV13" i="4"/>
  <c r="QU13" i="4"/>
  <c r="QT13" i="4"/>
  <c r="RF14" i="4"/>
  <c r="RE14" i="4"/>
  <c r="RD14" i="4"/>
  <c r="RC14" i="4"/>
  <c r="RB14" i="4"/>
  <c r="RA14" i="4"/>
  <c r="QY14" i="4"/>
  <c r="QX14" i="4"/>
  <c r="QW14" i="4"/>
  <c r="QV14" i="4"/>
  <c r="QU14" i="4"/>
  <c r="QT14" i="4"/>
  <c r="RF10" i="4"/>
  <c r="RE10" i="4"/>
  <c r="RD10" i="4"/>
  <c r="RC10" i="4"/>
  <c r="RB10" i="4"/>
  <c r="RA10" i="4"/>
  <c r="QY10" i="4"/>
  <c r="QX10" i="4"/>
  <c r="QW10" i="4"/>
  <c r="QV10" i="4"/>
  <c r="QU10" i="4"/>
  <c r="QT10" i="4"/>
  <c r="RF11" i="4"/>
  <c r="RE11" i="4"/>
  <c r="RD11" i="4"/>
  <c r="RC11" i="4"/>
  <c r="RB11" i="4"/>
  <c r="RA11" i="4"/>
  <c r="QY11" i="4"/>
  <c r="QX11" i="4"/>
  <c r="QW11" i="4"/>
  <c r="QV11" i="4"/>
  <c r="QU11" i="4"/>
  <c r="QT11" i="4"/>
  <c r="RF23" i="4"/>
  <c r="RE23" i="4"/>
  <c r="RD23" i="4"/>
  <c r="RC23" i="4"/>
  <c r="RB23" i="4"/>
  <c r="RA23" i="4"/>
  <c r="QY23" i="4"/>
  <c r="QX23" i="4"/>
  <c r="QW23" i="4"/>
  <c r="QV23" i="4"/>
  <c r="QU23" i="4"/>
  <c r="QT23" i="4"/>
  <c r="RF17" i="4"/>
  <c r="RE17" i="4"/>
  <c r="RD17" i="4"/>
  <c r="RC17" i="4"/>
  <c r="RB17" i="4"/>
  <c r="RA17" i="4"/>
  <c r="QY17" i="4"/>
  <c r="QX17" i="4"/>
  <c r="QW17" i="4"/>
  <c r="QV17" i="4"/>
  <c r="QU17" i="4"/>
  <c r="QT17" i="4"/>
  <c r="RF8" i="4"/>
  <c r="RE8" i="4"/>
  <c r="RD8" i="4"/>
  <c r="RC8" i="4"/>
  <c r="RB8" i="4"/>
  <c r="RA8" i="4"/>
  <c r="QY8" i="4"/>
  <c r="QX8" i="4"/>
  <c r="QW8" i="4"/>
  <c r="QV8" i="4"/>
  <c r="QU8" i="4"/>
  <c r="QT8" i="4"/>
  <c r="RF9" i="4"/>
  <c r="RE9" i="4"/>
  <c r="RD9" i="4"/>
  <c r="RC9" i="4"/>
  <c r="RB9" i="4"/>
  <c r="RA9" i="4"/>
  <c r="QY9" i="4"/>
  <c r="QX9" i="4"/>
  <c r="QW9" i="4"/>
  <c r="QV9" i="4"/>
  <c r="QU9" i="4"/>
  <c r="QT9" i="4"/>
  <c r="RF22" i="4"/>
  <c r="RE22" i="4"/>
  <c r="RD22" i="4"/>
  <c r="RC22" i="4"/>
  <c r="RB22" i="4"/>
  <c r="RA22" i="4"/>
  <c r="QY22" i="4"/>
  <c r="QX22" i="4"/>
  <c r="QW22" i="4"/>
  <c r="QV22" i="4"/>
  <c r="QU22" i="4"/>
  <c r="QT22" i="4"/>
  <c r="RF7" i="4"/>
  <c r="RE7" i="4"/>
  <c r="RD7" i="4"/>
  <c r="RC7" i="4"/>
  <c r="RB7" i="4"/>
  <c r="RA7" i="4"/>
  <c r="QY7" i="4"/>
  <c r="QX7" i="4"/>
  <c r="QW7" i="4"/>
  <c r="QV7" i="4"/>
  <c r="QU7" i="4"/>
  <c r="QT7" i="4"/>
  <c r="RF6" i="4"/>
  <c r="RE6" i="4"/>
  <c r="RD6" i="4"/>
  <c r="RC6" i="4"/>
  <c r="RB6" i="4"/>
  <c r="RA6" i="4"/>
  <c r="QY6" i="4"/>
  <c r="QX6" i="4"/>
  <c r="QW6" i="4"/>
  <c r="QV6" i="4"/>
  <c r="QU6" i="4"/>
  <c r="QT6" i="4"/>
  <c r="RF4" i="4"/>
  <c r="RE4" i="4"/>
  <c r="RD4" i="4"/>
  <c r="RC4" i="4"/>
  <c r="RB4" i="4"/>
  <c r="RA4" i="4"/>
  <c r="QY4" i="4"/>
  <c r="QX4" i="4"/>
  <c r="QW4" i="4"/>
  <c r="QV4" i="4"/>
  <c r="QU4" i="4"/>
  <c r="QT4" i="4"/>
  <c r="RF5" i="4"/>
  <c r="RE5" i="4"/>
  <c r="RD5" i="4"/>
  <c r="RC5" i="4"/>
  <c r="RB5" i="4"/>
  <c r="RA5" i="4"/>
  <c r="QY5" i="4"/>
  <c r="QX5" i="4"/>
  <c r="QW5" i="4"/>
  <c r="QV5" i="4"/>
  <c r="QU5" i="4"/>
  <c r="QT5" i="4"/>
  <c r="PX20" i="4"/>
  <c r="PW20" i="4"/>
  <c r="PV20" i="4"/>
  <c r="PU20" i="4"/>
  <c r="PT20" i="4"/>
  <c r="PS20" i="4"/>
  <c r="PQ20" i="4"/>
  <c r="PP20" i="4"/>
  <c r="PO20" i="4"/>
  <c r="PN20" i="4"/>
  <c r="PM20" i="4"/>
  <c r="PL20" i="4"/>
  <c r="PX25" i="4"/>
  <c r="PW25" i="4"/>
  <c r="PV25" i="4"/>
  <c r="PU25" i="4"/>
  <c r="PT25" i="4"/>
  <c r="PS25" i="4"/>
  <c r="PQ25" i="4"/>
  <c r="PP25" i="4"/>
  <c r="PO25" i="4"/>
  <c r="PN25" i="4"/>
  <c r="PM25" i="4"/>
  <c r="PL25" i="4"/>
  <c r="PX26" i="4"/>
  <c r="PW26" i="4"/>
  <c r="PV26" i="4"/>
  <c r="PU26" i="4"/>
  <c r="PT26" i="4"/>
  <c r="PS26" i="4"/>
  <c r="PQ26" i="4"/>
  <c r="PP26" i="4"/>
  <c r="PO26" i="4"/>
  <c r="PN26" i="4"/>
  <c r="PM26" i="4"/>
  <c r="PL26" i="4"/>
  <c r="PX15" i="4"/>
  <c r="PW15" i="4"/>
  <c r="PV15" i="4"/>
  <c r="PU15" i="4"/>
  <c r="PT15" i="4"/>
  <c r="PS15" i="4"/>
  <c r="PQ15" i="4"/>
  <c r="PP15" i="4"/>
  <c r="PO15" i="4"/>
  <c r="PN15" i="4"/>
  <c r="PM15" i="4"/>
  <c r="PL15" i="4"/>
  <c r="PX18" i="4"/>
  <c r="PW18" i="4"/>
  <c r="PV18" i="4"/>
  <c r="PU18" i="4"/>
  <c r="PT18" i="4"/>
  <c r="PS18" i="4"/>
  <c r="PQ18" i="4"/>
  <c r="PP18" i="4"/>
  <c r="PO18" i="4"/>
  <c r="PN18" i="4"/>
  <c r="PM18" i="4"/>
  <c r="PL18" i="4"/>
  <c r="PX16" i="4"/>
  <c r="PW16" i="4"/>
  <c r="PV16" i="4"/>
  <c r="PU16" i="4"/>
  <c r="PT16" i="4"/>
  <c r="PS16" i="4"/>
  <c r="PQ16" i="4"/>
  <c r="PP16" i="4"/>
  <c r="PO16" i="4"/>
  <c r="PN16" i="4"/>
  <c r="PM16" i="4"/>
  <c r="PL16" i="4"/>
  <c r="PX24" i="4"/>
  <c r="PW24" i="4"/>
  <c r="PV24" i="4"/>
  <c r="PU24" i="4"/>
  <c r="PT24" i="4"/>
  <c r="PS24" i="4"/>
  <c r="PQ24" i="4"/>
  <c r="PP24" i="4"/>
  <c r="PO24" i="4"/>
  <c r="PN24" i="4"/>
  <c r="PM24" i="4"/>
  <c r="PL24" i="4"/>
  <c r="PX21" i="4"/>
  <c r="PW21" i="4"/>
  <c r="PV21" i="4"/>
  <c r="PU21" i="4"/>
  <c r="PT21" i="4"/>
  <c r="PS21" i="4"/>
  <c r="PQ21" i="4"/>
  <c r="PP21" i="4"/>
  <c r="PO21" i="4"/>
  <c r="PN21" i="4"/>
  <c r="PM21" i="4"/>
  <c r="PL21" i="4"/>
  <c r="PX13" i="4"/>
  <c r="PW13" i="4"/>
  <c r="PV13" i="4"/>
  <c r="PU13" i="4"/>
  <c r="PT13" i="4"/>
  <c r="PS13" i="4"/>
  <c r="PQ13" i="4"/>
  <c r="PP13" i="4"/>
  <c r="PO13" i="4"/>
  <c r="PN13" i="4"/>
  <c r="PM13" i="4"/>
  <c r="PL13" i="4"/>
  <c r="PX14" i="4"/>
  <c r="PW14" i="4"/>
  <c r="PV14" i="4"/>
  <c r="PU14" i="4"/>
  <c r="PT14" i="4"/>
  <c r="PS14" i="4"/>
  <c r="PQ14" i="4"/>
  <c r="PP14" i="4"/>
  <c r="PO14" i="4"/>
  <c r="PN14" i="4"/>
  <c r="PM14" i="4"/>
  <c r="PL14" i="4"/>
  <c r="PX10" i="4"/>
  <c r="PW10" i="4"/>
  <c r="PV10" i="4"/>
  <c r="PU10" i="4"/>
  <c r="PT10" i="4"/>
  <c r="PS10" i="4"/>
  <c r="PQ10" i="4"/>
  <c r="PP10" i="4"/>
  <c r="PO10" i="4"/>
  <c r="PN10" i="4"/>
  <c r="PM10" i="4"/>
  <c r="PL10" i="4"/>
  <c r="PX11" i="4"/>
  <c r="PW11" i="4"/>
  <c r="PV11" i="4"/>
  <c r="PU11" i="4"/>
  <c r="PT11" i="4"/>
  <c r="PS11" i="4"/>
  <c r="PQ11" i="4"/>
  <c r="PP11" i="4"/>
  <c r="PO11" i="4"/>
  <c r="PN11" i="4"/>
  <c r="PM11" i="4"/>
  <c r="PL11" i="4"/>
  <c r="PX23" i="4"/>
  <c r="PW23" i="4"/>
  <c r="PV23" i="4"/>
  <c r="PU23" i="4"/>
  <c r="PT23" i="4"/>
  <c r="PS23" i="4"/>
  <c r="PQ23" i="4"/>
  <c r="PP23" i="4"/>
  <c r="PO23" i="4"/>
  <c r="PN23" i="4"/>
  <c r="PM23" i="4"/>
  <c r="PL23" i="4"/>
  <c r="PX17" i="4"/>
  <c r="PW17" i="4"/>
  <c r="PV17" i="4"/>
  <c r="PU17" i="4"/>
  <c r="PT17" i="4"/>
  <c r="PS17" i="4"/>
  <c r="PQ17" i="4"/>
  <c r="PP17" i="4"/>
  <c r="PO17" i="4"/>
  <c r="PN17" i="4"/>
  <c r="PM17" i="4"/>
  <c r="PL17" i="4"/>
  <c r="PX8" i="4"/>
  <c r="PW8" i="4"/>
  <c r="PV8" i="4"/>
  <c r="PU8" i="4"/>
  <c r="PT8" i="4"/>
  <c r="PS8" i="4"/>
  <c r="PQ8" i="4"/>
  <c r="PP8" i="4"/>
  <c r="PO8" i="4"/>
  <c r="PN8" i="4"/>
  <c r="PM8" i="4"/>
  <c r="PL8" i="4"/>
  <c r="PX9" i="4"/>
  <c r="PW9" i="4"/>
  <c r="PV9" i="4"/>
  <c r="PU9" i="4"/>
  <c r="PT9" i="4"/>
  <c r="PS9" i="4"/>
  <c r="PQ9" i="4"/>
  <c r="PP9" i="4"/>
  <c r="PO9" i="4"/>
  <c r="PN9" i="4"/>
  <c r="PM9" i="4"/>
  <c r="PL9" i="4"/>
  <c r="PX22" i="4"/>
  <c r="PW22" i="4"/>
  <c r="PV22" i="4"/>
  <c r="PU22" i="4"/>
  <c r="PT22" i="4"/>
  <c r="PS22" i="4"/>
  <c r="PQ22" i="4"/>
  <c r="PP22" i="4"/>
  <c r="PO22" i="4"/>
  <c r="PN22" i="4"/>
  <c r="PM22" i="4"/>
  <c r="PL22" i="4"/>
  <c r="PX7" i="4"/>
  <c r="PW7" i="4"/>
  <c r="PV7" i="4"/>
  <c r="PU7" i="4"/>
  <c r="PT7" i="4"/>
  <c r="PS7" i="4"/>
  <c r="PQ7" i="4"/>
  <c r="PP7" i="4"/>
  <c r="PO7" i="4"/>
  <c r="PN7" i="4"/>
  <c r="PM7" i="4"/>
  <c r="PL7" i="4"/>
  <c r="PX6" i="4"/>
  <c r="PW6" i="4"/>
  <c r="PV6" i="4"/>
  <c r="PU6" i="4"/>
  <c r="PT6" i="4"/>
  <c r="PS6" i="4"/>
  <c r="PQ6" i="4"/>
  <c r="PP6" i="4"/>
  <c r="PO6" i="4"/>
  <c r="PN6" i="4"/>
  <c r="PM6" i="4"/>
  <c r="PL6" i="4"/>
  <c r="PX4" i="4"/>
  <c r="PW4" i="4"/>
  <c r="PV4" i="4"/>
  <c r="PU4" i="4"/>
  <c r="PT4" i="4"/>
  <c r="PS4" i="4"/>
  <c r="PQ4" i="4"/>
  <c r="PP4" i="4"/>
  <c r="PO4" i="4"/>
  <c r="PN4" i="4"/>
  <c r="PM4" i="4"/>
  <c r="PL4" i="4"/>
  <c r="PX5" i="4"/>
  <c r="PW5" i="4"/>
  <c r="PV5" i="4"/>
  <c r="PU5" i="4"/>
  <c r="PT5" i="4"/>
  <c r="PS5" i="4"/>
  <c r="PQ5" i="4"/>
  <c r="PP5" i="4"/>
  <c r="PO5" i="4"/>
  <c r="PN5" i="4"/>
  <c r="PM5" i="4"/>
  <c r="PL5" i="4"/>
  <c r="OP20" i="4"/>
  <c r="OO20" i="4"/>
  <c r="ON20" i="4"/>
  <c r="OM20" i="4"/>
  <c r="OL20" i="4"/>
  <c r="OK20" i="4"/>
  <c r="OI20" i="4"/>
  <c r="OH20" i="4"/>
  <c r="OG20" i="4"/>
  <c r="OF20" i="4"/>
  <c r="OE20" i="4"/>
  <c r="OD20" i="4"/>
  <c r="OP25" i="4"/>
  <c r="OO25" i="4"/>
  <c r="ON25" i="4"/>
  <c r="OM25" i="4"/>
  <c r="OL25" i="4"/>
  <c r="OK25" i="4"/>
  <c r="OI25" i="4"/>
  <c r="OH25" i="4"/>
  <c r="OG25" i="4"/>
  <c r="OF25" i="4"/>
  <c r="OE25" i="4"/>
  <c r="OD25" i="4"/>
  <c r="OP26" i="4"/>
  <c r="OO26" i="4"/>
  <c r="ON26" i="4"/>
  <c r="OM26" i="4"/>
  <c r="OL26" i="4"/>
  <c r="OK26" i="4"/>
  <c r="OI26" i="4"/>
  <c r="OH26" i="4"/>
  <c r="OG26" i="4"/>
  <c r="OF26" i="4"/>
  <c r="OE26" i="4"/>
  <c r="OD26" i="4"/>
  <c r="OP15" i="4"/>
  <c r="OO15" i="4"/>
  <c r="ON15" i="4"/>
  <c r="OM15" i="4"/>
  <c r="OL15" i="4"/>
  <c r="OK15" i="4"/>
  <c r="OI15" i="4"/>
  <c r="OH15" i="4"/>
  <c r="OG15" i="4"/>
  <c r="OF15" i="4"/>
  <c r="OE15" i="4"/>
  <c r="OD15" i="4"/>
  <c r="OP18" i="4"/>
  <c r="OO18" i="4"/>
  <c r="ON18" i="4"/>
  <c r="OM18" i="4"/>
  <c r="OL18" i="4"/>
  <c r="OK18" i="4"/>
  <c r="OI18" i="4"/>
  <c r="OH18" i="4"/>
  <c r="OG18" i="4"/>
  <c r="OF18" i="4"/>
  <c r="OE18" i="4"/>
  <c r="OD18" i="4"/>
  <c r="OP16" i="4"/>
  <c r="OO16" i="4"/>
  <c r="ON16" i="4"/>
  <c r="OM16" i="4"/>
  <c r="OL16" i="4"/>
  <c r="OK16" i="4"/>
  <c r="OI16" i="4"/>
  <c r="OH16" i="4"/>
  <c r="OG16" i="4"/>
  <c r="OF16" i="4"/>
  <c r="OE16" i="4"/>
  <c r="OD16" i="4"/>
  <c r="OP24" i="4"/>
  <c r="OO24" i="4"/>
  <c r="ON24" i="4"/>
  <c r="OM24" i="4"/>
  <c r="OL24" i="4"/>
  <c r="OK24" i="4"/>
  <c r="OI24" i="4"/>
  <c r="OH24" i="4"/>
  <c r="OG24" i="4"/>
  <c r="OF24" i="4"/>
  <c r="OE24" i="4"/>
  <c r="OD24" i="4"/>
  <c r="OP21" i="4"/>
  <c r="OO21" i="4"/>
  <c r="ON21" i="4"/>
  <c r="OM21" i="4"/>
  <c r="OL21" i="4"/>
  <c r="OK21" i="4"/>
  <c r="OI21" i="4"/>
  <c r="OH21" i="4"/>
  <c r="OG21" i="4"/>
  <c r="OF21" i="4"/>
  <c r="OE21" i="4"/>
  <c r="OD21" i="4"/>
  <c r="OP13" i="4"/>
  <c r="OO13" i="4"/>
  <c r="ON13" i="4"/>
  <c r="OM13" i="4"/>
  <c r="OL13" i="4"/>
  <c r="OK13" i="4"/>
  <c r="OI13" i="4"/>
  <c r="OH13" i="4"/>
  <c r="OG13" i="4"/>
  <c r="OF13" i="4"/>
  <c r="OE13" i="4"/>
  <c r="OD13" i="4"/>
  <c r="OP14" i="4"/>
  <c r="OO14" i="4"/>
  <c r="ON14" i="4"/>
  <c r="OM14" i="4"/>
  <c r="OL14" i="4"/>
  <c r="OK14" i="4"/>
  <c r="OI14" i="4"/>
  <c r="OH14" i="4"/>
  <c r="OG14" i="4"/>
  <c r="OF14" i="4"/>
  <c r="OE14" i="4"/>
  <c r="OD14" i="4"/>
  <c r="OP10" i="4"/>
  <c r="OO10" i="4"/>
  <c r="ON10" i="4"/>
  <c r="OM10" i="4"/>
  <c r="OL10" i="4"/>
  <c r="OK10" i="4"/>
  <c r="OI10" i="4"/>
  <c r="OH10" i="4"/>
  <c r="OG10" i="4"/>
  <c r="OF10" i="4"/>
  <c r="OE10" i="4"/>
  <c r="OD10" i="4"/>
  <c r="OP11" i="4"/>
  <c r="OO11" i="4"/>
  <c r="ON11" i="4"/>
  <c r="OM11" i="4"/>
  <c r="OL11" i="4"/>
  <c r="OK11" i="4"/>
  <c r="OI11" i="4"/>
  <c r="OH11" i="4"/>
  <c r="OG11" i="4"/>
  <c r="OF11" i="4"/>
  <c r="OE11" i="4"/>
  <c r="OD11" i="4"/>
  <c r="OP23" i="4"/>
  <c r="OO23" i="4"/>
  <c r="ON23" i="4"/>
  <c r="OM23" i="4"/>
  <c r="OL23" i="4"/>
  <c r="OK23" i="4"/>
  <c r="OI23" i="4"/>
  <c r="OH23" i="4"/>
  <c r="OG23" i="4"/>
  <c r="OF23" i="4"/>
  <c r="OE23" i="4"/>
  <c r="OD23" i="4"/>
  <c r="OP17" i="4"/>
  <c r="OO17" i="4"/>
  <c r="ON17" i="4"/>
  <c r="OM17" i="4"/>
  <c r="OL17" i="4"/>
  <c r="OK17" i="4"/>
  <c r="OI17" i="4"/>
  <c r="OH17" i="4"/>
  <c r="OG17" i="4"/>
  <c r="OF17" i="4"/>
  <c r="OE17" i="4"/>
  <c r="OD17" i="4"/>
  <c r="OP8" i="4"/>
  <c r="OO8" i="4"/>
  <c r="ON8" i="4"/>
  <c r="OM8" i="4"/>
  <c r="OL8" i="4"/>
  <c r="OK8" i="4"/>
  <c r="OI8" i="4"/>
  <c r="OH8" i="4"/>
  <c r="OG8" i="4"/>
  <c r="OF8" i="4"/>
  <c r="OE8" i="4"/>
  <c r="OD8" i="4"/>
  <c r="OP9" i="4"/>
  <c r="OO9" i="4"/>
  <c r="ON9" i="4"/>
  <c r="OM9" i="4"/>
  <c r="OL9" i="4"/>
  <c r="OK9" i="4"/>
  <c r="OI9" i="4"/>
  <c r="OH9" i="4"/>
  <c r="OG9" i="4"/>
  <c r="OF9" i="4"/>
  <c r="OE9" i="4"/>
  <c r="OD9" i="4"/>
  <c r="OP22" i="4"/>
  <c r="OO22" i="4"/>
  <c r="ON22" i="4"/>
  <c r="OM22" i="4"/>
  <c r="OL22" i="4"/>
  <c r="OK22" i="4"/>
  <c r="OI22" i="4"/>
  <c r="OH22" i="4"/>
  <c r="OG22" i="4"/>
  <c r="OF22" i="4"/>
  <c r="OE22" i="4"/>
  <c r="OD22" i="4"/>
  <c r="OP7" i="4"/>
  <c r="OO7" i="4"/>
  <c r="ON7" i="4"/>
  <c r="OM7" i="4"/>
  <c r="OL7" i="4"/>
  <c r="OK7" i="4"/>
  <c r="OI7" i="4"/>
  <c r="OH7" i="4"/>
  <c r="OG7" i="4"/>
  <c r="OF7" i="4"/>
  <c r="OE7" i="4"/>
  <c r="OD7" i="4"/>
  <c r="OP6" i="4"/>
  <c r="OO6" i="4"/>
  <c r="ON6" i="4"/>
  <c r="OM6" i="4"/>
  <c r="OL6" i="4"/>
  <c r="OK6" i="4"/>
  <c r="OI6" i="4"/>
  <c r="OH6" i="4"/>
  <c r="OG6" i="4"/>
  <c r="OF6" i="4"/>
  <c r="OE6" i="4"/>
  <c r="OD6" i="4"/>
  <c r="OP4" i="4"/>
  <c r="OO4" i="4"/>
  <c r="ON4" i="4"/>
  <c r="OM4" i="4"/>
  <c r="OL4" i="4"/>
  <c r="OK4" i="4"/>
  <c r="OI4" i="4"/>
  <c r="OH4" i="4"/>
  <c r="OG4" i="4"/>
  <c r="OF4" i="4"/>
  <c r="OE4" i="4"/>
  <c r="OD4" i="4"/>
  <c r="OP5" i="4"/>
  <c r="OO5" i="4"/>
  <c r="ON5" i="4"/>
  <c r="OM5" i="4"/>
  <c r="OL5" i="4"/>
  <c r="OK5" i="4"/>
  <c r="OI5" i="4"/>
  <c r="OH5" i="4"/>
  <c r="OG5" i="4"/>
  <c r="OF5" i="4"/>
  <c r="OE5" i="4"/>
  <c r="OD5" i="4"/>
  <c r="NH20" i="4"/>
  <c r="NG20" i="4"/>
  <c r="NF20" i="4"/>
  <c r="NE20" i="4"/>
  <c r="ND20" i="4"/>
  <c r="NC20" i="4"/>
  <c r="NA20" i="4"/>
  <c r="MZ20" i="4"/>
  <c r="MY20" i="4"/>
  <c r="MX20" i="4"/>
  <c r="MW20" i="4"/>
  <c r="MV20" i="4"/>
  <c r="NH25" i="4"/>
  <c r="NG25" i="4"/>
  <c r="NF25" i="4"/>
  <c r="NE25" i="4"/>
  <c r="ND25" i="4"/>
  <c r="NC25" i="4"/>
  <c r="NA25" i="4"/>
  <c r="MZ25" i="4"/>
  <c r="MY25" i="4"/>
  <c r="MX25" i="4"/>
  <c r="MW25" i="4"/>
  <c r="MV25" i="4"/>
  <c r="NH26" i="4"/>
  <c r="NG26" i="4"/>
  <c r="NF26" i="4"/>
  <c r="NE26" i="4"/>
  <c r="ND26" i="4"/>
  <c r="NC26" i="4"/>
  <c r="NA26" i="4"/>
  <c r="MZ26" i="4"/>
  <c r="MY26" i="4"/>
  <c r="MX26" i="4"/>
  <c r="MW26" i="4"/>
  <c r="MV26" i="4"/>
  <c r="NH15" i="4"/>
  <c r="NG15" i="4"/>
  <c r="NF15" i="4"/>
  <c r="NE15" i="4"/>
  <c r="ND15" i="4"/>
  <c r="NC15" i="4"/>
  <c r="NA15" i="4"/>
  <c r="MZ15" i="4"/>
  <c r="MY15" i="4"/>
  <c r="MX15" i="4"/>
  <c r="MW15" i="4"/>
  <c r="MV15" i="4"/>
  <c r="NH18" i="4"/>
  <c r="NG18" i="4"/>
  <c r="NF18" i="4"/>
  <c r="NE18" i="4"/>
  <c r="ND18" i="4"/>
  <c r="NC18" i="4"/>
  <c r="NA18" i="4"/>
  <c r="MZ18" i="4"/>
  <c r="MY18" i="4"/>
  <c r="MX18" i="4"/>
  <c r="MW18" i="4"/>
  <c r="MV18" i="4"/>
  <c r="NH16" i="4"/>
  <c r="NG16" i="4"/>
  <c r="NF16" i="4"/>
  <c r="NE16" i="4"/>
  <c r="ND16" i="4"/>
  <c r="NC16" i="4"/>
  <c r="NA16" i="4"/>
  <c r="MZ16" i="4"/>
  <c r="MY16" i="4"/>
  <c r="MX16" i="4"/>
  <c r="MW16" i="4"/>
  <c r="MV16" i="4"/>
  <c r="NH24" i="4"/>
  <c r="NG24" i="4"/>
  <c r="NF24" i="4"/>
  <c r="NE24" i="4"/>
  <c r="ND24" i="4"/>
  <c r="NC24" i="4"/>
  <c r="NA24" i="4"/>
  <c r="MZ24" i="4"/>
  <c r="MY24" i="4"/>
  <c r="MX24" i="4"/>
  <c r="MW24" i="4"/>
  <c r="MV24" i="4"/>
  <c r="NH21" i="4"/>
  <c r="NG21" i="4"/>
  <c r="NF21" i="4"/>
  <c r="NE21" i="4"/>
  <c r="ND21" i="4"/>
  <c r="NC21" i="4"/>
  <c r="NA21" i="4"/>
  <c r="MZ21" i="4"/>
  <c r="MY21" i="4"/>
  <c r="MX21" i="4"/>
  <c r="MW21" i="4"/>
  <c r="MV21" i="4"/>
  <c r="NH13" i="4"/>
  <c r="NG13" i="4"/>
  <c r="NF13" i="4"/>
  <c r="NE13" i="4"/>
  <c r="ND13" i="4"/>
  <c r="NC13" i="4"/>
  <c r="NA13" i="4"/>
  <c r="MZ13" i="4"/>
  <c r="MY13" i="4"/>
  <c r="MX13" i="4"/>
  <c r="MW13" i="4"/>
  <c r="MV13" i="4"/>
  <c r="NH14" i="4"/>
  <c r="NG14" i="4"/>
  <c r="NF14" i="4"/>
  <c r="NE14" i="4"/>
  <c r="ND14" i="4"/>
  <c r="NC14" i="4"/>
  <c r="NA14" i="4"/>
  <c r="MZ14" i="4"/>
  <c r="MY14" i="4"/>
  <c r="MX14" i="4"/>
  <c r="MW14" i="4"/>
  <c r="MV14" i="4"/>
  <c r="NH10" i="4"/>
  <c r="NG10" i="4"/>
  <c r="NF10" i="4"/>
  <c r="NE10" i="4"/>
  <c r="ND10" i="4"/>
  <c r="NC10" i="4"/>
  <c r="NA10" i="4"/>
  <c r="MZ10" i="4"/>
  <c r="MY10" i="4"/>
  <c r="MX10" i="4"/>
  <c r="MW10" i="4"/>
  <c r="MV10" i="4"/>
  <c r="NH11" i="4"/>
  <c r="NG11" i="4"/>
  <c r="NF11" i="4"/>
  <c r="NE11" i="4"/>
  <c r="ND11" i="4"/>
  <c r="NC11" i="4"/>
  <c r="NA11" i="4"/>
  <c r="MZ11" i="4"/>
  <c r="MY11" i="4"/>
  <c r="MX11" i="4"/>
  <c r="MW11" i="4"/>
  <c r="MV11" i="4"/>
  <c r="NH23" i="4"/>
  <c r="NG23" i="4"/>
  <c r="NF23" i="4"/>
  <c r="NE23" i="4"/>
  <c r="ND23" i="4"/>
  <c r="NC23" i="4"/>
  <c r="NA23" i="4"/>
  <c r="MZ23" i="4"/>
  <c r="MY23" i="4"/>
  <c r="MX23" i="4"/>
  <c r="MW23" i="4"/>
  <c r="MV23" i="4"/>
  <c r="NH17" i="4"/>
  <c r="NG17" i="4"/>
  <c r="NF17" i="4"/>
  <c r="NE17" i="4"/>
  <c r="ND17" i="4"/>
  <c r="NC17" i="4"/>
  <c r="NA17" i="4"/>
  <c r="MZ17" i="4"/>
  <c r="MY17" i="4"/>
  <c r="MX17" i="4"/>
  <c r="MW17" i="4"/>
  <c r="MV17" i="4"/>
  <c r="NH8" i="4"/>
  <c r="NG8" i="4"/>
  <c r="NF8" i="4"/>
  <c r="NE8" i="4"/>
  <c r="ND8" i="4"/>
  <c r="NC8" i="4"/>
  <c r="NA8" i="4"/>
  <c r="MZ8" i="4"/>
  <c r="MY8" i="4"/>
  <c r="MX8" i="4"/>
  <c r="MW8" i="4"/>
  <c r="MV8" i="4"/>
  <c r="NH9" i="4"/>
  <c r="NG9" i="4"/>
  <c r="NF9" i="4"/>
  <c r="NE9" i="4"/>
  <c r="ND9" i="4"/>
  <c r="NC9" i="4"/>
  <c r="NA9" i="4"/>
  <c r="MZ9" i="4"/>
  <c r="MY9" i="4"/>
  <c r="MX9" i="4"/>
  <c r="MW9" i="4"/>
  <c r="MV9" i="4"/>
  <c r="NH22" i="4"/>
  <c r="NG22" i="4"/>
  <c r="NF22" i="4"/>
  <c r="NE22" i="4"/>
  <c r="ND22" i="4"/>
  <c r="NC22" i="4"/>
  <c r="NA22" i="4"/>
  <c r="MZ22" i="4"/>
  <c r="MY22" i="4"/>
  <c r="MX22" i="4"/>
  <c r="MW22" i="4"/>
  <c r="MV22" i="4"/>
  <c r="NH7" i="4"/>
  <c r="NG7" i="4"/>
  <c r="NF7" i="4"/>
  <c r="NE7" i="4"/>
  <c r="ND7" i="4"/>
  <c r="NC7" i="4"/>
  <c r="NA7" i="4"/>
  <c r="MZ7" i="4"/>
  <c r="MY7" i="4"/>
  <c r="MX7" i="4"/>
  <c r="MW7" i="4"/>
  <c r="MV7" i="4"/>
  <c r="NH6" i="4"/>
  <c r="NG6" i="4"/>
  <c r="NF6" i="4"/>
  <c r="NE6" i="4"/>
  <c r="ND6" i="4"/>
  <c r="NC6" i="4"/>
  <c r="NA6" i="4"/>
  <c r="MZ6" i="4"/>
  <c r="MY6" i="4"/>
  <c r="MX6" i="4"/>
  <c r="MW6" i="4"/>
  <c r="MV6" i="4"/>
  <c r="NH4" i="4"/>
  <c r="NG4" i="4"/>
  <c r="NF4" i="4"/>
  <c r="NE4" i="4"/>
  <c r="ND4" i="4"/>
  <c r="NC4" i="4"/>
  <c r="NA4" i="4"/>
  <c r="MZ4" i="4"/>
  <c r="MY4" i="4"/>
  <c r="MX4" i="4"/>
  <c r="MW4" i="4"/>
  <c r="MV4" i="4"/>
  <c r="NH5" i="4"/>
  <c r="NG5" i="4"/>
  <c r="NF5" i="4"/>
  <c r="NE5" i="4"/>
  <c r="ND5" i="4"/>
  <c r="NC5" i="4"/>
  <c r="NA5" i="4"/>
  <c r="MZ5" i="4"/>
  <c r="MY5" i="4"/>
  <c r="MX5" i="4"/>
  <c r="MW5" i="4"/>
  <c r="MV5" i="4"/>
  <c r="LZ20" i="4"/>
  <c r="LY20" i="4"/>
  <c r="LX20" i="4"/>
  <c r="LW20" i="4"/>
  <c r="LV20" i="4"/>
  <c r="LU20" i="4"/>
  <c r="LS20" i="4"/>
  <c r="LR20" i="4"/>
  <c r="LQ20" i="4"/>
  <c r="LP20" i="4"/>
  <c r="LO20" i="4"/>
  <c r="LN20" i="4"/>
  <c r="LZ25" i="4"/>
  <c r="LY25" i="4"/>
  <c r="LX25" i="4"/>
  <c r="LW25" i="4"/>
  <c r="LV25" i="4"/>
  <c r="LU25" i="4"/>
  <c r="LS25" i="4"/>
  <c r="LR25" i="4"/>
  <c r="LQ25" i="4"/>
  <c r="LP25" i="4"/>
  <c r="LO25" i="4"/>
  <c r="LN25" i="4"/>
  <c r="LZ26" i="4"/>
  <c r="LY26" i="4"/>
  <c r="LX26" i="4"/>
  <c r="LW26" i="4"/>
  <c r="LV26" i="4"/>
  <c r="LU26" i="4"/>
  <c r="LS26" i="4"/>
  <c r="LR26" i="4"/>
  <c r="LQ26" i="4"/>
  <c r="LP26" i="4"/>
  <c r="LO26" i="4"/>
  <c r="LN26" i="4"/>
  <c r="LZ15" i="4"/>
  <c r="LY15" i="4"/>
  <c r="LX15" i="4"/>
  <c r="LW15" i="4"/>
  <c r="LV15" i="4"/>
  <c r="LU15" i="4"/>
  <c r="LS15" i="4"/>
  <c r="LR15" i="4"/>
  <c r="LQ15" i="4"/>
  <c r="LP15" i="4"/>
  <c r="LO15" i="4"/>
  <c r="LN15" i="4"/>
  <c r="LZ18" i="4"/>
  <c r="LY18" i="4"/>
  <c r="LX18" i="4"/>
  <c r="LW18" i="4"/>
  <c r="LV18" i="4"/>
  <c r="LU18" i="4"/>
  <c r="LS18" i="4"/>
  <c r="LR18" i="4"/>
  <c r="LQ18" i="4"/>
  <c r="LP18" i="4"/>
  <c r="LO18" i="4"/>
  <c r="LN18" i="4"/>
  <c r="LZ16" i="4"/>
  <c r="LY16" i="4"/>
  <c r="LX16" i="4"/>
  <c r="LW16" i="4"/>
  <c r="LV16" i="4"/>
  <c r="LU16" i="4"/>
  <c r="LS16" i="4"/>
  <c r="LR16" i="4"/>
  <c r="LQ16" i="4"/>
  <c r="LP16" i="4"/>
  <c r="LO16" i="4"/>
  <c r="LN16" i="4"/>
  <c r="LZ24" i="4"/>
  <c r="LY24" i="4"/>
  <c r="LX24" i="4"/>
  <c r="LW24" i="4"/>
  <c r="LV24" i="4"/>
  <c r="LU24" i="4"/>
  <c r="LS24" i="4"/>
  <c r="LR24" i="4"/>
  <c r="LQ24" i="4"/>
  <c r="LP24" i="4"/>
  <c r="LO24" i="4"/>
  <c r="LN24" i="4"/>
  <c r="LZ21" i="4"/>
  <c r="LY21" i="4"/>
  <c r="LX21" i="4"/>
  <c r="LW21" i="4"/>
  <c r="LV21" i="4"/>
  <c r="LU21" i="4"/>
  <c r="LS21" i="4"/>
  <c r="LR21" i="4"/>
  <c r="LQ21" i="4"/>
  <c r="LP21" i="4"/>
  <c r="LO21" i="4"/>
  <c r="LN21" i="4"/>
  <c r="LZ13" i="4"/>
  <c r="LY13" i="4"/>
  <c r="LX13" i="4"/>
  <c r="LW13" i="4"/>
  <c r="LV13" i="4"/>
  <c r="LU13" i="4"/>
  <c r="LS13" i="4"/>
  <c r="LR13" i="4"/>
  <c r="LQ13" i="4"/>
  <c r="LP13" i="4"/>
  <c r="LO13" i="4"/>
  <c r="LN13" i="4"/>
  <c r="LZ14" i="4"/>
  <c r="LY14" i="4"/>
  <c r="LX14" i="4"/>
  <c r="LW14" i="4"/>
  <c r="LV14" i="4"/>
  <c r="LU14" i="4"/>
  <c r="LS14" i="4"/>
  <c r="LR14" i="4"/>
  <c r="LQ14" i="4"/>
  <c r="LP14" i="4"/>
  <c r="LO14" i="4"/>
  <c r="LN14" i="4"/>
  <c r="LZ10" i="4"/>
  <c r="LY10" i="4"/>
  <c r="LX10" i="4"/>
  <c r="LW10" i="4"/>
  <c r="LV10" i="4"/>
  <c r="LU10" i="4"/>
  <c r="LS10" i="4"/>
  <c r="LR10" i="4"/>
  <c r="LQ10" i="4"/>
  <c r="LP10" i="4"/>
  <c r="LO10" i="4"/>
  <c r="LN10" i="4"/>
  <c r="LZ11" i="4"/>
  <c r="LY11" i="4"/>
  <c r="LX11" i="4"/>
  <c r="LW11" i="4"/>
  <c r="LV11" i="4"/>
  <c r="LU11" i="4"/>
  <c r="LS11" i="4"/>
  <c r="LR11" i="4"/>
  <c r="LQ11" i="4"/>
  <c r="LP11" i="4"/>
  <c r="LO11" i="4"/>
  <c r="LN11" i="4"/>
  <c r="LZ23" i="4"/>
  <c r="LY23" i="4"/>
  <c r="LX23" i="4"/>
  <c r="LW23" i="4"/>
  <c r="LV23" i="4"/>
  <c r="LU23" i="4"/>
  <c r="LS23" i="4"/>
  <c r="LR23" i="4"/>
  <c r="LQ23" i="4"/>
  <c r="LP23" i="4"/>
  <c r="LO23" i="4"/>
  <c r="LN23" i="4"/>
  <c r="LZ17" i="4"/>
  <c r="LY17" i="4"/>
  <c r="LX17" i="4"/>
  <c r="LW17" i="4"/>
  <c r="LV17" i="4"/>
  <c r="LU17" i="4"/>
  <c r="LS17" i="4"/>
  <c r="LR17" i="4"/>
  <c r="LQ17" i="4"/>
  <c r="LP17" i="4"/>
  <c r="LO17" i="4"/>
  <c r="LN17" i="4"/>
  <c r="LZ8" i="4"/>
  <c r="LY8" i="4"/>
  <c r="LX8" i="4"/>
  <c r="LW8" i="4"/>
  <c r="LV8" i="4"/>
  <c r="LU8" i="4"/>
  <c r="LS8" i="4"/>
  <c r="LR8" i="4"/>
  <c r="LQ8" i="4"/>
  <c r="LP8" i="4"/>
  <c r="LO8" i="4"/>
  <c r="LN8" i="4"/>
  <c r="LZ9" i="4"/>
  <c r="LY9" i="4"/>
  <c r="LX9" i="4"/>
  <c r="LW9" i="4"/>
  <c r="LV9" i="4"/>
  <c r="LU9" i="4"/>
  <c r="LS9" i="4"/>
  <c r="LR9" i="4"/>
  <c r="LQ9" i="4"/>
  <c r="LP9" i="4"/>
  <c r="LO9" i="4"/>
  <c r="LN9" i="4"/>
  <c r="LZ22" i="4"/>
  <c r="LY22" i="4"/>
  <c r="LX22" i="4"/>
  <c r="LW22" i="4"/>
  <c r="LV22" i="4"/>
  <c r="LU22" i="4"/>
  <c r="LS22" i="4"/>
  <c r="LR22" i="4"/>
  <c r="LQ22" i="4"/>
  <c r="LP22" i="4"/>
  <c r="LO22" i="4"/>
  <c r="LN22" i="4"/>
  <c r="LZ7" i="4"/>
  <c r="LY7" i="4"/>
  <c r="LX7" i="4"/>
  <c r="LW7" i="4"/>
  <c r="LV7" i="4"/>
  <c r="LU7" i="4"/>
  <c r="LS7" i="4"/>
  <c r="LR7" i="4"/>
  <c r="LQ7" i="4"/>
  <c r="LP7" i="4"/>
  <c r="LO7" i="4"/>
  <c r="LN7" i="4"/>
  <c r="LZ6" i="4"/>
  <c r="LY6" i="4"/>
  <c r="LX6" i="4"/>
  <c r="LW6" i="4"/>
  <c r="LV6" i="4"/>
  <c r="LU6" i="4"/>
  <c r="LS6" i="4"/>
  <c r="LR6" i="4"/>
  <c r="LQ6" i="4"/>
  <c r="LP6" i="4"/>
  <c r="LO6" i="4"/>
  <c r="LN6" i="4"/>
  <c r="LZ4" i="4"/>
  <c r="LY4" i="4"/>
  <c r="LX4" i="4"/>
  <c r="LW4" i="4"/>
  <c r="LV4" i="4"/>
  <c r="LU4" i="4"/>
  <c r="LS4" i="4"/>
  <c r="LR4" i="4"/>
  <c r="LQ4" i="4"/>
  <c r="LP4" i="4"/>
  <c r="LO4" i="4"/>
  <c r="LN4" i="4"/>
  <c r="LZ5" i="4"/>
  <c r="LY5" i="4"/>
  <c r="LX5" i="4"/>
  <c r="LW5" i="4"/>
  <c r="LV5" i="4"/>
  <c r="LU5" i="4"/>
  <c r="LS5" i="4"/>
  <c r="LR5" i="4"/>
  <c r="LQ5" i="4"/>
  <c r="LP5" i="4"/>
  <c r="LO5" i="4"/>
  <c r="LN5" i="4"/>
  <c r="KR20" i="4"/>
  <c r="KQ20" i="4"/>
  <c r="KP20" i="4"/>
  <c r="KO20" i="4"/>
  <c r="KN20" i="4"/>
  <c r="KM20" i="4"/>
  <c r="KK20" i="4"/>
  <c r="KJ20" i="4"/>
  <c r="KI20" i="4"/>
  <c r="KH20" i="4"/>
  <c r="KG20" i="4"/>
  <c r="KF20" i="4"/>
  <c r="KR25" i="4"/>
  <c r="KQ25" i="4"/>
  <c r="KP25" i="4"/>
  <c r="KO25" i="4"/>
  <c r="KN25" i="4"/>
  <c r="KM25" i="4"/>
  <c r="KK25" i="4"/>
  <c r="KJ25" i="4"/>
  <c r="KI25" i="4"/>
  <c r="KH25" i="4"/>
  <c r="KG25" i="4"/>
  <c r="KF25" i="4"/>
  <c r="KR26" i="4"/>
  <c r="KQ26" i="4"/>
  <c r="KP26" i="4"/>
  <c r="KO26" i="4"/>
  <c r="KN26" i="4"/>
  <c r="KM26" i="4"/>
  <c r="KK26" i="4"/>
  <c r="KJ26" i="4"/>
  <c r="KI26" i="4"/>
  <c r="KH26" i="4"/>
  <c r="KG26" i="4"/>
  <c r="KF26" i="4"/>
  <c r="KR15" i="4"/>
  <c r="KQ15" i="4"/>
  <c r="KP15" i="4"/>
  <c r="KO15" i="4"/>
  <c r="KN15" i="4"/>
  <c r="KM15" i="4"/>
  <c r="KK15" i="4"/>
  <c r="KJ15" i="4"/>
  <c r="KI15" i="4"/>
  <c r="KH15" i="4"/>
  <c r="KG15" i="4"/>
  <c r="KF15" i="4"/>
  <c r="KR18" i="4"/>
  <c r="KQ18" i="4"/>
  <c r="KP18" i="4"/>
  <c r="KO18" i="4"/>
  <c r="KN18" i="4"/>
  <c r="KM18" i="4"/>
  <c r="KK18" i="4"/>
  <c r="KJ18" i="4"/>
  <c r="KI18" i="4"/>
  <c r="KH18" i="4"/>
  <c r="KG18" i="4"/>
  <c r="KF18" i="4"/>
  <c r="KR16" i="4"/>
  <c r="KQ16" i="4"/>
  <c r="KP16" i="4"/>
  <c r="KO16" i="4"/>
  <c r="KN16" i="4"/>
  <c r="KM16" i="4"/>
  <c r="KK16" i="4"/>
  <c r="KJ16" i="4"/>
  <c r="KI16" i="4"/>
  <c r="KH16" i="4"/>
  <c r="KG16" i="4"/>
  <c r="KF16" i="4"/>
  <c r="KR24" i="4"/>
  <c r="KQ24" i="4"/>
  <c r="KP24" i="4"/>
  <c r="KO24" i="4"/>
  <c r="KN24" i="4"/>
  <c r="KM24" i="4"/>
  <c r="KK24" i="4"/>
  <c r="KJ24" i="4"/>
  <c r="KI24" i="4"/>
  <c r="KH24" i="4"/>
  <c r="KG24" i="4"/>
  <c r="KF24" i="4"/>
  <c r="KR21" i="4"/>
  <c r="KQ21" i="4"/>
  <c r="KP21" i="4"/>
  <c r="KO21" i="4"/>
  <c r="KN21" i="4"/>
  <c r="KM21" i="4"/>
  <c r="KK21" i="4"/>
  <c r="KJ21" i="4"/>
  <c r="KI21" i="4"/>
  <c r="KH21" i="4"/>
  <c r="KG21" i="4"/>
  <c r="KF21" i="4"/>
  <c r="KR13" i="4"/>
  <c r="KQ13" i="4"/>
  <c r="KP13" i="4"/>
  <c r="KO13" i="4"/>
  <c r="KN13" i="4"/>
  <c r="KM13" i="4"/>
  <c r="KK13" i="4"/>
  <c r="KJ13" i="4"/>
  <c r="KI13" i="4"/>
  <c r="KH13" i="4"/>
  <c r="KG13" i="4"/>
  <c r="KF13" i="4"/>
  <c r="KR14" i="4"/>
  <c r="KQ14" i="4"/>
  <c r="KP14" i="4"/>
  <c r="KO14" i="4"/>
  <c r="KN14" i="4"/>
  <c r="KM14" i="4"/>
  <c r="KK14" i="4"/>
  <c r="KJ14" i="4"/>
  <c r="KI14" i="4"/>
  <c r="KH14" i="4"/>
  <c r="KG14" i="4"/>
  <c r="KF14" i="4"/>
  <c r="KR10" i="4"/>
  <c r="KQ10" i="4"/>
  <c r="KP10" i="4"/>
  <c r="KO10" i="4"/>
  <c r="KN10" i="4"/>
  <c r="KM10" i="4"/>
  <c r="KK10" i="4"/>
  <c r="KJ10" i="4"/>
  <c r="KI10" i="4"/>
  <c r="KH10" i="4"/>
  <c r="KG10" i="4"/>
  <c r="KF10" i="4"/>
  <c r="KR11" i="4"/>
  <c r="KQ11" i="4"/>
  <c r="KP11" i="4"/>
  <c r="KO11" i="4"/>
  <c r="KN11" i="4"/>
  <c r="KM11" i="4"/>
  <c r="KK11" i="4"/>
  <c r="KJ11" i="4"/>
  <c r="KI11" i="4"/>
  <c r="KH11" i="4"/>
  <c r="KG11" i="4"/>
  <c r="KF11" i="4"/>
  <c r="KR23" i="4"/>
  <c r="KQ23" i="4"/>
  <c r="KP23" i="4"/>
  <c r="KO23" i="4"/>
  <c r="KN23" i="4"/>
  <c r="KM23" i="4"/>
  <c r="KK23" i="4"/>
  <c r="KJ23" i="4"/>
  <c r="KI23" i="4"/>
  <c r="KH23" i="4"/>
  <c r="KG23" i="4"/>
  <c r="KF23" i="4"/>
  <c r="KR17" i="4"/>
  <c r="KQ17" i="4"/>
  <c r="KP17" i="4"/>
  <c r="KO17" i="4"/>
  <c r="KN17" i="4"/>
  <c r="KM17" i="4"/>
  <c r="KK17" i="4"/>
  <c r="KJ17" i="4"/>
  <c r="KI17" i="4"/>
  <c r="KH17" i="4"/>
  <c r="KG17" i="4"/>
  <c r="KF17" i="4"/>
  <c r="KR8" i="4"/>
  <c r="KQ8" i="4"/>
  <c r="KP8" i="4"/>
  <c r="KO8" i="4"/>
  <c r="KN8" i="4"/>
  <c r="KM8" i="4"/>
  <c r="KK8" i="4"/>
  <c r="KJ8" i="4"/>
  <c r="KI8" i="4"/>
  <c r="KH8" i="4"/>
  <c r="KG8" i="4"/>
  <c r="KF8" i="4"/>
  <c r="KR9" i="4"/>
  <c r="KQ9" i="4"/>
  <c r="KP9" i="4"/>
  <c r="KO9" i="4"/>
  <c r="KN9" i="4"/>
  <c r="KM9" i="4"/>
  <c r="KK9" i="4"/>
  <c r="KJ9" i="4"/>
  <c r="KI9" i="4"/>
  <c r="KH9" i="4"/>
  <c r="KG9" i="4"/>
  <c r="KF9" i="4"/>
  <c r="KR22" i="4"/>
  <c r="KQ22" i="4"/>
  <c r="KP22" i="4"/>
  <c r="KO22" i="4"/>
  <c r="KN22" i="4"/>
  <c r="KM22" i="4"/>
  <c r="KK22" i="4"/>
  <c r="KJ22" i="4"/>
  <c r="KI22" i="4"/>
  <c r="KH22" i="4"/>
  <c r="KG22" i="4"/>
  <c r="KF22" i="4"/>
  <c r="KR7" i="4"/>
  <c r="KQ7" i="4"/>
  <c r="KP7" i="4"/>
  <c r="KO7" i="4"/>
  <c r="KN7" i="4"/>
  <c r="KM7" i="4"/>
  <c r="KK7" i="4"/>
  <c r="KJ7" i="4"/>
  <c r="KI7" i="4"/>
  <c r="KH7" i="4"/>
  <c r="KG7" i="4"/>
  <c r="KF7" i="4"/>
  <c r="KR6" i="4"/>
  <c r="KQ6" i="4"/>
  <c r="KP6" i="4"/>
  <c r="KO6" i="4"/>
  <c r="KN6" i="4"/>
  <c r="KM6" i="4"/>
  <c r="KK6" i="4"/>
  <c r="KJ6" i="4"/>
  <c r="KI6" i="4"/>
  <c r="KH6" i="4"/>
  <c r="KG6" i="4"/>
  <c r="KF6" i="4"/>
  <c r="KR4" i="4"/>
  <c r="KQ4" i="4"/>
  <c r="KP4" i="4"/>
  <c r="KO4" i="4"/>
  <c r="KN4" i="4"/>
  <c r="KM4" i="4"/>
  <c r="KK4" i="4"/>
  <c r="KJ4" i="4"/>
  <c r="KI4" i="4"/>
  <c r="KH4" i="4"/>
  <c r="KG4" i="4"/>
  <c r="KF4" i="4"/>
  <c r="KR5" i="4"/>
  <c r="KQ5" i="4"/>
  <c r="KP5" i="4"/>
  <c r="KO5" i="4"/>
  <c r="KN5" i="4"/>
  <c r="KM5" i="4"/>
  <c r="KK5" i="4"/>
  <c r="KJ5" i="4"/>
  <c r="KI5" i="4"/>
  <c r="KH5" i="4"/>
  <c r="KG5" i="4"/>
  <c r="KF5" i="4"/>
  <c r="JJ20" i="4"/>
  <c r="JI20" i="4"/>
  <c r="JH20" i="4"/>
  <c r="JG20" i="4"/>
  <c r="JF20" i="4"/>
  <c r="JE20" i="4"/>
  <c r="JC20" i="4"/>
  <c r="JB20" i="4"/>
  <c r="JA20" i="4"/>
  <c r="IZ20" i="4"/>
  <c r="IY20" i="4"/>
  <c r="IX20" i="4"/>
  <c r="JJ25" i="4"/>
  <c r="JI25" i="4"/>
  <c r="JH25" i="4"/>
  <c r="JG25" i="4"/>
  <c r="JF25" i="4"/>
  <c r="JE25" i="4"/>
  <c r="JC25" i="4"/>
  <c r="JB25" i="4"/>
  <c r="JA25" i="4"/>
  <c r="IZ25" i="4"/>
  <c r="IY25" i="4"/>
  <c r="IX25" i="4"/>
  <c r="JJ26" i="4"/>
  <c r="JI26" i="4"/>
  <c r="JH26" i="4"/>
  <c r="JG26" i="4"/>
  <c r="JF26" i="4"/>
  <c r="JE26" i="4"/>
  <c r="JC26" i="4"/>
  <c r="JB26" i="4"/>
  <c r="JA26" i="4"/>
  <c r="IZ26" i="4"/>
  <c r="IY26" i="4"/>
  <c r="IX26" i="4"/>
  <c r="JJ15" i="4"/>
  <c r="JI15" i="4"/>
  <c r="JH15" i="4"/>
  <c r="JG15" i="4"/>
  <c r="JF15" i="4"/>
  <c r="JE15" i="4"/>
  <c r="JC15" i="4"/>
  <c r="JB15" i="4"/>
  <c r="JA15" i="4"/>
  <c r="IZ15" i="4"/>
  <c r="IY15" i="4"/>
  <c r="IX15" i="4"/>
  <c r="JJ18" i="4"/>
  <c r="JI18" i="4"/>
  <c r="JH18" i="4"/>
  <c r="JG18" i="4"/>
  <c r="JF18" i="4"/>
  <c r="JE18" i="4"/>
  <c r="JC18" i="4"/>
  <c r="JB18" i="4"/>
  <c r="JA18" i="4"/>
  <c r="IZ18" i="4"/>
  <c r="IY18" i="4"/>
  <c r="IX18" i="4"/>
  <c r="JJ16" i="4"/>
  <c r="JI16" i="4"/>
  <c r="JH16" i="4"/>
  <c r="JG16" i="4"/>
  <c r="JF16" i="4"/>
  <c r="JE16" i="4"/>
  <c r="JC16" i="4"/>
  <c r="JB16" i="4"/>
  <c r="JA16" i="4"/>
  <c r="IZ16" i="4"/>
  <c r="IY16" i="4"/>
  <c r="IX16" i="4"/>
  <c r="JJ24" i="4"/>
  <c r="JI24" i="4"/>
  <c r="JH24" i="4"/>
  <c r="JG24" i="4"/>
  <c r="JF24" i="4"/>
  <c r="JE24" i="4"/>
  <c r="JC24" i="4"/>
  <c r="JB24" i="4"/>
  <c r="JA24" i="4"/>
  <c r="IZ24" i="4"/>
  <c r="IY24" i="4"/>
  <c r="IX24" i="4"/>
  <c r="JJ21" i="4"/>
  <c r="JI21" i="4"/>
  <c r="JH21" i="4"/>
  <c r="JG21" i="4"/>
  <c r="JF21" i="4"/>
  <c r="JE21" i="4"/>
  <c r="JC21" i="4"/>
  <c r="JB21" i="4"/>
  <c r="JA21" i="4"/>
  <c r="IZ21" i="4"/>
  <c r="IY21" i="4"/>
  <c r="IX21" i="4"/>
  <c r="JJ13" i="4"/>
  <c r="JI13" i="4"/>
  <c r="JH13" i="4"/>
  <c r="JG13" i="4"/>
  <c r="JF13" i="4"/>
  <c r="JE13" i="4"/>
  <c r="JC13" i="4"/>
  <c r="JB13" i="4"/>
  <c r="JA13" i="4"/>
  <c r="IZ13" i="4"/>
  <c r="IY13" i="4"/>
  <c r="IX13" i="4"/>
  <c r="JJ14" i="4"/>
  <c r="JI14" i="4"/>
  <c r="JH14" i="4"/>
  <c r="JG14" i="4"/>
  <c r="JF14" i="4"/>
  <c r="JE14" i="4"/>
  <c r="JC14" i="4"/>
  <c r="JB14" i="4"/>
  <c r="JA14" i="4"/>
  <c r="IZ14" i="4"/>
  <c r="IY14" i="4"/>
  <c r="IX14" i="4"/>
  <c r="JJ10" i="4"/>
  <c r="JI10" i="4"/>
  <c r="JH10" i="4"/>
  <c r="JG10" i="4"/>
  <c r="JF10" i="4"/>
  <c r="JE10" i="4"/>
  <c r="JC10" i="4"/>
  <c r="JB10" i="4"/>
  <c r="JA10" i="4"/>
  <c r="IZ10" i="4"/>
  <c r="IY10" i="4"/>
  <c r="IX10" i="4"/>
  <c r="JJ11" i="4"/>
  <c r="JI11" i="4"/>
  <c r="JH11" i="4"/>
  <c r="JG11" i="4"/>
  <c r="JF11" i="4"/>
  <c r="JE11" i="4"/>
  <c r="JC11" i="4"/>
  <c r="JB11" i="4"/>
  <c r="JA11" i="4"/>
  <c r="IZ11" i="4"/>
  <c r="IY11" i="4"/>
  <c r="IX11" i="4"/>
  <c r="JJ23" i="4"/>
  <c r="JI23" i="4"/>
  <c r="JH23" i="4"/>
  <c r="JG23" i="4"/>
  <c r="JF23" i="4"/>
  <c r="JE23" i="4"/>
  <c r="JC23" i="4"/>
  <c r="JB23" i="4"/>
  <c r="JA23" i="4"/>
  <c r="IZ23" i="4"/>
  <c r="IY23" i="4"/>
  <c r="IX23" i="4"/>
  <c r="JJ17" i="4"/>
  <c r="JI17" i="4"/>
  <c r="JH17" i="4"/>
  <c r="JG17" i="4"/>
  <c r="JF17" i="4"/>
  <c r="JE17" i="4"/>
  <c r="JC17" i="4"/>
  <c r="JB17" i="4"/>
  <c r="JA17" i="4"/>
  <c r="IZ17" i="4"/>
  <c r="IY17" i="4"/>
  <c r="IX17" i="4"/>
  <c r="JJ8" i="4"/>
  <c r="JI8" i="4"/>
  <c r="JH8" i="4"/>
  <c r="JG8" i="4"/>
  <c r="JF8" i="4"/>
  <c r="JE8" i="4"/>
  <c r="JC8" i="4"/>
  <c r="JB8" i="4"/>
  <c r="JA8" i="4"/>
  <c r="IZ8" i="4"/>
  <c r="IY8" i="4"/>
  <c r="IX8" i="4"/>
  <c r="JJ9" i="4"/>
  <c r="JI9" i="4"/>
  <c r="JH9" i="4"/>
  <c r="JG9" i="4"/>
  <c r="JF9" i="4"/>
  <c r="JE9" i="4"/>
  <c r="JC9" i="4"/>
  <c r="JB9" i="4"/>
  <c r="JA9" i="4"/>
  <c r="IZ9" i="4"/>
  <c r="IY9" i="4"/>
  <c r="IX9" i="4"/>
  <c r="JJ22" i="4"/>
  <c r="JI22" i="4"/>
  <c r="JH22" i="4"/>
  <c r="JG22" i="4"/>
  <c r="JF22" i="4"/>
  <c r="JE22" i="4"/>
  <c r="JC22" i="4"/>
  <c r="JB22" i="4"/>
  <c r="JA22" i="4"/>
  <c r="IZ22" i="4"/>
  <c r="IY22" i="4"/>
  <c r="IX22" i="4"/>
  <c r="JJ7" i="4"/>
  <c r="JI7" i="4"/>
  <c r="JH7" i="4"/>
  <c r="JG7" i="4"/>
  <c r="JF7" i="4"/>
  <c r="JE7" i="4"/>
  <c r="JC7" i="4"/>
  <c r="JB7" i="4"/>
  <c r="JA7" i="4"/>
  <c r="IZ7" i="4"/>
  <c r="IY7" i="4"/>
  <c r="IX7" i="4"/>
  <c r="JJ6" i="4"/>
  <c r="JI6" i="4"/>
  <c r="JH6" i="4"/>
  <c r="JG6" i="4"/>
  <c r="JF6" i="4"/>
  <c r="JE6" i="4"/>
  <c r="JC6" i="4"/>
  <c r="JB6" i="4"/>
  <c r="JA6" i="4"/>
  <c r="IZ6" i="4"/>
  <c r="IY6" i="4"/>
  <c r="IX6" i="4"/>
  <c r="JJ4" i="4"/>
  <c r="JI4" i="4"/>
  <c r="JH4" i="4"/>
  <c r="JG4" i="4"/>
  <c r="JF4" i="4"/>
  <c r="JE4" i="4"/>
  <c r="JC4" i="4"/>
  <c r="JB4" i="4"/>
  <c r="JA4" i="4"/>
  <c r="IZ4" i="4"/>
  <c r="IY4" i="4"/>
  <c r="IX4" i="4"/>
  <c r="JJ5" i="4"/>
  <c r="JI5" i="4"/>
  <c r="JH5" i="4"/>
  <c r="JG5" i="4"/>
  <c r="JF5" i="4"/>
  <c r="JE5" i="4"/>
  <c r="JC5" i="4"/>
  <c r="JB5" i="4"/>
  <c r="JA5" i="4"/>
  <c r="IZ5" i="4"/>
  <c r="IY5" i="4"/>
  <c r="IX5" i="4"/>
  <c r="IB20" i="4"/>
  <c r="IA20" i="4"/>
  <c r="HZ20" i="4"/>
  <c r="HY20" i="4"/>
  <c r="HX20" i="4"/>
  <c r="HW20" i="4"/>
  <c r="HU20" i="4"/>
  <c r="HT20" i="4"/>
  <c r="HS20" i="4"/>
  <c r="HR20" i="4"/>
  <c r="HQ20" i="4"/>
  <c r="HP20" i="4"/>
  <c r="IB25" i="4"/>
  <c r="IA25" i="4"/>
  <c r="HZ25" i="4"/>
  <c r="HY25" i="4"/>
  <c r="HX25" i="4"/>
  <c r="HW25" i="4"/>
  <c r="HU25" i="4"/>
  <c r="HT25" i="4"/>
  <c r="HS25" i="4"/>
  <c r="HR25" i="4"/>
  <c r="HQ25" i="4"/>
  <c r="HP25" i="4"/>
  <c r="IB26" i="4"/>
  <c r="IA26" i="4"/>
  <c r="HZ26" i="4"/>
  <c r="HY26" i="4"/>
  <c r="HX26" i="4"/>
  <c r="HW26" i="4"/>
  <c r="HU26" i="4"/>
  <c r="HT26" i="4"/>
  <c r="HS26" i="4"/>
  <c r="HR26" i="4"/>
  <c r="HQ26" i="4"/>
  <c r="HP26" i="4"/>
  <c r="IB15" i="4"/>
  <c r="IA15" i="4"/>
  <c r="HZ15" i="4"/>
  <c r="HY15" i="4"/>
  <c r="HX15" i="4"/>
  <c r="HW15" i="4"/>
  <c r="HU15" i="4"/>
  <c r="HT15" i="4"/>
  <c r="HS15" i="4"/>
  <c r="HR15" i="4"/>
  <c r="HQ15" i="4"/>
  <c r="HP15" i="4"/>
  <c r="IB18" i="4"/>
  <c r="IA18" i="4"/>
  <c r="HZ18" i="4"/>
  <c r="HY18" i="4"/>
  <c r="HX18" i="4"/>
  <c r="HW18" i="4"/>
  <c r="HU18" i="4"/>
  <c r="HT18" i="4"/>
  <c r="HS18" i="4"/>
  <c r="HR18" i="4"/>
  <c r="HQ18" i="4"/>
  <c r="HP18" i="4"/>
  <c r="IB16" i="4"/>
  <c r="IA16" i="4"/>
  <c r="HZ16" i="4"/>
  <c r="HY16" i="4"/>
  <c r="HX16" i="4"/>
  <c r="HW16" i="4"/>
  <c r="HU16" i="4"/>
  <c r="HT16" i="4"/>
  <c r="HS16" i="4"/>
  <c r="HR16" i="4"/>
  <c r="HQ16" i="4"/>
  <c r="HP16" i="4"/>
  <c r="IB24" i="4"/>
  <c r="IA24" i="4"/>
  <c r="HZ24" i="4"/>
  <c r="HY24" i="4"/>
  <c r="HX24" i="4"/>
  <c r="HW24" i="4"/>
  <c r="HU24" i="4"/>
  <c r="HT24" i="4"/>
  <c r="HS24" i="4"/>
  <c r="HR24" i="4"/>
  <c r="HQ24" i="4"/>
  <c r="HP24" i="4"/>
  <c r="IB21" i="4"/>
  <c r="IA21" i="4"/>
  <c r="HZ21" i="4"/>
  <c r="HY21" i="4"/>
  <c r="HX21" i="4"/>
  <c r="HW21" i="4"/>
  <c r="HU21" i="4"/>
  <c r="HT21" i="4"/>
  <c r="HS21" i="4"/>
  <c r="HR21" i="4"/>
  <c r="HQ21" i="4"/>
  <c r="HP21" i="4"/>
  <c r="IB13" i="4"/>
  <c r="IA13" i="4"/>
  <c r="HZ13" i="4"/>
  <c r="HY13" i="4"/>
  <c r="HX13" i="4"/>
  <c r="HW13" i="4"/>
  <c r="HU13" i="4"/>
  <c r="HT13" i="4"/>
  <c r="HS13" i="4"/>
  <c r="HR13" i="4"/>
  <c r="HQ13" i="4"/>
  <c r="HP13" i="4"/>
  <c r="IB14" i="4"/>
  <c r="IA14" i="4"/>
  <c r="HZ14" i="4"/>
  <c r="HY14" i="4"/>
  <c r="HX14" i="4"/>
  <c r="HW14" i="4"/>
  <c r="HU14" i="4"/>
  <c r="HT14" i="4"/>
  <c r="HS14" i="4"/>
  <c r="HR14" i="4"/>
  <c r="HQ14" i="4"/>
  <c r="HP14" i="4"/>
  <c r="IB10" i="4"/>
  <c r="IA10" i="4"/>
  <c r="HZ10" i="4"/>
  <c r="HY10" i="4"/>
  <c r="HX10" i="4"/>
  <c r="HW10" i="4"/>
  <c r="HU10" i="4"/>
  <c r="HT10" i="4"/>
  <c r="HS10" i="4"/>
  <c r="HR10" i="4"/>
  <c r="HQ10" i="4"/>
  <c r="HP10" i="4"/>
  <c r="IB11" i="4"/>
  <c r="IA11" i="4"/>
  <c r="HZ11" i="4"/>
  <c r="HY11" i="4"/>
  <c r="HX11" i="4"/>
  <c r="HW11" i="4"/>
  <c r="HU11" i="4"/>
  <c r="HT11" i="4"/>
  <c r="HS11" i="4"/>
  <c r="HR11" i="4"/>
  <c r="HQ11" i="4"/>
  <c r="HP11" i="4"/>
  <c r="IB23" i="4"/>
  <c r="IA23" i="4"/>
  <c r="HZ23" i="4"/>
  <c r="HY23" i="4"/>
  <c r="HX23" i="4"/>
  <c r="HW23" i="4"/>
  <c r="HU23" i="4"/>
  <c r="HT23" i="4"/>
  <c r="HS23" i="4"/>
  <c r="HR23" i="4"/>
  <c r="HQ23" i="4"/>
  <c r="HP23" i="4"/>
  <c r="IB17" i="4"/>
  <c r="IA17" i="4"/>
  <c r="HZ17" i="4"/>
  <c r="HY17" i="4"/>
  <c r="HX17" i="4"/>
  <c r="HW17" i="4"/>
  <c r="HU17" i="4"/>
  <c r="HT17" i="4"/>
  <c r="HS17" i="4"/>
  <c r="HR17" i="4"/>
  <c r="HQ17" i="4"/>
  <c r="HP17" i="4"/>
  <c r="IB8" i="4"/>
  <c r="IA8" i="4"/>
  <c r="HZ8" i="4"/>
  <c r="HY8" i="4"/>
  <c r="HX8" i="4"/>
  <c r="HW8" i="4"/>
  <c r="HU8" i="4"/>
  <c r="HT8" i="4"/>
  <c r="HS8" i="4"/>
  <c r="HR8" i="4"/>
  <c r="HQ8" i="4"/>
  <c r="HP8" i="4"/>
  <c r="IB9" i="4"/>
  <c r="IA9" i="4"/>
  <c r="HZ9" i="4"/>
  <c r="HY9" i="4"/>
  <c r="HX9" i="4"/>
  <c r="HW9" i="4"/>
  <c r="HU9" i="4"/>
  <c r="HT9" i="4"/>
  <c r="HS9" i="4"/>
  <c r="HR9" i="4"/>
  <c r="HQ9" i="4"/>
  <c r="HP9" i="4"/>
  <c r="IB22" i="4"/>
  <c r="IA22" i="4"/>
  <c r="HZ22" i="4"/>
  <c r="HY22" i="4"/>
  <c r="HX22" i="4"/>
  <c r="HW22" i="4"/>
  <c r="HU22" i="4"/>
  <c r="HT22" i="4"/>
  <c r="HS22" i="4"/>
  <c r="HR22" i="4"/>
  <c r="HQ22" i="4"/>
  <c r="HP22" i="4"/>
  <c r="IB7" i="4"/>
  <c r="IA7" i="4"/>
  <c r="HZ7" i="4"/>
  <c r="HY7" i="4"/>
  <c r="HX7" i="4"/>
  <c r="HW7" i="4"/>
  <c r="HU7" i="4"/>
  <c r="HT7" i="4"/>
  <c r="HS7" i="4"/>
  <c r="HR7" i="4"/>
  <c r="HQ7" i="4"/>
  <c r="HP7" i="4"/>
  <c r="IB6" i="4"/>
  <c r="IA6" i="4"/>
  <c r="HZ6" i="4"/>
  <c r="HY6" i="4"/>
  <c r="HX6" i="4"/>
  <c r="HW6" i="4"/>
  <c r="HU6" i="4"/>
  <c r="HT6" i="4"/>
  <c r="HS6" i="4"/>
  <c r="HR6" i="4"/>
  <c r="HQ6" i="4"/>
  <c r="HP6" i="4"/>
  <c r="IB4" i="4"/>
  <c r="IA4" i="4"/>
  <c r="HZ4" i="4"/>
  <c r="HY4" i="4"/>
  <c r="HX4" i="4"/>
  <c r="HW4" i="4"/>
  <c r="HU4" i="4"/>
  <c r="HT4" i="4"/>
  <c r="HS4" i="4"/>
  <c r="HR4" i="4"/>
  <c r="HQ4" i="4"/>
  <c r="HP4" i="4"/>
  <c r="IB5" i="4"/>
  <c r="IA5" i="4"/>
  <c r="HZ5" i="4"/>
  <c r="HY5" i="4"/>
  <c r="HX5" i="4"/>
  <c r="HW5" i="4"/>
  <c r="HU5" i="4"/>
  <c r="HT5" i="4"/>
  <c r="HS5" i="4"/>
  <c r="HR5" i="4"/>
  <c r="HQ5" i="4"/>
  <c r="HP5" i="4"/>
  <c r="GT20" i="4"/>
  <c r="GS20" i="4"/>
  <c r="GR20" i="4"/>
  <c r="GQ20" i="4"/>
  <c r="GP20" i="4"/>
  <c r="GO20" i="4"/>
  <c r="GM20" i="4"/>
  <c r="GL20" i="4"/>
  <c r="GK20" i="4"/>
  <c r="GJ20" i="4"/>
  <c r="GI20" i="4"/>
  <c r="GH20" i="4"/>
  <c r="GT25" i="4"/>
  <c r="GS25" i="4"/>
  <c r="GR25" i="4"/>
  <c r="GQ25" i="4"/>
  <c r="GP25" i="4"/>
  <c r="GO25" i="4"/>
  <c r="GM25" i="4"/>
  <c r="GL25" i="4"/>
  <c r="GK25" i="4"/>
  <c r="GJ25" i="4"/>
  <c r="GI25" i="4"/>
  <c r="GH25" i="4"/>
  <c r="GT26" i="4"/>
  <c r="GS26" i="4"/>
  <c r="GR26" i="4"/>
  <c r="GQ26" i="4"/>
  <c r="GP26" i="4"/>
  <c r="GO26" i="4"/>
  <c r="GM26" i="4"/>
  <c r="GL26" i="4"/>
  <c r="GK26" i="4"/>
  <c r="GJ26" i="4"/>
  <c r="GI26" i="4"/>
  <c r="GH26" i="4"/>
  <c r="GT15" i="4"/>
  <c r="GS15" i="4"/>
  <c r="GR15" i="4"/>
  <c r="GQ15" i="4"/>
  <c r="GP15" i="4"/>
  <c r="GO15" i="4"/>
  <c r="GM15" i="4"/>
  <c r="GL15" i="4"/>
  <c r="GK15" i="4"/>
  <c r="GJ15" i="4"/>
  <c r="GI15" i="4"/>
  <c r="GH15" i="4"/>
  <c r="GT18" i="4"/>
  <c r="GS18" i="4"/>
  <c r="GR18" i="4"/>
  <c r="GQ18" i="4"/>
  <c r="GP18" i="4"/>
  <c r="GO18" i="4"/>
  <c r="GM18" i="4"/>
  <c r="GL18" i="4"/>
  <c r="GK18" i="4"/>
  <c r="GJ18" i="4"/>
  <c r="GI18" i="4"/>
  <c r="GH18" i="4"/>
  <c r="GT16" i="4"/>
  <c r="GS16" i="4"/>
  <c r="GR16" i="4"/>
  <c r="GQ16" i="4"/>
  <c r="GP16" i="4"/>
  <c r="GO16" i="4"/>
  <c r="GM16" i="4"/>
  <c r="GL16" i="4"/>
  <c r="GK16" i="4"/>
  <c r="GJ16" i="4"/>
  <c r="GI16" i="4"/>
  <c r="GH16" i="4"/>
  <c r="GT24" i="4"/>
  <c r="GS24" i="4"/>
  <c r="GR24" i="4"/>
  <c r="GQ24" i="4"/>
  <c r="GP24" i="4"/>
  <c r="GO24" i="4"/>
  <c r="GM24" i="4"/>
  <c r="GL24" i="4"/>
  <c r="GK24" i="4"/>
  <c r="GJ24" i="4"/>
  <c r="GI24" i="4"/>
  <c r="GH24" i="4"/>
  <c r="GT21" i="4"/>
  <c r="GS21" i="4"/>
  <c r="GR21" i="4"/>
  <c r="GQ21" i="4"/>
  <c r="GP21" i="4"/>
  <c r="GO21" i="4"/>
  <c r="GM21" i="4"/>
  <c r="GL21" i="4"/>
  <c r="GK21" i="4"/>
  <c r="GJ21" i="4"/>
  <c r="GI21" i="4"/>
  <c r="GH21" i="4"/>
  <c r="GT13" i="4"/>
  <c r="GS13" i="4"/>
  <c r="GR13" i="4"/>
  <c r="GQ13" i="4"/>
  <c r="GP13" i="4"/>
  <c r="GO13" i="4"/>
  <c r="GM13" i="4"/>
  <c r="GL13" i="4"/>
  <c r="GK13" i="4"/>
  <c r="GJ13" i="4"/>
  <c r="GI13" i="4"/>
  <c r="GH13" i="4"/>
  <c r="GT14" i="4"/>
  <c r="GS14" i="4"/>
  <c r="GR14" i="4"/>
  <c r="GQ14" i="4"/>
  <c r="GP14" i="4"/>
  <c r="GO14" i="4"/>
  <c r="GM14" i="4"/>
  <c r="GL14" i="4"/>
  <c r="GK14" i="4"/>
  <c r="GJ14" i="4"/>
  <c r="GI14" i="4"/>
  <c r="GH14" i="4"/>
  <c r="GT10" i="4"/>
  <c r="GS10" i="4"/>
  <c r="GR10" i="4"/>
  <c r="GQ10" i="4"/>
  <c r="GP10" i="4"/>
  <c r="GO10" i="4"/>
  <c r="GM10" i="4"/>
  <c r="GL10" i="4"/>
  <c r="GK10" i="4"/>
  <c r="GJ10" i="4"/>
  <c r="GI10" i="4"/>
  <c r="GH10" i="4"/>
  <c r="GT11" i="4"/>
  <c r="GS11" i="4"/>
  <c r="GR11" i="4"/>
  <c r="GQ11" i="4"/>
  <c r="GP11" i="4"/>
  <c r="GO11" i="4"/>
  <c r="GM11" i="4"/>
  <c r="GL11" i="4"/>
  <c r="GK11" i="4"/>
  <c r="GJ11" i="4"/>
  <c r="GI11" i="4"/>
  <c r="GH11" i="4"/>
  <c r="GT23" i="4"/>
  <c r="GS23" i="4"/>
  <c r="GR23" i="4"/>
  <c r="GQ23" i="4"/>
  <c r="GP23" i="4"/>
  <c r="GO23" i="4"/>
  <c r="GM23" i="4"/>
  <c r="GL23" i="4"/>
  <c r="GK23" i="4"/>
  <c r="GJ23" i="4"/>
  <c r="GI23" i="4"/>
  <c r="GH23" i="4"/>
  <c r="GT17" i="4"/>
  <c r="GS17" i="4"/>
  <c r="GR17" i="4"/>
  <c r="GQ17" i="4"/>
  <c r="GP17" i="4"/>
  <c r="GO17" i="4"/>
  <c r="GM17" i="4"/>
  <c r="GL17" i="4"/>
  <c r="GK17" i="4"/>
  <c r="GJ17" i="4"/>
  <c r="GI17" i="4"/>
  <c r="GH17" i="4"/>
  <c r="GT8" i="4"/>
  <c r="GS8" i="4"/>
  <c r="GR8" i="4"/>
  <c r="GQ8" i="4"/>
  <c r="GP8" i="4"/>
  <c r="GO8" i="4"/>
  <c r="GM8" i="4"/>
  <c r="GL8" i="4"/>
  <c r="GK8" i="4"/>
  <c r="GJ8" i="4"/>
  <c r="GI8" i="4"/>
  <c r="GH8" i="4"/>
  <c r="GT9" i="4"/>
  <c r="GS9" i="4"/>
  <c r="GR9" i="4"/>
  <c r="GQ9" i="4"/>
  <c r="GP9" i="4"/>
  <c r="GO9" i="4"/>
  <c r="GM9" i="4"/>
  <c r="GL9" i="4"/>
  <c r="GK9" i="4"/>
  <c r="GJ9" i="4"/>
  <c r="GI9" i="4"/>
  <c r="GH9" i="4"/>
  <c r="GT22" i="4"/>
  <c r="GS22" i="4"/>
  <c r="GR22" i="4"/>
  <c r="GQ22" i="4"/>
  <c r="GP22" i="4"/>
  <c r="GO22" i="4"/>
  <c r="GM22" i="4"/>
  <c r="GL22" i="4"/>
  <c r="GK22" i="4"/>
  <c r="GJ22" i="4"/>
  <c r="GI22" i="4"/>
  <c r="GH22" i="4"/>
  <c r="GT7" i="4"/>
  <c r="GS7" i="4"/>
  <c r="GR7" i="4"/>
  <c r="GQ7" i="4"/>
  <c r="GP7" i="4"/>
  <c r="GO7" i="4"/>
  <c r="GM7" i="4"/>
  <c r="GL7" i="4"/>
  <c r="GK7" i="4"/>
  <c r="GJ7" i="4"/>
  <c r="GI7" i="4"/>
  <c r="GH7" i="4"/>
  <c r="GT6" i="4"/>
  <c r="GS6" i="4"/>
  <c r="GR6" i="4"/>
  <c r="GQ6" i="4"/>
  <c r="GP6" i="4"/>
  <c r="GO6" i="4"/>
  <c r="GM6" i="4"/>
  <c r="GL6" i="4"/>
  <c r="GK6" i="4"/>
  <c r="GJ6" i="4"/>
  <c r="GI6" i="4"/>
  <c r="GH6" i="4"/>
  <c r="GT4" i="4"/>
  <c r="GS4" i="4"/>
  <c r="GR4" i="4"/>
  <c r="GQ4" i="4"/>
  <c r="GP4" i="4"/>
  <c r="GO4" i="4"/>
  <c r="GM4" i="4"/>
  <c r="GL4" i="4"/>
  <c r="GK4" i="4"/>
  <c r="GJ4" i="4"/>
  <c r="GI4" i="4"/>
  <c r="GH4" i="4"/>
  <c r="GT5" i="4"/>
  <c r="GS5" i="4"/>
  <c r="GR5" i="4"/>
  <c r="GQ5" i="4"/>
  <c r="GP5" i="4"/>
  <c r="GO5" i="4"/>
  <c r="GM5" i="4"/>
  <c r="GL5" i="4"/>
  <c r="GK5" i="4"/>
  <c r="GJ5" i="4"/>
  <c r="GI5" i="4"/>
  <c r="GH5" i="4"/>
  <c r="FL20" i="4"/>
  <c r="FK20" i="4"/>
  <c r="FJ20" i="4"/>
  <c r="FI20" i="4"/>
  <c r="FH20" i="4"/>
  <c r="FG20" i="4"/>
  <c r="FE20" i="4"/>
  <c r="FD20" i="4"/>
  <c r="FC20" i="4"/>
  <c r="FB20" i="4"/>
  <c r="FA20" i="4"/>
  <c r="EZ20" i="4"/>
  <c r="FL25" i="4"/>
  <c r="FK25" i="4"/>
  <c r="FJ25" i="4"/>
  <c r="FI25" i="4"/>
  <c r="FH25" i="4"/>
  <c r="FG25" i="4"/>
  <c r="FE25" i="4"/>
  <c r="FD25" i="4"/>
  <c r="FC25" i="4"/>
  <c r="FB25" i="4"/>
  <c r="FA25" i="4"/>
  <c r="EZ25" i="4"/>
  <c r="FL26" i="4"/>
  <c r="FK26" i="4"/>
  <c r="FJ26" i="4"/>
  <c r="FI26" i="4"/>
  <c r="FH26" i="4"/>
  <c r="FG26" i="4"/>
  <c r="FE26" i="4"/>
  <c r="FD26" i="4"/>
  <c r="FC26" i="4"/>
  <c r="FB26" i="4"/>
  <c r="FA26" i="4"/>
  <c r="EZ26" i="4"/>
  <c r="FL15" i="4"/>
  <c r="FK15" i="4"/>
  <c r="FJ15" i="4"/>
  <c r="FI15" i="4"/>
  <c r="FH15" i="4"/>
  <c r="FG15" i="4"/>
  <c r="FE15" i="4"/>
  <c r="FD15" i="4"/>
  <c r="FC15" i="4"/>
  <c r="FB15" i="4"/>
  <c r="FA15" i="4"/>
  <c r="EZ15" i="4"/>
  <c r="FL18" i="4"/>
  <c r="FK18" i="4"/>
  <c r="FJ18" i="4"/>
  <c r="FI18" i="4"/>
  <c r="FH18" i="4"/>
  <c r="FG18" i="4"/>
  <c r="FE18" i="4"/>
  <c r="FD18" i="4"/>
  <c r="FC18" i="4"/>
  <c r="FB18" i="4"/>
  <c r="FA18" i="4"/>
  <c r="EZ18" i="4"/>
  <c r="FL16" i="4"/>
  <c r="FK16" i="4"/>
  <c r="FJ16" i="4"/>
  <c r="FI16" i="4"/>
  <c r="FH16" i="4"/>
  <c r="FG16" i="4"/>
  <c r="FE16" i="4"/>
  <c r="FD16" i="4"/>
  <c r="FC16" i="4"/>
  <c r="FB16" i="4"/>
  <c r="FA16" i="4"/>
  <c r="EZ16" i="4"/>
  <c r="FL24" i="4"/>
  <c r="FK24" i="4"/>
  <c r="FJ24" i="4"/>
  <c r="FI24" i="4"/>
  <c r="FH24" i="4"/>
  <c r="FG24" i="4"/>
  <c r="FE24" i="4"/>
  <c r="FD24" i="4"/>
  <c r="FC24" i="4"/>
  <c r="FB24" i="4"/>
  <c r="FA24" i="4"/>
  <c r="EZ24" i="4"/>
  <c r="FL21" i="4"/>
  <c r="FK21" i="4"/>
  <c r="FJ21" i="4"/>
  <c r="FI21" i="4"/>
  <c r="FH21" i="4"/>
  <c r="FG21" i="4"/>
  <c r="FE21" i="4"/>
  <c r="FD21" i="4"/>
  <c r="FC21" i="4"/>
  <c r="FB21" i="4"/>
  <c r="FA21" i="4"/>
  <c r="EZ21" i="4"/>
  <c r="FL13" i="4"/>
  <c r="FK13" i="4"/>
  <c r="FJ13" i="4"/>
  <c r="FI13" i="4"/>
  <c r="FH13" i="4"/>
  <c r="FG13" i="4"/>
  <c r="FE13" i="4"/>
  <c r="FD13" i="4"/>
  <c r="FC13" i="4"/>
  <c r="FB13" i="4"/>
  <c r="FA13" i="4"/>
  <c r="EZ13" i="4"/>
  <c r="FL14" i="4"/>
  <c r="FK14" i="4"/>
  <c r="FJ14" i="4"/>
  <c r="FI14" i="4"/>
  <c r="FH14" i="4"/>
  <c r="FG14" i="4"/>
  <c r="FE14" i="4"/>
  <c r="FD14" i="4"/>
  <c r="FC14" i="4"/>
  <c r="FB14" i="4"/>
  <c r="FA14" i="4"/>
  <c r="EZ14" i="4"/>
  <c r="FL10" i="4"/>
  <c r="FK10" i="4"/>
  <c r="FJ10" i="4"/>
  <c r="FI10" i="4"/>
  <c r="FH10" i="4"/>
  <c r="FG10" i="4"/>
  <c r="FE10" i="4"/>
  <c r="FD10" i="4"/>
  <c r="FC10" i="4"/>
  <c r="FB10" i="4"/>
  <c r="FA10" i="4"/>
  <c r="EZ10" i="4"/>
  <c r="FL11" i="4"/>
  <c r="FK11" i="4"/>
  <c r="FJ11" i="4"/>
  <c r="FI11" i="4"/>
  <c r="FH11" i="4"/>
  <c r="FG11" i="4"/>
  <c r="FE11" i="4"/>
  <c r="FD11" i="4"/>
  <c r="FC11" i="4"/>
  <c r="FB11" i="4"/>
  <c r="FA11" i="4"/>
  <c r="EZ11" i="4"/>
  <c r="FL23" i="4"/>
  <c r="FK23" i="4"/>
  <c r="FJ23" i="4"/>
  <c r="FI23" i="4"/>
  <c r="FH23" i="4"/>
  <c r="FG23" i="4"/>
  <c r="FE23" i="4"/>
  <c r="FD23" i="4"/>
  <c r="FC23" i="4"/>
  <c r="FB23" i="4"/>
  <c r="FA23" i="4"/>
  <c r="EZ23" i="4"/>
  <c r="FL17" i="4"/>
  <c r="FK17" i="4"/>
  <c r="FJ17" i="4"/>
  <c r="FI17" i="4"/>
  <c r="FH17" i="4"/>
  <c r="FG17" i="4"/>
  <c r="FE17" i="4"/>
  <c r="FD17" i="4"/>
  <c r="FC17" i="4"/>
  <c r="FB17" i="4"/>
  <c r="FA17" i="4"/>
  <c r="EZ17" i="4"/>
  <c r="FL8" i="4"/>
  <c r="FK8" i="4"/>
  <c r="FJ8" i="4"/>
  <c r="FI8" i="4"/>
  <c r="FH8" i="4"/>
  <c r="FG8" i="4"/>
  <c r="FE8" i="4"/>
  <c r="FD8" i="4"/>
  <c r="FC8" i="4"/>
  <c r="FB8" i="4"/>
  <c r="FA8" i="4"/>
  <c r="EZ8" i="4"/>
  <c r="FL9" i="4"/>
  <c r="FK9" i="4"/>
  <c r="FJ9" i="4"/>
  <c r="FI9" i="4"/>
  <c r="FH9" i="4"/>
  <c r="FG9" i="4"/>
  <c r="FE9" i="4"/>
  <c r="FD9" i="4"/>
  <c r="FC9" i="4"/>
  <c r="FB9" i="4"/>
  <c r="FA9" i="4"/>
  <c r="EZ9" i="4"/>
  <c r="FL22" i="4"/>
  <c r="FK22" i="4"/>
  <c r="FJ22" i="4"/>
  <c r="FI22" i="4"/>
  <c r="FH22" i="4"/>
  <c r="FG22" i="4"/>
  <c r="FE22" i="4"/>
  <c r="FD22" i="4"/>
  <c r="FC22" i="4"/>
  <c r="FB22" i="4"/>
  <c r="FA22" i="4"/>
  <c r="EZ22" i="4"/>
  <c r="FL7" i="4"/>
  <c r="FK7" i="4"/>
  <c r="FJ7" i="4"/>
  <c r="FI7" i="4"/>
  <c r="FH7" i="4"/>
  <c r="FG7" i="4"/>
  <c r="FE7" i="4"/>
  <c r="FD7" i="4"/>
  <c r="FC7" i="4"/>
  <c r="FB7" i="4"/>
  <c r="FA7" i="4"/>
  <c r="EZ7" i="4"/>
  <c r="FL6" i="4"/>
  <c r="FK6" i="4"/>
  <c r="FJ6" i="4"/>
  <c r="FI6" i="4"/>
  <c r="FH6" i="4"/>
  <c r="FG6" i="4"/>
  <c r="FE6" i="4"/>
  <c r="FD6" i="4"/>
  <c r="FC6" i="4"/>
  <c r="FB6" i="4"/>
  <c r="FA6" i="4"/>
  <c r="EZ6" i="4"/>
  <c r="FL4" i="4"/>
  <c r="FK4" i="4"/>
  <c r="FJ4" i="4"/>
  <c r="FI4" i="4"/>
  <c r="FH4" i="4"/>
  <c r="FG4" i="4"/>
  <c r="FE4" i="4"/>
  <c r="FD4" i="4"/>
  <c r="FC4" i="4"/>
  <c r="FB4" i="4"/>
  <c r="FA4" i="4"/>
  <c r="EZ4" i="4"/>
  <c r="FL5" i="4"/>
  <c r="FK5" i="4"/>
  <c r="FJ5" i="4"/>
  <c r="FI5" i="4"/>
  <c r="FH5" i="4"/>
  <c r="FG5" i="4"/>
  <c r="FE5" i="4"/>
  <c r="FD5" i="4"/>
  <c r="FC5" i="4"/>
  <c r="FB5" i="4"/>
  <c r="FA5" i="4"/>
  <c r="EZ5" i="4"/>
  <c r="ED20" i="4"/>
  <c r="EC20" i="4"/>
  <c r="EB20" i="4"/>
  <c r="EA20" i="4"/>
  <c r="DZ20" i="4"/>
  <c r="DY20" i="4"/>
  <c r="DW20" i="4"/>
  <c r="DV20" i="4"/>
  <c r="DU20" i="4"/>
  <c r="DT20" i="4"/>
  <c r="DS20" i="4"/>
  <c r="DR20" i="4"/>
  <c r="ED25" i="4"/>
  <c r="EC25" i="4"/>
  <c r="EB25" i="4"/>
  <c r="EA25" i="4"/>
  <c r="DZ25" i="4"/>
  <c r="DY25" i="4"/>
  <c r="DW25" i="4"/>
  <c r="DV25" i="4"/>
  <c r="DU25" i="4"/>
  <c r="DT25" i="4"/>
  <c r="DS25" i="4"/>
  <c r="DR25" i="4"/>
  <c r="ED26" i="4"/>
  <c r="EC26" i="4"/>
  <c r="EB26" i="4"/>
  <c r="EA26" i="4"/>
  <c r="DZ26" i="4"/>
  <c r="DY26" i="4"/>
  <c r="DW26" i="4"/>
  <c r="DV26" i="4"/>
  <c r="DU26" i="4"/>
  <c r="DT26" i="4"/>
  <c r="DS26" i="4"/>
  <c r="DR26" i="4"/>
  <c r="ED15" i="4"/>
  <c r="EC15" i="4"/>
  <c r="EB15" i="4"/>
  <c r="EA15" i="4"/>
  <c r="DZ15" i="4"/>
  <c r="DY15" i="4"/>
  <c r="DW15" i="4"/>
  <c r="DV15" i="4"/>
  <c r="DU15" i="4"/>
  <c r="DT15" i="4"/>
  <c r="DS15" i="4"/>
  <c r="DR15" i="4"/>
  <c r="ED18" i="4"/>
  <c r="EC18" i="4"/>
  <c r="EB18" i="4"/>
  <c r="EA18" i="4"/>
  <c r="DZ18" i="4"/>
  <c r="DY18" i="4"/>
  <c r="DW18" i="4"/>
  <c r="DV18" i="4"/>
  <c r="DU18" i="4"/>
  <c r="DT18" i="4"/>
  <c r="DS18" i="4"/>
  <c r="DR18" i="4"/>
  <c r="ED16" i="4"/>
  <c r="EC16" i="4"/>
  <c r="EB16" i="4"/>
  <c r="EA16" i="4"/>
  <c r="DZ16" i="4"/>
  <c r="DY16" i="4"/>
  <c r="DW16" i="4"/>
  <c r="DV16" i="4"/>
  <c r="DU16" i="4"/>
  <c r="DT16" i="4"/>
  <c r="DS16" i="4"/>
  <c r="DR16" i="4"/>
  <c r="ED24" i="4"/>
  <c r="EC24" i="4"/>
  <c r="EB24" i="4"/>
  <c r="EA24" i="4"/>
  <c r="DZ24" i="4"/>
  <c r="DY24" i="4"/>
  <c r="DW24" i="4"/>
  <c r="DV24" i="4"/>
  <c r="DU24" i="4"/>
  <c r="DT24" i="4"/>
  <c r="DS24" i="4"/>
  <c r="DR24" i="4"/>
  <c r="ED21" i="4"/>
  <c r="EC21" i="4"/>
  <c r="EB21" i="4"/>
  <c r="EA21" i="4"/>
  <c r="DZ21" i="4"/>
  <c r="DY21" i="4"/>
  <c r="DW21" i="4"/>
  <c r="DV21" i="4"/>
  <c r="DU21" i="4"/>
  <c r="DT21" i="4"/>
  <c r="DS21" i="4"/>
  <c r="DR21" i="4"/>
  <c r="ED13" i="4"/>
  <c r="EC13" i="4"/>
  <c r="EB13" i="4"/>
  <c r="EA13" i="4"/>
  <c r="DZ13" i="4"/>
  <c r="DY13" i="4"/>
  <c r="DW13" i="4"/>
  <c r="DV13" i="4"/>
  <c r="DU13" i="4"/>
  <c r="DT13" i="4"/>
  <c r="DS13" i="4"/>
  <c r="DR13" i="4"/>
  <c r="ED14" i="4"/>
  <c r="EC14" i="4"/>
  <c r="EB14" i="4"/>
  <c r="EA14" i="4"/>
  <c r="DZ14" i="4"/>
  <c r="DY14" i="4"/>
  <c r="DW14" i="4"/>
  <c r="DV14" i="4"/>
  <c r="DU14" i="4"/>
  <c r="DT14" i="4"/>
  <c r="DS14" i="4"/>
  <c r="DR14" i="4"/>
  <c r="ED10" i="4"/>
  <c r="EC10" i="4"/>
  <c r="EB10" i="4"/>
  <c r="EA10" i="4"/>
  <c r="DZ10" i="4"/>
  <c r="DY10" i="4"/>
  <c r="DW10" i="4"/>
  <c r="DV10" i="4"/>
  <c r="DU10" i="4"/>
  <c r="DT10" i="4"/>
  <c r="DS10" i="4"/>
  <c r="DR10" i="4"/>
  <c r="ED11" i="4"/>
  <c r="EC11" i="4"/>
  <c r="EB11" i="4"/>
  <c r="EA11" i="4"/>
  <c r="DZ11" i="4"/>
  <c r="DY11" i="4"/>
  <c r="DW11" i="4"/>
  <c r="DV11" i="4"/>
  <c r="DU11" i="4"/>
  <c r="DT11" i="4"/>
  <c r="DS11" i="4"/>
  <c r="DR11" i="4"/>
  <c r="ED23" i="4"/>
  <c r="EC23" i="4"/>
  <c r="EB23" i="4"/>
  <c r="EA23" i="4"/>
  <c r="DZ23" i="4"/>
  <c r="DY23" i="4"/>
  <c r="DW23" i="4"/>
  <c r="DV23" i="4"/>
  <c r="DU23" i="4"/>
  <c r="DT23" i="4"/>
  <c r="DS23" i="4"/>
  <c r="DR23" i="4"/>
  <c r="ED17" i="4"/>
  <c r="EC17" i="4"/>
  <c r="EB17" i="4"/>
  <c r="EA17" i="4"/>
  <c r="DZ17" i="4"/>
  <c r="DY17" i="4"/>
  <c r="DW17" i="4"/>
  <c r="DV17" i="4"/>
  <c r="DU17" i="4"/>
  <c r="DT17" i="4"/>
  <c r="DS17" i="4"/>
  <c r="DR17" i="4"/>
  <c r="ED8" i="4"/>
  <c r="EC8" i="4"/>
  <c r="EB8" i="4"/>
  <c r="EA8" i="4"/>
  <c r="DZ8" i="4"/>
  <c r="DY8" i="4"/>
  <c r="DW8" i="4"/>
  <c r="DV8" i="4"/>
  <c r="DU8" i="4"/>
  <c r="DT8" i="4"/>
  <c r="DS8" i="4"/>
  <c r="DR8" i="4"/>
  <c r="ED9" i="4"/>
  <c r="EC9" i="4"/>
  <c r="EB9" i="4"/>
  <c r="EA9" i="4"/>
  <c r="DZ9" i="4"/>
  <c r="DY9" i="4"/>
  <c r="DW9" i="4"/>
  <c r="DV9" i="4"/>
  <c r="DU9" i="4"/>
  <c r="DT9" i="4"/>
  <c r="DS9" i="4"/>
  <c r="DR9" i="4"/>
  <c r="ED22" i="4"/>
  <c r="EC22" i="4"/>
  <c r="EB22" i="4"/>
  <c r="EA22" i="4"/>
  <c r="DZ22" i="4"/>
  <c r="DY22" i="4"/>
  <c r="DW22" i="4"/>
  <c r="DV22" i="4"/>
  <c r="DU22" i="4"/>
  <c r="DT22" i="4"/>
  <c r="DS22" i="4"/>
  <c r="DR22" i="4"/>
  <c r="ED7" i="4"/>
  <c r="EC7" i="4"/>
  <c r="EB7" i="4"/>
  <c r="EA7" i="4"/>
  <c r="DZ7" i="4"/>
  <c r="DY7" i="4"/>
  <c r="DW7" i="4"/>
  <c r="DV7" i="4"/>
  <c r="DU7" i="4"/>
  <c r="DT7" i="4"/>
  <c r="DS7" i="4"/>
  <c r="DR7" i="4"/>
  <c r="ED6" i="4"/>
  <c r="EC6" i="4"/>
  <c r="EB6" i="4"/>
  <c r="EA6" i="4"/>
  <c r="DZ6" i="4"/>
  <c r="DY6" i="4"/>
  <c r="DW6" i="4"/>
  <c r="DV6" i="4"/>
  <c r="DU6" i="4"/>
  <c r="DT6" i="4"/>
  <c r="DS6" i="4"/>
  <c r="DR6" i="4"/>
  <c r="ED4" i="4"/>
  <c r="EC4" i="4"/>
  <c r="EB4" i="4"/>
  <c r="EA4" i="4"/>
  <c r="DZ4" i="4"/>
  <c r="DY4" i="4"/>
  <c r="DW4" i="4"/>
  <c r="DV4" i="4"/>
  <c r="DU4" i="4"/>
  <c r="DT4" i="4"/>
  <c r="DS4" i="4"/>
  <c r="DR4" i="4"/>
  <c r="ED5" i="4"/>
  <c r="EC5" i="4"/>
  <c r="EB5" i="4"/>
  <c r="EA5" i="4"/>
  <c r="DZ5" i="4"/>
  <c r="DY5" i="4"/>
  <c r="DW5" i="4"/>
  <c r="DV5" i="4"/>
  <c r="DU5" i="4"/>
  <c r="DT5" i="4"/>
  <c r="DS5" i="4"/>
  <c r="DR5" i="4"/>
  <c r="CK15" i="4"/>
  <c r="CL15" i="4"/>
  <c r="CM15" i="4"/>
  <c r="CN15" i="4"/>
  <c r="CO15" i="4"/>
  <c r="CP15" i="4"/>
  <c r="CR15" i="4"/>
  <c r="CS15" i="4"/>
  <c r="CT15" i="4"/>
  <c r="VZ15" i="4"/>
  <c r="WA15" i="4"/>
  <c r="WB15" i="4"/>
  <c r="WC15" i="4"/>
  <c r="WD15" i="4"/>
  <c r="WE15" i="4"/>
  <c r="WG15" i="4"/>
  <c r="WH15" i="4"/>
  <c r="WI15" i="4"/>
  <c r="WJ15" i="4"/>
  <c r="WK15" i="4"/>
  <c r="WL15" i="4"/>
  <c r="JA5" i="41" l="1"/>
  <c r="SE5" i="41"/>
  <c r="FC7" i="41"/>
  <c r="OG7" i="41"/>
  <c r="TT9" i="41"/>
  <c r="BR10" i="41"/>
  <c r="GR10" i="41"/>
  <c r="MY6" i="41"/>
  <c r="WC6" i="41"/>
  <c r="JA9" i="41"/>
  <c r="JH9" i="41" s="1"/>
  <c r="OG10" i="41"/>
  <c r="ON10" i="41" s="1"/>
  <c r="FC5" i="41"/>
  <c r="FJ5" i="41" s="1"/>
  <c r="OG5" i="41"/>
  <c r="ON5" i="41" s="1"/>
  <c r="HZ7" i="41"/>
  <c r="JH11" i="41"/>
  <c r="SL11" i="41"/>
  <c r="MY4" i="41"/>
  <c r="JA6" i="41"/>
  <c r="SE6" i="41"/>
  <c r="JA7" i="41"/>
  <c r="JH7" i="41" s="1"/>
  <c r="SE7" i="41"/>
  <c r="SL7" i="41" s="1"/>
  <c r="OG8" i="41"/>
  <c r="TM10" i="41"/>
  <c r="TT10" i="41" s="1"/>
  <c r="HS6" i="41"/>
  <c r="HZ6" i="41" s="1"/>
  <c r="QW6" i="41"/>
  <c r="RD6" i="41" s="1"/>
  <c r="WC8" i="41"/>
  <c r="WJ8" i="41" s="1"/>
  <c r="KP4" i="41"/>
  <c r="WC4" i="41"/>
  <c r="JH5" i="41"/>
  <c r="SL5" i="41"/>
  <c r="KI9" i="41"/>
  <c r="KP9" i="41" s="1"/>
  <c r="JA4" i="41"/>
  <c r="JH4" i="41" s="1"/>
  <c r="HS5" i="41"/>
  <c r="QW5" i="41"/>
  <c r="DU7" i="41"/>
  <c r="WC7" i="41"/>
  <c r="WJ7" i="41" s="1"/>
  <c r="SE4" i="41"/>
  <c r="SL4" i="41" s="1"/>
  <c r="FC6" i="41"/>
  <c r="FJ6" i="41" s="1"/>
  <c r="OG6" i="41"/>
  <c r="ON6" i="41" s="1"/>
  <c r="KI8" i="41"/>
  <c r="KP8" i="41" s="1"/>
  <c r="HZ4" i="41"/>
  <c r="VB7" i="41"/>
  <c r="RD4" i="41"/>
  <c r="SE9" i="41"/>
  <c r="SL9" i="41" s="1"/>
  <c r="PO4" i="41"/>
  <c r="PV4" i="41" s="1"/>
  <c r="QW8" i="41"/>
  <c r="HS9" i="41"/>
  <c r="HZ9" i="41" s="1"/>
  <c r="DU10" i="41"/>
  <c r="MY10" i="41"/>
  <c r="NF10" i="41" s="1"/>
  <c r="WC10" i="41"/>
  <c r="WJ10" i="41" s="1"/>
  <c r="KI11" i="41"/>
  <c r="KP11" i="41" s="1"/>
  <c r="TM11" i="41"/>
  <c r="TT11" i="41" s="1"/>
  <c r="OG4" i="41"/>
  <c r="ON4" i="41" s="1"/>
  <c r="AM5" i="41"/>
  <c r="AQ5" i="41" s="1"/>
  <c r="KI6" i="41"/>
  <c r="TM6" i="41"/>
  <c r="TM7" i="41"/>
  <c r="TT7" i="41" s="1"/>
  <c r="GK8" i="41"/>
  <c r="PO8" i="41"/>
  <c r="CS11" i="41"/>
  <c r="LX8" i="41"/>
  <c r="TM5" i="41"/>
  <c r="TT5" i="41" s="1"/>
  <c r="PO7" i="41"/>
  <c r="PV7" i="41" s="1"/>
  <c r="UU9" i="41"/>
  <c r="VB9" i="41" s="1"/>
  <c r="PV10" i="41"/>
  <c r="HS11" i="41"/>
  <c r="HZ11" i="41" s="1"/>
  <c r="QW11" i="41"/>
  <c r="RD11" i="41" s="1"/>
  <c r="CS5" i="41"/>
  <c r="MY9" i="41"/>
  <c r="JA10" i="41"/>
  <c r="JH10" i="41" s="1"/>
  <c r="SE10" i="41"/>
  <c r="SL10" i="41" s="1"/>
  <c r="KI4" i="40"/>
  <c r="BN6" i="40"/>
  <c r="BR6" i="40" s="1"/>
  <c r="HS10" i="40"/>
  <c r="QW10" i="40"/>
  <c r="MY4" i="40"/>
  <c r="SL14" i="40"/>
  <c r="KP13" i="40"/>
  <c r="TT13" i="40"/>
  <c r="FJ6" i="40"/>
  <c r="TT8" i="40"/>
  <c r="GR5" i="40"/>
  <c r="PV5" i="40"/>
  <c r="BR9" i="40"/>
  <c r="PV9" i="40"/>
  <c r="GK4" i="40"/>
  <c r="GR4" i="40" s="1"/>
  <c r="PO4" i="40"/>
  <c r="PV4" i="40" s="1"/>
  <c r="FC14" i="40"/>
  <c r="FJ14" i="40" s="1"/>
  <c r="OG14" i="40"/>
  <c r="GK13" i="40"/>
  <c r="PO13" i="40"/>
  <c r="AM5" i="40"/>
  <c r="L10" i="39"/>
  <c r="L15" i="39"/>
  <c r="L19" i="39"/>
  <c r="L14" i="39"/>
  <c r="J15" i="39"/>
  <c r="L16" i="39"/>
  <c r="J13" i="39"/>
  <c r="L12" i="39"/>
  <c r="J18" i="39"/>
  <c r="L8" i="39"/>
  <c r="HS5" i="39"/>
  <c r="HZ5" i="39" s="1"/>
  <c r="QW5" i="39"/>
  <c r="RD5" i="39" s="1"/>
  <c r="DU7" i="39"/>
  <c r="EB7" i="39" s="1"/>
  <c r="MY7" i="39"/>
  <c r="NF7" i="39" s="1"/>
  <c r="WC7" i="39"/>
  <c r="SE14" i="39"/>
  <c r="FC16" i="39"/>
  <c r="J17" i="39"/>
  <c r="KI18" i="39"/>
  <c r="TM18" i="39"/>
  <c r="L7" i="39"/>
  <c r="L5" i="39"/>
  <c r="L18" i="39"/>
  <c r="J16" i="39"/>
  <c r="L17" i="39"/>
  <c r="J4" i="39"/>
  <c r="K4" i="39" s="1"/>
  <c r="L4" i="39"/>
  <c r="M4" i="39" s="1"/>
  <c r="J14" i="39"/>
  <c r="QW10" i="39"/>
  <c r="J12" i="39"/>
  <c r="L13" i="39"/>
  <c r="J11" i="39"/>
  <c r="J10" i="39"/>
  <c r="L11" i="39"/>
  <c r="J9" i="39"/>
  <c r="J8" i="39"/>
  <c r="L9" i="39"/>
  <c r="J7" i="39"/>
  <c r="J6" i="39"/>
  <c r="J19" i="39"/>
  <c r="J5" i="39"/>
  <c r="DU5" i="39"/>
  <c r="MY5" i="39"/>
  <c r="WC5" i="39"/>
  <c r="FC14" i="39"/>
  <c r="OG14" i="39"/>
  <c r="KI16" i="39"/>
  <c r="KP16" i="39" s="1"/>
  <c r="GK18" i="39"/>
  <c r="GR18" i="39" s="1"/>
  <c r="UU21" i="42"/>
  <c r="FC5" i="42"/>
  <c r="OG5" i="42"/>
  <c r="AM6" i="42"/>
  <c r="J6" i="42"/>
  <c r="K6" i="42" s="1"/>
  <c r="L6" i="42"/>
  <c r="M6" i="42" s="1"/>
  <c r="LQ16" i="42"/>
  <c r="UU16" i="42"/>
  <c r="JA12" i="42"/>
  <c r="L21" i="42"/>
  <c r="M21" i="42" s="1"/>
  <c r="J21" i="42"/>
  <c r="K21" i="42" s="1"/>
  <c r="BN25" i="42"/>
  <c r="BR25" i="42" s="1"/>
  <c r="PO25" i="42"/>
  <c r="LQ24" i="42"/>
  <c r="LX24" i="42" s="1"/>
  <c r="FC20" i="42"/>
  <c r="FJ20" i="42" s="1"/>
  <c r="AM14" i="42"/>
  <c r="L14" i="42"/>
  <c r="M14" i="42" s="1"/>
  <c r="J14" i="42"/>
  <c r="K14" i="42" s="1"/>
  <c r="KI13" i="42"/>
  <c r="PO19" i="42"/>
  <c r="CO22" i="42"/>
  <c r="HS18" i="42"/>
  <c r="QW18" i="42"/>
  <c r="J15" i="42"/>
  <c r="K15" i="42" s="1"/>
  <c r="L15" i="42"/>
  <c r="M15" i="42" s="1"/>
  <c r="AM26" i="42"/>
  <c r="AQ26" i="42" s="1"/>
  <c r="L26" i="42"/>
  <c r="J26" i="42"/>
  <c r="K26" i="42" s="1"/>
  <c r="L5" i="42"/>
  <c r="M5" i="42" s="1"/>
  <c r="J5" i="42"/>
  <c r="K5" i="42" s="1"/>
  <c r="J11" i="42"/>
  <c r="K11" i="42" s="1"/>
  <c r="L11" i="42"/>
  <c r="M11" i="42" s="1"/>
  <c r="L20" i="42"/>
  <c r="J20" i="42"/>
  <c r="K20" i="42" s="1"/>
  <c r="J10" i="42"/>
  <c r="K10" i="42" s="1"/>
  <c r="L10" i="42"/>
  <c r="M10" i="42" s="1"/>
  <c r="AM25" i="42"/>
  <c r="J25" i="42"/>
  <c r="K25" i="42" s="1"/>
  <c r="L25" i="42"/>
  <c r="M25" i="42" s="1"/>
  <c r="J4" i="42"/>
  <c r="K4" i="42" s="1"/>
  <c r="L4" i="42"/>
  <c r="M4" i="42" s="1"/>
  <c r="J19" i="42"/>
  <c r="K19" i="42" s="1"/>
  <c r="L19" i="42"/>
  <c r="J9" i="42"/>
  <c r="K9" i="42" s="1"/>
  <c r="L9" i="42"/>
  <c r="M9" i="42" s="1"/>
  <c r="J8" i="42"/>
  <c r="K8" i="42" s="1"/>
  <c r="L8" i="42"/>
  <c r="M8" i="42" s="1"/>
  <c r="J18" i="42"/>
  <c r="K18" i="42" s="1"/>
  <c r="L18" i="42"/>
  <c r="M18" i="42" s="1"/>
  <c r="BR24" i="42"/>
  <c r="BN27" i="42"/>
  <c r="BR27" i="42" s="1"/>
  <c r="AM12" i="42"/>
  <c r="J12" i="42"/>
  <c r="K12" i="42" s="1"/>
  <c r="L12" i="42"/>
  <c r="M12" i="42" s="1"/>
  <c r="PO22" i="42"/>
  <c r="PV22" i="42" s="1"/>
  <c r="NF27" i="42"/>
  <c r="WJ27" i="42"/>
  <c r="J17" i="42"/>
  <c r="K17" i="42" s="1"/>
  <c r="L17" i="42"/>
  <c r="M17" i="42" s="1"/>
  <c r="VB12" i="42"/>
  <c r="JH25" i="42"/>
  <c r="J27" i="42"/>
  <c r="K27" i="42" s="1"/>
  <c r="L27" i="42"/>
  <c r="M27" i="42" s="1"/>
  <c r="J7" i="42"/>
  <c r="K7" i="42" s="1"/>
  <c r="L7" i="42"/>
  <c r="KI8" i="42"/>
  <c r="TM8" i="42"/>
  <c r="JA19" i="42"/>
  <c r="JH19" i="42" s="1"/>
  <c r="FC21" i="42"/>
  <c r="OG21" i="42"/>
  <c r="ON21" i="42" s="1"/>
  <c r="L22" i="42"/>
  <c r="M22" i="42" s="1"/>
  <c r="J22" i="42"/>
  <c r="K22" i="42" s="1"/>
  <c r="LQ27" i="42"/>
  <c r="LX27" i="42" s="1"/>
  <c r="LQ7" i="42"/>
  <c r="UU7" i="42"/>
  <c r="CO8" i="42"/>
  <c r="QW10" i="42"/>
  <c r="L13" i="42"/>
  <c r="M13" i="42" s="1"/>
  <c r="J13" i="42"/>
  <c r="K13" i="42" s="1"/>
  <c r="KI12" i="42"/>
  <c r="KP12" i="42" s="1"/>
  <c r="TM12" i="42"/>
  <c r="TT12" i="42" s="1"/>
  <c r="J16" i="42"/>
  <c r="K16" i="42" s="1"/>
  <c r="L16" i="42"/>
  <c r="J24" i="42"/>
  <c r="K24" i="42" s="1"/>
  <c r="L24" i="42"/>
  <c r="M24" i="42" s="1"/>
  <c r="TM27" i="42"/>
  <c r="SH5" i="38"/>
  <c r="KL9" i="38"/>
  <c r="J10" i="38"/>
  <c r="L10" i="38" s="1"/>
  <c r="LT13" i="38"/>
  <c r="UX13" i="38"/>
  <c r="HV4" i="38"/>
  <c r="QZ4" i="38"/>
  <c r="JD8" i="38"/>
  <c r="SH8" i="38"/>
  <c r="SO8" i="38" s="1"/>
  <c r="FF10" i="38"/>
  <c r="FM10" i="38" s="1"/>
  <c r="KL12" i="38"/>
  <c r="KS12" i="38" s="1"/>
  <c r="TP12" i="38"/>
  <c r="TW12" i="38" s="1"/>
  <c r="PR14" i="38"/>
  <c r="PY14" i="38" s="1"/>
  <c r="FF5" i="38"/>
  <c r="FM5" i="38" s="1"/>
  <c r="QZ13" i="38"/>
  <c r="QZ9" i="38"/>
  <c r="FF9" i="38"/>
  <c r="FM9" i="38" s="1"/>
  <c r="KL5" i="38"/>
  <c r="KS5" i="38" s="1"/>
  <c r="J6" i="38"/>
  <c r="N6" i="38" s="1"/>
  <c r="LT4" i="38"/>
  <c r="MA4" i="38" s="1"/>
  <c r="UX4" i="38"/>
  <c r="VE4" i="38" s="1"/>
  <c r="DX8" i="38"/>
  <c r="EE8" i="38" s="1"/>
  <c r="NB8" i="38"/>
  <c r="WF8" i="38"/>
  <c r="WM8" i="38" s="1"/>
  <c r="JD10" i="38"/>
  <c r="JK10" i="38" s="1"/>
  <c r="SH10" i="38"/>
  <c r="AO4" i="38"/>
  <c r="AS4" i="38" s="1"/>
  <c r="FF8" i="38"/>
  <c r="FM8" i="38" s="1"/>
  <c r="AO9" i="38"/>
  <c r="AS9" i="38" s="1"/>
  <c r="KL10" i="38"/>
  <c r="TP10" i="38"/>
  <c r="BP12" i="38"/>
  <c r="PR12" i="38"/>
  <c r="PY12" i="38" s="1"/>
  <c r="L6" i="38"/>
  <c r="DX13" i="38"/>
  <c r="NB13" i="38"/>
  <c r="WF13" i="38"/>
  <c r="WM13" i="38" s="1"/>
  <c r="QZ6" i="38"/>
  <c r="RG6" i="38" s="1"/>
  <c r="SH9" i="38"/>
  <c r="SO9" i="38" s="1"/>
  <c r="JD5" i="38"/>
  <c r="KL8" i="38"/>
  <c r="DX11" i="38"/>
  <c r="WF11" i="38"/>
  <c r="UX7" i="38"/>
  <c r="VE7" i="38" s="1"/>
  <c r="RG9" i="38"/>
  <c r="NI10" i="38"/>
  <c r="SO12" i="38"/>
  <c r="JD13" i="38"/>
  <c r="JK13" i="38" s="1"/>
  <c r="SH13" i="38"/>
  <c r="SO13" i="38" s="1"/>
  <c r="NB5" i="38"/>
  <c r="NI5" i="38" s="1"/>
  <c r="DX6" i="38"/>
  <c r="EE6" i="38" s="1"/>
  <c r="NB6" i="38"/>
  <c r="NI6" i="38" s="1"/>
  <c r="WF6" i="38"/>
  <c r="WM6" i="38" s="1"/>
  <c r="GN13" i="38"/>
  <c r="PR13" i="38"/>
  <c r="OJ14" i="38"/>
  <c r="OQ14" i="38" s="1"/>
  <c r="KL7" i="38"/>
  <c r="KS7" i="38" s="1"/>
  <c r="TP7" i="38"/>
  <c r="TW7" i="38" s="1"/>
  <c r="GN9" i="38"/>
  <c r="GU9" i="38" s="1"/>
  <c r="PR9" i="38"/>
  <c r="PY9" i="38" s="1"/>
  <c r="CQ12" i="38"/>
  <c r="CU12" i="38" s="1"/>
  <c r="HV12" i="38"/>
  <c r="IC12" i="38" s="1"/>
  <c r="QZ12" i="38"/>
  <c r="HV13" i="38"/>
  <c r="DX4" i="38"/>
  <c r="EE4" i="38" s="1"/>
  <c r="WF4" i="38"/>
  <c r="WM4" i="38" s="1"/>
  <c r="LT5" i="38"/>
  <c r="MA5" i="38" s="1"/>
  <c r="CQ6" i="38"/>
  <c r="CU6" i="38" s="1"/>
  <c r="LT6" i="38"/>
  <c r="MA6" i="38" s="1"/>
  <c r="UX6" i="38"/>
  <c r="VE6" i="38" s="1"/>
  <c r="JD11" i="38"/>
  <c r="FF13" i="38"/>
  <c r="OJ13" i="38"/>
  <c r="NB14" i="38"/>
  <c r="NI14" i="38" s="1"/>
  <c r="I15" i="4"/>
  <c r="I12" i="4"/>
  <c r="I19" i="4"/>
  <c r="A8" i="45" a="1"/>
  <c r="A8" i="45" s="1"/>
  <c r="A4" i="45" a="1"/>
  <c r="A4" i="45" s="1"/>
  <c r="A6" i="45" a="1"/>
  <c r="A6" i="45" s="1"/>
  <c r="A5" i="45" a="1"/>
  <c r="A5" i="45" s="1"/>
  <c r="A9" i="45" a="1"/>
  <c r="A9" i="45" s="1"/>
  <c r="QW19" i="42"/>
  <c r="JA8" i="42"/>
  <c r="JH8" i="42" s="1"/>
  <c r="SE8" i="42"/>
  <c r="SL8" i="42" s="1"/>
  <c r="KI17" i="42"/>
  <c r="KP17" i="42" s="1"/>
  <c r="UU13" i="42"/>
  <c r="VB13" i="42" s="1"/>
  <c r="FC19" i="42"/>
  <c r="FJ19" i="42" s="1"/>
  <c r="KI27" i="42"/>
  <c r="KP27" i="42" s="1"/>
  <c r="DU13" i="42"/>
  <c r="MY13" i="42"/>
  <c r="NF13" i="42" s="1"/>
  <c r="WC13" i="42"/>
  <c r="WJ13" i="42" s="1"/>
  <c r="GK10" i="42"/>
  <c r="GR10" i="42" s="1"/>
  <c r="BN12" i="42"/>
  <c r="BR12" i="42" s="1"/>
  <c r="GK12" i="42"/>
  <c r="GR12" i="42" s="1"/>
  <c r="LQ11" i="42"/>
  <c r="LX11" i="42" s="1"/>
  <c r="UU11" i="42"/>
  <c r="VB11" i="42" s="1"/>
  <c r="OG8" i="42"/>
  <c r="ON8" i="42" s="1"/>
  <c r="LQ15" i="42"/>
  <c r="LX15" i="42" s="1"/>
  <c r="MY12" i="42"/>
  <c r="NF12" i="42" s="1"/>
  <c r="OG22" i="42"/>
  <c r="ON22" i="42" s="1"/>
  <c r="OG13" i="42"/>
  <c r="ON13" i="42" s="1"/>
  <c r="BN4" i="42"/>
  <c r="BR4" i="42" s="1"/>
  <c r="SE10" i="42"/>
  <c r="SL10" i="42" s="1"/>
  <c r="TM9" i="42"/>
  <c r="GK15" i="42"/>
  <c r="GR15" i="42" s="1"/>
  <c r="JH12" i="42"/>
  <c r="SE9" i="42"/>
  <c r="SL9" i="42" s="1"/>
  <c r="KP13" i="42"/>
  <c r="GK26" i="42"/>
  <c r="GR26" i="42" s="1"/>
  <c r="PO26" i="42"/>
  <c r="PV26" i="42" s="1"/>
  <c r="UU22" i="42"/>
  <c r="WC4" i="42"/>
  <c r="WJ4" i="42" s="1"/>
  <c r="MY10" i="42"/>
  <c r="NF10" i="42" s="1"/>
  <c r="FC26" i="42"/>
  <c r="FJ26" i="42" s="1"/>
  <c r="OG26" i="42"/>
  <c r="ON26" i="42" s="1"/>
  <c r="HS13" i="42"/>
  <c r="HZ13" i="42" s="1"/>
  <c r="QW13" i="42"/>
  <c r="HS12" i="42"/>
  <c r="HZ12" i="42" s="1"/>
  <c r="JA5" i="42"/>
  <c r="JH5" i="42" s="1"/>
  <c r="SE5" i="42"/>
  <c r="UU10" i="42"/>
  <c r="VB10" i="42" s="1"/>
  <c r="CS15" i="42"/>
  <c r="QW16" i="42"/>
  <c r="RD16" i="42" s="1"/>
  <c r="WC9" i="42"/>
  <c r="FC12" i="42"/>
  <c r="FJ12" i="42" s="1"/>
  <c r="KI10" i="42"/>
  <c r="KP10" i="42" s="1"/>
  <c r="PO13" i="42"/>
  <c r="PV13" i="42" s="1"/>
  <c r="TM17" i="42"/>
  <c r="TT17" i="42" s="1"/>
  <c r="LQ12" i="42"/>
  <c r="LX12" i="42" s="1"/>
  <c r="JA11" i="42"/>
  <c r="SE11" i="42"/>
  <c r="MY18" i="42"/>
  <c r="NF18" i="42" s="1"/>
  <c r="WC18" i="42"/>
  <c r="FC27" i="42"/>
  <c r="FJ27" i="42" s="1"/>
  <c r="OG27" i="42"/>
  <c r="ON27" i="42" s="1"/>
  <c r="FC15" i="42"/>
  <c r="FJ15" i="42" s="1"/>
  <c r="TM4" i="42"/>
  <c r="TT4" i="42" s="1"/>
  <c r="CO16" i="42"/>
  <c r="HS17" i="42"/>
  <c r="HZ17" i="42" s="1"/>
  <c r="QW17" i="42"/>
  <c r="RD17" i="42" s="1"/>
  <c r="HS9" i="42"/>
  <c r="HZ9" i="42" s="1"/>
  <c r="QW9" i="42"/>
  <c r="RD9" i="42" s="1"/>
  <c r="LQ13" i="42"/>
  <c r="LX13" i="42" s="1"/>
  <c r="TM13" i="42"/>
  <c r="TT13" i="42" s="1"/>
  <c r="GK11" i="42"/>
  <c r="GR11" i="42" s="1"/>
  <c r="PO11" i="42"/>
  <c r="PV11" i="42" s="1"/>
  <c r="FJ25" i="42"/>
  <c r="QW5" i="42"/>
  <c r="RD5" i="42" s="1"/>
  <c r="QW6" i="42"/>
  <c r="RD6" i="42" s="1"/>
  <c r="PO7" i="42"/>
  <c r="PV7" i="42" s="1"/>
  <c r="WC10" i="42"/>
  <c r="WJ10" i="42" s="1"/>
  <c r="JA13" i="42"/>
  <c r="JH13" i="42" s="1"/>
  <c r="SE12" i="42"/>
  <c r="SL12" i="42" s="1"/>
  <c r="DU21" i="42"/>
  <c r="WC21" i="42"/>
  <c r="WJ21" i="42" s="1"/>
  <c r="QW25" i="42"/>
  <c r="RD25" i="42" s="1"/>
  <c r="DU24" i="42"/>
  <c r="MY24" i="42"/>
  <c r="NF24" i="42" s="1"/>
  <c r="JA4" i="42"/>
  <c r="JH4" i="42" s="1"/>
  <c r="SE4" i="42"/>
  <c r="SL4" i="42" s="1"/>
  <c r="FC6" i="42"/>
  <c r="FJ6" i="42" s="1"/>
  <c r="MY7" i="42"/>
  <c r="NF7" i="42" s="1"/>
  <c r="LQ8" i="42"/>
  <c r="LX8" i="42" s="1"/>
  <c r="UU8" i="42"/>
  <c r="VB8" i="42" s="1"/>
  <c r="BN17" i="42"/>
  <c r="BR17" i="42" s="1"/>
  <c r="PO17" i="42"/>
  <c r="PV17" i="42" s="1"/>
  <c r="SE13" i="42"/>
  <c r="SL13" i="42" s="1"/>
  <c r="SE19" i="42"/>
  <c r="SL19" i="42" s="1"/>
  <c r="OG11" i="42"/>
  <c r="ON11" i="42" s="1"/>
  <c r="JA18" i="42"/>
  <c r="JH18" i="42" s="1"/>
  <c r="SE18" i="42"/>
  <c r="SL18" i="42" s="1"/>
  <c r="BN20" i="42"/>
  <c r="BR20" i="42" s="1"/>
  <c r="WJ7" i="42"/>
  <c r="PV19" i="42"/>
  <c r="VB21" i="42"/>
  <c r="PV25" i="42"/>
  <c r="RD19" i="42"/>
  <c r="QW7" i="42"/>
  <c r="RD7" i="42" s="1"/>
  <c r="FJ5" i="42"/>
  <c r="ON5" i="42"/>
  <c r="AQ6" i="42"/>
  <c r="ON25" i="42"/>
  <c r="TT24" i="42"/>
  <c r="PV4" i="42"/>
  <c r="BN5" i="42"/>
  <c r="BR5" i="42" s="1"/>
  <c r="WJ17" i="42"/>
  <c r="JH20" i="42"/>
  <c r="TM22" i="42"/>
  <c r="TT22" i="42" s="1"/>
  <c r="WC5" i="42"/>
  <c r="WJ5" i="42" s="1"/>
  <c r="WC6" i="42"/>
  <c r="WJ6" i="42" s="1"/>
  <c r="TM10" i="42"/>
  <c r="TT10" i="42" s="1"/>
  <c r="SE15" i="42"/>
  <c r="SL15" i="42" s="1"/>
  <c r="FC16" i="42"/>
  <c r="FJ16" i="42" s="1"/>
  <c r="AM17" i="42"/>
  <c r="AQ17" i="42" s="1"/>
  <c r="KI9" i="42"/>
  <c r="KP9" i="42" s="1"/>
  <c r="BN14" i="42"/>
  <c r="BR14" i="42" s="1"/>
  <c r="PO12" i="42"/>
  <c r="PV12" i="42" s="1"/>
  <c r="WC19" i="42"/>
  <c r="WJ19" i="42" s="1"/>
  <c r="JA21" i="42"/>
  <c r="SE21" i="42"/>
  <c r="SL21" i="42" s="1"/>
  <c r="JA22" i="42"/>
  <c r="JH22" i="42" s="1"/>
  <c r="DU25" i="42"/>
  <c r="MY25" i="42"/>
  <c r="NF25" i="42" s="1"/>
  <c r="WC25" i="42"/>
  <c r="WJ25" i="42" s="1"/>
  <c r="JA24" i="42"/>
  <c r="JH24" i="42" s="1"/>
  <c r="SE24" i="42"/>
  <c r="SL24" i="42" s="1"/>
  <c r="OG4" i="42"/>
  <c r="ON4" i="42" s="1"/>
  <c r="TM6" i="42"/>
  <c r="TT6" i="42" s="1"/>
  <c r="BN15" i="42"/>
  <c r="BR15" i="42" s="1"/>
  <c r="LQ17" i="42"/>
  <c r="LX17" i="42" s="1"/>
  <c r="UU17" i="42"/>
  <c r="VB17" i="42" s="1"/>
  <c r="KI11" i="42"/>
  <c r="KP11" i="42" s="1"/>
  <c r="TM11" i="42"/>
  <c r="TT11" i="42" s="1"/>
  <c r="GK22" i="42"/>
  <c r="GR22" i="42" s="1"/>
  <c r="SE22" i="42"/>
  <c r="FC18" i="42"/>
  <c r="FJ18" i="42" s="1"/>
  <c r="OG18" i="42"/>
  <c r="ON18" i="42" s="1"/>
  <c r="UU5" i="42"/>
  <c r="VB5" i="42" s="1"/>
  <c r="UU6" i="42"/>
  <c r="VB6" i="42" s="1"/>
  <c r="PO10" i="42"/>
  <c r="PV10" i="42" s="1"/>
  <c r="QW15" i="42"/>
  <c r="RD15" i="42" s="1"/>
  <c r="WC16" i="42"/>
  <c r="WJ16" i="42" s="1"/>
  <c r="OG12" i="42"/>
  <c r="ON12" i="42" s="1"/>
  <c r="WC12" i="42"/>
  <c r="WJ12" i="42" s="1"/>
  <c r="LQ19" i="42"/>
  <c r="LX19" i="42" s="1"/>
  <c r="UU19" i="42"/>
  <c r="VB19" i="42" s="1"/>
  <c r="HS21" i="42"/>
  <c r="HZ21" i="42" s="1"/>
  <c r="HS22" i="42"/>
  <c r="HZ22" i="42" s="1"/>
  <c r="UU25" i="42"/>
  <c r="VB25" i="42" s="1"/>
  <c r="LQ26" i="42"/>
  <c r="LX26" i="42" s="1"/>
  <c r="UU26" i="42"/>
  <c r="VB26" i="42" s="1"/>
  <c r="HS24" i="42"/>
  <c r="HZ24" i="42" s="1"/>
  <c r="QW24" i="42"/>
  <c r="RD24" i="42" s="1"/>
  <c r="MY15" i="42"/>
  <c r="NF15" i="42" s="1"/>
  <c r="NF17" i="42"/>
  <c r="MY9" i="42"/>
  <c r="NF9" i="42" s="1"/>
  <c r="MY5" i="42"/>
  <c r="NF5" i="42" s="1"/>
  <c r="MY16" i="42"/>
  <c r="NF16" i="42" s="1"/>
  <c r="HS5" i="42"/>
  <c r="HZ5" i="42" s="1"/>
  <c r="GK17" i="42"/>
  <c r="GR17" i="42" s="1"/>
  <c r="GK19" i="42"/>
  <c r="GR19" i="42" s="1"/>
  <c r="GK13" i="42"/>
  <c r="GR13" i="42" s="1"/>
  <c r="FC4" i="42"/>
  <c r="FJ4" i="42" s="1"/>
  <c r="DU5" i="42"/>
  <c r="DU12" i="42"/>
  <c r="CO5" i="42"/>
  <c r="CS5" i="42" s="1"/>
  <c r="BN19" i="42"/>
  <c r="BR19" i="42" s="1"/>
  <c r="BR18" i="42"/>
  <c r="BN7" i="42"/>
  <c r="BR7" i="42" s="1"/>
  <c r="AM10" i="42"/>
  <c r="AQ10" i="42" s="1"/>
  <c r="AM18" i="42"/>
  <c r="AQ18" i="42" s="1"/>
  <c r="AM4" i="42"/>
  <c r="AQ4" i="42" s="1"/>
  <c r="OG9" i="42"/>
  <c r="ON9" i="42" s="1"/>
  <c r="OG14" i="42"/>
  <c r="ON14" i="42" s="1"/>
  <c r="OG10" i="42"/>
  <c r="ON10" i="42" s="1"/>
  <c r="MY4" i="42"/>
  <c r="NF4" i="42" s="1"/>
  <c r="LQ10" i="42"/>
  <c r="LX10" i="42" s="1"/>
  <c r="LX7" i="42"/>
  <c r="LQ5" i="42"/>
  <c r="LX5" i="42" s="1"/>
  <c r="LQ6" i="42"/>
  <c r="LX6" i="42" s="1"/>
  <c r="KI4" i="42"/>
  <c r="KP4" i="42" s="1"/>
  <c r="KI7" i="42"/>
  <c r="KP7" i="42" s="1"/>
  <c r="KI6" i="42"/>
  <c r="KP6" i="42" s="1"/>
  <c r="JA15" i="42"/>
  <c r="JH15" i="42" s="1"/>
  <c r="JH10" i="42"/>
  <c r="JA6" i="42"/>
  <c r="JH6" i="42" s="1"/>
  <c r="HS10" i="42"/>
  <c r="HZ10" i="42" s="1"/>
  <c r="GK6" i="42"/>
  <c r="GR6" i="42" s="1"/>
  <c r="FC8" i="42"/>
  <c r="FJ8" i="42" s="1"/>
  <c r="FC7" i="42"/>
  <c r="FJ7" i="42" s="1"/>
  <c r="FC11" i="42"/>
  <c r="FJ11" i="42" s="1"/>
  <c r="FC10" i="42"/>
  <c r="FJ10" i="42" s="1"/>
  <c r="FC13" i="42"/>
  <c r="FJ13" i="42" s="1"/>
  <c r="DU22" i="42"/>
  <c r="DU6" i="42"/>
  <c r="DU7" i="42"/>
  <c r="EB7" i="42" s="1"/>
  <c r="DU9" i="42"/>
  <c r="DU4" i="42"/>
  <c r="EB4" i="42" s="1"/>
  <c r="DU10" i="42"/>
  <c r="DU18" i="42"/>
  <c r="CS21" i="42"/>
  <c r="CO7" i="42"/>
  <c r="CS7" i="42" s="1"/>
  <c r="CS8" i="42"/>
  <c r="CS11" i="42"/>
  <c r="CS26" i="42"/>
  <c r="BN11" i="42"/>
  <c r="BR11" i="42" s="1"/>
  <c r="BN16" i="42"/>
  <c r="BR16" i="42" s="1"/>
  <c r="BN8" i="42"/>
  <c r="BR8" i="42" s="1"/>
  <c r="AQ12" i="42"/>
  <c r="AQ25" i="42"/>
  <c r="BR9" i="42"/>
  <c r="RD12" i="42"/>
  <c r="ON24" i="42"/>
  <c r="G15" i="42"/>
  <c r="KP21" i="42"/>
  <c r="OG7" i="42"/>
  <c r="ON7" i="42" s="1"/>
  <c r="DU8" i="42"/>
  <c r="MY8" i="42"/>
  <c r="NF8" i="42" s="1"/>
  <c r="WC8" i="42"/>
  <c r="WJ8" i="42" s="1"/>
  <c r="PO15" i="42"/>
  <c r="PV15" i="42" s="1"/>
  <c r="GK9" i="42"/>
  <c r="GR9" i="42" s="1"/>
  <c r="HS20" i="42"/>
  <c r="HZ20" i="42" s="1"/>
  <c r="QW20" i="42"/>
  <c r="RD20" i="42" s="1"/>
  <c r="GK14" i="42"/>
  <c r="GR14" i="42" s="1"/>
  <c r="PO14" i="42"/>
  <c r="PV14" i="42" s="1"/>
  <c r="BN13" i="42"/>
  <c r="BR13" i="42" s="1"/>
  <c r="OG19" i="42"/>
  <c r="ON19" i="42" s="1"/>
  <c r="JH21" i="42"/>
  <c r="MY21" i="42"/>
  <c r="NF21" i="42" s="1"/>
  <c r="TT21" i="42"/>
  <c r="HS25" i="42"/>
  <c r="HZ25" i="42" s="1"/>
  <c r="TM25" i="42"/>
  <c r="TT25" i="42" s="1"/>
  <c r="WC24" i="42"/>
  <c r="WJ24" i="42" s="1"/>
  <c r="CO4" i="42"/>
  <c r="CS4" i="42" s="1"/>
  <c r="HS4" i="42"/>
  <c r="HZ4" i="42" s="1"/>
  <c r="QW4" i="42"/>
  <c r="RD4" i="42" s="1"/>
  <c r="F5" i="42"/>
  <c r="GK5" i="42"/>
  <c r="GR5" i="42" s="1"/>
  <c r="PO5" i="42"/>
  <c r="PV5" i="42" s="1"/>
  <c r="DU15" i="42"/>
  <c r="DU16" i="42"/>
  <c r="EB16" i="42" s="1"/>
  <c r="OG16" i="42"/>
  <c r="ON16" i="42" s="1"/>
  <c r="FC17" i="42"/>
  <c r="FJ17" i="42" s="1"/>
  <c r="OG17" i="42"/>
  <c r="ON17" i="42" s="1"/>
  <c r="PO9" i="42"/>
  <c r="PV9" i="42" s="1"/>
  <c r="DU19" i="42"/>
  <c r="EB19" i="42" s="1"/>
  <c r="DU11" i="42"/>
  <c r="MY11" i="42"/>
  <c r="NF11" i="42" s="1"/>
  <c r="WC11" i="42"/>
  <c r="WJ11" i="42" s="1"/>
  <c r="LQ21" i="42"/>
  <c r="LX21" i="42" s="1"/>
  <c r="AM22" i="42"/>
  <c r="AQ22" i="42" s="1"/>
  <c r="QW22" i="42"/>
  <c r="RD22" i="42" s="1"/>
  <c r="GK18" i="42"/>
  <c r="PO18" i="42"/>
  <c r="PV18" i="42" s="1"/>
  <c r="GK25" i="42"/>
  <c r="GR25" i="42" s="1"/>
  <c r="DU26" i="42"/>
  <c r="EB26" i="42" s="1"/>
  <c r="MY26" i="42"/>
  <c r="NF26" i="42" s="1"/>
  <c r="WC26" i="42"/>
  <c r="WJ26" i="42" s="1"/>
  <c r="KI24" i="42"/>
  <c r="KP24" i="42" s="1"/>
  <c r="UU27" i="42"/>
  <c r="VB27" i="42" s="1"/>
  <c r="HS6" i="42"/>
  <c r="HZ6" i="42" s="1"/>
  <c r="SE6" i="42"/>
  <c r="SL6" i="42" s="1"/>
  <c r="OG15" i="42"/>
  <c r="ON15" i="42" s="1"/>
  <c r="AM9" i="42"/>
  <c r="AQ9" i="42" s="1"/>
  <c r="FC9" i="42"/>
  <c r="FJ9" i="42" s="1"/>
  <c r="GK20" i="42"/>
  <c r="GR20" i="42" s="1"/>
  <c r="PO20" i="42"/>
  <c r="PV20" i="42" s="1"/>
  <c r="FC14" i="42"/>
  <c r="FJ14" i="42" s="1"/>
  <c r="AM19" i="42"/>
  <c r="AQ19" i="42" s="1"/>
  <c r="MY19" i="42"/>
  <c r="NF19" i="42" s="1"/>
  <c r="AM21" i="42"/>
  <c r="AQ21" i="42" s="1"/>
  <c r="FC22" i="42"/>
  <c r="FJ22" i="42" s="1"/>
  <c r="SL25" i="42"/>
  <c r="UU24" i="42"/>
  <c r="VB24" i="42" s="1"/>
  <c r="GR4" i="42"/>
  <c r="JA7" i="42"/>
  <c r="JH7" i="42" s="1"/>
  <c r="LX16" i="42"/>
  <c r="CS22" i="42"/>
  <c r="MY22" i="42"/>
  <c r="NF22" i="42" s="1"/>
  <c r="KI26" i="42"/>
  <c r="KP26" i="42" s="1"/>
  <c r="TM26" i="42"/>
  <c r="TT26" i="42" s="1"/>
  <c r="PO6" i="42"/>
  <c r="PV6" i="42" s="1"/>
  <c r="CO10" i="42"/>
  <c r="CS10" i="42" s="1"/>
  <c r="RD10" i="42"/>
  <c r="KI15" i="42"/>
  <c r="KP15" i="42" s="1"/>
  <c r="WC15" i="42"/>
  <c r="WJ15" i="42" s="1"/>
  <c r="GR16" i="42"/>
  <c r="LX14" i="42"/>
  <c r="VB14" i="42"/>
  <c r="KP19" i="42"/>
  <c r="HS7" i="42"/>
  <c r="HZ7" i="42" s="1"/>
  <c r="TM7" i="42"/>
  <c r="TT7" i="42" s="1"/>
  <c r="KP16" i="42"/>
  <c r="LQ9" i="42"/>
  <c r="LX9" i="42" s="1"/>
  <c r="SL20" i="42"/>
  <c r="LQ22" i="42"/>
  <c r="LX22" i="42" s="1"/>
  <c r="LX18" i="42"/>
  <c r="UU18" i="42"/>
  <c r="VB18" i="42" s="1"/>
  <c r="JA26" i="42"/>
  <c r="JH26" i="42" s="1"/>
  <c r="SE26" i="42"/>
  <c r="SL26" i="42" s="1"/>
  <c r="OG6" i="42"/>
  <c r="ON6" i="42" s="1"/>
  <c r="HS8" i="42"/>
  <c r="HZ8" i="42" s="1"/>
  <c r="QW8" i="42"/>
  <c r="RD8" i="42" s="1"/>
  <c r="BN10" i="42"/>
  <c r="BR10" i="42" s="1"/>
  <c r="UU15" i="42"/>
  <c r="VB15" i="42" s="1"/>
  <c r="JA16" i="42"/>
  <c r="JH16" i="42" s="1"/>
  <c r="PV16" i="42"/>
  <c r="TM16" i="42"/>
  <c r="TT16" i="42" s="1"/>
  <c r="CO17" i="42"/>
  <c r="CS17" i="42" s="1"/>
  <c r="KI14" i="42"/>
  <c r="KP14" i="42" s="1"/>
  <c r="TM14" i="42"/>
  <c r="TT14" i="42" s="1"/>
  <c r="CO12" i="42"/>
  <c r="CS12" i="42" s="1"/>
  <c r="BN21" i="42"/>
  <c r="BR21" i="42" s="1"/>
  <c r="QW21" i="42"/>
  <c r="RD21" i="42" s="1"/>
  <c r="CO25" i="42"/>
  <c r="CS25" i="42" s="1"/>
  <c r="LQ25" i="42"/>
  <c r="LX25" i="42" s="1"/>
  <c r="CS24" i="42"/>
  <c r="G8" i="42"/>
  <c r="LQ4" i="42"/>
  <c r="LX4" i="42" s="1"/>
  <c r="UU4" i="42"/>
  <c r="VB4" i="42" s="1"/>
  <c r="KI5" i="42"/>
  <c r="KP5" i="42" s="1"/>
  <c r="TM5" i="42"/>
  <c r="TT5" i="42" s="1"/>
  <c r="GK7" i="42"/>
  <c r="GR7" i="42" s="1"/>
  <c r="SE7" i="42"/>
  <c r="SL7" i="42" s="1"/>
  <c r="F8" i="42"/>
  <c r="HS15" i="42"/>
  <c r="HZ15" i="42" s="1"/>
  <c r="HS16" i="42"/>
  <c r="HZ16" i="42" s="1"/>
  <c r="JA17" i="42"/>
  <c r="JH17" i="42" s="1"/>
  <c r="SE17" i="42"/>
  <c r="SL17" i="42" s="1"/>
  <c r="CO9" i="42"/>
  <c r="CS9" i="42" s="1"/>
  <c r="CO20" i="42"/>
  <c r="CS20" i="42" s="1"/>
  <c r="CO14" i="42"/>
  <c r="CS14" i="42" s="1"/>
  <c r="HS19" i="42"/>
  <c r="HZ19" i="42" s="1"/>
  <c r="TM19" i="42"/>
  <c r="TT19" i="42" s="1"/>
  <c r="HS11" i="42"/>
  <c r="HZ11" i="42" s="1"/>
  <c r="QW11" i="42"/>
  <c r="RD11" i="42" s="1"/>
  <c r="GK21" i="42"/>
  <c r="GR21" i="42" s="1"/>
  <c r="KI22" i="42"/>
  <c r="KP22" i="42" s="1"/>
  <c r="KI18" i="42"/>
  <c r="KP18" i="42" s="1"/>
  <c r="TM18" i="42"/>
  <c r="TT18" i="42" s="1"/>
  <c r="HS26" i="42"/>
  <c r="HZ26" i="42" s="1"/>
  <c r="QW26" i="42"/>
  <c r="RD26" i="42" s="1"/>
  <c r="FC24" i="42"/>
  <c r="FJ24" i="42" s="1"/>
  <c r="PO24" i="42"/>
  <c r="PV24" i="42" s="1"/>
  <c r="GK27" i="42"/>
  <c r="GR27" i="42" s="1"/>
  <c r="PO27" i="42"/>
  <c r="PV27" i="42" s="1"/>
  <c r="MY6" i="42"/>
  <c r="NF6" i="42" s="1"/>
  <c r="GK8" i="42"/>
  <c r="GR8" i="42" s="1"/>
  <c r="PO8" i="42"/>
  <c r="PV8" i="42" s="1"/>
  <c r="TM15" i="42"/>
  <c r="TT15" i="42" s="1"/>
  <c r="SE16" i="42"/>
  <c r="SL16" i="42" s="1"/>
  <c r="JA9" i="42"/>
  <c r="JH9" i="42" s="1"/>
  <c r="UU9" i="42"/>
  <c r="VB9" i="42" s="1"/>
  <c r="KI20" i="42"/>
  <c r="KP20" i="42" s="1"/>
  <c r="TM20" i="42"/>
  <c r="TT20" i="42" s="1"/>
  <c r="JA14" i="42"/>
  <c r="JH14" i="42" s="1"/>
  <c r="SE14" i="42"/>
  <c r="SL14" i="42" s="1"/>
  <c r="PO21" i="42"/>
  <c r="PV21" i="42" s="1"/>
  <c r="BN22" i="42"/>
  <c r="BR22" i="42" s="1"/>
  <c r="VB22" i="42"/>
  <c r="CO18" i="42"/>
  <c r="CS18" i="42" s="1"/>
  <c r="KI25" i="42"/>
  <c r="KP25" i="42" s="1"/>
  <c r="G24" i="42"/>
  <c r="G16" i="42"/>
  <c r="AM16" i="42"/>
  <c r="AQ16" i="42" s="1"/>
  <c r="G20" i="42"/>
  <c r="AM20" i="42"/>
  <c r="AQ20" i="42" s="1"/>
  <c r="G9" i="42"/>
  <c r="F13" i="42"/>
  <c r="G19" i="42"/>
  <c r="AM27" i="42"/>
  <c r="AQ27" i="42" s="1"/>
  <c r="F27" i="42"/>
  <c r="G27" i="42"/>
  <c r="AM5" i="42"/>
  <c r="AQ5" i="42" s="1"/>
  <c r="G5" i="42"/>
  <c r="BN6" i="42"/>
  <c r="BR6" i="42" s="1"/>
  <c r="G6" i="42"/>
  <c r="G7" i="42"/>
  <c r="AM13" i="42"/>
  <c r="AQ13" i="42" s="1"/>
  <c r="G13" i="42"/>
  <c r="DU17" i="42"/>
  <c r="G17" i="42"/>
  <c r="TT9" i="42"/>
  <c r="F22" i="42"/>
  <c r="F26" i="42"/>
  <c r="G4" i="42"/>
  <c r="AM8" i="42"/>
  <c r="AQ8" i="42" s="1"/>
  <c r="F10" i="42"/>
  <c r="VB16" i="42"/>
  <c r="F7" i="42"/>
  <c r="AM11" i="42"/>
  <c r="AQ11" i="42" s="1"/>
  <c r="G11" i="42"/>
  <c r="F11" i="42"/>
  <c r="SL5" i="42"/>
  <c r="F25" i="42"/>
  <c r="GR24" i="42"/>
  <c r="F16" i="42"/>
  <c r="G14" i="42"/>
  <c r="AQ14" i="42"/>
  <c r="F18" i="42"/>
  <c r="CO6" i="42"/>
  <c r="CS6" i="42" s="1"/>
  <c r="KP8" i="42"/>
  <c r="TT8" i="42"/>
  <c r="CS16" i="42"/>
  <c r="F20" i="42"/>
  <c r="G18" i="42"/>
  <c r="EB27" i="42"/>
  <c r="DU20" i="42"/>
  <c r="WC20" i="42"/>
  <c r="WJ20" i="42" s="1"/>
  <c r="FJ21" i="42"/>
  <c r="F24" i="42"/>
  <c r="F6" i="42"/>
  <c r="F21" i="42"/>
  <c r="UU20" i="42"/>
  <c r="VB20" i="42" s="1"/>
  <c r="HS14" i="42"/>
  <c r="HZ14" i="42" s="1"/>
  <c r="QW14" i="42"/>
  <c r="RD14" i="42" s="1"/>
  <c r="F19" i="42"/>
  <c r="G22" i="42"/>
  <c r="HZ18" i="42"/>
  <c r="RD18" i="42"/>
  <c r="EB13" i="42"/>
  <c r="F12" i="42"/>
  <c r="JH11" i="42"/>
  <c r="SL11" i="42"/>
  <c r="TT27" i="42"/>
  <c r="G10" i="42"/>
  <c r="F4" i="42"/>
  <c r="GR18" i="42"/>
  <c r="BN26" i="42"/>
  <c r="BR26" i="42" s="1"/>
  <c r="G26" i="42"/>
  <c r="G25" i="42"/>
  <c r="H25" i="42" s="1"/>
  <c r="A25" i="42" s="1" a="1"/>
  <c r="A25" i="42" s="1"/>
  <c r="JH27" i="42"/>
  <c r="SL27" i="42"/>
  <c r="G21" i="42"/>
  <c r="WJ22" i="42"/>
  <c r="F15" i="42"/>
  <c r="AM15" i="42"/>
  <c r="AQ15" i="42" s="1"/>
  <c r="OG20" i="42"/>
  <c r="ON20" i="42" s="1"/>
  <c r="AM24" i="42"/>
  <c r="AQ24" i="42" s="1"/>
  <c r="WJ9" i="42"/>
  <c r="MY20" i="42"/>
  <c r="NF20" i="42" s="1"/>
  <c r="DU14" i="42"/>
  <c r="MY14" i="42"/>
  <c r="NF14" i="42" s="1"/>
  <c r="WC14" i="42"/>
  <c r="WJ14" i="42" s="1"/>
  <c r="CS13" i="42"/>
  <c r="RD13" i="42"/>
  <c r="SL22" i="42"/>
  <c r="HZ27" i="42"/>
  <c r="RD27" i="42"/>
  <c r="VB7" i="42"/>
  <c r="AM7" i="42"/>
  <c r="AQ7" i="42" s="1"/>
  <c r="F9" i="42"/>
  <c r="LQ20" i="42"/>
  <c r="LX20" i="42" s="1"/>
  <c r="G12" i="42"/>
  <c r="H12" i="42" s="1"/>
  <c r="A12" i="42" s="1" a="1"/>
  <c r="A12" i="42" s="1"/>
  <c r="CO19" i="42"/>
  <c r="CS19" i="42" s="1"/>
  <c r="WJ18" i="42"/>
  <c r="F14" i="42"/>
  <c r="F17" i="42"/>
  <c r="GK4" i="41"/>
  <c r="GR8" i="41"/>
  <c r="GK7" i="41"/>
  <c r="GR7" i="41" s="1"/>
  <c r="KI5" i="41"/>
  <c r="KP5" i="41" s="1"/>
  <c r="FC10" i="41"/>
  <c r="FJ10" i="41" s="1"/>
  <c r="FC4" i="41"/>
  <c r="FC8" i="41"/>
  <c r="FJ8" i="41" s="1"/>
  <c r="DU4" i="41"/>
  <c r="DU8" i="41"/>
  <c r="BN4" i="41"/>
  <c r="BR4" i="41" s="1"/>
  <c r="BR7" i="41"/>
  <c r="AM11" i="41"/>
  <c r="AQ11" i="41" s="1"/>
  <c r="AQ10" i="41"/>
  <c r="L7" i="41"/>
  <c r="M7" i="41" s="1"/>
  <c r="BN4" i="40"/>
  <c r="BR4" i="40" s="1"/>
  <c r="BN5" i="40"/>
  <c r="BR5" i="40" s="1"/>
  <c r="AM14" i="40"/>
  <c r="AQ14" i="40" s="1"/>
  <c r="ON6" i="40"/>
  <c r="LQ4" i="40"/>
  <c r="LX4" i="40" s="1"/>
  <c r="KI8" i="40"/>
  <c r="KP8" i="40" s="1"/>
  <c r="JH14" i="40"/>
  <c r="HS11" i="40"/>
  <c r="HZ11" i="40" s="1"/>
  <c r="J7" i="40"/>
  <c r="HS4" i="40"/>
  <c r="HZ4" i="40" s="1"/>
  <c r="QW4" i="40"/>
  <c r="RD4" i="40" s="1"/>
  <c r="LQ7" i="40"/>
  <c r="LX7" i="40" s="1"/>
  <c r="UU7" i="40"/>
  <c r="VB7" i="40" s="1"/>
  <c r="TM9" i="40"/>
  <c r="BN10" i="40"/>
  <c r="BR10" i="40" s="1"/>
  <c r="GK10" i="40"/>
  <c r="GR10" i="40" s="1"/>
  <c r="GK11" i="40"/>
  <c r="GR11" i="40" s="1"/>
  <c r="JA9" i="40"/>
  <c r="JH9" i="40" s="1"/>
  <c r="KP7" i="40"/>
  <c r="TT7" i="40"/>
  <c r="GR9" i="40"/>
  <c r="CS7" i="40"/>
  <c r="CS12" i="40"/>
  <c r="AQ10" i="40"/>
  <c r="WC4" i="40"/>
  <c r="CS6" i="40"/>
  <c r="QW12" i="40"/>
  <c r="WC14" i="40"/>
  <c r="WJ14" i="40" s="1"/>
  <c r="OG4" i="40"/>
  <c r="ON4" i="40" s="1"/>
  <c r="OG9" i="40"/>
  <c r="ON9" i="40" s="1"/>
  <c r="JA11" i="40"/>
  <c r="JH11" i="40" s="1"/>
  <c r="SE11" i="40"/>
  <c r="SL11" i="40" s="1"/>
  <c r="UU4" i="40"/>
  <c r="VB4" i="40" s="1"/>
  <c r="BN7" i="40"/>
  <c r="BR7" i="40" s="1"/>
  <c r="GK7" i="40"/>
  <c r="GR7" i="40" s="1"/>
  <c r="PO7" i="40"/>
  <c r="LQ9" i="40"/>
  <c r="KI10" i="40"/>
  <c r="FJ5" i="40"/>
  <c r="ON5" i="40"/>
  <c r="NF6" i="40"/>
  <c r="WJ6" i="40"/>
  <c r="JH8" i="40"/>
  <c r="ON11" i="40"/>
  <c r="DU5" i="40"/>
  <c r="EB5" i="40" s="1"/>
  <c r="MY5" i="40"/>
  <c r="NF5" i="40" s="1"/>
  <c r="WC5" i="40"/>
  <c r="WJ5" i="40" s="1"/>
  <c r="QW8" i="40"/>
  <c r="RD8" i="40" s="1"/>
  <c r="MY11" i="40"/>
  <c r="NF11" i="40" s="1"/>
  <c r="WC11" i="40"/>
  <c r="WJ11" i="40" s="1"/>
  <c r="LQ12" i="40"/>
  <c r="LX12" i="40" s="1"/>
  <c r="UU12" i="40"/>
  <c r="VB12" i="40" s="1"/>
  <c r="LX13" i="40"/>
  <c r="AQ5" i="40"/>
  <c r="JA13" i="40"/>
  <c r="JH13" i="40" s="1"/>
  <c r="SE13" i="40"/>
  <c r="SL13" i="40" s="1"/>
  <c r="QW14" i="40"/>
  <c r="RD14" i="40" s="1"/>
  <c r="DU4" i="40"/>
  <c r="EB4" i="40" s="1"/>
  <c r="KI6" i="40"/>
  <c r="KP6" i="40" s="1"/>
  <c r="TM6" i="40"/>
  <c r="TT6" i="40" s="1"/>
  <c r="GK8" i="40"/>
  <c r="GR8" i="40" s="1"/>
  <c r="PO8" i="40"/>
  <c r="PV8" i="40" s="1"/>
  <c r="MY10" i="40"/>
  <c r="NF10" i="40" s="1"/>
  <c r="WC10" i="40"/>
  <c r="WJ10" i="40" s="1"/>
  <c r="LQ11" i="40"/>
  <c r="LX11" i="40" s="1"/>
  <c r="UU11" i="40"/>
  <c r="KI12" i="40"/>
  <c r="KP12" i="40" s="1"/>
  <c r="TM12" i="40"/>
  <c r="TT12" i="40" s="1"/>
  <c r="KI5" i="40"/>
  <c r="KP5" i="40" s="1"/>
  <c r="TM5" i="40"/>
  <c r="TT5" i="40" s="1"/>
  <c r="JA6" i="40"/>
  <c r="JH6" i="40" s="1"/>
  <c r="SE6" i="40"/>
  <c r="SL6" i="40" s="1"/>
  <c r="FC8" i="40"/>
  <c r="FJ8" i="40" s="1"/>
  <c r="OG8" i="40"/>
  <c r="ON8" i="40" s="1"/>
  <c r="LQ10" i="40"/>
  <c r="UU10" i="40"/>
  <c r="VB10" i="40" s="1"/>
  <c r="CS11" i="40"/>
  <c r="KI11" i="40"/>
  <c r="KP11" i="40" s="1"/>
  <c r="TM11" i="40"/>
  <c r="NF4" i="40"/>
  <c r="LX9" i="40"/>
  <c r="BR13" i="40"/>
  <c r="SL10" i="40"/>
  <c r="KP4" i="40"/>
  <c r="TM4" i="40"/>
  <c r="TT4" i="40" s="1"/>
  <c r="CS10" i="40"/>
  <c r="OG13" i="40"/>
  <c r="ON13" i="40" s="1"/>
  <c r="MY14" i="40"/>
  <c r="NF14" i="40" s="1"/>
  <c r="JA4" i="40"/>
  <c r="JH4" i="40" s="1"/>
  <c r="LQ8" i="40"/>
  <c r="LX8" i="40" s="1"/>
  <c r="UU8" i="40"/>
  <c r="VB8" i="40" s="1"/>
  <c r="CS9" i="40"/>
  <c r="SE10" i="40"/>
  <c r="QW11" i="40"/>
  <c r="RD11" i="40" s="1"/>
  <c r="PO12" i="40"/>
  <c r="PV12" i="40" s="1"/>
  <c r="CS4" i="40"/>
  <c r="SE4" i="40"/>
  <c r="SL4" i="40" s="1"/>
  <c r="MY7" i="40"/>
  <c r="NF7" i="40" s="1"/>
  <c r="WC7" i="40"/>
  <c r="WJ7" i="40" s="1"/>
  <c r="F6" i="40"/>
  <c r="HS12" i="40"/>
  <c r="HZ12" i="40" s="1"/>
  <c r="HS14" i="40"/>
  <c r="HZ14" i="40" s="1"/>
  <c r="GK12" i="40"/>
  <c r="GR12" i="40" s="1"/>
  <c r="FC4" i="40"/>
  <c r="FC11" i="40"/>
  <c r="FJ11" i="40" s="1"/>
  <c r="FC9" i="40"/>
  <c r="FJ9" i="40" s="1"/>
  <c r="FC13" i="40"/>
  <c r="DU9" i="40"/>
  <c r="DU14" i="40"/>
  <c r="EB14" i="40" s="1"/>
  <c r="DU7" i="40"/>
  <c r="EB7" i="40" s="1"/>
  <c r="G6" i="41"/>
  <c r="QW7" i="41"/>
  <c r="RD7" i="41" s="1"/>
  <c r="BN8" i="41"/>
  <c r="BR8" i="41" s="1"/>
  <c r="GK9" i="41"/>
  <c r="GR9" i="41" s="1"/>
  <c r="HZ5" i="41"/>
  <c r="RD5" i="41"/>
  <c r="F6" i="41"/>
  <c r="FJ7" i="41"/>
  <c r="ON7" i="41"/>
  <c r="PO9" i="41"/>
  <c r="PV9" i="41" s="1"/>
  <c r="GK6" i="41"/>
  <c r="GR6" i="41" s="1"/>
  <c r="PO6" i="41"/>
  <c r="PV6" i="41" s="1"/>
  <c r="MY8" i="41"/>
  <c r="NF8" i="41" s="1"/>
  <c r="FC9" i="41"/>
  <c r="FJ9" i="41" s="1"/>
  <c r="L11" i="41"/>
  <c r="M11" i="41" s="1"/>
  <c r="GK11" i="41"/>
  <c r="GR11" i="41" s="1"/>
  <c r="PO11" i="41"/>
  <c r="PV11" i="41" s="1"/>
  <c r="GR5" i="41"/>
  <c r="PV5" i="41"/>
  <c r="CS6" i="41"/>
  <c r="NF7" i="41"/>
  <c r="I8" i="41"/>
  <c r="OG9" i="41"/>
  <c r="ON9" i="41" s="1"/>
  <c r="DU9" i="41"/>
  <c r="EB9" i="41" s="1"/>
  <c r="FJ11" i="41"/>
  <c r="ON11" i="41"/>
  <c r="J11" i="41"/>
  <c r="K11" i="41" s="1"/>
  <c r="QW9" i="41"/>
  <c r="RD9" i="41" s="1"/>
  <c r="CS8" i="41"/>
  <c r="TM8" i="41"/>
  <c r="TT8" i="41" s="1"/>
  <c r="NF11" i="41"/>
  <c r="WJ11" i="41"/>
  <c r="NF4" i="41"/>
  <c r="LX7" i="41"/>
  <c r="G8" i="41"/>
  <c r="RD8" i="41"/>
  <c r="VB8" i="41"/>
  <c r="NF9" i="41"/>
  <c r="L10" i="41"/>
  <c r="M10" i="41" s="1"/>
  <c r="DU5" i="41"/>
  <c r="EB5" i="41" s="1"/>
  <c r="MY5" i="41"/>
  <c r="NF5" i="41" s="1"/>
  <c r="WC5" i="41"/>
  <c r="WJ5" i="41" s="1"/>
  <c r="KI7" i="41"/>
  <c r="KP7" i="41" s="1"/>
  <c r="JA8" i="41"/>
  <c r="JH8" i="41" s="1"/>
  <c r="PV8" i="41"/>
  <c r="LQ9" i="41"/>
  <c r="LX9" i="41" s="1"/>
  <c r="WC9" i="41"/>
  <c r="WJ9" i="41" s="1"/>
  <c r="HZ10" i="41"/>
  <c r="LQ10" i="41"/>
  <c r="LX10" i="41" s="1"/>
  <c r="I11" i="41"/>
  <c r="LQ6" i="41"/>
  <c r="UU6" i="41"/>
  <c r="CS7" i="41"/>
  <c r="SE8" i="41"/>
  <c r="SL8" i="41" s="1"/>
  <c r="CS10" i="41"/>
  <c r="UU10" i="41"/>
  <c r="VB10" i="41" s="1"/>
  <c r="LQ11" i="41"/>
  <c r="LX11" i="41" s="1"/>
  <c r="UU11" i="41"/>
  <c r="VB11" i="41" s="1"/>
  <c r="I5" i="41"/>
  <c r="BR5" i="41"/>
  <c r="LQ5" i="41"/>
  <c r="LX5" i="41" s="1"/>
  <c r="UU5" i="41"/>
  <c r="VB5" i="41" s="1"/>
  <c r="HS8" i="41"/>
  <c r="HZ8" i="41" s="1"/>
  <c r="ON8" i="41"/>
  <c r="KI10" i="41"/>
  <c r="KP10" i="41" s="1"/>
  <c r="G8" i="40"/>
  <c r="WC9" i="40"/>
  <c r="WJ9" i="40" s="1"/>
  <c r="RD10" i="40"/>
  <c r="I12" i="40"/>
  <c r="LQ6" i="40"/>
  <c r="LX6" i="40" s="1"/>
  <c r="UU6" i="40"/>
  <c r="VB6" i="40" s="1"/>
  <c r="HS8" i="40"/>
  <c r="HZ8" i="40" s="1"/>
  <c r="SE8" i="40"/>
  <c r="SL8" i="40" s="1"/>
  <c r="JA10" i="40"/>
  <c r="JH10" i="40" s="1"/>
  <c r="TM10" i="40"/>
  <c r="TT10" i="40" s="1"/>
  <c r="JA12" i="40"/>
  <c r="JH12" i="40" s="1"/>
  <c r="SE12" i="40"/>
  <c r="SL12" i="40" s="1"/>
  <c r="L5" i="40"/>
  <c r="M5" i="40" s="1"/>
  <c r="LQ5" i="40"/>
  <c r="LX5" i="40" s="1"/>
  <c r="UU5" i="40"/>
  <c r="VB5" i="40" s="1"/>
  <c r="JA7" i="40"/>
  <c r="JH7" i="40" s="1"/>
  <c r="SE7" i="40"/>
  <c r="SL7" i="40" s="1"/>
  <c r="KI9" i="40"/>
  <c r="KP9" i="40" s="1"/>
  <c r="UU9" i="40"/>
  <c r="VB9" i="40" s="1"/>
  <c r="L12" i="40"/>
  <c r="M12" i="40" s="1"/>
  <c r="HS13" i="40"/>
  <c r="HZ13" i="40" s="1"/>
  <c r="QW13" i="40"/>
  <c r="RD13" i="40" s="1"/>
  <c r="GK14" i="40"/>
  <c r="GR14" i="40" s="1"/>
  <c r="PO14" i="40"/>
  <c r="PV14" i="40" s="1"/>
  <c r="L7" i="40"/>
  <c r="M7" i="40" s="1"/>
  <c r="HZ10" i="40"/>
  <c r="RD12" i="40"/>
  <c r="I5" i="40"/>
  <c r="CS5" i="40"/>
  <c r="WJ8" i="40"/>
  <c r="BR11" i="40"/>
  <c r="BR12" i="40"/>
  <c r="I14" i="40"/>
  <c r="F13" i="40"/>
  <c r="CS8" i="40"/>
  <c r="TT9" i="40"/>
  <c r="ON14" i="40"/>
  <c r="JH5" i="40"/>
  <c r="SL5" i="40"/>
  <c r="PV7" i="40"/>
  <c r="BN8" i="40"/>
  <c r="BR8" i="40" s="1"/>
  <c r="HS9" i="40"/>
  <c r="HZ9" i="40" s="1"/>
  <c r="SE9" i="40"/>
  <c r="SL9" i="40" s="1"/>
  <c r="HS6" i="40"/>
  <c r="HZ6" i="40" s="1"/>
  <c r="QW6" i="40"/>
  <c r="DU8" i="40"/>
  <c r="EB8" i="40" s="1"/>
  <c r="FC10" i="40"/>
  <c r="FJ10" i="40" s="1"/>
  <c r="LX10" i="40"/>
  <c r="PO10" i="40"/>
  <c r="PV10" i="40" s="1"/>
  <c r="FC12" i="40"/>
  <c r="FJ12" i="40" s="1"/>
  <c r="OG12" i="40"/>
  <c r="ON12" i="40" s="1"/>
  <c r="F8" i="40"/>
  <c r="HS5" i="40"/>
  <c r="HZ5" i="40" s="1"/>
  <c r="QW5" i="40"/>
  <c r="RD5" i="40" s="1"/>
  <c r="FC7" i="40"/>
  <c r="FJ7" i="40" s="1"/>
  <c r="OG7" i="40"/>
  <c r="ON7" i="40" s="1"/>
  <c r="MY8" i="40"/>
  <c r="NF8" i="40" s="1"/>
  <c r="QW9" i="40"/>
  <c r="RD9" i="40" s="1"/>
  <c r="DU13" i="40"/>
  <c r="MY13" i="40"/>
  <c r="NF13" i="40" s="1"/>
  <c r="WC13" i="40"/>
  <c r="WJ13" i="40" s="1"/>
  <c r="L14" i="40"/>
  <c r="M14" i="40" s="1"/>
  <c r="LQ14" i="40"/>
  <c r="LX14" i="40" s="1"/>
  <c r="UU14" i="40"/>
  <c r="VB14" i="40" s="1"/>
  <c r="MY9" i="40"/>
  <c r="NF9" i="40" s="1"/>
  <c r="GK6" i="40"/>
  <c r="GR6" i="40" s="1"/>
  <c r="PO6" i="40"/>
  <c r="PV6" i="40" s="1"/>
  <c r="DU10" i="40"/>
  <c r="EB10" i="40" s="1"/>
  <c r="KP10" i="40"/>
  <c r="OG10" i="40"/>
  <c r="ON10" i="40" s="1"/>
  <c r="DU12" i="40"/>
  <c r="EB12" i="40" s="1"/>
  <c r="MY12" i="40"/>
  <c r="NF12" i="40" s="1"/>
  <c r="WC12" i="40"/>
  <c r="WJ12" i="40" s="1"/>
  <c r="EB7" i="41"/>
  <c r="AM8" i="41"/>
  <c r="AQ8" i="41" s="1"/>
  <c r="G11" i="41"/>
  <c r="L6" i="41"/>
  <c r="M6" i="41" s="1"/>
  <c r="J6" i="41"/>
  <c r="AM6" i="41"/>
  <c r="AQ6" i="41" s="1"/>
  <c r="I9" i="41"/>
  <c r="F9" i="41"/>
  <c r="G10" i="41"/>
  <c r="EB11" i="41"/>
  <c r="G5" i="41"/>
  <c r="EB6" i="41"/>
  <c r="NF6" i="41"/>
  <c r="WJ6" i="41"/>
  <c r="J9" i="41"/>
  <c r="I10" i="41"/>
  <c r="I4" i="41"/>
  <c r="F4" i="41"/>
  <c r="J5" i="41"/>
  <c r="F8" i="41"/>
  <c r="J10" i="41"/>
  <c r="LX6" i="41"/>
  <c r="VB6" i="41"/>
  <c r="L4" i="41"/>
  <c r="M4" i="41" s="1"/>
  <c r="J4" i="41"/>
  <c r="AM4" i="41"/>
  <c r="AQ4" i="41" s="1"/>
  <c r="G4" i="41"/>
  <c r="L5" i="41"/>
  <c r="M5" i="41" s="1"/>
  <c r="J7" i="41"/>
  <c r="L9" i="41"/>
  <c r="M9" i="41" s="1"/>
  <c r="F11" i="41"/>
  <c r="G9" i="41"/>
  <c r="BN9" i="41"/>
  <c r="BR9" i="41" s="1"/>
  <c r="KP6" i="41"/>
  <c r="TT6" i="41"/>
  <c r="EB10" i="41"/>
  <c r="GR4" i="41"/>
  <c r="F5" i="41"/>
  <c r="F10" i="41"/>
  <c r="I6" i="41"/>
  <c r="FJ4" i="41"/>
  <c r="JH6" i="41"/>
  <c r="SL6" i="41"/>
  <c r="EB8" i="41"/>
  <c r="EB4" i="41"/>
  <c r="WJ4" i="41"/>
  <c r="L8" i="41"/>
  <c r="M8" i="41" s="1"/>
  <c r="J8" i="41"/>
  <c r="F7" i="41"/>
  <c r="G7" i="41"/>
  <c r="AM9" i="41"/>
  <c r="AQ9" i="41" s="1"/>
  <c r="I7" i="41"/>
  <c r="AM7" i="41"/>
  <c r="AQ7" i="41" s="1"/>
  <c r="EB9" i="40"/>
  <c r="L10" i="40"/>
  <c r="G14" i="40"/>
  <c r="I11" i="40"/>
  <c r="F11" i="40"/>
  <c r="J12" i="40"/>
  <c r="I8" i="40"/>
  <c r="L8" i="40"/>
  <c r="M8" i="40" s="1"/>
  <c r="AM8" i="40"/>
  <c r="AQ8" i="40" s="1"/>
  <c r="J8" i="40"/>
  <c r="L11" i="40"/>
  <c r="M11" i="40" s="1"/>
  <c r="BR14" i="40"/>
  <c r="I4" i="40"/>
  <c r="F4" i="40"/>
  <c r="J5" i="40"/>
  <c r="F12" i="40"/>
  <c r="G10" i="40"/>
  <c r="L4" i="40"/>
  <c r="M4" i="40" s="1"/>
  <c r="I9" i="40"/>
  <c r="G12" i="40"/>
  <c r="GR13" i="40"/>
  <c r="PV13" i="40"/>
  <c r="F5" i="40"/>
  <c r="RD6" i="40"/>
  <c r="I10" i="40"/>
  <c r="EB11" i="40"/>
  <c r="I13" i="40"/>
  <c r="G6" i="40"/>
  <c r="L6" i="40"/>
  <c r="M6" i="40" s="1"/>
  <c r="J6" i="40"/>
  <c r="AM6" i="40"/>
  <c r="AQ6" i="40" s="1"/>
  <c r="L9" i="40"/>
  <c r="M9" i="40" s="1"/>
  <c r="J10" i="40"/>
  <c r="VB11" i="40"/>
  <c r="FJ13" i="40"/>
  <c r="F14" i="40"/>
  <c r="I7" i="40"/>
  <c r="FJ4" i="40"/>
  <c r="G5" i="40"/>
  <c r="K7" i="40"/>
  <c r="HS7" i="40"/>
  <c r="HZ7" i="40" s="1"/>
  <c r="QW7" i="40"/>
  <c r="RD7" i="40" s="1"/>
  <c r="F10" i="40"/>
  <c r="TT11" i="40"/>
  <c r="G13" i="40"/>
  <c r="L13" i="40"/>
  <c r="M13" i="40" s="1"/>
  <c r="J13" i="40"/>
  <c r="AM13" i="40"/>
  <c r="AQ13" i="40" s="1"/>
  <c r="EB6" i="40"/>
  <c r="WJ4" i="40"/>
  <c r="I6" i="40"/>
  <c r="AQ12" i="40"/>
  <c r="EB13" i="40"/>
  <c r="J14" i="40"/>
  <c r="G4" i="40"/>
  <c r="G11" i="40"/>
  <c r="F9" i="40"/>
  <c r="AM4" i="40"/>
  <c r="AQ4" i="40" s="1"/>
  <c r="G9" i="40"/>
  <c r="AM11" i="40"/>
  <c r="AQ11" i="40" s="1"/>
  <c r="J4" i="40"/>
  <c r="F7" i="40"/>
  <c r="J11" i="40"/>
  <c r="G7" i="40"/>
  <c r="AM9" i="40"/>
  <c r="AQ9" i="40" s="1"/>
  <c r="J9" i="40"/>
  <c r="AM7" i="40"/>
  <c r="AQ7" i="40" s="1"/>
  <c r="LQ18" i="39"/>
  <c r="LX18" i="39" s="1"/>
  <c r="UU18" i="39"/>
  <c r="VB18" i="39" s="1"/>
  <c r="WC13" i="39"/>
  <c r="WJ13" i="39" s="1"/>
  <c r="PO10" i="39"/>
  <c r="PV10" i="39" s="1"/>
  <c r="TM5" i="39"/>
  <c r="TT5" i="39" s="1"/>
  <c r="LQ14" i="39"/>
  <c r="LX14" i="39" s="1"/>
  <c r="UU14" i="39"/>
  <c r="VB14" i="39" s="1"/>
  <c r="PO11" i="39"/>
  <c r="PV11" i="39" s="1"/>
  <c r="LQ10" i="39"/>
  <c r="LX10" i="39" s="1"/>
  <c r="CS17" i="39"/>
  <c r="GK4" i="39"/>
  <c r="GR4" i="39" s="1"/>
  <c r="PO4" i="39"/>
  <c r="PV4" i="39" s="1"/>
  <c r="LQ6" i="39"/>
  <c r="LX6" i="39" s="1"/>
  <c r="UU6" i="39"/>
  <c r="VB6" i="39" s="1"/>
  <c r="HS8" i="39"/>
  <c r="QW8" i="39"/>
  <c r="FC19" i="39"/>
  <c r="OG19" i="39"/>
  <c r="ON19" i="39" s="1"/>
  <c r="TM13" i="39"/>
  <c r="TT13" i="39" s="1"/>
  <c r="HS11" i="39"/>
  <c r="HZ11" i="39" s="1"/>
  <c r="FC5" i="39"/>
  <c r="OG5" i="39"/>
  <c r="SE13" i="39"/>
  <c r="SL13" i="39" s="1"/>
  <c r="AQ9" i="39"/>
  <c r="WC11" i="39"/>
  <c r="WJ11" i="39" s="1"/>
  <c r="WC10" i="39"/>
  <c r="WJ10" i="39" s="1"/>
  <c r="LQ11" i="39"/>
  <c r="LX11" i="39" s="1"/>
  <c r="OG10" i="39"/>
  <c r="ON10" i="39" s="1"/>
  <c r="KI13" i="39"/>
  <c r="KP13" i="39" s="1"/>
  <c r="MY13" i="39"/>
  <c r="NF13" i="39" s="1"/>
  <c r="MY11" i="39"/>
  <c r="NF11" i="39" s="1"/>
  <c r="DU11" i="39"/>
  <c r="EB11" i="39" s="1"/>
  <c r="SL11" i="39"/>
  <c r="OG11" i="39"/>
  <c r="ON11" i="39" s="1"/>
  <c r="MY10" i="39"/>
  <c r="NF10" i="39" s="1"/>
  <c r="GK11" i="39"/>
  <c r="GR11" i="39" s="1"/>
  <c r="PO13" i="39"/>
  <c r="PV13" i="39" s="1"/>
  <c r="FC13" i="39"/>
  <c r="FJ13" i="39" s="1"/>
  <c r="CS7" i="39"/>
  <c r="GK13" i="39"/>
  <c r="GR13" i="39" s="1"/>
  <c r="BR13" i="39"/>
  <c r="TM11" i="39"/>
  <c r="TT11" i="39" s="1"/>
  <c r="UU11" i="39"/>
  <c r="VB11" i="39" s="1"/>
  <c r="BN10" i="39"/>
  <c r="BR10" i="39" s="1"/>
  <c r="AM12" i="39"/>
  <c r="AQ12" i="39" s="1"/>
  <c r="HS10" i="39"/>
  <c r="HZ10" i="39" s="1"/>
  <c r="SE9" i="39"/>
  <c r="SL9" i="39" s="1"/>
  <c r="RD11" i="39"/>
  <c r="LQ13" i="39"/>
  <c r="LX13" i="39" s="1"/>
  <c r="CS9" i="39"/>
  <c r="UU5" i="39"/>
  <c r="VB5" i="39" s="1"/>
  <c r="HS7" i="39"/>
  <c r="HZ7" i="39" s="1"/>
  <c r="QW7" i="39"/>
  <c r="RD7" i="39" s="1"/>
  <c r="SE16" i="39"/>
  <c r="HS13" i="39"/>
  <c r="JA10" i="39"/>
  <c r="JH10" i="39" s="1"/>
  <c r="QW12" i="39"/>
  <c r="RD12" i="39" s="1"/>
  <c r="DU4" i="39"/>
  <c r="WC4" i="39"/>
  <c r="WJ4" i="39" s="1"/>
  <c r="OG4" i="39"/>
  <c r="ON4" i="39" s="1"/>
  <c r="UU13" i="39"/>
  <c r="VB13" i="39" s="1"/>
  <c r="JA13" i="39"/>
  <c r="JH13" i="39" s="1"/>
  <c r="KI10" i="39"/>
  <c r="KP10" i="39" s="1"/>
  <c r="CS19" i="39"/>
  <c r="JH11" i="39"/>
  <c r="LX8" i="39"/>
  <c r="VB8" i="39"/>
  <c r="CS14" i="39"/>
  <c r="SL19" i="39"/>
  <c r="BR11" i="39"/>
  <c r="UU4" i="39"/>
  <c r="VB4" i="39" s="1"/>
  <c r="WJ7" i="39"/>
  <c r="SL14" i="39"/>
  <c r="OG17" i="39"/>
  <c r="ON17" i="39" s="1"/>
  <c r="KP18" i="39"/>
  <c r="TT18" i="39"/>
  <c r="OG9" i="39"/>
  <c r="ON9" i="39" s="1"/>
  <c r="JA4" i="39"/>
  <c r="JH4" i="39" s="1"/>
  <c r="SE4" i="39"/>
  <c r="SL4" i="39" s="1"/>
  <c r="KI8" i="39"/>
  <c r="KP8" i="39" s="1"/>
  <c r="TM8" i="39"/>
  <c r="TT8" i="39" s="1"/>
  <c r="GK15" i="39"/>
  <c r="PO15" i="39"/>
  <c r="PV15" i="39" s="1"/>
  <c r="CS18" i="39"/>
  <c r="WC12" i="39"/>
  <c r="WJ12" i="39" s="1"/>
  <c r="DU12" i="39"/>
  <c r="EB12" i="39" s="1"/>
  <c r="CO11" i="39"/>
  <c r="CS11" i="39" s="1"/>
  <c r="TM10" i="39"/>
  <c r="TT10" i="39" s="1"/>
  <c r="GK5" i="39"/>
  <c r="GR5" i="39" s="1"/>
  <c r="PO5" i="39"/>
  <c r="PV5" i="39" s="1"/>
  <c r="LQ7" i="39"/>
  <c r="LX7" i="39" s="1"/>
  <c r="UU7" i="39"/>
  <c r="VB7" i="39" s="1"/>
  <c r="CS8" i="39"/>
  <c r="QW14" i="39"/>
  <c r="RD14" i="39" s="1"/>
  <c r="DU16" i="39"/>
  <c r="WC16" i="39"/>
  <c r="WJ16" i="39" s="1"/>
  <c r="HS4" i="39"/>
  <c r="HZ4" i="39" s="1"/>
  <c r="QW4" i="39"/>
  <c r="RD4" i="39" s="1"/>
  <c r="DU6" i="39"/>
  <c r="MY6" i="39"/>
  <c r="NF6" i="39" s="1"/>
  <c r="WC6" i="39"/>
  <c r="WJ6" i="39" s="1"/>
  <c r="FC15" i="39"/>
  <c r="OG15" i="39"/>
  <c r="ON15" i="39" s="1"/>
  <c r="PO19" i="39"/>
  <c r="QW13" i="39"/>
  <c r="RD13" i="39" s="1"/>
  <c r="UU10" i="39"/>
  <c r="VB10" i="39" s="1"/>
  <c r="ON13" i="39"/>
  <c r="TM12" i="39"/>
  <c r="TT12" i="39" s="1"/>
  <c r="SL10" i="39"/>
  <c r="UU9" i="39"/>
  <c r="VB9" i="39" s="1"/>
  <c r="RD10" i="39"/>
  <c r="PO14" i="39"/>
  <c r="PV14" i="39" s="1"/>
  <c r="LQ16" i="39"/>
  <c r="LX16" i="39" s="1"/>
  <c r="UU16" i="39"/>
  <c r="VB16" i="39" s="1"/>
  <c r="KI11" i="39"/>
  <c r="KP11" i="39" s="1"/>
  <c r="DU10" i="39"/>
  <c r="EB10" i="39" s="1"/>
  <c r="NF5" i="39"/>
  <c r="UU12" i="39"/>
  <c r="VB12" i="39" s="1"/>
  <c r="WC9" i="39"/>
  <c r="WJ9" i="39" s="1"/>
  <c r="TM9" i="39"/>
  <c r="TT9" i="39" s="1"/>
  <c r="WJ5" i="39"/>
  <c r="FJ14" i="39"/>
  <c r="ON14" i="39"/>
  <c r="TM17" i="39"/>
  <c r="TT17" i="39" s="1"/>
  <c r="SE17" i="39"/>
  <c r="SE6" i="39"/>
  <c r="KI15" i="39"/>
  <c r="KP15" i="39" s="1"/>
  <c r="TM15" i="39"/>
  <c r="TT15" i="39" s="1"/>
  <c r="DU13" i="39"/>
  <c r="OG12" i="39"/>
  <c r="ON12" i="39" s="1"/>
  <c r="FC10" i="39"/>
  <c r="FJ10" i="39" s="1"/>
  <c r="PO9" i="39"/>
  <c r="PV9" i="39" s="1"/>
  <c r="GK9" i="39"/>
  <c r="GR9" i="39" s="1"/>
  <c r="BN9" i="39"/>
  <c r="TM14" i="39"/>
  <c r="TT14" i="39" s="1"/>
  <c r="JA12" i="39"/>
  <c r="JH12" i="39" s="1"/>
  <c r="BN7" i="39"/>
  <c r="BR7" i="39" s="1"/>
  <c r="QW16" i="39"/>
  <c r="RD16" i="39" s="1"/>
  <c r="SE12" i="39"/>
  <c r="SL12" i="39" s="1"/>
  <c r="TM4" i="39"/>
  <c r="TT4" i="39" s="1"/>
  <c r="SE5" i="39"/>
  <c r="SL5" i="39" s="1"/>
  <c r="HS6" i="39"/>
  <c r="HZ6" i="39" s="1"/>
  <c r="QW6" i="39"/>
  <c r="WC14" i="39"/>
  <c r="WJ14" i="39" s="1"/>
  <c r="JA15" i="39"/>
  <c r="JH15" i="39" s="1"/>
  <c r="SE15" i="39"/>
  <c r="SL15" i="39" s="1"/>
  <c r="TM19" i="39"/>
  <c r="TT19" i="39" s="1"/>
  <c r="PO12" i="39"/>
  <c r="PV12" i="39" s="1"/>
  <c r="GK12" i="39"/>
  <c r="GR12" i="39" s="1"/>
  <c r="BR12" i="39"/>
  <c r="FC11" i="39"/>
  <c r="FJ11" i="39" s="1"/>
  <c r="GK10" i="39"/>
  <c r="GR10" i="39" s="1"/>
  <c r="QW9" i="39"/>
  <c r="RD9" i="39" s="1"/>
  <c r="HS9" i="39"/>
  <c r="HZ9" i="39" s="1"/>
  <c r="PO17" i="39"/>
  <c r="PO18" i="39"/>
  <c r="PV18" i="39" s="1"/>
  <c r="PO8" i="39"/>
  <c r="PV8" i="39" s="1"/>
  <c r="ON5" i="39"/>
  <c r="MY9" i="39"/>
  <c r="NF9" i="39" s="1"/>
  <c r="MY19" i="39"/>
  <c r="NF19" i="39" s="1"/>
  <c r="MY4" i="39"/>
  <c r="NF4" i="39" s="1"/>
  <c r="MY14" i="39"/>
  <c r="NF14" i="39" s="1"/>
  <c r="MY12" i="39"/>
  <c r="NF12" i="39" s="1"/>
  <c r="LQ9" i="39"/>
  <c r="LX9" i="39" s="1"/>
  <c r="LQ12" i="39"/>
  <c r="LX12" i="39" s="1"/>
  <c r="LQ5" i="39"/>
  <c r="LX5" i="39" s="1"/>
  <c r="LQ4" i="39"/>
  <c r="LX4" i="39" s="1"/>
  <c r="KI12" i="39"/>
  <c r="KP12" i="39" s="1"/>
  <c r="KI9" i="39"/>
  <c r="KP9" i="39" s="1"/>
  <c r="KI17" i="39"/>
  <c r="KP17" i="39" s="1"/>
  <c r="KI5" i="39"/>
  <c r="KP5" i="39" s="1"/>
  <c r="KI4" i="39"/>
  <c r="KP4" i="39" s="1"/>
  <c r="KI14" i="39"/>
  <c r="KP14" i="39" s="1"/>
  <c r="KI19" i="39"/>
  <c r="KP19" i="39" s="1"/>
  <c r="JA6" i="39"/>
  <c r="JH6" i="39" s="1"/>
  <c r="JA16" i="39"/>
  <c r="JH16" i="39" s="1"/>
  <c r="JA17" i="39"/>
  <c r="JA9" i="39"/>
  <c r="JH9" i="39" s="1"/>
  <c r="JA5" i="39"/>
  <c r="JH5" i="39" s="1"/>
  <c r="JA14" i="39"/>
  <c r="JH14" i="39" s="1"/>
  <c r="JA19" i="39"/>
  <c r="JH19" i="39" s="1"/>
  <c r="HZ13" i="39"/>
  <c r="HS14" i="39"/>
  <c r="HZ14" i="39" s="1"/>
  <c r="HS12" i="39"/>
  <c r="HZ12" i="39" s="1"/>
  <c r="GK17" i="39"/>
  <c r="GR17" i="39" s="1"/>
  <c r="GK14" i="39"/>
  <c r="GR14" i="39" s="1"/>
  <c r="GK19" i="39"/>
  <c r="GR19" i="39" s="1"/>
  <c r="FJ5" i="39"/>
  <c r="FC17" i="39"/>
  <c r="FJ17" i="39" s="1"/>
  <c r="FC12" i="39"/>
  <c r="FJ12" i="39" s="1"/>
  <c r="FC4" i="39"/>
  <c r="FJ4" i="39" s="1"/>
  <c r="FC9" i="39"/>
  <c r="FJ9" i="39" s="1"/>
  <c r="EB5" i="39"/>
  <c r="DU9" i="39"/>
  <c r="EB9" i="39" s="1"/>
  <c r="DU14" i="39"/>
  <c r="EB14" i="39" s="1"/>
  <c r="CS10" i="39"/>
  <c r="CS13" i="39"/>
  <c r="CS12" i="39"/>
  <c r="CS16" i="39"/>
  <c r="CS15" i="39"/>
  <c r="BR14" i="39"/>
  <c r="BR19" i="39"/>
  <c r="G15" i="39"/>
  <c r="I12" i="39"/>
  <c r="I9" i="39"/>
  <c r="AQ11" i="39"/>
  <c r="I11" i="39"/>
  <c r="G12" i="39"/>
  <c r="AQ13" i="39"/>
  <c r="F10" i="39"/>
  <c r="F12" i="39"/>
  <c r="G11" i="39"/>
  <c r="F9" i="39"/>
  <c r="AM6" i="39"/>
  <c r="I13" i="39"/>
  <c r="I10" i="39"/>
  <c r="AM16" i="39"/>
  <c r="AM17" i="39"/>
  <c r="F11" i="39"/>
  <c r="G10" i="39"/>
  <c r="G9" i="39"/>
  <c r="G13" i="39"/>
  <c r="AM10" i="39"/>
  <c r="F13" i="39"/>
  <c r="EB13" i="39"/>
  <c r="I5" i="39"/>
  <c r="DU17" i="39"/>
  <c r="EB17" i="39" s="1"/>
  <c r="MY17" i="39"/>
  <c r="NF17" i="39" s="1"/>
  <c r="WC17" i="39"/>
  <c r="WJ17" i="39" s="1"/>
  <c r="KI7" i="39"/>
  <c r="KP7" i="39" s="1"/>
  <c r="TM7" i="39"/>
  <c r="TT7" i="39" s="1"/>
  <c r="HS16" i="39"/>
  <c r="HZ16" i="39" s="1"/>
  <c r="JA18" i="39"/>
  <c r="JH18" i="39" s="1"/>
  <c r="SE18" i="39"/>
  <c r="SL18" i="39" s="1"/>
  <c r="HS19" i="39"/>
  <c r="HZ19" i="39" s="1"/>
  <c r="QW19" i="39"/>
  <c r="RD19" i="39" s="1"/>
  <c r="AM4" i="39"/>
  <c r="KI6" i="39"/>
  <c r="KP6" i="39" s="1"/>
  <c r="TM6" i="39"/>
  <c r="TT6" i="39" s="1"/>
  <c r="JA8" i="39"/>
  <c r="JH8" i="39" s="1"/>
  <c r="SE8" i="39"/>
  <c r="SL8" i="39" s="1"/>
  <c r="HS15" i="39"/>
  <c r="HZ15" i="39" s="1"/>
  <c r="QW15" i="39"/>
  <c r="RD15" i="39" s="1"/>
  <c r="BN16" i="39"/>
  <c r="BR16" i="39" s="1"/>
  <c r="GK16" i="39"/>
  <c r="GR16" i="39" s="1"/>
  <c r="TM16" i="39"/>
  <c r="TT16" i="39" s="1"/>
  <c r="LQ17" i="39"/>
  <c r="LX17" i="39" s="1"/>
  <c r="UU17" i="39"/>
  <c r="VB17" i="39" s="1"/>
  <c r="CO6" i="39"/>
  <c r="CS6" i="39" s="1"/>
  <c r="JA7" i="39"/>
  <c r="JH7" i="39" s="1"/>
  <c r="SE7" i="39"/>
  <c r="SL7" i="39" s="1"/>
  <c r="I15" i="39"/>
  <c r="HS18" i="39"/>
  <c r="HZ18" i="39" s="1"/>
  <c r="QW18" i="39"/>
  <c r="RD18" i="39" s="1"/>
  <c r="PV19" i="39"/>
  <c r="G5" i="39"/>
  <c r="GR15" i="39"/>
  <c r="FJ16" i="39"/>
  <c r="SL16" i="39"/>
  <c r="CS5" i="39"/>
  <c r="BR8" i="39"/>
  <c r="FJ19" i="39"/>
  <c r="BR17" i="39"/>
  <c r="JH17" i="39"/>
  <c r="SL17" i="39"/>
  <c r="FJ15" i="39"/>
  <c r="GK7" i="39"/>
  <c r="GR7" i="39" s="1"/>
  <c r="PO7" i="39"/>
  <c r="PV7" i="39" s="1"/>
  <c r="BN15" i="39"/>
  <c r="BR15" i="39" s="1"/>
  <c r="FC18" i="39"/>
  <c r="FJ18" i="39" s="1"/>
  <c r="OG18" i="39"/>
  <c r="ON18" i="39" s="1"/>
  <c r="WJ19" i="39"/>
  <c r="RD6" i="39"/>
  <c r="BN6" i="39"/>
  <c r="BR6" i="39" s="1"/>
  <c r="GK6" i="39"/>
  <c r="GR6" i="39" s="1"/>
  <c r="PO6" i="39"/>
  <c r="PV6" i="39" s="1"/>
  <c r="FC8" i="39"/>
  <c r="FJ8" i="39" s="1"/>
  <c r="OG8" i="39"/>
  <c r="ON8" i="39" s="1"/>
  <c r="DU15" i="39"/>
  <c r="EB15" i="39" s="1"/>
  <c r="MY15" i="39"/>
  <c r="NF15" i="39" s="1"/>
  <c r="WC15" i="39"/>
  <c r="WJ15" i="39" s="1"/>
  <c r="PO16" i="39"/>
  <c r="PV16" i="39" s="1"/>
  <c r="F17" i="39"/>
  <c r="HS17" i="39"/>
  <c r="HZ17" i="39" s="1"/>
  <c r="QW17" i="39"/>
  <c r="RD17" i="39" s="1"/>
  <c r="F18" i="39"/>
  <c r="BN18" i="39"/>
  <c r="BR18" i="39" s="1"/>
  <c r="AM19" i="39"/>
  <c r="G14" i="39"/>
  <c r="SL6" i="39"/>
  <c r="I19" i="39"/>
  <c r="CO4" i="39"/>
  <c r="CS4" i="39" s="1"/>
  <c r="FC7" i="39"/>
  <c r="FJ7" i="39" s="1"/>
  <c r="OG7" i="39"/>
  <c r="ON7" i="39" s="1"/>
  <c r="AM14" i="39"/>
  <c r="AM15" i="39"/>
  <c r="OG16" i="39"/>
  <c r="ON16" i="39" s="1"/>
  <c r="DU18" i="39"/>
  <c r="EB18" i="39" s="1"/>
  <c r="MY18" i="39"/>
  <c r="NF18" i="39" s="1"/>
  <c r="WC18" i="39"/>
  <c r="WJ18" i="39" s="1"/>
  <c r="LQ19" i="39"/>
  <c r="LX19" i="39" s="1"/>
  <c r="UU19" i="39"/>
  <c r="VB19" i="39" s="1"/>
  <c r="BN5" i="39"/>
  <c r="BR5" i="39" s="1"/>
  <c r="FC6" i="39"/>
  <c r="FJ6" i="39" s="1"/>
  <c r="OG6" i="39"/>
  <c r="ON6" i="39" s="1"/>
  <c r="AM7" i="39"/>
  <c r="DU8" i="39"/>
  <c r="EB8" i="39" s="1"/>
  <c r="MY8" i="39"/>
  <c r="NF8" i="39" s="1"/>
  <c r="WC8" i="39"/>
  <c r="WJ8" i="39" s="1"/>
  <c r="LQ15" i="39"/>
  <c r="LX15" i="39" s="1"/>
  <c r="UU15" i="39"/>
  <c r="VB15" i="39" s="1"/>
  <c r="MY16" i="39"/>
  <c r="NF16" i="39" s="1"/>
  <c r="PV17" i="39"/>
  <c r="AM18" i="39"/>
  <c r="EB6" i="39"/>
  <c r="EB19" i="39"/>
  <c r="F16" i="39"/>
  <c r="I6" i="39"/>
  <c r="G6" i="39"/>
  <c r="F6" i="39"/>
  <c r="HZ8" i="39"/>
  <c r="RD8" i="39"/>
  <c r="EB4" i="39"/>
  <c r="G4" i="39"/>
  <c r="BN4" i="39"/>
  <c r="BR4" i="39" s="1"/>
  <c r="GR8" i="39"/>
  <c r="I7" i="39"/>
  <c r="F7" i="39"/>
  <c r="I8" i="39"/>
  <c r="F15" i="39"/>
  <c r="EB16" i="39"/>
  <c r="I14" i="39"/>
  <c r="I16" i="39"/>
  <c r="G8" i="39"/>
  <c r="AM8" i="39"/>
  <c r="I4" i="39"/>
  <c r="F5" i="39"/>
  <c r="F4" i="39"/>
  <c r="AM5" i="39"/>
  <c r="G7" i="39"/>
  <c r="I18" i="39"/>
  <c r="F14" i="39"/>
  <c r="G17" i="39"/>
  <c r="I17" i="39"/>
  <c r="F19" i="39"/>
  <c r="G19" i="39"/>
  <c r="F8" i="39"/>
  <c r="G16" i="39"/>
  <c r="G18" i="39"/>
  <c r="PY10" i="38"/>
  <c r="PR5" i="38"/>
  <c r="PY5" i="38" s="1"/>
  <c r="OQ11" i="38"/>
  <c r="OJ10" i="38"/>
  <c r="OQ10" i="38" s="1"/>
  <c r="NB4" i="38"/>
  <c r="NI4" i="38" s="1"/>
  <c r="NI12" i="38"/>
  <c r="NB11" i="38"/>
  <c r="NI11" i="38" s="1"/>
  <c r="LT14" i="38"/>
  <c r="MA14" i="38" s="1"/>
  <c r="MA8" i="38"/>
  <c r="LT9" i="38"/>
  <c r="MA12" i="38"/>
  <c r="LT7" i="38"/>
  <c r="MA7" i="38" s="1"/>
  <c r="KS8" i="38"/>
  <c r="KS10" i="38"/>
  <c r="KL13" i="38"/>
  <c r="KS13" i="38" s="1"/>
  <c r="JK9" i="38"/>
  <c r="JK5" i="38"/>
  <c r="JK8" i="38"/>
  <c r="JD12" i="38"/>
  <c r="JK12" i="38" s="1"/>
  <c r="HV10" i="38"/>
  <c r="HV6" i="38"/>
  <c r="HV14" i="38"/>
  <c r="IC14" i="38" s="1"/>
  <c r="HV8" i="38"/>
  <c r="IC8" i="38" s="1"/>
  <c r="IC10" i="38"/>
  <c r="GN8" i="38"/>
  <c r="GU8" i="38" s="1"/>
  <c r="GN7" i="38"/>
  <c r="GU7" i="38" s="1"/>
  <c r="CV10" i="38"/>
  <c r="J14" i="38"/>
  <c r="J13" i="38"/>
  <c r="CV13" i="38" s="1"/>
  <c r="CU13" i="38"/>
  <c r="CQ11" i="38"/>
  <c r="CU11" i="38" s="1"/>
  <c r="BP6" i="38"/>
  <c r="BT6" i="38" s="1"/>
  <c r="J4" i="38"/>
  <c r="K4" i="38" s="1"/>
  <c r="BP11" i="38"/>
  <c r="BT11" i="38" s="1"/>
  <c r="J7" i="38"/>
  <c r="BP8" i="38"/>
  <c r="BT8" i="38" s="1"/>
  <c r="J11" i="38"/>
  <c r="I5" i="38"/>
  <c r="CQ7" i="38"/>
  <c r="CU7" i="38" s="1"/>
  <c r="DX9" i="38"/>
  <c r="TW10" i="38"/>
  <c r="JK14" i="38"/>
  <c r="KL6" i="38"/>
  <c r="KS6" i="38" s="1"/>
  <c r="TP6" i="38"/>
  <c r="TW6" i="38" s="1"/>
  <c r="JD7" i="38"/>
  <c r="JK7" i="38" s="1"/>
  <c r="SH7" i="38"/>
  <c r="SO7" i="38" s="1"/>
  <c r="RG8" i="38"/>
  <c r="OJ9" i="38"/>
  <c r="OQ9" i="38" s="1"/>
  <c r="JK11" i="38"/>
  <c r="KL4" i="38"/>
  <c r="KS4" i="38" s="1"/>
  <c r="TP4" i="38"/>
  <c r="TW4" i="38" s="1"/>
  <c r="J5" i="38"/>
  <c r="BP7" i="38"/>
  <c r="BT7" i="38" s="1"/>
  <c r="TP8" i="38"/>
  <c r="TW8" i="38" s="1"/>
  <c r="CQ9" i="38"/>
  <c r="CU9" i="38" s="1"/>
  <c r="LT10" i="38"/>
  <c r="MA10" i="38" s="1"/>
  <c r="SO10" i="38"/>
  <c r="LT11" i="38"/>
  <c r="MA11" i="38" s="1"/>
  <c r="I4" i="38"/>
  <c r="SO5" i="38"/>
  <c r="JD6" i="38"/>
  <c r="JK6" i="38" s="1"/>
  <c r="SH6" i="38"/>
  <c r="SO6" i="38" s="1"/>
  <c r="HV7" i="38"/>
  <c r="IC7" i="38" s="1"/>
  <c r="QZ7" i="38"/>
  <c r="RG7" i="38" s="1"/>
  <c r="NB9" i="38"/>
  <c r="NI9" i="38" s="1"/>
  <c r="G10" i="38"/>
  <c r="JK4" i="38"/>
  <c r="SO4" i="38"/>
  <c r="WF9" i="38"/>
  <c r="WM9" i="38" s="1"/>
  <c r="WF10" i="38"/>
  <c r="WM10" i="38" s="1"/>
  <c r="FM11" i="38"/>
  <c r="GU13" i="38"/>
  <c r="BT5" i="38"/>
  <c r="RG5" i="38"/>
  <c r="IC6" i="38"/>
  <c r="F7" i="38"/>
  <c r="PY7" i="38"/>
  <c r="I8" i="38"/>
  <c r="MA9" i="38"/>
  <c r="FM13" i="38"/>
  <c r="IC4" i="38"/>
  <c r="RG4" i="38"/>
  <c r="J8" i="38"/>
  <c r="NI8" i="38"/>
  <c r="UX9" i="38"/>
  <c r="VE9" i="38" s="1"/>
  <c r="UX10" i="38"/>
  <c r="VE10" i="38" s="1"/>
  <c r="EE11" i="38"/>
  <c r="WM11" i="38"/>
  <c r="HV5" i="38"/>
  <c r="IC5" i="38" s="1"/>
  <c r="GN6" i="38"/>
  <c r="GU6" i="38" s="1"/>
  <c r="PR6" i="38"/>
  <c r="PY6" i="38" s="1"/>
  <c r="FF7" i="38"/>
  <c r="FM7" i="38" s="1"/>
  <c r="OJ7" i="38"/>
  <c r="OQ7" i="38" s="1"/>
  <c r="BT9" i="38"/>
  <c r="CQ10" i="38"/>
  <c r="CU10" i="38" s="1"/>
  <c r="BT12" i="38"/>
  <c r="GN12" i="38"/>
  <c r="GU12" i="38" s="1"/>
  <c r="PY13" i="38"/>
  <c r="I11" i="38"/>
  <c r="BP4" i="38"/>
  <c r="BT4" i="38" s="1"/>
  <c r="GN4" i="38"/>
  <c r="GU4" i="38" s="1"/>
  <c r="PR4" i="38"/>
  <c r="PY4" i="38" s="1"/>
  <c r="PR8" i="38"/>
  <c r="PY8" i="38" s="1"/>
  <c r="TP9" i="38"/>
  <c r="TW9" i="38" s="1"/>
  <c r="BP13" i="38"/>
  <c r="BT13" i="38" s="1"/>
  <c r="TW13" i="38"/>
  <c r="GN14" i="38"/>
  <c r="GU14" i="38" s="1"/>
  <c r="DX5" i="38"/>
  <c r="EE5" i="38" s="1"/>
  <c r="GN5" i="38"/>
  <c r="GU5" i="38" s="1"/>
  <c r="OJ5" i="38"/>
  <c r="OQ5" i="38" s="1"/>
  <c r="FF6" i="38"/>
  <c r="FM6" i="38" s="1"/>
  <c r="OJ6" i="38"/>
  <c r="OQ6" i="38" s="1"/>
  <c r="I7" i="38"/>
  <c r="NB7" i="38"/>
  <c r="NI7" i="38" s="1"/>
  <c r="WF7" i="38"/>
  <c r="WM7" i="38" s="1"/>
  <c r="CQ8" i="38"/>
  <c r="CU8" i="38" s="1"/>
  <c r="OJ8" i="38"/>
  <c r="OQ8" i="38" s="1"/>
  <c r="HV9" i="38"/>
  <c r="IC9" i="38" s="1"/>
  <c r="BP10" i="38"/>
  <c r="BT10" i="38" s="1"/>
  <c r="GN10" i="38"/>
  <c r="GU10" i="38" s="1"/>
  <c r="QZ10" i="38"/>
  <c r="RG10" i="38" s="1"/>
  <c r="FF12" i="38"/>
  <c r="FM12" i="38" s="1"/>
  <c r="OJ12" i="38"/>
  <c r="OQ12" i="38" s="1"/>
  <c r="CU14" i="38"/>
  <c r="QZ14" i="38"/>
  <c r="RG14" i="38" s="1"/>
  <c r="FF4" i="38"/>
  <c r="FM4" i="38" s="1"/>
  <c r="OJ4" i="38"/>
  <c r="OQ4" i="38" s="1"/>
  <c r="AO5" i="38"/>
  <c r="VE8" i="38"/>
  <c r="GN11" i="38"/>
  <c r="GU11" i="38" s="1"/>
  <c r="PR11" i="38"/>
  <c r="PY11" i="38" s="1"/>
  <c r="RG13" i="38"/>
  <c r="FF14" i="38"/>
  <c r="FM14" i="38" s="1"/>
  <c r="EE9" i="38"/>
  <c r="K6" i="38"/>
  <c r="CV6" i="38"/>
  <c r="K11" i="38"/>
  <c r="G5" i="38"/>
  <c r="K7" i="38"/>
  <c r="DX7" i="38"/>
  <c r="K10" i="38"/>
  <c r="CQ4" i="38"/>
  <c r="CU4" i="38" s="1"/>
  <c r="TP5" i="38"/>
  <c r="TW5" i="38" s="1"/>
  <c r="RG12" i="38"/>
  <c r="IC13" i="38"/>
  <c r="EE12" i="38"/>
  <c r="K5" i="38"/>
  <c r="CV5" i="38"/>
  <c r="AO11" i="38"/>
  <c r="AS11" i="38" s="1"/>
  <c r="G9" i="38"/>
  <c r="EE13" i="38"/>
  <c r="F8" i="38"/>
  <c r="EE10" i="38"/>
  <c r="VE13" i="38"/>
  <c r="CQ5" i="38"/>
  <c r="CU5" i="38" s="1"/>
  <c r="G7" i="38"/>
  <c r="F10" i="38"/>
  <c r="I13" i="38"/>
  <c r="F13" i="38"/>
  <c r="F4" i="38"/>
  <c r="G11" i="38"/>
  <c r="F5" i="38"/>
  <c r="G8" i="38"/>
  <c r="VE12" i="38"/>
  <c r="G13" i="38"/>
  <c r="AO13" i="38"/>
  <c r="AS13" i="38" s="1"/>
  <c r="AO8" i="38"/>
  <c r="AS8" i="38" s="1"/>
  <c r="I9" i="38"/>
  <c r="F9" i="38"/>
  <c r="AO10" i="38"/>
  <c r="AS10" i="38" s="1"/>
  <c r="K13" i="38"/>
  <c r="G6" i="38"/>
  <c r="AO7" i="38"/>
  <c r="AS7" i="38" s="1"/>
  <c r="I12" i="38"/>
  <c r="F12" i="38"/>
  <c r="OQ13" i="38"/>
  <c r="K14" i="38"/>
  <c r="CV14" i="38"/>
  <c r="AS5" i="38"/>
  <c r="AO6" i="38"/>
  <c r="AS6" i="38" s="1"/>
  <c r="F11" i="38"/>
  <c r="KL11" i="38"/>
  <c r="KS11" i="38" s="1"/>
  <c r="NI13" i="38"/>
  <c r="G4" i="38"/>
  <c r="KS9" i="38"/>
  <c r="I10" i="38"/>
  <c r="AO12" i="38"/>
  <c r="AS12" i="38" s="1"/>
  <c r="G12" i="38"/>
  <c r="MA13" i="38"/>
  <c r="SH14" i="38"/>
  <c r="SO14" i="38" s="1"/>
  <c r="HV11" i="38"/>
  <c r="IC11" i="38" s="1"/>
  <c r="F14" i="38"/>
  <c r="KL14" i="38"/>
  <c r="KS14" i="38" s="1"/>
  <c r="G14" i="38"/>
  <c r="I14" i="38"/>
  <c r="AO14" i="38"/>
  <c r="AS14" i="38" s="1"/>
  <c r="I6" i="38"/>
  <c r="UX11" i="38"/>
  <c r="VE11" i="38" s="1"/>
  <c r="TP11" i="38"/>
  <c r="TW11" i="38" s="1"/>
  <c r="J12" i="38"/>
  <c r="DX14" i="38"/>
  <c r="WF14" i="38"/>
  <c r="WM14" i="38" s="1"/>
  <c r="WF5" i="38"/>
  <c r="WM5" i="38" s="1"/>
  <c r="F6" i="38"/>
  <c r="SH11" i="38"/>
  <c r="SO11" i="38" s="1"/>
  <c r="UX14" i="38"/>
  <c r="VE14" i="38" s="1"/>
  <c r="UX5" i="38"/>
  <c r="VE5" i="38" s="1"/>
  <c r="J9" i="38"/>
  <c r="QZ11" i="38"/>
  <c r="RG11" i="38" s="1"/>
  <c r="TP14" i="38"/>
  <c r="TW14" i="38" s="1"/>
  <c r="J15" i="4"/>
  <c r="J19" i="4"/>
  <c r="J12" i="4"/>
  <c r="WF19" i="4"/>
  <c r="WM19" i="4" s="1"/>
  <c r="NB19" i="4"/>
  <c r="NI19" i="4" s="1"/>
  <c r="DX19" i="4"/>
  <c r="AO17" i="4"/>
  <c r="AS17" i="4" s="1"/>
  <c r="CQ12" i="4"/>
  <c r="CU12" i="4" s="1"/>
  <c r="SH12" i="4"/>
  <c r="SO12" i="4" s="1"/>
  <c r="JD12" i="4"/>
  <c r="JK12" i="4" s="1"/>
  <c r="DX12" i="4"/>
  <c r="FF12" i="4"/>
  <c r="FM12" i="4" s="1"/>
  <c r="DX7" i="4"/>
  <c r="DX10" i="4"/>
  <c r="DX15" i="4"/>
  <c r="FF7" i="4"/>
  <c r="FM7" i="4" s="1"/>
  <c r="FF10" i="4"/>
  <c r="FM10" i="4" s="1"/>
  <c r="FF15" i="4"/>
  <c r="FM15" i="4" s="1"/>
  <c r="GN10" i="4"/>
  <c r="GU10" i="4" s="1"/>
  <c r="GN15" i="4"/>
  <c r="GU15" i="4" s="1"/>
  <c r="HV7" i="4"/>
  <c r="IC7" i="4" s="1"/>
  <c r="HV15" i="4"/>
  <c r="IC15" i="4" s="1"/>
  <c r="JD10" i="4"/>
  <c r="JK10" i="4" s="1"/>
  <c r="JD15" i="4"/>
  <c r="JK15" i="4" s="1"/>
  <c r="KL10" i="4"/>
  <c r="KS10" i="4" s="1"/>
  <c r="KL15" i="4"/>
  <c r="KS15" i="4" s="1"/>
  <c r="LT7" i="4"/>
  <c r="MA7" i="4" s="1"/>
  <c r="LT10" i="4"/>
  <c r="MA10" i="4" s="1"/>
  <c r="LT15" i="4"/>
  <c r="MA15" i="4" s="1"/>
  <c r="NB7" i="4"/>
  <c r="NI7" i="4" s="1"/>
  <c r="NB10" i="4"/>
  <c r="NI10" i="4" s="1"/>
  <c r="NB15" i="4"/>
  <c r="NI15" i="4" s="1"/>
  <c r="OJ7" i="4"/>
  <c r="OQ7" i="4" s="1"/>
  <c r="OJ10" i="4"/>
  <c r="OQ10" i="4" s="1"/>
  <c r="OJ15" i="4"/>
  <c r="OQ15" i="4" s="1"/>
  <c r="PR7" i="4"/>
  <c r="PY7" i="4" s="1"/>
  <c r="PR10" i="4"/>
  <c r="PY10" i="4" s="1"/>
  <c r="PR15" i="4"/>
  <c r="PY15" i="4" s="1"/>
  <c r="QZ7" i="4"/>
  <c r="RG7" i="4" s="1"/>
  <c r="QZ10" i="4"/>
  <c r="RG10" i="4" s="1"/>
  <c r="QZ15" i="4"/>
  <c r="RG15" i="4" s="1"/>
  <c r="SH7" i="4"/>
  <c r="SO7" i="4" s="1"/>
  <c r="SH10" i="4"/>
  <c r="SO10" i="4" s="1"/>
  <c r="SH15" i="4"/>
  <c r="SO15" i="4" s="1"/>
  <c r="TP7" i="4"/>
  <c r="TW7" i="4" s="1"/>
  <c r="TP10" i="4"/>
  <c r="TW10" i="4" s="1"/>
  <c r="TP15" i="4"/>
  <c r="TW15" i="4" s="1"/>
  <c r="UX7" i="4"/>
  <c r="VE7" i="4" s="1"/>
  <c r="UX10" i="4"/>
  <c r="VE10" i="4" s="1"/>
  <c r="UX15" i="4"/>
  <c r="VE15" i="4" s="1"/>
  <c r="LT12" i="4"/>
  <c r="MA12" i="4" s="1"/>
  <c r="BP7" i="4"/>
  <c r="BT7" i="4" s="1"/>
  <c r="SH19" i="4"/>
  <c r="SO19" i="4" s="1"/>
  <c r="JD19" i="4"/>
  <c r="JK19" i="4" s="1"/>
  <c r="QZ12" i="4"/>
  <c r="RG12" i="4" s="1"/>
  <c r="TP19" i="4"/>
  <c r="TW19" i="4" s="1"/>
  <c r="BP21" i="4"/>
  <c r="BT21" i="4" s="1"/>
  <c r="OJ12" i="4"/>
  <c r="OQ12" i="4" s="1"/>
  <c r="AO6" i="4"/>
  <c r="AS6" i="4" s="1"/>
  <c r="AO26" i="4"/>
  <c r="AS26" i="4" s="1"/>
  <c r="BP14" i="4"/>
  <c r="BT14" i="4" s="1"/>
  <c r="QZ19" i="4"/>
  <c r="RG19" i="4" s="1"/>
  <c r="HV19" i="4"/>
  <c r="IC19" i="4" s="1"/>
  <c r="BT19" i="4"/>
  <c r="NB12" i="4"/>
  <c r="NI12" i="4" s="1"/>
  <c r="BP11" i="4"/>
  <c r="BT11" i="4" s="1"/>
  <c r="KL12" i="4"/>
  <c r="KS12" i="4" s="1"/>
  <c r="AO21" i="4"/>
  <c r="AS21" i="4" s="1"/>
  <c r="BP8" i="4"/>
  <c r="BT8" i="4" s="1"/>
  <c r="BP23" i="4"/>
  <c r="BT23" i="4" s="1"/>
  <c r="WF12" i="4"/>
  <c r="WM12" i="4" s="1"/>
  <c r="AO14" i="4"/>
  <c r="AS14" i="4" s="1"/>
  <c r="BP6" i="4"/>
  <c r="BT6" i="4" s="1"/>
  <c r="KL7" i="4"/>
  <c r="KS7" i="4" s="1"/>
  <c r="HV12" i="4"/>
  <c r="IC12" i="4" s="1"/>
  <c r="BP12" i="4"/>
  <c r="BT12" i="4" s="1"/>
  <c r="UX12" i="4"/>
  <c r="VE12" i="4" s="1"/>
  <c r="OJ19" i="4"/>
  <c r="OQ19" i="4" s="1"/>
  <c r="FF19" i="4"/>
  <c r="FM19" i="4" s="1"/>
  <c r="BP18" i="4"/>
  <c r="BT18" i="4" s="1"/>
  <c r="CQ19" i="4"/>
  <c r="CU19" i="4" s="1"/>
  <c r="TP12" i="4"/>
  <c r="TW12" i="4" s="1"/>
  <c r="GN12" i="4"/>
  <c r="GU12" i="4" s="1"/>
  <c r="AO22" i="4"/>
  <c r="AS22" i="4" s="1"/>
  <c r="BT26" i="4"/>
  <c r="BT24" i="4"/>
  <c r="BP10" i="4"/>
  <c r="BT10" i="4" s="1"/>
  <c r="BP4" i="4"/>
  <c r="BT4" i="4" s="1"/>
  <c r="AO8" i="4"/>
  <c r="AS8" i="4" s="1"/>
  <c r="AO23" i="4"/>
  <c r="AS23" i="4" s="1"/>
  <c r="BP15" i="4"/>
  <c r="BT15" i="4" s="1"/>
  <c r="PR12" i="4"/>
  <c r="PY12" i="4" s="1"/>
  <c r="AO12" i="4"/>
  <c r="AS12" i="4" s="1"/>
  <c r="G12" i="4"/>
  <c r="F12" i="4"/>
  <c r="AO13" i="4"/>
  <c r="AS13" i="4" s="1"/>
  <c r="BP9" i="4"/>
  <c r="BT9" i="4" s="1"/>
  <c r="BT25" i="4"/>
  <c r="BP5" i="4"/>
  <c r="BT5" i="4" s="1"/>
  <c r="DX22" i="4"/>
  <c r="DX14" i="4"/>
  <c r="DX26" i="4"/>
  <c r="FF22" i="4"/>
  <c r="FM22" i="4" s="1"/>
  <c r="FF14" i="4"/>
  <c r="FM14" i="4" s="1"/>
  <c r="FF26" i="4"/>
  <c r="FM26" i="4" s="1"/>
  <c r="GN22" i="4"/>
  <c r="GU22" i="4" s="1"/>
  <c r="GN14" i="4"/>
  <c r="GU14" i="4" s="1"/>
  <c r="GN26" i="4"/>
  <c r="GU26" i="4" s="1"/>
  <c r="HV22" i="4"/>
  <c r="IC22" i="4" s="1"/>
  <c r="HV14" i="4"/>
  <c r="IC14" i="4" s="1"/>
  <c r="HV26" i="4"/>
  <c r="IC26" i="4" s="1"/>
  <c r="JD22" i="4"/>
  <c r="JK22" i="4" s="1"/>
  <c r="JD14" i="4"/>
  <c r="JK14" i="4" s="1"/>
  <c r="JD26" i="4"/>
  <c r="JK26" i="4" s="1"/>
  <c r="KL22" i="4"/>
  <c r="KS22" i="4" s="1"/>
  <c r="KL14" i="4"/>
  <c r="KS14" i="4" s="1"/>
  <c r="KL26" i="4"/>
  <c r="KS26" i="4" s="1"/>
  <c r="LT22" i="4"/>
  <c r="MA22" i="4" s="1"/>
  <c r="LT14" i="4"/>
  <c r="MA14" i="4" s="1"/>
  <c r="LT26" i="4"/>
  <c r="MA26" i="4" s="1"/>
  <c r="NB22" i="4"/>
  <c r="NI22" i="4" s="1"/>
  <c r="NB14" i="4"/>
  <c r="NI14" i="4" s="1"/>
  <c r="NB26" i="4"/>
  <c r="NI26" i="4" s="1"/>
  <c r="OJ22" i="4"/>
  <c r="OQ22" i="4" s="1"/>
  <c r="OJ14" i="4"/>
  <c r="OQ14" i="4" s="1"/>
  <c r="OJ26" i="4"/>
  <c r="OQ26" i="4" s="1"/>
  <c r="PR22" i="4"/>
  <c r="PY22" i="4" s="1"/>
  <c r="PR14" i="4"/>
  <c r="PY14" i="4" s="1"/>
  <c r="PR26" i="4"/>
  <c r="PY26" i="4" s="1"/>
  <c r="QZ22" i="4"/>
  <c r="RG22" i="4" s="1"/>
  <c r="QZ14" i="4"/>
  <c r="RG14" i="4" s="1"/>
  <c r="QZ26" i="4"/>
  <c r="RG26" i="4" s="1"/>
  <c r="SH22" i="4"/>
  <c r="SO22" i="4" s="1"/>
  <c r="SH14" i="4"/>
  <c r="SO14" i="4" s="1"/>
  <c r="SH26" i="4"/>
  <c r="SO26" i="4" s="1"/>
  <c r="TP22" i="4"/>
  <c r="TW22" i="4" s="1"/>
  <c r="TP14" i="4"/>
  <c r="TW14" i="4" s="1"/>
  <c r="TP26" i="4"/>
  <c r="TW26" i="4" s="1"/>
  <c r="UX22" i="4"/>
  <c r="VE22" i="4" s="1"/>
  <c r="UX14" i="4"/>
  <c r="VE14" i="4" s="1"/>
  <c r="UX26" i="4"/>
  <c r="VE26" i="4" s="1"/>
  <c r="AO4" i="4"/>
  <c r="AS4" i="4" s="1"/>
  <c r="AO15" i="4"/>
  <c r="AS15" i="4" s="1"/>
  <c r="UX19" i="4"/>
  <c r="VE19" i="4" s="1"/>
  <c r="PR19" i="4"/>
  <c r="PY19" i="4" s="1"/>
  <c r="LT19" i="4"/>
  <c r="MA19" i="4" s="1"/>
  <c r="KL19" i="4"/>
  <c r="KS19" i="4" s="1"/>
  <c r="GN19" i="4"/>
  <c r="GU19" i="4" s="1"/>
  <c r="AS19" i="4"/>
  <c r="G19" i="4"/>
  <c r="F19" i="4"/>
  <c r="AO11" i="4"/>
  <c r="AS11" i="4" s="1"/>
  <c r="BP22" i="4"/>
  <c r="BT22" i="4" s="1"/>
  <c r="AO10" i="4"/>
  <c r="AS10" i="4" s="1"/>
  <c r="AO9" i="4"/>
  <c r="AS9" i="4" s="1"/>
  <c r="BP17" i="4"/>
  <c r="BT17" i="4" s="1"/>
  <c r="AO24" i="4"/>
  <c r="AS24" i="4" s="1"/>
  <c r="AO25" i="4"/>
  <c r="AS25" i="4" s="1"/>
  <c r="AO7" i="4"/>
  <c r="AS7" i="4" s="1"/>
  <c r="AO20" i="4"/>
  <c r="AS20" i="4" s="1"/>
  <c r="BP13" i="4"/>
  <c r="BT13" i="4" s="1"/>
  <c r="BP16" i="4"/>
  <c r="BT16" i="4" s="1"/>
  <c r="BT20" i="4"/>
  <c r="AO5" i="4"/>
  <c r="AS5" i="4" s="1"/>
  <c r="AO18" i="4"/>
  <c r="AS18" i="4" s="1"/>
  <c r="AO16" i="4"/>
  <c r="AS16" i="4" s="1"/>
  <c r="DX8" i="4"/>
  <c r="DX21" i="4"/>
  <c r="DX20" i="4"/>
  <c r="FF8" i="4"/>
  <c r="FM8" i="4" s="1"/>
  <c r="FF20" i="4"/>
  <c r="FM20" i="4" s="1"/>
  <c r="GN8" i="4"/>
  <c r="GU8" i="4" s="1"/>
  <c r="GN20" i="4"/>
  <c r="GU20" i="4" s="1"/>
  <c r="HV8" i="4"/>
  <c r="IC8" i="4" s="1"/>
  <c r="HV21" i="4"/>
  <c r="IC21" i="4" s="1"/>
  <c r="HV20" i="4"/>
  <c r="IC20" i="4" s="1"/>
  <c r="JD8" i="4"/>
  <c r="JK8" i="4" s="1"/>
  <c r="JD21" i="4"/>
  <c r="JK21" i="4" s="1"/>
  <c r="JD20" i="4"/>
  <c r="JK20" i="4" s="1"/>
  <c r="KL8" i="4"/>
  <c r="KS8" i="4" s="1"/>
  <c r="LT21" i="4"/>
  <c r="MA21" i="4" s="1"/>
  <c r="LT20" i="4"/>
  <c r="MA20" i="4" s="1"/>
  <c r="NB21" i="4"/>
  <c r="NI21" i="4" s="1"/>
  <c r="SH21" i="4"/>
  <c r="SO21" i="4" s="1"/>
  <c r="SH20" i="4"/>
  <c r="SO20" i="4" s="1"/>
  <c r="TP8" i="4"/>
  <c r="TW8" i="4" s="1"/>
  <c r="TP21" i="4"/>
  <c r="TW21" i="4" s="1"/>
  <c r="TP20" i="4"/>
  <c r="TW20" i="4" s="1"/>
  <c r="UX8" i="4"/>
  <c r="VE8" i="4" s="1"/>
  <c r="UX21" i="4"/>
  <c r="VE21" i="4" s="1"/>
  <c r="FF21" i="4"/>
  <c r="FM21" i="4" s="1"/>
  <c r="KL21" i="4"/>
  <c r="KS21" i="4" s="1"/>
  <c r="KL20" i="4"/>
  <c r="KS20" i="4" s="1"/>
  <c r="LT8" i="4"/>
  <c r="MA8" i="4" s="1"/>
  <c r="NB8" i="4"/>
  <c r="NI8" i="4" s="1"/>
  <c r="NB20" i="4"/>
  <c r="NI20" i="4" s="1"/>
  <c r="OJ8" i="4"/>
  <c r="OQ8" i="4" s="1"/>
  <c r="OJ21" i="4"/>
  <c r="OQ21" i="4" s="1"/>
  <c r="OJ20" i="4"/>
  <c r="OQ20" i="4" s="1"/>
  <c r="PR8" i="4"/>
  <c r="PY8" i="4" s="1"/>
  <c r="PR21" i="4"/>
  <c r="PY21" i="4" s="1"/>
  <c r="PR20" i="4"/>
  <c r="PY20" i="4" s="1"/>
  <c r="QZ8" i="4"/>
  <c r="RG8" i="4" s="1"/>
  <c r="QZ21" i="4"/>
  <c r="RG21" i="4" s="1"/>
  <c r="QZ20" i="4"/>
  <c r="RG20" i="4" s="1"/>
  <c r="SH8" i="4"/>
  <c r="SO8" i="4" s="1"/>
  <c r="GN21" i="4"/>
  <c r="GU21" i="4" s="1"/>
  <c r="JD7" i="4"/>
  <c r="JK7" i="4" s="1"/>
  <c r="UX20" i="4"/>
  <c r="VE20" i="4" s="1"/>
  <c r="CQ15" i="4"/>
  <c r="CU15" i="4" s="1"/>
  <c r="DX6" i="4"/>
  <c r="DX11" i="4"/>
  <c r="DX18" i="4"/>
  <c r="FF6" i="4"/>
  <c r="FM6" i="4" s="1"/>
  <c r="FF11" i="4"/>
  <c r="FM11" i="4" s="1"/>
  <c r="FF18" i="4"/>
  <c r="FM18" i="4" s="1"/>
  <c r="GN6" i="4"/>
  <c r="GU6" i="4" s="1"/>
  <c r="GN11" i="4"/>
  <c r="GU11" i="4" s="1"/>
  <c r="GN18" i="4"/>
  <c r="GU18" i="4" s="1"/>
  <c r="HV6" i="4"/>
  <c r="IC6" i="4" s="1"/>
  <c r="HV18" i="4"/>
  <c r="IC18" i="4" s="1"/>
  <c r="JD6" i="4"/>
  <c r="JK6" i="4" s="1"/>
  <c r="JD11" i="4"/>
  <c r="JK11" i="4" s="1"/>
  <c r="JD18" i="4"/>
  <c r="JK18" i="4" s="1"/>
  <c r="KL6" i="4"/>
  <c r="KS6" i="4" s="1"/>
  <c r="KL11" i="4"/>
  <c r="KS11" i="4" s="1"/>
  <c r="KL18" i="4"/>
  <c r="KS18" i="4" s="1"/>
  <c r="LT6" i="4"/>
  <c r="MA6" i="4" s="1"/>
  <c r="LT11" i="4"/>
  <c r="MA11" i="4" s="1"/>
  <c r="LT18" i="4"/>
  <c r="MA18" i="4" s="1"/>
  <c r="NB6" i="4"/>
  <c r="NI6" i="4" s="1"/>
  <c r="NB11" i="4"/>
  <c r="NI11" i="4" s="1"/>
  <c r="NB18" i="4"/>
  <c r="NI18" i="4" s="1"/>
  <c r="OJ6" i="4"/>
  <c r="OQ6" i="4" s="1"/>
  <c r="OJ11" i="4"/>
  <c r="OQ11" i="4" s="1"/>
  <c r="OJ18" i="4"/>
  <c r="OQ18" i="4" s="1"/>
  <c r="PR6" i="4"/>
  <c r="PY6" i="4" s="1"/>
  <c r="PR11" i="4"/>
  <c r="PY11" i="4" s="1"/>
  <c r="PR18" i="4"/>
  <c r="PY18" i="4" s="1"/>
  <c r="QZ6" i="4"/>
  <c r="RG6" i="4" s="1"/>
  <c r="QZ11" i="4"/>
  <c r="RG11" i="4" s="1"/>
  <c r="QZ18" i="4"/>
  <c r="RG18" i="4" s="1"/>
  <c r="SH6" i="4"/>
  <c r="SO6" i="4" s="1"/>
  <c r="SH11" i="4"/>
  <c r="SO11" i="4" s="1"/>
  <c r="SH18" i="4"/>
  <c r="SO18" i="4" s="1"/>
  <c r="TP6" i="4"/>
  <c r="TW6" i="4" s="1"/>
  <c r="TP11" i="4"/>
  <c r="TW11" i="4" s="1"/>
  <c r="TP18" i="4"/>
  <c r="TW18" i="4" s="1"/>
  <c r="UX6" i="4"/>
  <c r="VE6" i="4" s="1"/>
  <c r="UX11" i="4"/>
  <c r="VE11" i="4" s="1"/>
  <c r="UX18" i="4"/>
  <c r="VE18" i="4" s="1"/>
  <c r="DX4" i="4"/>
  <c r="DX23" i="4"/>
  <c r="DX16" i="4"/>
  <c r="FF4" i="4"/>
  <c r="FM4" i="4" s="1"/>
  <c r="FF23" i="4"/>
  <c r="FM23" i="4" s="1"/>
  <c r="FF16" i="4"/>
  <c r="FM16" i="4" s="1"/>
  <c r="GN23" i="4"/>
  <c r="GU23" i="4" s="1"/>
  <c r="GN16" i="4"/>
  <c r="GU16" i="4" s="1"/>
  <c r="HV4" i="4"/>
  <c r="IC4" i="4" s="1"/>
  <c r="HV23" i="4"/>
  <c r="IC23" i="4" s="1"/>
  <c r="HV16" i="4"/>
  <c r="IC16" i="4" s="1"/>
  <c r="JD4" i="4"/>
  <c r="JK4" i="4" s="1"/>
  <c r="JD23" i="4"/>
  <c r="JK23" i="4" s="1"/>
  <c r="JD16" i="4"/>
  <c r="JK16" i="4" s="1"/>
  <c r="KL4" i="4"/>
  <c r="KS4" i="4" s="1"/>
  <c r="KL23" i="4"/>
  <c r="KS23" i="4" s="1"/>
  <c r="KL16" i="4"/>
  <c r="KS16" i="4" s="1"/>
  <c r="LT4" i="4"/>
  <c r="MA4" i="4" s="1"/>
  <c r="LT23" i="4"/>
  <c r="MA23" i="4" s="1"/>
  <c r="LT16" i="4"/>
  <c r="MA16" i="4" s="1"/>
  <c r="NB4" i="4"/>
  <c r="NI4" i="4" s="1"/>
  <c r="NB23" i="4"/>
  <c r="NI23" i="4" s="1"/>
  <c r="NB16" i="4"/>
  <c r="NI16" i="4" s="1"/>
  <c r="OJ4" i="4"/>
  <c r="OQ4" i="4" s="1"/>
  <c r="OJ23" i="4"/>
  <c r="OQ23" i="4" s="1"/>
  <c r="OJ16" i="4"/>
  <c r="OQ16" i="4" s="1"/>
  <c r="PR4" i="4"/>
  <c r="PY4" i="4" s="1"/>
  <c r="PR23" i="4"/>
  <c r="PY23" i="4" s="1"/>
  <c r="PR16" i="4"/>
  <c r="PY16" i="4" s="1"/>
  <c r="QZ4" i="4"/>
  <c r="RG4" i="4" s="1"/>
  <c r="QZ23" i="4"/>
  <c r="RG23" i="4" s="1"/>
  <c r="QZ16" i="4"/>
  <c r="RG16" i="4" s="1"/>
  <c r="SH4" i="4"/>
  <c r="SO4" i="4" s="1"/>
  <c r="SH23" i="4"/>
  <c r="SO23" i="4" s="1"/>
  <c r="SH16" i="4"/>
  <c r="SO16" i="4" s="1"/>
  <c r="TP4" i="4"/>
  <c r="TW4" i="4" s="1"/>
  <c r="TP23" i="4"/>
  <c r="TW23" i="4" s="1"/>
  <c r="TP16" i="4"/>
  <c r="TW16" i="4" s="1"/>
  <c r="UX4" i="4"/>
  <c r="VE4" i="4" s="1"/>
  <c r="UX23" i="4"/>
  <c r="VE23" i="4" s="1"/>
  <c r="UX16" i="4"/>
  <c r="VE16" i="4" s="1"/>
  <c r="DX5" i="4"/>
  <c r="DX17" i="4"/>
  <c r="DX24" i="4"/>
  <c r="FF5" i="4"/>
  <c r="FM5" i="4" s="1"/>
  <c r="FF17" i="4"/>
  <c r="FM17" i="4" s="1"/>
  <c r="FF24" i="4"/>
  <c r="FM24" i="4" s="1"/>
  <c r="GN5" i="4"/>
  <c r="GU5" i="4" s="1"/>
  <c r="GN17" i="4"/>
  <c r="GU17" i="4" s="1"/>
  <c r="GN24" i="4"/>
  <c r="GU24" i="4" s="1"/>
  <c r="HV5" i="4"/>
  <c r="IC5" i="4" s="1"/>
  <c r="HV17" i="4"/>
  <c r="IC17" i="4" s="1"/>
  <c r="HV24" i="4"/>
  <c r="IC24" i="4" s="1"/>
  <c r="JD5" i="4"/>
  <c r="JK5" i="4" s="1"/>
  <c r="JD17" i="4"/>
  <c r="JK17" i="4" s="1"/>
  <c r="JD24" i="4"/>
  <c r="JK24" i="4" s="1"/>
  <c r="KL5" i="4"/>
  <c r="KS5" i="4" s="1"/>
  <c r="KL17" i="4"/>
  <c r="KS17" i="4" s="1"/>
  <c r="KL24" i="4"/>
  <c r="KS24" i="4" s="1"/>
  <c r="LT5" i="4"/>
  <c r="MA5" i="4" s="1"/>
  <c r="LT17" i="4"/>
  <c r="MA17" i="4" s="1"/>
  <c r="LT24" i="4"/>
  <c r="MA24" i="4" s="1"/>
  <c r="NB5" i="4"/>
  <c r="NI5" i="4" s="1"/>
  <c r="NB17" i="4"/>
  <c r="NI17" i="4" s="1"/>
  <c r="NB24" i="4"/>
  <c r="NI24" i="4" s="1"/>
  <c r="OJ5" i="4"/>
  <c r="OQ5" i="4" s="1"/>
  <c r="OJ17" i="4"/>
  <c r="OQ17" i="4" s="1"/>
  <c r="OJ24" i="4"/>
  <c r="OQ24" i="4" s="1"/>
  <c r="PR5" i="4"/>
  <c r="PY5" i="4" s="1"/>
  <c r="PR17" i="4"/>
  <c r="PY17" i="4" s="1"/>
  <c r="PR24" i="4"/>
  <c r="PY24" i="4" s="1"/>
  <c r="QZ5" i="4"/>
  <c r="RG5" i="4" s="1"/>
  <c r="QZ17" i="4"/>
  <c r="RG17" i="4" s="1"/>
  <c r="QZ24" i="4"/>
  <c r="RG24" i="4" s="1"/>
  <c r="SH5" i="4"/>
  <c r="SO5" i="4" s="1"/>
  <c r="SH17" i="4"/>
  <c r="SO17" i="4" s="1"/>
  <c r="SH24" i="4"/>
  <c r="SO24" i="4" s="1"/>
  <c r="TP5" i="4"/>
  <c r="TW5" i="4" s="1"/>
  <c r="TP17" i="4"/>
  <c r="TW17" i="4" s="1"/>
  <c r="TP24" i="4"/>
  <c r="TW24" i="4" s="1"/>
  <c r="UX5" i="4"/>
  <c r="VE5" i="4" s="1"/>
  <c r="UX17" i="4"/>
  <c r="VE17" i="4" s="1"/>
  <c r="UX24" i="4"/>
  <c r="VE24" i="4" s="1"/>
  <c r="DX9" i="4"/>
  <c r="DX13" i="4"/>
  <c r="DX25" i="4"/>
  <c r="FF9" i="4"/>
  <c r="FM9" i="4" s="1"/>
  <c r="FF13" i="4"/>
  <c r="FM13" i="4" s="1"/>
  <c r="FF25" i="4"/>
  <c r="FM25" i="4" s="1"/>
  <c r="GN9" i="4"/>
  <c r="GU9" i="4" s="1"/>
  <c r="GN13" i="4"/>
  <c r="GU13" i="4" s="1"/>
  <c r="GN25" i="4"/>
  <c r="GU25" i="4" s="1"/>
  <c r="HV9" i="4"/>
  <c r="IC9" i="4" s="1"/>
  <c r="HV25" i="4"/>
  <c r="IC25" i="4" s="1"/>
  <c r="JD9" i="4"/>
  <c r="JK9" i="4" s="1"/>
  <c r="JD13" i="4"/>
  <c r="JK13" i="4" s="1"/>
  <c r="JD25" i="4"/>
  <c r="JK25" i="4" s="1"/>
  <c r="KL9" i="4"/>
  <c r="KS9" i="4" s="1"/>
  <c r="KL13" i="4"/>
  <c r="KS13" i="4" s="1"/>
  <c r="KL25" i="4"/>
  <c r="KS25" i="4" s="1"/>
  <c r="LT9" i="4"/>
  <c r="MA9" i="4" s="1"/>
  <c r="LT13" i="4"/>
  <c r="MA13" i="4" s="1"/>
  <c r="LT25" i="4"/>
  <c r="MA25" i="4" s="1"/>
  <c r="NB9" i="4"/>
  <c r="NI9" i="4" s="1"/>
  <c r="NB13" i="4"/>
  <c r="NI13" i="4" s="1"/>
  <c r="NB25" i="4"/>
  <c r="NI25" i="4" s="1"/>
  <c r="OJ9" i="4"/>
  <c r="OQ9" i="4" s="1"/>
  <c r="OJ13" i="4"/>
  <c r="OQ13" i="4" s="1"/>
  <c r="OJ25" i="4"/>
  <c r="OQ25" i="4" s="1"/>
  <c r="PR9" i="4"/>
  <c r="PY9" i="4" s="1"/>
  <c r="PR13" i="4"/>
  <c r="PY13" i="4" s="1"/>
  <c r="PR25" i="4"/>
  <c r="PY25" i="4" s="1"/>
  <c r="QZ9" i="4"/>
  <c r="RG9" i="4" s="1"/>
  <c r="QZ13" i="4"/>
  <c r="RG13" i="4" s="1"/>
  <c r="QZ25" i="4"/>
  <c r="RG25" i="4" s="1"/>
  <c r="SH9" i="4"/>
  <c r="SO9" i="4" s="1"/>
  <c r="SH13" i="4"/>
  <c r="SO13" i="4" s="1"/>
  <c r="SH25" i="4"/>
  <c r="SO25" i="4" s="1"/>
  <c r="TP9" i="4"/>
  <c r="TW9" i="4" s="1"/>
  <c r="TP13" i="4"/>
  <c r="TW13" i="4" s="1"/>
  <c r="TP25" i="4"/>
  <c r="TW25" i="4" s="1"/>
  <c r="UX9" i="4"/>
  <c r="VE9" i="4" s="1"/>
  <c r="UX13" i="4"/>
  <c r="VE13" i="4" s="1"/>
  <c r="UX25" i="4"/>
  <c r="VE25" i="4" s="1"/>
  <c r="HV13" i="4"/>
  <c r="IC13" i="4" s="1"/>
  <c r="HV10" i="4"/>
  <c r="IC10" i="4" s="1"/>
  <c r="HV11" i="4"/>
  <c r="IC11" i="4" s="1"/>
  <c r="GN7" i="4"/>
  <c r="GU7" i="4" s="1"/>
  <c r="GN4" i="4"/>
  <c r="GU4" i="4" s="1"/>
  <c r="WF15" i="4"/>
  <c r="WM15" i="4" s="1"/>
  <c r="G15" i="4"/>
  <c r="F15" i="4"/>
  <c r="CK21" i="4"/>
  <c r="CL21" i="4"/>
  <c r="CM21" i="4"/>
  <c r="CN21" i="4"/>
  <c r="CO21" i="4"/>
  <c r="CP21" i="4"/>
  <c r="CR21" i="4"/>
  <c r="CS21" i="4"/>
  <c r="CT21" i="4"/>
  <c r="J21" i="4" s="1"/>
  <c r="VZ21" i="4"/>
  <c r="WA21" i="4"/>
  <c r="WB21" i="4"/>
  <c r="WC21" i="4"/>
  <c r="WD21" i="4"/>
  <c r="WE21" i="4"/>
  <c r="WG21" i="4"/>
  <c r="WH21" i="4"/>
  <c r="WI21" i="4"/>
  <c r="WJ21" i="4"/>
  <c r="WK21" i="4"/>
  <c r="WL21" i="4"/>
  <c r="CK13" i="4"/>
  <c r="CL13" i="4"/>
  <c r="CM13" i="4"/>
  <c r="CN13" i="4"/>
  <c r="CO13" i="4"/>
  <c r="CP13" i="4"/>
  <c r="CR13" i="4"/>
  <c r="CS13" i="4"/>
  <c r="CT13" i="4"/>
  <c r="J13" i="4" s="1"/>
  <c r="VZ13" i="4"/>
  <c r="WA13" i="4"/>
  <c r="WB13" i="4"/>
  <c r="WC13" i="4"/>
  <c r="WD13" i="4"/>
  <c r="WE13" i="4"/>
  <c r="WG13" i="4"/>
  <c r="WH13" i="4"/>
  <c r="WI13" i="4"/>
  <c r="WJ13" i="4"/>
  <c r="WK13" i="4"/>
  <c r="WL13" i="4"/>
  <c r="CK14" i="4"/>
  <c r="CL14" i="4"/>
  <c r="CM14" i="4"/>
  <c r="CN14" i="4"/>
  <c r="CO14" i="4"/>
  <c r="CP14" i="4"/>
  <c r="CR14" i="4"/>
  <c r="CS14" i="4"/>
  <c r="CT14" i="4"/>
  <c r="VZ14" i="4"/>
  <c r="WA14" i="4"/>
  <c r="WB14" i="4"/>
  <c r="WC14" i="4"/>
  <c r="WD14" i="4"/>
  <c r="WE14" i="4"/>
  <c r="WG14" i="4"/>
  <c r="WH14" i="4"/>
  <c r="WI14" i="4"/>
  <c r="WJ14" i="4"/>
  <c r="WK14" i="4"/>
  <c r="WL14" i="4"/>
  <c r="CT4" i="41" l="1"/>
  <c r="N4" i="41" s="1"/>
  <c r="CT4" i="39"/>
  <c r="N4" i="39" s="1"/>
  <c r="P4" i="39" s="1"/>
  <c r="C27" i="11"/>
  <c r="D29" i="11"/>
  <c r="D26" i="11"/>
  <c r="D27" i="11"/>
  <c r="C26" i="11"/>
  <c r="C28" i="11"/>
  <c r="D28" i="11"/>
  <c r="C29" i="11"/>
  <c r="H26" i="42"/>
  <c r="A26" i="42" s="1" a="1"/>
  <c r="A26" i="42" s="1"/>
  <c r="H27" i="42"/>
  <c r="A27" i="42" s="1" a="1"/>
  <c r="A27" i="42" s="1"/>
  <c r="CT14" i="42"/>
  <c r="N14" i="42" s="1"/>
  <c r="P14" i="42" s="1"/>
  <c r="H15" i="42"/>
  <c r="A15" i="42" s="1" a="1"/>
  <c r="A15" i="42" s="1"/>
  <c r="H21" i="42"/>
  <c r="A21" i="42" s="1" a="1"/>
  <c r="A21" i="42" s="1"/>
  <c r="H18" i="42"/>
  <c r="A18" i="42" s="1" a="1"/>
  <c r="A18" i="42" s="1"/>
  <c r="H16" i="42"/>
  <c r="A16" i="42" s="1" a="1"/>
  <c r="A16" i="42" s="1"/>
  <c r="H24" i="42"/>
  <c r="A24" i="42" s="1" a="1"/>
  <c r="A24" i="42" s="1"/>
  <c r="H22" i="42"/>
  <c r="A22" i="42" s="1" a="1"/>
  <c r="A22" i="42" s="1"/>
  <c r="H20" i="42"/>
  <c r="A20" i="42" s="1" a="1"/>
  <c r="A20" i="42" s="1"/>
  <c r="EB25" i="42"/>
  <c r="CT25" i="42"/>
  <c r="N25" i="42" s="1"/>
  <c r="P25" i="42" s="1"/>
  <c r="CT19" i="42"/>
  <c r="N19" i="42" s="1"/>
  <c r="P19" i="42" s="1"/>
  <c r="M19" i="42"/>
  <c r="CT16" i="42"/>
  <c r="N16" i="42" s="1"/>
  <c r="P16" i="42" s="1"/>
  <c r="M16" i="42"/>
  <c r="CT27" i="42"/>
  <c r="N27" i="42" s="1"/>
  <c r="P27" i="42" s="1"/>
  <c r="CT26" i="42"/>
  <c r="N26" i="42" s="1"/>
  <c r="P26" i="42" s="1"/>
  <c r="M26" i="42"/>
  <c r="EB15" i="42"/>
  <c r="CT15" i="42"/>
  <c r="N15" i="42" s="1"/>
  <c r="P15" i="42" s="1"/>
  <c r="CT13" i="42"/>
  <c r="N13" i="42" s="1"/>
  <c r="P13" i="42" s="1"/>
  <c r="EB18" i="42"/>
  <c r="CT18" i="42"/>
  <c r="N18" i="42" s="1"/>
  <c r="P18" i="42" s="1"/>
  <c r="EB24" i="42"/>
  <c r="CT24" i="42"/>
  <c r="N24" i="42" s="1"/>
  <c r="P24" i="42" s="1"/>
  <c r="CT7" i="42"/>
  <c r="N7" i="42" s="1"/>
  <c r="P7" i="42" s="1"/>
  <c r="M7" i="42"/>
  <c r="EB10" i="42"/>
  <c r="CT10" i="42"/>
  <c r="N10" i="42" s="1"/>
  <c r="P10" i="42" s="1"/>
  <c r="EB9" i="42"/>
  <c r="CT9" i="42"/>
  <c r="N9" i="42" s="1"/>
  <c r="P9" i="42" s="1"/>
  <c r="EB21" i="42"/>
  <c r="CT21" i="42"/>
  <c r="N21" i="42" s="1"/>
  <c r="P21" i="42" s="1"/>
  <c r="H19" i="42"/>
  <c r="A19" i="42" s="1" a="1"/>
  <c r="A19" i="42" s="1"/>
  <c r="EB6" i="42"/>
  <c r="CT6" i="42"/>
  <c r="N6" i="42" s="1"/>
  <c r="P6" i="42" s="1"/>
  <c r="CT20" i="42"/>
  <c r="N20" i="42" s="1"/>
  <c r="P20" i="42" s="1"/>
  <c r="M20" i="42"/>
  <c r="EB11" i="42"/>
  <c r="CT11" i="42"/>
  <c r="N11" i="42" s="1"/>
  <c r="P11" i="42" s="1"/>
  <c r="EB22" i="42"/>
  <c r="CT22" i="42"/>
  <c r="N22" i="42" s="1"/>
  <c r="P22" i="42" s="1"/>
  <c r="H9" i="42"/>
  <c r="EB12" i="42"/>
  <c r="CT12" i="42"/>
  <c r="N12" i="42" s="1"/>
  <c r="P12" i="42" s="1"/>
  <c r="CT17" i="42"/>
  <c r="N17" i="42" s="1"/>
  <c r="P17" i="42" s="1"/>
  <c r="EB8" i="42"/>
  <c r="CT8" i="42"/>
  <c r="N8" i="42" s="1"/>
  <c r="P8" i="42" s="1"/>
  <c r="EB5" i="42"/>
  <c r="CT5" i="42"/>
  <c r="N5" i="42" s="1"/>
  <c r="P5" i="42" s="1"/>
  <c r="N10" i="38"/>
  <c r="L13" i="38"/>
  <c r="N13" i="38"/>
  <c r="CW13" i="38" s="1"/>
  <c r="L14" i="38"/>
  <c r="N14" i="38"/>
  <c r="N5" i="38"/>
  <c r="L5" i="38"/>
  <c r="O5" i="38" s="1"/>
  <c r="L12" i="38"/>
  <c r="N12" i="38"/>
  <c r="CV11" i="38"/>
  <c r="L11" i="38"/>
  <c r="M11" i="38" s="1"/>
  <c r="N11" i="38"/>
  <c r="CW11" i="38" s="1"/>
  <c r="P11" i="38" s="1"/>
  <c r="E11" i="38" s="1"/>
  <c r="L8" i="38"/>
  <c r="O8" i="38" s="1"/>
  <c r="N8" i="38"/>
  <c r="CW8" i="38" s="1"/>
  <c r="CV7" i="38"/>
  <c r="L7" i="38"/>
  <c r="N7" i="38"/>
  <c r="L9" i="38"/>
  <c r="N9" i="38"/>
  <c r="CV4" i="38"/>
  <c r="N4" i="38"/>
  <c r="CW4" i="38" s="1"/>
  <c r="P4" i="38" s="1"/>
  <c r="L4" i="38"/>
  <c r="O4" i="38" s="1"/>
  <c r="I14" i="4"/>
  <c r="CV12" i="4"/>
  <c r="L12" i="4"/>
  <c r="N12" i="4"/>
  <c r="I21" i="4"/>
  <c r="CV19" i="4"/>
  <c r="N19" i="4"/>
  <c r="L19" i="4"/>
  <c r="O19" i="4" s="1"/>
  <c r="CV15" i="4"/>
  <c r="L15" i="4"/>
  <c r="M15" i="4" s="1"/>
  <c r="N15" i="4"/>
  <c r="CW15" i="4" s="1"/>
  <c r="N21" i="4"/>
  <c r="L21" i="4"/>
  <c r="M21" i="4" s="1"/>
  <c r="L13" i="4"/>
  <c r="N13" i="4"/>
  <c r="I13" i="4"/>
  <c r="E26" i="42"/>
  <c r="E9" i="42"/>
  <c r="EB20" i="42"/>
  <c r="CT4" i="42"/>
  <c r="N4" i="42" s="1"/>
  <c r="P4" i="42" s="1"/>
  <c r="EB17" i="42"/>
  <c r="EB14" i="42"/>
  <c r="E27" i="42"/>
  <c r="H6" i="41"/>
  <c r="H9" i="41"/>
  <c r="H4" i="41"/>
  <c r="CT4" i="40"/>
  <c r="N4" i="40" s="1"/>
  <c r="E4" i="40" s="1"/>
  <c r="H11" i="40"/>
  <c r="CT14" i="40"/>
  <c r="N14" i="40" s="1"/>
  <c r="P14" i="40" s="1"/>
  <c r="CT11" i="40"/>
  <c r="N11" i="40" s="1"/>
  <c r="P11" i="40" s="1"/>
  <c r="CT6" i="40"/>
  <c r="N6" i="40" s="1"/>
  <c r="H5" i="40"/>
  <c r="H4" i="40"/>
  <c r="H8" i="40"/>
  <c r="CT6" i="41"/>
  <c r="N6" i="41" s="1"/>
  <c r="P6" i="41" s="1"/>
  <c r="CT5" i="41"/>
  <c r="N5" i="41" s="1"/>
  <c r="E5" i="41" s="1"/>
  <c r="H5" i="41"/>
  <c r="CT11" i="41"/>
  <c r="N11" i="41" s="1"/>
  <c r="E11" i="41" s="1"/>
  <c r="H8" i="41"/>
  <c r="CT7" i="41"/>
  <c r="N7" i="41" s="1"/>
  <c r="E7" i="41" s="1"/>
  <c r="CT10" i="41"/>
  <c r="N10" i="41" s="1"/>
  <c r="E10" i="41" s="1"/>
  <c r="CT12" i="40"/>
  <c r="N12" i="40" s="1"/>
  <c r="E12" i="40" s="1"/>
  <c r="H13" i="40"/>
  <c r="H7" i="40"/>
  <c r="CT5" i="40"/>
  <c r="N5" i="40" s="1"/>
  <c r="P5" i="40" s="1"/>
  <c r="H9" i="40"/>
  <c r="H12" i="40"/>
  <c r="P4" i="41"/>
  <c r="O4" i="41"/>
  <c r="CT9" i="41"/>
  <c r="N9" i="41" s="1"/>
  <c r="K7" i="41"/>
  <c r="K5" i="41"/>
  <c r="H10" i="41"/>
  <c r="K10" i="41"/>
  <c r="K4" i="41"/>
  <c r="E4" i="41"/>
  <c r="CT8" i="41"/>
  <c r="N8" i="41" s="1"/>
  <c r="E8" i="41" s="1"/>
  <c r="K9" i="41"/>
  <c r="K6" i="41"/>
  <c r="H7" i="41"/>
  <c r="K8" i="41"/>
  <c r="H11" i="41"/>
  <c r="A11" i="41" s="1" a="1"/>
  <c r="A11" i="41" s="1"/>
  <c r="K13" i="40"/>
  <c r="H6" i="40"/>
  <c r="K5" i="40"/>
  <c r="M10" i="40"/>
  <c r="CT10" i="40"/>
  <c r="N10" i="40" s="1"/>
  <c r="E10" i="40" s="1"/>
  <c r="K12" i="40"/>
  <c r="O11" i="40"/>
  <c r="CT7" i="40"/>
  <c r="N7" i="40" s="1"/>
  <c r="K4" i="40"/>
  <c r="K10" i="40"/>
  <c r="K8" i="40"/>
  <c r="K14" i="40"/>
  <c r="K11" i="40"/>
  <c r="P6" i="40"/>
  <c r="O6" i="40"/>
  <c r="CT8" i="40"/>
  <c r="N8" i="40" s="1"/>
  <c r="H10" i="40"/>
  <c r="H14" i="40"/>
  <c r="K9" i="40"/>
  <c r="CT13" i="40"/>
  <c r="N13" i="40" s="1"/>
  <c r="K6" i="40"/>
  <c r="E6" i="40"/>
  <c r="CT9" i="40"/>
  <c r="N9" i="40" s="1"/>
  <c r="E9" i="40" s="1"/>
  <c r="K9" i="39"/>
  <c r="K13" i="39"/>
  <c r="AQ14" i="39"/>
  <c r="AQ4" i="39"/>
  <c r="AQ10" i="39"/>
  <c r="AQ7" i="39"/>
  <c r="AQ5" i="39"/>
  <c r="AQ18" i="39"/>
  <c r="AQ19" i="39"/>
  <c r="AQ17" i="39"/>
  <c r="AQ15" i="39"/>
  <c r="AQ8" i="39"/>
  <c r="CT8" i="39"/>
  <c r="N8" i="39" s="1"/>
  <c r="AQ16" i="39"/>
  <c r="M12" i="39"/>
  <c r="BR9" i="39"/>
  <c r="AQ6" i="39"/>
  <c r="CT5" i="39"/>
  <c r="N5" i="39" s="1"/>
  <c r="CT13" i="39"/>
  <c r="N13" i="39" s="1"/>
  <c r="H15" i="39"/>
  <c r="H5" i="39"/>
  <c r="H18" i="39"/>
  <c r="A18" i="39" s="1" a="1"/>
  <c r="A18" i="39" s="1"/>
  <c r="H9" i="39"/>
  <c r="H16" i="39"/>
  <c r="H10" i="39"/>
  <c r="H11" i="39"/>
  <c r="H12" i="39"/>
  <c r="H14" i="39"/>
  <c r="H13" i="39"/>
  <c r="M13" i="39"/>
  <c r="H7" i="39"/>
  <c r="H19" i="39"/>
  <c r="A19" i="39" s="1" a="1"/>
  <c r="A19" i="39" s="1"/>
  <c r="H6" i="39"/>
  <c r="H4" i="39"/>
  <c r="M14" i="39"/>
  <c r="H17" i="39"/>
  <c r="H8" i="39"/>
  <c r="K15" i="4"/>
  <c r="CW19" i="4"/>
  <c r="K8" i="38"/>
  <c r="H10" i="38"/>
  <c r="CV8" i="38"/>
  <c r="H8" i="38"/>
  <c r="H6" i="38"/>
  <c r="CW10" i="38"/>
  <c r="P10" i="38" s="1"/>
  <c r="R10" i="38" s="1"/>
  <c r="CW6" i="38"/>
  <c r="P6" i="38" s="1"/>
  <c r="E6" i="38" s="1"/>
  <c r="H12" i="38"/>
  <c r="H7" i="38"/>
  <c r="M5" i="38"/>
  <c r="O10" i="38"/>
  <c r="M10" i="38"/>
  <c r="CW5" i="38"/>
  <c r="P5" i="38" s="1"/>
  <c r="E5" i="38" s="1"/>
  <c r="H9" i="38"/>
  <c r="H14" i="38"/>
  <c r="A14" i="38" s="1" a="1"/>
  <c r="A14" i="38" s="1"/>
  <c r="H4" i="38"/>
  <c r="P13" i="38"/>
  <c r="E13" i="38" s="1"/>
  <c r="EE7" i="38"/>
  <c r="CW7" i="38"/>
  <c r="P7" i="38" s="1"/>
  <c r="CV9" i="38"/>
  <c r="CW9" i="38"/>
  <c r="K9" i="38"/>
  <c r="H13" i="38"/>
  <c r="A13" i="38" s="1" a="1"/>
  <c r="A13" i="38" s="1"/>
  <c r="O7" i="38"/>
  <c r="M7" i="38"/>
  <c r="O6" i="38"/>
  <c r="M6" i="38"/>
  <c r="M14" i="38"/>
  <c r="O14" i="38"/>
  <c r="H5" i="38"/>
  <c r="CW14" i="38"/>
  <c r="P14" i="38" s="1"/>
  <c r="EE14" i="38"/>
  <c r="H11" i="38"/>
  <c r="K12" i="38"/>
  <c r="CV12" i="38"/>
  <c r="CW12" i="38"/>
  <c r="O13" i="38"/>
  <c r="M13" i="38"/>
  <c r="CV21" i="4"/>
  <c r="EE16" i="4"/>
  <c r="EE11" i="4"/>
  <c r="EE14" i="4"/>
  <c r="EE23" i="4"/>
  <c r="EE6" i="4"/>
  <c r="EE22" i="4"/>
  <c r="EE24" i="4"/>
  <c r="EE17" i="4"/>
  <c r="EE20" i="4"/>
  <c r="EE15" i="4"/>
  <c r="EE13" i="4"/>
  <c r="EE5" i="4"/>
  <c r="EE21" i="4"/>
  <c r="EE10" i="4"/>
  <c r="EE8" i="4"/>
  <c r="EE7" i="4"/>
  <c r="EE25" i="4"/>
  <c r="EE12" i="4"/>
  <c r="EE19" i="4"/>
  <c r="CW12" i="4"/>
  <c r="M12" i="4"/>
  <c r="EE4" i="4"/>
  <c r="EE9" i="4"/>
  <c r="K12" i="4"/>
  <c r="CV13" i="4"/>
  <c r="EE18" i="4"/>
  <c r="EE26" i="4"/>
  <c r="K19" i="4"/>
  <c r="J14" i="4"/>
  <c r="K14" i="4"/>
  <c r="K13" i="4"/>
  <c r="K21" i="4"/>
  <c r="H12" i="4"/>
  <c r="A12" i="4" s="1" a="1"/>
  <c r="A12" i="4" s="1"/>
  <c r="H10" i="42" s="1"/>
  <c r="A10" i="42" s="1" a="1"/>
  <c r="A10" i="42" s="1"/>
  <c r="H19" i="4"/>
  <c r="H15" i="4"/>
  <c r="A15" i="4" s="1" a="1"/>
  <c r="A15" i="4" s="1"/>
  <c r="CQ21" i="4"/>
  <c r="CU21" i="4" s="1"/>
  <c r="CQ13" i="4"/>
  <c r="CU13" i="4" s="1"/>
  <c r="WF21" i="4"/>
  <c r="WM21" i="4" s="1"/>
  <c r="CQ14" i="4"/>
  <c r="CU14" i="4" s="1"/>
  <c r="WF13" i="4"/>
  <c r="WM13" i="4" s="1"/>
  <c r="G21" i="4"/>
  <c r="F21" i="4"/>
  <c r="WF14" i="4"/>
  <c r="WM14" i="4" s="1"/>
  <c r="F13" i="4"/>
  <c r="G13" i="4"/>
  <c r="G14" i="4"/>
  <c r="F14" i="4"/>
  <c r="O4" i="40" l="1"/>
  <c r="P4" i="40"/>
  <c r="E14" i="40"/>
  <c r="E11" i="40"/>
  <c r="O14" i="40"/>
  <c r="E7" i="42"/>
  <c r="O22" i="42"/>
  <c r="E18" i="42"/>
  <c r="M4" i="38"/>
  <c r="O11" i="38"/>
  <c r="P8" i="38"/>
  <c r="M8" i="38"/>
  <c r="CV14" i="4"/>
  <c r="L14" i="4"/>
  <c r="N14" i="4"/>
  <c r="E22" i="42"/>
  <c r="E11" i="42"/>
  <c r="E12" i="42"/>
  <c r="E24" i="42"/>
  <c r="E15" i="42"/>
  <c r="E17" i="42"/>
  <c r="E8" i="42"/>
  <c r="E21" i="42"/>
  <c r="E20" i="42"/>
  <c r="E16" i="42"/>
  <c r="O17" i="42"/>
  <c r="E6" i="42"/>
  <c r="E13" i="42"/>
  <c r="O7" i="42"/>
  <c r="O18" i="42"/>
  <c r="O15" i="42"/>
  <c r="E10" i="42"/>
  <c r="O26" i="42"/>
  <c r="E14" i="42"/>
  <c r="E25" i="42"/>
  <c r="O9" i="42"/>
  <c r="O20" i="42"/>
  <c r="O11" i="42"/>
  <c r="O27" i="42"/>
  <c r="E19" i="42"/>
  <c r="E4" i="42"/>
  <c r="O12" i="42"/>
  <c r="P5" i="41"/>
  <c r="O5" i="41"/>
  <c r="O11" i="41"/>
  <c r="P11" i="41"/>
  <c r="O7" i="41"/>
  <c r="P7" i="41"/>
  <c r="E6" i="41"/>
  <c r="A8" i="41" s="1" a="1"/>
  <c r="A8" i="41" s="1"/>
  <c r="O6" i="41"/>
  <c r="O12" i="40"/>
  <c r="P12" i="40"/>
  <c r="O5" i="40"/>
  <c r="E5" i="40"/>
  <c r="P10" i="41"/>
  <c r="O10" i="41"/>
  <c r="O9" i="41"/>
  <c r="P9" i="41"/>
  <c r="P8" i="41"/>
  <c r="O8" i="41"/>
  <c r="E9" i="41"/>
  <c r="A9" i="41" s="1" a="1"/>
  <c r="A9" i="41" s="1"/>
  <c r="P13" i="40"/>
  <c r="O13" i="40"/>
  <c r="P8" i="40"/>
  <c r="O8" i="40"/>
  <c r="P10" i="40"/>
  <c r="O10" i="40"/>
  <c r="O7" i="40"/>
  <c r="P7" i="40"/>
  <c r="E7" i="40"/>
  <c r="P9" i="40"/>
  <c r="O9" i="40"/>
  <c r="E13" i="40"/>
  <c r="E8" i="40"/>
  <c r="O13" i="39"/>
  <c r="P13" i="39"/>
  <c r="P5" i="39"/>
  <c r="O5" i="39"/>
  <c r="P8" i="39"/>
  <c r="O8" i="39"/>
  <c r="O4" i="39"/>
  <c r="M8" i="39"/>
  <c r="K17" i="39"/>
  <c r="K10" i="39"/>
  <c r="K19" i="39"/>
  <c r="K16" i="39"/>
  <c r="CT19" i="39"/>
  <c r="N19" i="39" s="1"/>
  <c r="K18" i="39"/>
  <c r="K8" i="39"/>
  <c r="K14" i="39"/>
  <c r="K12" i="39"/>
  <c r="CT10" i="39"/>
  <c r="N10" i="39" s="1"/>
  <c r="CT12" i="39"/>
  <c r="N12" i="39" s="1"/>
  <c r="K5" i="39"/>
  <c r="K6" i="39"/>
  <c r="K15" i="39"/>
  <c r="K7" i="39"/>
  <c r="K11" i="39"/>
  <c r="CT9" i="39"/>
  <c r="N9" i="39" s="1"/>
  <c r="M9" i="39"/>
  <c r="CT11" i="39"/>
  <c r="N11" i="39" s="1"/>
  <c r="CT6" i="39"/>
  <c r="N6" i="39" s="1"/>
  <c r="CT7" i="39"/>
  <c r="N7" i="39" s="1"/>
  <c r="CT14" i="39"/>
  <c r="N14" i="39" s="1"/>
  <c r="CT15" i="39"/>
  <c r="N15" i="39" s="1"/>
  <c r="CT18" i="39"/>
  <c r="N18" i="39" s="1"/>
  <c r="M15" i="39"/>
  <c r="CT16" i="39"/>
  <c r="N16" i="39" s="1"/>
  <c r="CT17" i="39"/>
  <c r="N17" i="39" s="1"/>
  <c r="M18" i="39"/>
  <c r="M7" i="39"/>
  <c r="M17" i="39"/>
  <c r="M5" i="39"/>
  <c r="M19" i="39"/>
  <c r="M11" i="39"/>
  <c r="E8" i="39"/>
  <c r="M10" i="39"/>
  <c r="M16" i="39"/>
  <c r="A13" i="39" a="1"/>
  <c r="A13" i="39" s="1"/>
  <c r="M6" i="39"/>
  <c r="CW13" i="4"/>
  <c r="O12" i="4"/>
  <c r="P15" i="4"/>
  <c r="R15" i="4" s="1"/>
  <c r="CW21" i="4"/>
  <c r="P21" i="4" s="1"/>
  <c r="R21" i="4" s="1"/>
  <c r="CW14" i="4"/>
  <c r="P14" i="4" s="1"/>
  <c r="R14" i="4" s="1"/>
  <c r="O15" i="4"/>
  <c r="E4" i="38"/>
  <c r="R4" i="38"/>
  <c r="Q4" i="38"/>
  <c r="E10" i="38"/>
  <c r="Q10" i="38"/>
  <c r="R14" i="38"/>
  <c r="Q14" i="38"/>
  <c r="E14" i="38"/>
  <c r="P9" i="38"/>
  <c r="R7" i="38"/>
  <c r="Q7" i="38"/>
  <c r="E7" i="38"/>
  <c r="M9" i="38"/>
  <c r="O9" i="38"/>
  <c r="P12" i="38"/>
  <c r="E12" i="38" s="1"/>
  <c r="R8" i="38"/>
  <c r="Q8" i="38"/>
  <c r="R5" i="38"/>
  <c r="Q5" i="38"/>
  <c r="E8" i="38"/>
  <c r="R13" i="38"/>
  <c r="Q13" i="38"/>
  <c r="R11" i="38"/>
  <c r="Q11" i="38"/>
  <c r="Q6" i="38"/>
  <c r="R6" i="38"/>
  <c r="M12" i="38"/>
  <c r="O12" i="38"/>
  <c r="Q15" i="4"/>
  <c r="P19" i="4"/>
  <c r="R19" i="4" s="1"/>
  <c r="P13" i="4"/>
  <c r="R13" i="4" s="1"/>
  <c r="P12" i="4"/>
  <c r="R12" i="4" s="1"/>
  <c r="M19" i="4"/>
  <c r="E12" i="4"/>
  <c r="O21" i="4"/>
  <c r="M13" i="4"/>
  <c r="O13" i="4"/>
  <c r="O14" i="4"/>
  <c r="M14" i="4"/>
  <c r="H21" i="4"/>
  <c r="A21" i="4" s="1" a="1"/>
  <c r="A21" i="4" s="1"/>
  <c r="H17" i="42" s="1"/>
  <c r="A17" i="42" s="1" a="1"/>
  <c r="A17" i="42" s="1"/>
  <c r="H13" i="4"/>
  <c r="H14" i="4"/>
  <c r="A7" i="41" l="1" a="1"/>
  <c r="A7" i="41" s="1"/>
  <c r="A5" i="41" a="1"/>
  <c r="A5" i="41" s="1"/>
  <c r="A6" i="41" a="1"/>
  <c r="A6" i="41" s="1"/>
  <c r="A10" i="41" a="1"/>
  <c r="A10" i="41" s="1"/>
  <c r="A13" i="40" a="1"/>
  <c r="A13" i="40" s="1"/>
  <c r="A8" i="40" a="1"/>
  <c r="A8" i="40" s="1"/>
  <c r="O21" i="42"/>
  <c r="O24" i="42"/>
  <c r="O8" i="42"/>
  <c r="O6" i="42"/>
  <c r="O16" i="42"/>
  <c r="O5" i="42"/>
  <c r="E5" i="42"/>
  <c r="O4" i="42"/>
  <c r="O13" i="42"/>
  <c r="O25" i="42"/>
  <c r="O14" i="42"/>
  <c r="O19" i="42"/>
  <c r="O10" i="42"/>
  <c r="A6" i="40" a="1"/>
  <c r="A6" i="40" s="1"/>
  <c r="A7" i="40" a="1"/>
  <c r="A7" i="40" s="1"/>
  <c r="A9" i="40" a="1"/>
  <c r="A9" i="40" s="1"/>
  <c r="A14" i="40" a="1"/>
  <c r="A14" i="40" s="1"/>
  <c r="A12" i="40" a="1"/>
  <c r="A12" i="40" s="1"/>
  <c r="A10" i="40" a="1"/>
  <c r="A10" i="40" s="1"/>
  <c r="A5" i="40" a="1"/>
  <c r="A5" i="40" s="1"/>
  <c r="A11" i="40" a="1"/>
  <c r="A11" i="40" s="1"/>
  <c r="A4" i="40" a="1"/>
  <c r="A4" i="40" s="1"/>
  <c r="A4" i="41" a="1"/>
  <c r="A4" i="41" s="1"/>
  <c r="P9" i="39"/>
  <c r="O9" i="39"/>
  <c r="O12" i="39"/>
  <c r="P12" i="39"/>
  <c r="P10" i="39"/>
  <c r="O10" i="39"/>
  <c r="P18" i="39"/>
  <c r="O18" i="39"/>
  <c r="P14" i="39"/>
  <c r="O14" i="39"/>
  <c r="P7" i="39"/>
  <c r="O7" i="39"/>
  <c r="P17" i="39"/>
  <c r="O17" i="39"/>
  <c r="O6" i="39"/>
  <c r="P6" i="39"/>
  <c r="P11" i="39"/>
  <c r="O11" i="39"/>
  <c r="P16" i="39"/>
  <c r="O16" i="39"/>
  <c r="P15" i="39"/>
  <c r="O15" i="39"/>
  <c r="P19" i="39"/>
  <c r="O19" i="39"/>
  <c r="E9" i="39"/>
  <c r="E10" i="39"/>
  <c r="E12" i="39"/>
  <c r="E16" i="39"/>
  <c r="E6" i="39"/>
  <c r="E11" i="39"/>
  <c r="E7" i="39"/>
  <c r="E13" i="39"/>
  <c r="E15" i="39"/>
  <c r="E4" i="39"/>
  <c r="E14" i="39"/>
  <c r="E5" i="39"/>
  <c r="E17" i="39"/>
  <c r="E18" i="39"/>
  <c r="E19" i="39"/>
  <c r="A9" i="39" a="1"/>
  <c r="A9" i="39" s="1"/>
  <c r="A12" i="39" a="1"/>
  <c r="A12" i="39" s="1"/>
  <c r="A10" i="39" a="1"/>
  <c r="A10" i="39" s="1"/>
  <c r="A6" i="39" a="1"/>
  <c r="A6" i="39" s="1"/>
  <c r="A8" i="39" a="1"/>
  <c r="A8" i="39" s="1"/>
  <c r="A7" i="39" a="1"/>
  <c r="A7" i="39" s="1"/>
  <c r="A16" i="39" a="1"/>
  <c r="A16" i="39" s="1"/>
  <c r="A17" i="39" a="1"/>
  <c r="A17" i="39" s="1"/>
  <c r="A14" i="39" a="1"/>
  <c r="A14" i="39" s="1"/>
  <c r="A15" i="39" a="1"/>
  <c r="A15" i="39" s="1"/>
  <c r="E15" i="4"/>
  <c r="R9" i="38"/>
  <c r="Q9" i="38"/>
  <c r="E9" i="38"/>
  <c r="A6" i="38" s="1" a="1"/>
  <c r="A6" i="38" s="1"/>
  <c r="Q12" i="38"/>
  <c r="R12" i="38"/>
  <c r="Q14" i="4"/>
  <c r="E14" i="4"/>
  <c r="Q21" i="4"/>
  <c r="Q13" i="4"/>
  <c r="Q12" i="4"/>
  <c r="Q19" i="4"/>
  <c r="E19" i="4"/>
  <c r="E13" i="4"/>
  <c r="E21" i="4"/>
  <c r="A10" i="38" l="1" a="1"/>
  <c r="A10" i="38" s="1"/>
  <c r="H4" i="43" s="1"/>
  <c r="C39" i="11"/>
  <c r="D39" i="11"/>
  <c r="D38" i="11"/>
  <c r="C38" i="11"/>
  <c r="D36" i="11"/>
  <c r="C36" i="11"/>
  <c r="C37" i="11"/>
  <c r="D37" i="11"/>
  <c r="A4" i="39" a="1"/>
  <c r="A4" i="39" s="1"/>
  <c r="A11" i="39" a="1"/>
  <c r="A11" i="39" s="1"/>
  <c r="A5" i="39" a="1"/>
  <c r="A5" i="39" s="1"/>
  <c r="C35" i="11" s="1"/>
  <c r="A11" i="38" a="1"/>
  <c r="A11" i="38" s="1"/>
  <c r="A12" i="38" a="1"/>
  <c r="A12" i="38" s="1"/>
  <c r="H5" i="43" s="1"/>
  <c r="A5" i="38" a="1"/>
  <c r="A5" i="38" s="1"/>
  <c r="A9" i="38" a="1"/>
  <c r="A9" i="38" s="1"/>
  <c r="A4" i="38" a="1"/>
  <c r="A4" i="38" s="1"/>
  <c r="A8" i="38" a="1"/>
  <c r="A8" i="38" s="1"/>
  <c r="A7" i="38" a="1"/>
  <c r="A7" i="38" s="1"/>
  <c r="A5" i="43" l="1" a="1"/>
  <c r="A5" i="43" s="1"/>
  <c r="D10" i="11"/>
  <c r="C10" i="11"/>
  <c r="A4" i="43" a="1"/>
  <c r="A4" i="43" s="1"/>
  <c r="A6" i="43" a="1"/>
  <c r="A6" i="43" s="1"/>
  <c r="A7" i="43" a="1"/>
  <c r="A7" i="43" s="1"/>
  <c r="D34" i="11"/>
  <c r="D35" i="11"/>
  <c r="C34" i="11"/>
  <c r="C13" i="11"/>
  <c r="D11" i="11"/>
  <c r="D12" i="11"/>
  <c r="D13" i="11"/>
  <c r="C11" i="11"/>
  <c r="D15" i="11"/>
  <c r="D14" i="11"/>
  <c r="C12" i="11"/>
  <c r="D16" i="11"/>
  <c r="C14" i="11"/>
  <c r="C15" i="11"/>
  <c r="D17" i="11"/>
  <c r="C16" i="11"/>
  <c r="C17" i="11"/>
  <c r="C23" i="11" l="1"/>
  <c r="D23" i="11"/>
  <c r="C24" i="11"/>
  <c r="D24" i="11"/>
  <c r="C25" i="11"/>
  <c r="D25" i="11"/>
  <c r="C22" i="11"/>
  <c r="D22" i="11"/>
  <c r="CK8" i="4"/>
  <c r="CL8" i="4"/>
  <c r="CM8" i="4"/>
  <c r="CN8" i="4"/>
  <c r="CO8" i="4"/>
  <c r="CP8" i="4"/>
  <c r="CR8" i="4"/>
  <c r="CS8" i="4"/>
  <c r="CT8" i="4"/>
  <c r="VZ8" i="4"/>
  <c r="WA8" i="4"/>
  <c r="WB8" i="4"/>
  <c r="WC8" i="4"/>
  <c r="WD8" i="4"/>
  <c r="WE8" i="4"/>
  <c r="WG8" i="4"/>
  <c r="WH8" i="4"/>
  <c r="WI8" i="4"/>
  <c r="WJ8" i="4"/>
  <c r="WK8" i="4"/>
  <c r="WL8" i="4"/>
  <c r="I8" i="4" l="1"/>
  <c r="J8" i="4"/>
  <c r="CQ8" i="4"/>
  <c r="WF8" i="4"/>
  <c r="CU8" i="4"/>
  <c r="G8" i="4"/>
  <c r="F8" i="4"/>
  <c r="N8" i="4" l="1"/>
  <c r="CW8" i="4" s="1"/>
  <c r="L8" i="4"/>
  <c r="WM8" i="4"/>
  <c r="K8" i="4"/>
  <c r="CV8" i="4"/>
  <c r="M8" i="4"/>
  <c r="H8" i="4"/>
  <c r="P8" i="4" l="1"/>
  <c r="R8" i="4" s="1"/>
  <c r="O8" i="4"/>
  <c r="Q8" i="4"/>
  <c r="E8" i="4"/>
  <c r="WL17" i="4" l="1"/>
  <c r="WK17" i="4"/>
  <c r="WJ17" i="4"/>
  <c r="WI17" i="4"/>
  <c r="WH17" i="4"/>
  <c r="WG17" i="4"/>
  <c r="WE17" i="4"/>
  <c r="WD17" i="4"/>
  <c r="WC17" i="4"/>
  <c r="WB17" i="4"/>
  <c r="WA17" i="4"/>
  <c r="VZ17" i="4"/>
  <c r="WL18" i="4"/>
  <c r="WK18" i="4"/>
  <c r="WJ18" i="4"/>
  <c r="WI18" i="4"/>
  <c r="WH18" i="4"/>
  <c r="WG18" i="4"/>
  <c r="WE18" i="4"/>
  <c r="WD18" i="4"/>
  <c r="WC18" i="4"/>
  <c r="WB18" i="4"/>
  <c r="WA18" i="4"/>
  <c r="VZ18" i="4"/>
  <c r="WL24" i="4"/>
  <c r="WK24" i="4"/>
  <c r="WJ24" i="4"/>
  <c r="WI24" i="4"/>
  <c r="WH24" i="4"/>
  <c r="WG24" i="4"/>
  <c r="WE24" i="4"/>
  <c r="WD24" i="4"/>
  <c r="WC24" i="4"/>
  <c r="WB24" i="4"/>
  <c r="WA24" i="4"/>
  <c r="VZ24" i="4"/>
  <c r="WL25" i="4"/>
  <c r="WK25" i="4"/>
  <c r="WJ25" i="4"/>
  <c r="WI25" i="4"/>
  <c r="WH25" i="4"/>
  <c r="WG25" i="4"/>
  <c r="WE25" i="4"/>
  <c r="WD25" i="4"/>
  <c r="WC25" i="4"/>
  <c r="WB25" i="4"/>
  <c r="WA25" i="4"/>
  <c r="VZ25" i="4"/>
  <c r="WL16" i="4"/>
  <c r="WK16" i="4"/>
  <c r="WJ16" i="4"/>
  <c r="WI16" i="4"/>
  <c r="WH16" i="4"/>
  <c r="WG16" i="4"/>
  <c r="WE16" i="4"/>
  <c r="WD16" i="4"/>
  <c r="WC16" i="4"/>
  <c r="WB16" i="4"/>
  <c r="WA16" i="4"/>
  <c r="VZ16" i="4"/>
  <c r="WL20" i="4"/>
  <c r="WK20" i="4"/>
  <c r="WJ20" i="4"/>
  <c r="WI20" i="4"/>
  <c r="WH20" i="4"/>
  <c r="WG20" i="4"/>
  <c r="WE20" i="4"/>
  <c r="WD20" i="4"/>
  <c r="WC20" i="4"/>
  <c r="WB20" i="4"/>
  <c r="WA20" i="4"/>
  <c r="VZ20" i="4"/>
  <c r="WL10" i="4"/>
  <c r="WK10" i="4"/>
  <c r="WJ10" i="4"/>
  <c r="WI10" i="4"/>
  <c r="WH10" i="4"/>
  <c r="WG10" i="4"/>
  <c r="WE10" i="4"/>
  <c r="WD10" i="4"/>
  <c r="WC10" i="4"/>
  <c r="WB10" i="4"/>
  <c r="WA10" i="4"/>
  <c r="VZ10" i="4"/>
  <c r="WL6" i="4"/>
  <c r="WK6" i="4"/>
  <c r="WJ6" i="4"/>
  <c r="WI6" i="4"/>
  <c r="WH6" i="4"/>
  <c r="WG6" i="4"/>
  <c r="WE6" i="4"/>
  <c r="WD6" i="4"/>
  <c r="WC6" i="4"/>
  <c r="WB6" i="4"/>
  <c r="WA6" i="4"/>
  <c r="VZ6" i="4"/>
  <c r="WL11" i="4"/>
  <c r="WK11" i="4"/>
  <c r="WJ11" i="4"/>
  <c r="WI11" i="4"/>
  <c r="WH11" i="4"/>
  <c r="WG11" i="4"/>
  <c r="WE11" i="4"/>
  <c r="WD11" i="4"/>
  <c r="WC11" i="4"/>
  <c r="WB11" i="4"/>
  <c r="WA11" i="4"/>
  <c r="VZ11" i="4"/>
  <c r="WL26" i="4"/>
  <c r="WK26" i="4"/>
  <c r="WJ26" i="4"/>
  <c r="WI26" i="4"/>
  <c r="WH26" i="4"/>
  <c r="WG26" i="4"/>
  <c r="WE26" i="4"/>
  <c r="WD26" i="4"/>
  <c r="WC26" i="4"/>
  <c r="WB26" i="4"/>
  <c r="WA26" i="4"/>
  <c r="VZ26" i="4"/>
  <c r="WL23" i="4"/>
  <c r="WK23" i="4"/>
  <c r="WJ23" i="4"/>
  <c r="WI23" i="4"/>
  <c r="WH23" i="4"/>
  <c r="WG23" i="4"/>
  <c r="WE23" i="4"/>
  <c r="WD23" i="4"/>
  <c r="WC23" i="4"/>
  <c r="WB23" i="4"/>
  <c r="WA23" i="4"/>
  <c r="VZ23" i="4"/>
  <c r="WL7" i="4"/>
  <c r="WK7" i="4"/>
  <c r="WJ7" i="4"/>
  <c r="WI7" i="4"/>
  <c r="WH7" i="4"/>
  <c r="WG7" i="4"/>
  <c r="WE7" i="4"/>
  <c r="WD7" i="4"/>
  <c r="WC7" i="4"/>
  <c r="WB7" i="4"/>
  <c r="WA7" i="4"/>
  <c r="VZ7" i="4"/>
  <c r="WL22" i="4"/>
  <c r="WK22" i="4"/>
  <c r="WJ22" i="4"/>
  <c r="WI22" i="4"/>
  <c r="WH22" i="4"/>
  <c r="WG22" i="4"/>
  <c r="WE22" i="4"/>
  <c r="WD22" i="4"/>
  <c r="WC22" i="4"/>
  <c r="WB22" i="4"/>
  <c r="WA22" i="4"/>
  <c r="VZ22" i="4"/>
  <c r="WL4" i="4"/>
  <c r="WK4" i="4"/>
  <c r="WJ4" i="4"/>
  <c r="WI4" i="4"/>
  <c r="WH4" i="4"/>
  <c r="WG4" i="4"/>
  <c r="WE4" i="4"/>
  <c r="WD4" i="4"/>
  <c r="WC4" i="4"/>
  <c r="WB4" i="4"/>
  <c r="WA4" i="4"/>
  <c r="VZ4" i="4"/>
  <c r="WL5" i="4"/>
  <c r="WK5" i="4"/>
  <c r="WJ5" i="4"/>
  <c r="WI5" i="4"/>
  <c r="WH5" i="4"/>
  <c r="WG5" i="4"/>
  <c r="WE5" i="4"/>
  <c r="WD5" i="4"/>
  <c r="WC5" i="4"/>
  <c r="WB5" i="4"/>
  <c r="WA5" i="4"/>
  <c r="VZ5" i="4"/>
  <c r="WL9" i="4"/>
  <c r="WK9" i="4"/>
  <c r="WJ9" i="4"/>
  <c r="WI9" i="4"/>
  <c r="WH9" i="4"/>
  <c r="WG9" i="4"/>
  <c r="WE9" i="4"/>
  <c r="WD9" i="4"/>
  <c r="WC9" i="4"/>
  <c r="WB9" i="4"/>
  <c r="WA9" i="4"/>
  <c r="VZ9" i="4"/>
  <c r="WF9" i="4" l="1"/>
  <c r="WF7" i="4"/>
  <c r="WF6" i="4"/>
  <c r="WF16" i="4"/>
  <c r="WF5" i="4"/>
  <c r="WF22" i="4"/>
  <c r="WF23" i="4"/>
  <c r="WF11" i="4"/>
  <c r="WF10" i="4"/>
  <c r="WF24" i="4"/>
  <c r="WF17" i="4"/>
  <c r="WF18" i="4"/>
  <c r="WF4" i="4"/>
  <c r="WF26" i="4"/>
  <c r="WF20" i="4"/>
  <c r="WF25" i="4"/>
  <c r="WM18" i="4" l="1"/>
  <c r="WM24" i="4"/>
  <c r="WM16" i="4"/>
  <c r="WM20" i="4"/>
  <c r="WM11" i="4"/>
  <c r="WM23" i="4"/>
  <c r="WM26" i="4"/>
  <c r="WM6" i="4"/>
  <c r="WM10" i="4"/>
  <c r="WM22" i="4"/>
  <c r="WM5" i="4"/>
  <c r="WM25" i="4"/>
  <c r="WM4" i="4"/>
  <c r="WM7" i="4"/>
  <c r="WM17" i="4"/>
  <c r="WM9" i="4"/>
  <c r="CK24" i="4" l="1"/>
  <c r="CL24" i="4"/>
  <c r="CM24" i="4"/>
  <c r="CN24" i="4"/>
  <c r="CO24" i="4"/>
  <c r="CP24" i="4"/>
  <c r="CR24" i="4"/>
  <c r="CS24" i="4"/>
  <c r="CT24" i="4"/>
  <c r="CK16" i="4"/>
  <c r="I16" i="4" s="1"/>
  <c r="CL16" i="4"/>
  <c r="CM16" i="4"/>
  <c r="CN16" i="4"/>
  <c r="CO16" i="4"/>
  <c r="CP16" i="4"/>
  <c r="CR16" i="4"/>
  <c r="CS16" i="4"/>
  <c r="CT16" i="4"/>
  <c r="I24" i="4" l="1"/>
  <c r="J24" i="4"/>
  <c r="J16" i="4"/>
  <c r="K16" i="4" s="1"/>
  <c r="K24" i="4"/>
  <c r="F24" i="4"/>
  <c r="G24" i="4"/>
  <c r="G16" i="4"/>
  <c r="F16" i="4"/>
  <c r="CQ16" i="4"/>
  <c r="CU16" i="4" s="1"/>
  <c r="CQ24" i="4"/>
  <c r="CU24" i="4" s="1"/>
  <c r="N16" i="4" l="1"/>
  <c r="CW16" i="4" s="1"/>
  <c r="L16" i="4"/>
  <c r="N24" i="4"/>
  <c r="CW24" i="4" s="1"/>
  <c r="L24" i="4"/>
  <c r="CV16" i="4"/>
  <c r="CV24" i="4"/>
  <c r="O24" i="4"/>
  <c r="M24" i="4"/>
  <c r="M16" i="4"/>
  <c r="O16" i="4"/>
  <c r="H24" i="4"/>
  <c r="A24" i="4" s="1" a="1"/>
  <c r="A24" i="4" s="1"/>
  <c r="H16" i="4"/>
  <c r="A16" i="4" s="1" a="1"/>
  <c r="A16" i="4" s="1"/>
  <c r="P24" i="4" l="1"/>
  <c r="R24" i="4" s="1"/>
  <c r="P16" i="4"/>
  <c r="R16" i="4" s="1"/>
  <c r="E24" i="4"/>
  <c r="E16" i="4" l="1"/>
  <c r="Q16" i="4"/>
  <c r="Q24" i="4"/>
  <c r="CK10" i="4" l="1"/>
  <c r="CL10" i="4"/>
  <c r="CM10" i="4"/>
  <c r="CN10" i="4"/>
  <c r="CO10" i="4"/>
  <c r="CP10" i="4"/>
  <c r="CR10" i="4"/>
  <c r="CS10" i="4"/>
  <c r="CT10" i="4"/>
  <c r="I10" i="4" l="1"/>
  <c r="J10" i="4"/>
  <c r="G10" i="4"/>
  <c r="F10" i="4"/>
  <c r="CQ10" i="4"/>
  <c r="CU10" i="4" s="1"/>
  <c r="N10" i="4" l="1"/>
  <c r="L10" i="4"/>
  <c r="CW10" i="4"/>
  <c r="K10" i="4"/>
  <c r="CV10" i="4"/>
  <c r="M10" i="4"/>
  <c r="O10" i="4"/>
  <c r="H10" i="4"/>
  <c r="P10" i="4" l="1"/>
  <c r="E10" i="4" l="1"/>
  <c r="R10" i="4"/>
  <c r="Q10" i="4"/>
  <c r="CK18" i="4" l="1"/>
  <c r="CL18" i="4"/>
  <c r="CM18" i="4"/>
  <c r="CN18" i="4"/>
  <c r="CO18" i="4"/>
  <c r="CP18" i="4"/>
  <c r="CR18" i="4"/>
  <c r="CS18" i="4"/>
  <c r="CT18" i="4"/>
  <c r="CK26" i="4"/>
  <c r="I26" i="4" s="1"/>
  <c r="CL26" i="4"/>
  <c r="CM26" i="4"/>
  <c r="CN26" i="4"/>
  <c r="CO26" i="4"/>
  <c r="CP26" i="4"/>
  <c r="CR26" i="4"/>
  <c r="CS26" i="4"/>
  <c r="CT26" i="4"/>
  <c r="I18" i="4" l="1"/>
  <c r="J18" i="4"/>
  <c r="J26" i="4"/>
  <c r="G26" i="4"/>
  <c r="F26" i="4"/>
  <c r="F18" i="4"/>
  <c r="G18" i="4"/>
  <c r="CQ26" i="4"/>
  <c r="CU26" i="4" s="1"/>
  <c r="CQ18" i="4"/>
  <c r="CU18" i="4" s="1"/>
  <c r="L26" i="4" l="1"/>
  <c r="M26" i="4" s="1"/>
  <c r="N26" i="4"/>
  <c r="N18" i="4"/>
  <c r="L18" i="4"/>
  <c r="K26" i="4"/>
  <c r="CV26" i="4"/>
  <c r="K18" i="4"/>
  <c r="CV18" i="4"/>
  <c r="CW18" i="4"/>
  <c r="M18" i="4"/>
  <c r="H26" i="4"/>
  <c r="H18" i="4"/>
  <c r="O26" i="4" l="1"/>
  <c r="CW26" i="4"/>
  <c r="P26" i="4" s="1"/>
  <c r="R26" i="4" s="1"/>
  <c r="P18" i="4"/>
  <c r="R18" i="4" s="1"/>
  <c r="O18" i="4"/>
  <c r="E18" i="4"/>
  <c r="Q26" i="4" l="1"/>
  <c r="E26" i="4"/>
  <c r="Q18" i="4"/>
  <c r="CK22" i="4" l="1"/>
  <c r="CL22" i="4"/>
  <c r="CM22" i="4"/>
  <c r="CN22" i="4"/>
  <c r="CO22" i="4"/>
  <c r="CP22" i="4"/>
  <c r="CR22" i="4"/>
  <c r="CS22" i="4"/>
  <c r="CT22" i="4"/>
  <c r="I22" i="4" l="1"/>
  <c r="J22" i="4"/>
  <c r="G22" i="4"/>
  <c r="F22" i="4"/>
  <c r="CQ22" i="4"/>
  <c r="CU22" i="4" s="1"/>
  <c r="N22" i="4" l="1"/>
  <c r="CW22" i="4" s="1"/>
  <c r="L22" i="4"/>
  <c r="M22" i="4" s="1"/>
  <c r="K22" i="4"/>
  <c r="CV22" i="4"/>
  <c r="H22" i="4"/>
  <c r="O22" i="4" l="1"/>
  <c r="P22" i="4"/>
  <c r="R22" i="4" s="1"/>
  <c r="E22" i="4" l="1"/>
  <c r="Q22" i="4"/>
  <c r="CK4" i="4" l="1"/>
  <c r="CL4" i="4"/>
  <c r="CM4" i="4"/>
  <c r="CN4" i="4"/>
  <c r="CO4" i="4"/>
  <c r="CP4" i="4"/>
  <c r="CR4" i="4"/>
  <c r="CS4" i="4"/>
  <c r="CT4" i="4"/>
  <c r="I4" i="4" l="1"/>
  <c r="J4" i="4"/>
  <c r="G4" i="4"/>
  <c r="F4" i="4"/>
  <c r="CQ4" i="4"/>
  <c r="CU4" i="4" s="1"/>
  <c r="N4" i="4" l="1"/>
  <c r="L4" i="4"/>
  <c r="H4" i="4"/>
  <c r="CV4" i="4"/>
  <c r="K4" i="4"/>
  <c r="CW4" i="4"/>
  <c r="M4" i="4"/>
  <c r="P4" i="4" l="1"/>
  <c r="R4" i="4" s="1"/>
  <c r="O4" i="4"/>
  <c r="E4" i="4" l="1"/>
  <c r="Q4" i="4"/>
  <c r="CK7" i="4" l="1"/>
  <c r="CL7" i="4"/>
  <c r="CM7" i="4"/>
  <c r="CN7" i="4"/>
  <c r="CO7" i="4"/>
  <c r="CP7" i="4"/>
  <c r="CR7" i="4"/>
  <c r="CS7" i="4"/>
  <c r="CT7" i="4"/>
  <c r="I7" i="4" l="1"/>
  <c r="J7" i="4"/>
  <c r="G7" i="4"/>
  <c r="F7" i="4"/>
  <c r="H7" i="4" s="1"/>
  <c r="CQ7" i="4"/>
  <c r="CU7" i="4" s="1"/>
  <c r="N7" i="4" l="1"/>
  <c r="L7" i="4"/>
  <c r="CW7" i="4"/>
  <c r="K7" i="4"/>
  <c r="CV7" i="4"/>
  <c r="M7" i="4"/>
  <c r="O7" i="4" l="1"/>
  <c r="P7" i="4"/>
  <c r="R7" i="4" s="1"/>
  <c r="CS23" i="4"/>
  <c r="CS5" i="4"/>
  <c r="CS11" i="4"/>
  <c r="CS25" i="4"/>
  <c r="CS17" i="4"/>
  <c r="CS20" i="4"/>
  <c r="CS6" i="4"/>
  <c r="CS9" i="4"/>
  <c r="CR9" i="4"/>
  <c r="CO9" i="4"/>
  <c r="CO5" i="4"/>
  <c r="CO11" i="4"/>
  <c r="CO25" i="4"/>
  <c r="CO17" i="4"/>
  <c r="CO20" i="4"/>
  <c r="CO6" i="4"/>
  <c r="CO23" i="4"/>
  <c r="CN23" i="4"/>
  <c r="CL9" i="4"/>
  <c r="CL5" i="4"/>
  <c r="CL11" i="4"/>
  <c r="CL25" i="4"/>
  <c r="CL17" i="4"/>
  <c r="CL20" i="4"/>
  <c r="CL6" i="4"/>
  <c r="CL23" i="4"/>
  <c r="CK23" i="4"/>
  <c r="CK9" i="4"/>
  <c r="CK5" i="4"/>
  <c r="CK11" i="4"/>
  <c r="CK25" i="4"/>
  <c r="CK17" i="4"/>
  <c r="CK20" i="4"/>
  <c r="CK6" i="4"/>
  <c r="E7" i="4" l="1"/>
  <c r="Q7" i="4"/>
  <c r="CM6" i="4"/>
  <c r="CN6" i="4"/>
  <c r="CP6" i="4"/>
  <c r="CR6" i="4"/>
  <c r="CT6" i="4"/>
  <c r="I6" i="4" l="1"/>
  <c r="J6" i="4"/>
  <c r="G6" i="4"/>
  <c r="F6" i="4"/>
  <c r="CQ6" i="4"/>
  <c r="CU6" i="4" s="1"/>
  <c r="CM20" i="4"/>
  <c r="CN20" i="4"/>
  <c r="CP20" i="4"/>
  <c r="CR20" i="4"/>
  <c r="CT20" i="4"/>
  <c r="CM25" i="4"/>
  <c r="CN25" i="4"/>
  <c r="CP25" i="4"/>
  <c r="CR25" i="4"/>
  <c r="CT25" i="4"/>
  <c r="I20" i="4" l="1"/>
  <c r="K6" i="4"/>
  <c r="N6" i="4"/>
  <c r="L6" i="4"/>
  <c r="I25" i="4"/>
  <c r="CW6" i="4"/>
  <c r="M6" i="4"/>
  <c r="CV6" i="4"/>
  <c r="O6" i="4"/>
  <c r="J25" i="4"/>
  <c r="J20" i="4"/>
  <c r="K25" i="4"/>
  <c r="G25" i="4"/>
  <c r="F25" i="4"/>
  <c r="G20" i="4"/>
  <c r="F20" i="4"/>
  <c r="H6" i="4"/>
  <c r="CQ25" i="4"/>
  <c r="CU25" i="4" s="1"/>
  <c r="CQ20" i="4"/>
  <c r="CU20" i="4" s="1"/>
  <c r="N20" i="4" l="1"/>
  <c r="L20" i="4"/>
  <c r="L25" i="4"/>
  <c r="M25" i="4" s="1"/>
  <c r="N25" i="4"/>
  <c r="CW25" i="4" s="1"/>
  <c r="P6" i="4"/>
  <c r="R6" i="4" s="1"/>
  <c r="CW20" i="4"/>
  <c r="CV20" i="4"/>
  <c r="CV25" i="4"/>
  <c r="M20" i="4"/>
  <c r="K20" i="4"/>
  <c r="O25" i="4"/>
  <c r="H20" i="4"/>
  <c r="A20" i="4" s="1" a="1"/>
  <c r="A20" i="4" s="1"/>
  <c r="H25" i="4"/>
  <c r="O20" i="4" l="1"/>
  <c r="P20" i="4"/>
  <c r="R20" i="4" s="1"/>
  <c r="P25" i="4"/>
  <c r="R25" i="4" s="1"/>
  <c r="Q6" i="4"/>
  <c r="E6" i="4"/>
  <c r="E25" i="4"/>
  <c r="A25" i="4" a="1"/>
  <c r="A25" i="4" s="1"/>
  <c r="Q25" i="4" l="1"/>
  <c r="Q20" i="4"/>
  <c r="E20" i="4"/>
  <c r="CM5" i="4"/>
  <c r="CN5" i="4"/>
  <c r="CP5" i="4"/>
  <c r="CR5" i="4"/>
  <c r="CT5" i="4"/>
  <c r="CM11" i="4"/>
  <c r="CN11" i="4"/>
  <c r="CP11" i="4"/>
  <c r="CR11" i="4"/>
  <c r="CT11" i="4"/>
  <c r="CM9" i="4"/>
  <c r="I9" i="4" s="1"/>
  <c r="CN9" i="4"/>
  <c r="CP9" i="4"/>
  <c r="CT9" i="4"/>
  <c r="CM17" i="4"/>
  <c r="CN17" i="4"/>
  <c r="CP17" i="4"/>
  <c r="CR17" i="4"/>
  <c r="CT17" i="4"/>
  <c r="CP23" i="4"/>
  <c r="CM23" i="4"/>
  <c r="I5" i="4" l="1"/>
  <c r="I17" i="4"/>
  <c r="I11" i="4"/>
  <c r="J17" i="4"/>
  <c r="J11" i="4"/>
  <c r="J5" i="4"/>
  <c r="J9" i="4"/>
  <c r="G11" i="4"/>
  <c r="F11" i="4"/>
  <c r="G9" i="4"/>
  <c r="F9" i="4"/>
  <c r="G17" i="4"/>
  <c r="F17" i="4"/>
  <c r="G5" i="4"/>
  <c r="F5" i="4"/>
  <c r="CQ11" i="4"/>
  <c r="CU11" i="4" s="1"/>
  <c r="CQ5" i="4"/>
  <c r="CU5" i="4" s="1"/>
  <c r="CQ23" i="4"/>
  <c r="CQ9" i="4"/>
  <c r="CU9" i="4" s="1"/>
  <c r="CQ17" i="4"/>
  <c r="CU17" i="4" s="1"/>
  <c r="L9" i="4" l="1"/>
  <c r="N9" i="4"/>
  <c r="N5" i="4"/>
  <c r="L5" i="4"/>
  <c r="N11" i="4"/>
  <c r="CW11" i="4" s="1"/>
  <c r="L11" i="4"/>
  <c r="L17" i="4"/>
  <c r="M17" i="4" s="1"/>
  <c r="N17" i="4"/>
  <c r="CW17" i="4" s="1"/>
  <c r="CV11" i="4"/>
  <c r="P11" i="4" s="1"/>
  <c r="R11" i="4" s="1"/>
  <c r="K17" i="4"/>
  <c r="CV17" i="4"/>
  <c r="CW9" i="4"/>
  <c r="CV9" i="4"/>
  <c r="K5" i="4"/>
  <c r="CV5" i="4"/>
  <c r="K11" i="4"/>
  <c r="K9" i="4"/>
  <c r="M5" i="4"/>
  <c r="CW5" i="4"/>
  <c r="M9" i="4"/>
  <c r="M11" i="4"/>
  <c r="O11" i="4"/>
  <c r="H5" i="4"/>
  <c r="H17" i="4"/>
  <c r="H9" i="4"/>
  <c r="H11" i="4"/>
  <c r="CT23" i="4"/>
  <c r="CR23" i="4"/>
  <c r="O17" i="4" l="1"/>
  <c r="I23" i="4"/>
  <c r="O5" i="4"/>
  <c r="P5" i="4"/>
  <c r="R5" i="4" s="1"/>
  <c r="Q11" i="4"/>
  <c r="P9" i="4"/>
  <c r="R9" i="4" s="1"/>
  <c r="P17" i="4"/>
  <c r="R17" i="4" s="1"/>
  <c r="E11" i="4"/>
  <c r="O9" i="4"/>
  <c r="E9" i="4"/>
  <c r="J23" i="4"/>
  <c r="G23" i="4"/>
  <c r="F23" i="4"/>
  <c r="H23" i="4" s="1"/>
  <c r="CU23" i="4"/>
  <c r="N23" i="4" l="1"/>
  <c r="CW23" i="4" s="1"/>
  <c r="L23" i="4"/>
  <c r="E17" i="4"/>
  <c r="Q17" i="4"/>
  <c r="Q9" i="4"/>
  <c r="Q5" i="4"/>
  <c r="M23" i="4"/>
  <c r="CV23" i="4"/>
  <c r="E5" i="4"/>
  <c r="K23" i="4"/>
  <c r="O23" i="4"/>
  <c r="A4" i="4" l="1" a="1"/>
  <c r="A4" i="4" s="1"/>
  <c r="P23" i="4"/>
  <c r="R23" i="4" s="1"/>
  <c r="E23" i="4"/>
  <c r="Q23" i="4" l="1"/>
  <c r="A8" i="4" a="1"/>
  <c r="A8" i="4" s="1"/>
  <c r="H6" i="42" s="1"/>
  <c r="A6" i="42" s="1" a="1"/>
  <c r="A6" i="42" s="1"/>
  <c r="A19" i="4" a="1"/>
  <c r="A19" i="4" s="1"/>
  <c r="A13" i="4" a="1"/>
  <c r="A13" i="4" s="1"/>
  <c r="H8" i="42" s="1"/>
  <c r="A14" i="4" a="1"/>
  <c r="A14" i="4" s="1"/>
  <c r="H13" i="42" s="1"/>
  <c r="A13" i="42" s="1" a="1"/>
  <c r="A13" i="42" s="1"/>
  <c r="A7" i="4" a="1"/>
  <c r="A7" i="4" s="1"/>
  <c r="H4" i="42" s="1"/>
  <c r="A6" i="4" a="1"/>
  <c r="A6" i="4" s="1"/>
  <c r="A17" i="4" a="1"/>
  <c r="A17" i="4" s="1"/>
  <c r="A10" i="4" a="1"/>
  <c r="A10" i="4" s="1"/>
  <c r="H5" i="42" s="1"/>
  <c r="A26" i="4" a="1"/>
  <c r="A26" i="4" s="1"/>
  <c r="A18" i="4" a="1"/>
  <c r="A18" i="4" s="1"/>
  <c r="H11" i="42" s="1"/>
  <c r="A11" i="42" s="1" a="1"/>
  <c r="A11" i="42" s="1"/>
  <c r="A23" i="4" a="1"/>
  <c r="A23" i="4" s="1"/>
  <c r="A22" i="4" a="1"/>
  <c r="A22" i="4" s="1"/>
  <c r="H14" i="42" s="1"/>
  <c r="A14" i="42" s="1" a="1"/>
  <c r="A14" i="42" s="1"/>
  <c r="A11" i="4" a="1"/>
  <c r="A11" i="4" s="1"/>
  <c r="H7" i="42" s="1"/>
  <c r="A9" i="4" a="1"/>
  <c r="A9" i="4" s="1"/>
  <c r="A5" i="4" a="1"/>
  <c r="A5" i="4" s="1"/>
  <c r="A7" i="42" l="1" a="1"/>
  <c r="A7" i="42" s="1"/>
  <c r="A9" i="42" a="1"/>
  <c r="A9" i="42" s="1"/>
  <c r="A4" i="42" a="1"/>
  <c r="A4" i="42" s="1"/>
  <c r="A8" i="42" a="1"/>
  <c r="A8" i="42" s="1"/>
  <c r="A5" i="42" a="1"/>
  <c r="A5" i="42" s="1"/>
  <c r="C2" i="11"/>
  <c r="D9" i="11"/>
  <c r="C9" i="11"/>
  <c r="C5" i="11"/>
  <c r="C6" i="11"/>
  <c r="D7" i="11"/>
  <c r="C8" i="11"/>
  <c r="D2" i="11"/>
  <c r="D3" i="11"/>
  <c r="C3" i="11"/>
  <c r="D5" i="11"/>
  <c r="D8" i="11"/>
  <c r="C4" i="11"/>
  <c r="D6" i="11"/>
  <c r="C7" i="11"/>
  <c r="D4" i="11"/>
  <c r="D18" i="11" l="1"/>
  <c r="D19" i="11"/>
  <c r="D20" i="11"/>
  <c r="D21" i="11"/>
  <c r="C19" i="11"/>
  <c r="C20" i="11"/>
  <c r="C21" i="11"/>
  <c r="C18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<sst xmlns="http://schemas.openxmlformats.org/spreadsheetml/2006/main" count="6511" uniqueCount="239">
  <si>
    <t>Province</t>
  </si>
  <si>
    <t>Rank</t>
  </si>
  <si>
    <t>Total Points</t>
  </si>
  <si>
    <t>ON</t>
  </si>
  <si>
    <t>SOEHN, Keegan</t>
  </si>
  <si>
    <t>AB</t>
  </si>
  <si>
    <t>BC</t>
  </si>
  <si>
    <t>QC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</si>
  <si>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</si>
  <si>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</si>
  <si>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</si>
  <si>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</si>
  <si>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</si>
  <si>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</si>
  <si>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</si>
  <si>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</si>
  <si>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</si>
  <si>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</si>
  <si>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</si>
  <si>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</si>
  <si>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</si>
  <si>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</si>
  <si>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</si>
  <si>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</si>
  <si>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</si>
  <si>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TAM, Rachel</t>
  </si>
  <si>
    <t>Athlete</t>
  </si>
  <si>
    <t>Penalty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</si>
  <si>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</si>
  <si>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</si>
  <si>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</si>
  <si>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</si>
  <si>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</si>
  <si>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</si>
  <si>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</si>
  <si>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Member</t>
  </si>
  <si>
    <t>Last Updated: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</si>
  <si>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</si>
  <si>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</si>
  <si>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</si>
  <si>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</si>
  <si>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</si>
  <si>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</si>
  <si>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</si>
  <si>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</si>
  <si>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</si>
  <si>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</si>
  <si>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</si>
  <si>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</si>
  <si>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Excellence Score</t>
  </si>
  <si>
    <t>Excellence DD</t>
  </si>
  <si>
    <t>Remove athlete:</t>
  </si>
  <si>
    <t>Delete oldest international competitions</t>
  </si>
  <si>
    <t>AUBIN, Rémi</t>
  </si>
  <si>
    <t>FLYNN, Gabby</t>
  </si>
  <si>
    <t>NB</t>
  </si>
  <si>
    <t>RICHARD, Dexter</t>
  </si>
  <si>
    <t>Merit DD</t>
  </si>
  <si>
    <t>Vol 2 DD</t>
  </si>
  <si>
    <t>BONHAM, Maja</t>
  </si>
  <si>
    <t>ZUREK, Nolan</t>
  </si>
  <si>
    <t>Worlds Eligible</t>
  </si>
  <si>
    <t>DODD, Gavin</t>
  </si>
  <si>
    <t>CARISSE, Jesse</t>
  </si>
  <si>
    <t>DON, Alexander</t>
  </si>
  <si>
    <t>SOEHN, Kalena</t>
  </si>
  <si>
    <t>MÉTHOT &amp; MILETTE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</si>
  <si>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</si>
  <si>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</si>
  <si>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</si>
  <si>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</si>
  <si>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</si>
  <si>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</si>
  <si>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</si>
  <si>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</si>
  <si>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Best Routine</t>
  </si>
  <si>
    <t>NOGA-BARD, Kasha</t>
  </si>
  <si>
    <t>CLOUTIER, Étienne</t>
  </si>
  <si>
    <t>ON/AB</t>
  </si>
  <si>
    <t>MEYER, Jeremy</t>
  </si>
  <si>
    <t>2002/2001</t>
  </si>
  <si>
    <t>BONHAM &amp; FLYNN</t>
  </si>
  <si>
    <t>NOSSACK, Sophie</t>
  </si>
  <si>
    <t>BONNE, Rielle</t>
  </si>
  <si>
    <t>2004/1999</t>
  </si>
  <si>
    <t>NOSSACK &amp; SOEHN</t>
  </si>
  <si>
    <t>2nd Best Routine</t>
  </si>
  <si>
    <t>JAMES, Roshni</t>
  </si>
  <si>
    <t>THOMPSON, Derek</t>
  </si>
  <si>
    <t>VIAU, Nathan</t>
  </si>
  <si>
    <t>MALLAIS, Rylan</t>
  </si>
  <si>
    <t>2004/2006</t>
  </si>
  <si>
    <t>ADJEMIAN, Alexan</t>
  </si>
  <si>
    <t>2001/1998</t>
  </si>
  <si>
    <t>MCLEAN, Declan</t>
  </si>
  <si>
    <t>COLLINSON, Brody</t>
  </si>
  <si>
    <t>2006/2005</t>
  </si>
  <si>
    <t>ADJEMIAN &amp; CLOUTIER</t>
  </si>
  <si>
    <t>CYMAN, Cody</t>
  </si>
  <si>
    <t>KOOMAN, Spencer</t>
  </si>
  <si>
    <t>SMITH, Haiden</t>
  </si>
  <si>
    <t>CLOUTIER &amp; VIAU</t>
  </si>
  <si>
    <t>2005/2006</t>
  </si>
  <si>
    <t>2007/2004</t>
  </si>
  <si>
    <t>D'HONDT &amp; MEYER</t>
  </si>
  <si>
    <t>CYMAN &amp; KOOMAN</t>
  </si>
  <si>
    <t>2007/2002</t>
  </si>
  <si>
    <t>ON/QC</t>
  </si>
  <si>
    <t>KUZNAK &amp; SCHMIDT</t>
  </si>
  <si>
    <t>2007/2008</t>
  </si>
  <si>
    <t>CORRIVEAU, Mélina</t>
  </si>
  <si>
    <t>BONNE &amp; SOEHN</t>
  </si>
  <si>
    <t>ON/NB</t>
  </si>
  <si>
    <t>NOGA-BARD &amp; TAM</t>
  </si>
  <si>
    <t>2004/2007</t>
  </si>
  <si>
    <t>BONNE &amp; CORRIVEAU</t>
  </si>
  <si>
    <t>BEAULIEU, Alex</t>
  </si>
  <si>
    <t>1998/1997</t>
  </si>
  <si>
    <t>2025 Elite Canada</t>
  </si>
  <si>
    <t>COOK, Mason</t>
  </si>
  <si>
    <t>D'HONDT, Luke</t>
  </si>
  <si>
    <t>DON &amp; HIGHSTEAD</t>
  </si>
  <si>
    <t>BEAULIEU &amp; BOURGAULT-FOURNIER</t>
  </si>
  <si>
    <t>COOK &amp; ROJAS</t>
  </si>
  <si>
    <t>2002/2006</t>
  </si>
  <si>
    <t>2008/2005</t>
  </si>
  <si>
    <t>2007/2001</t>
  </si>
  <si>
    <t>2006/2007</t>
  </si>
  <si>
    <t>ADJEMIAN &amp; CORRIVEAU</t>
  </si>
  <si>
    <t>BONNE &amp; COLLINSON</t>
  </si>
  <si>
    <t>CLOUTIER &amp; TAM</t>
  </si>
  <si>
    <t>QC/ON</t>
  </si>
  <si>
    <t>COOK &amp; NOGA-BARD</t>
  </si>
  <si>
    <t>2004/2005</t>
  </si>
  <si>
    <t>2005/1998</t>
  </si>
  <si>
    <t>2003/2001</t>
  </si>
  <si>
    <t>DODD &amp; FLYNN</t>
  </si>
  <si>
    <t>2025 World Cup ITA (April 6)</t>
  </si>
  <si>
    <t>2025 World Cup ITA (April 5)</t>
  </si>
  <si>
    <t>BONNE &amp; ADJEMIAN</t>
  </si>
  <si>
    <t>2025 Pan Am Championships (May 18)</t>
  </si>
  <si>
    <t>DON &amp; RICHARD</t>
  </si>
  <si>
    <t>FLYNN &amp; SOEHN</t>
  </si>
  <si>
    <t>BC/AB</t>
  </si>
  <si>
    <t>2001/1999</t>
  </si>
  <si>
    <t>2025 Nationals</t>
  </si>
  <si>
    <t>2007/2005</t>
  </si>
  <si>
    <t>COOK &amp; THOMPSON</t>
  </si>
  <si>
    <t>2006/2001</t>
  </si>
  <si>
    <t>DAVIS &amp; RICHARD</t>
  </si>
  <si>
    <t>2008/1992</t>
  </si>
  <si>
    <t>BLOOM &amp; SOEHN</t>
  </si>
  <si>
    <t>2025 World Cup POR (July 6)</t>
  </si>
  <si>
    <t>DODD &amp; SOEHN</t>
  </si>
  <si>
    <t>2003/1992</t>
  </si>
  <si>
    <t>2025 Coimbra Gym Fest (July 6)</t>
  </si>
  <si>
    <t>2025 Junior Pan Am Games (Aug 12)</t>
  </si>
  <si>
    <t>2025 World Games (Aug 10)</t>
  </si>
  <si>
    <t>2005/2007</t>
  </si>
  <si>
    <t>QC/AB</t>
  </si>
  <si>
    <t>CLOUTIER &amp; CYMAN</t>
  </si>
  <si>
    <t>2025 3rd Domestic Trial</t>
  </si>
  <si>
    <t>NL</t>
  </si>
  <si>
    <t>EVSTIGNEEV, Gleb</t>
  </si>
  <si>
    <t>2025 World Cup GER (Sept 21)</t>
  </si>
  <si>
    <t>2003/2002</t>
  </si>
  <si>
    <t>BC/ON</t>
  </si>
  <si>
    <t>DODD &amp; DON</t>
  </si>
  <si>
    <t>FLYNN &amp; NOGA-BARD</t>
  </si>
  <si>
    <t>2005/2001</t>
  </si>
  <si>
    <t>CLOUTIER &amp; NOGA-BARD</t>
  </si>
  <si>
    <t>ON/BC</t>
  </si>
  <si>
    <t>DON &amp; FLYNN</t>
  </si>
  <si>
    <t>2025 World Cup FRA (Oct 5)</t>
  </si>
  <si>
    <t>2005/2002</t>
  </si>
  <si>
    <t>CLOUTIER &amp; DON</t>
  </si>
  <si>
    <t>2025 Worlds (Nov 9)</t>
  </si>
  <si>
    <t>2025 Worlds Team Finals (Nov 9)</t>
  </si>
  <si>
    <t>BONNE &amp; NOGA-BARD</t>
  </si>
  <si>
    <t>2004/2001</t>
  </si>
  <si>
    <t>CORRIVEAU &amp; JAMES</t>
  </si>
  <si>
    <t>2007/2006</t>
  </si>
  <si>
    <t>2025 WAGC (Nov 16)</t>
  </si>
  <si>
    <t>AB/QC</t>
  </si>
  <si>
    <t>CYMAN &amp; VIAU</t>
  </si>
  <si>
    <t>Best Other Routine</t>
  </si>
  <si>
    <t>2nd Best
Other Routine</t>
  </si>
  <si>
    <t>Any</t>
  </si>
  <si>
    <t>DD and Score</t>
  </si>
  <si>
    <t>Elite Canada Preparation</t>
  </si>
  <si>
    <t>Senior-M</t>
  </si>
  <si>
    <t>Senior-W</t>
  </si>
  <si>
    <t>TRS-M</t>
  </si>
  <si>
    <t>TRS-W</t>
  </si>
  <si>
    <t>TRS-X</t>
  </si>
  <si>
    <t>BERKENBOSCH, Bence</t>
  </si>
  <si>
    <t>BLOOM, Tristan</t>
  </si>
  <si>
    <t>BOURGAULT-FOURNIER, Alexis</t>
  </si>
  <si>
    <t>OUGHTRED, Max</t>
  </si>
  <si>
    <t>BURELLE-DUBOIS, Josué</t>
  </si>
  <si>
    <t>HIGHSTEAD, Declan</t>
  </si>
  <si>
    <t>LALIBERTÉ, Félix</t>
  </si>
  <si>
    <t>NELSON, Cooper</t>
  </si>
  <si>
    <t>DAVIS, Eric</t>
  </si>
  <si>
    <t>ANDERSEN, Travis</t>
  </si>
  <si>
    <t>MORRISON, Xavier</t>
  </si>
  <si>
    <t>LANQUETIN, Yannick</t>
  </si>
  <si>
    <t>COUTURE, Joey</t>
  </si>
  <si>
    <t>SCOTT, Ethan</t>
  </si>
  <si>
    <t>On Senior Team</t>
  </si>
  <si>
    <t>Development-M</t>
  </si>
  <si>
    <t>Development-W</t>
  </si>
  <si>
    <t>KUZNAK, Sienna</t>
  </si>
  <si>
    <t>LEPORÉ, Amylia</t>
  </si>
  <si>
    <t>SCHMIDT, Jordyn</t>
  </si>
  <si>
    <t>LEE-MCMEEKEN, Brooklyn</t>
  </si>
  <si>
    <t>GOOD, Hayden</t>
  </si>
  <si>
    <t>LAURIN, Abby</t>
  </si>
  <si>
    <t>ALDOUS, Addison</t>
  </si>
  <si>
    <t>KURTZ, Lily</t>
  </si>
  <si>
    <t>Junior-M</t>
  </si>
  <si>
    <t>Junior-W</t>
  </si>
  <si>
    <t>Best Compulsory</t>
  </si>
  <si>
    <t>FORTINO, Louis</t>
  </si>
  <si>
    <t>RENOU, Brayden</t>
  </si>
  <si>
    <t>MORNEAU, Benjamin</t>
  </si>
  <si>
    <t>CAHILL, Benjamin</t>
  </si>
  <si>
    <t>JENKINSON, Bentley</t>
  </si>
  <si>
    <t>NS</t>
  </si>
  <si>
    <t>PATEL, Blaine</t>
  </si>
  <si>
    <t>Compulsory</t>
  </si>
  <si>
    <t>Voluntary</t>
  </si>
  <si>
    <t>Comp TOF</t>
  </si>
  <si>
    <t>Comp DD</t>
  </si>
  <si>
    <t>Vol DD</t>
  </si>
  <si>
    <t>Vol TOF</t>
  </si>
  <si>
    <t>Best Prelim Voluntary</t>
  </si>
  <si>
    <t>SLUGA, Arianna</t>
  </si>
  <si>
    <t>MOBORG, Reese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</si>
</sst>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0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theme="2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62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0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5" fillId="0" borderId="0" xfId="0" applyNumberFormat="1" applyFont="1"/>
    <xf numFmtId="164" fontId="5" fillId="2" borderId="1" xfId="0" applyNumberFormat="1" applyFont="1" applyFill="1" applyBorder="1" applyProtection="1">
      <protection locked="0"/>
    </xf>
    <xf numFmtId="0" fontId="14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5" fillId="2" borderId="1" xfId="0" applyNumberFormat="1" applyFont="1" applyFill="1" applyBorder="1" applyAlignment="1" applyProtection="1">
      <alignment horizontal="center"/>
      <protection locked="0"/>
    </xf>
    <xf numFmtId="164" fontId="15" fillId="3" borderId="1" xfId="0" applyNumberFormat="1" applyFont="1" applyFill="1" applyBorder="1" applyAlignment="1" applyProtection="1">
      <alignment horizontal="center"/>
      <protection locked="0"/>
    </xf>
    <xf numFmtId="0" fontId="13" fillId="0" borderId="0" xfId="0" applyFont="1"/>
    <xf numFmtId="0" fontId="16" fillId="9" borderId="0" xfId="0" applyFont="1" applyFill="1"/>
    <xf numFmtId="0" fontId="1" fillId="10" borderId="0" xfId="0" applyFont="1" applyFill="1"/>
    <xf numFmtId="164" fontId="0" fillId="0" borderId="0" xfId="0" applyNumberFormat="1" applyAlignment="1">
      <alignment horizontal="center"/>
    </xf>
    <xf numFmtId="0" fontId="17" fillId="12" borderId="0" xfId="0" applyFont="1" applyFill="1"/>
    <xf numFmtId="0" fontId="19" fillId="4" borderId="0" xfId="0" applyFont="1" applyFill="1"/>
    <xf numFmtId="0" fontId="18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4" fillId="5" borderId="0" xfId="0" applyNumberFormat="1" applyFont="1" applyFill="1" applyAlignment="1" applyProtection="1">
      <alignment horizontal="center"/>
      <protection locked="0"/>
    </xf>
    <xf numFmtId="164" fontId="16" fillId="11" borderId="0" xfId="0" applyNumberFormat="1" applyFont="1" applyFill="1" applyAlignment="1" applyProtection="1">
      <alignment horizontal="center"/>
      <protection locked="0"/>
    </xf>
    <xf numFmtId="164" fontId="1" fillId="10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19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7" fillId="12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8" borderId="0" xfId="0" applyFill="1" applyAlignment="1">
      <alignment horizontal="center"/>
    </xf>
    <xf numFmtId="164" fontId="0" fillId="8" borderId="0" xfId="0" applyNumberFormat="1" applyFill="1" applyAlignment="1">
      <alignment horizontal="center"/>
    </xf>
    <xf numFmtId="0" fontId="0" fillId="14" borderId="0" xfId="0" applyFill="1"/>
    <xf numFmtId="0" fontId="0" fillId="14" borderId="0" xfId="0" applyFill="1" applyAlignment="1">
      <alignment horizontal="center"/>
    </xf>
    <xf numFmtId="0" fontId="2" fillId="8" borderId="0" xfId="0" applyFont="1" applyFill="1" applyAlignment="1" applyProtection="1">
      <alignment horizontal="center"/>
      <protection locked="0"/>
    </xf>
    <xf numFmtId="165" fontId="0" fillId="0" borderId="0" xfId="0" applyNumberFormat="1" applyAlignment="1">
      <alignment horizontal="left"/>
    </xf>
    <xf numFmtId="0" fontId="2" fillId="2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2" fillId="8" borderId="0" xfId="0" applyFont="1" applyFill="1" applyAlignment="1" applyProtection="1">
      <alignment horizontal="center"/>
      <protection locked="0"/>
    </xf>
    <xf numFmtId="0" fontId="2" fillId="0" borderId="0" xfId="0" applyFont="1" applyAlignment="1">
      <alignment horizontal="center" vertical="center" wrapText="1"/>
    </xf>
    <xf numFmtId="0" fontId="2" fillId="3" borderId="0" xfId="0" applyFont="1" applyFill="1" applyAlignment="1">
      <alignment vertic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966"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9C0006"/>
      </font>
    </dxf>
    <dxf>
      <font>
        <color theme="9"/>
      </font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9C0006"/>
      </font>
    </dxf>
    <dxf>
      <font>
        <color theme="9"/>
      </font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E6C6FB"/>
      <color rgb="FFB4C6E7"/>
      <color rgb="FFFFF3CC"/>
      <color rgb="FFFFD1AD"/>
      <color rgb="FFFF03FD"/>
      <color rgb="FFFFBFFE"/>
      <color rgb="FFFFB5B7"/>
      <color rgb="FFFF7000"/>
      <color rgb="FF9C0006"/>
      <color rgb="FFFFA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40</xdr:row>
          <xdr:rowOff>25400</xdr:rowOff>
        </xdr:from>
        <xdr:to>
          <xdr:col>0</xdr:col>
          <xdr:colOff>965200</xdr:colOff>
          <xdr:row>40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41</xdr:row>
          <xdr:rowOff>25400</xdr:rowOff>
        </xdr:from>
        <xdr:to>
          <xdr:col>0</xdr:col>
          <xdr:colOff>965200</xdr:colOff>
          <xdr:row>41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42</xdr:row>
          <xdr:rowOff>38100</xdr:rowOff>
        </xdr:from>
        <xdr:to>
          <xdr:col>0</xdr:col>
          <xdr:colOff>965200</xdr:colOff>
          <xdr:row>42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43</xdr:row>
          <xdr:rowOff>25400</xdr:rowOff>
        </xdr:from>
        <xdr:to>
          <xdr:col>0</xdr:col>
          <xdr:colOff>977900</xdr:colOff>
          <xdr:row>43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45</xdr:row>
          <xdr:rowOff>25400</xdr:rowOff>
        </xdr:from>
        <xdr:to>
          <xdr:col>0</xdr:col>
          <xdr:colOff>977900</xdr:colOff>
          <xdr:row>45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46</xdr:row>
          <xdr:rowOff>25400</xdr:rowOff>
        </xdr:from>
        <xdr:to>
          <xdr:col>0</xdr:col>
          <xdr:colOff>965200</xdr:colOff>
          <xdr:row>46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44</xdr:row>
          <xdr:rowOff>25400</xdr:rowOff>
        </xdr:from>
        <xdr:to>
          <xdr:col>0</xdr:col>
          <xdr:colOff>977900</xdr:colOff>
          <xdr:row>44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45</xdr:row>
          <xdr:rowOff>12700</xdr:rowOff>
        </xdr:from>
        <xdr:to>
          <xdr:col>4</xdr:col>
          <xdr:colOff>495300</xdr:colOff>
          <xdr:row>45</xdr:row>
          <xdr:rowOff>177800</xdr:rowOff>
        </xdr:to>
        <xdr:sp macro="" textlink="">
          <xdr:nvSpPr>
            <xdr:cNvPr id="2062" name="Button 14" descr="Remove Ineligibl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49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34</v>
      </c>
      <c r="B1" t="s">
        <v>1</v>
      </c>
      <c r="C1" t="s">
        <v>35</v>
      </c>
      <c r="D1" s="32" t="s">
        <v>10</v>
      </c>
    </row>
    <row r="2" spans="1:6" x14ac:dyDescent="0.2">
      <c r="A2" s="6" t="s">
        <v>190</v>
      </c>
      <c r="B2" s="6">
        <v>1</v>
      </c>
      <c r="C2" s="6" t="str">
        <f>IF(B2&gt;MAX('Senior-M'!A:A),"",INDEX('Senior-M'!B:B,MATCH(B2,'Senior-M'!A:A,0)))</f>
        <v>DODD, Gavin</v>
      </c>
      <c r="D2" s="14" t="str">
        <f>IF(B2&gt;MAX('Senior-M'!A:A),"",INDEX('Senior-M'!H:H,MATCH(B2,'Senior-M'!A:A,0)))</f>
        <v>National Team</v>
      </c>
      <c r="E2" s="12"/>
      <c r="F2" s="12"/>
    </row>
    <row r="3" spans="1:6" x14ac:dyDescent="0.2">
      <c r="A3" s="6"/>
      <c r="B3" s="6">
        <v>2</v>
      </c>
      <c r="C3" s="6" t="str">
        <f>IF(B3&gt;MAX('Senior-M'!A:A),"",INDEX('Senior-M'!B:B,MATCH(B3,'Senior-M'!A:A,0)))</f>
        <v>SOEHN, Keegan</v>
      </c>
      <c r="D3" s="14" t="str">
        <f>IF(B3&gt;MAX('Senior-M'!A:A),"",INDEX('Senior-M'!H:H,MATCH(B3,'Senior-M'!A:A,0)))</f>
        <v>National Team</v>
      </c>
      <c r="E3" s="12"/>
      <c r="F3" s="12"/>
    </row>
    <row r="4" spans="1:6" x14ac:dyDescent="0.2">
      <c r="A4" s="6"/>
      <c r="B4" s="6">
        <v>3</v>
      </c>
      <c r="C4" s="6" t="str">
        <f>IF(B4&gt;MAX('Senior-M'!A:A),"",INDEX('Senior-M'!B:B,MATCH(B4,'Senior-M'!A:A,0)))</f>
        <v>DON, Alexander</v>
      </c>
      <c r="D4" s="14" t="str">
        <f>IF(B4&gt;MAX('Senior-M'!A:A),"",INDEX('Senior-M'!H:H,MATCH(B4,'Senior-M'!A:A,0)))</f>
        <v>National Team</v>
      </c>
      <c r="E4" s="12"/>
      <c r="F4" s="12"/>
    </row>
    <row r="5" spans="1:6" x14ac:dyDescent="0.2">
      <c r="A5" s="6"/>
      <c r="B5" s="6">
        <v>4</v>
      </c>
      <c r="C5" s="6" t="str">
        <f>IF(B5&gt;MAX('Senior-M'!A:A),"",INDEX('Senior-M'!B:B,MATCH(B5,'Senior-M'!A:A,0)))</f>
        <v>CLOUTIER, Étienne</v>
      </c>
      <c r="D5" s="14" t="str">
        <f>IF(B5&gt;MAX('Senior-M'!A:A),"",INDEX('Senior-M'!H:H,MATCH(B5,'Senior-M'!A:A,0)))</f>
        <v>National Team</v>
      </c>
    </row>
    <row r="6" spans="1:6" x14ac:dyDescent="0.2">
      <c r="A6" s="6"/>
      <c r="B6" s="6">
        <v>5</v>
      </c>
      <c r="C6" s="6" t="str">
        <f>IF(B6&gt;MAX('Senior-M'!A:A),"",INDEX('Senior-M'!B:B,MATCH(B6,'Senior-M'!A:A,0)))</f>
        <v>BEAULIEU, Alex</v>
      </c>
      <c r="D6" s="14" t="str">
        <f>IF(B6&gt;MAX('Senior-M'!A:A),"",INDEX('Senior-M'!H:H,MATCH(B6,'Senior-M'!A:A,0)))</f>
        <v>National Team</v>
      </c>
    </row>
    <row r="7" spans="1:6" x14ac:dyDescent="0.2">
      <c r="A7" s="6"/>
      <c r="B7" s="6">
        <v>6</v>
      </c>
      <c r="C7" s="6" t="str">
        <f>IF(B7&gt;MAX('Senior-M'!A:A),"",INDEX('Senior-M'!B:B,MATCH(B7,'Senior-M'!A:A,0)))</f>
        <v>CYMAN, Cody</v>
      </c>
      <c r="D7" s="14" t="str">
        <f>IF(B7&gt;MAX('Senior-M'!A:A),"",INDEX('Senior-M'!H:H,MATCH(B7,'Senior-M'!A:A,0)))</f>
        <v>No DD</v>
      </c>
    </row>
    <row r="8" spans="1:6" x14ac:dyDescent="0.2">
      <c r="A8" s="6"/>
      <c r="B8" s="6">
        <v>7</v>
      </c>
      <c r="C8" s="6" t="str">
        <f>IF(B8&gt;MAX('Senior-M'!A:A),"",INDEX('Senior-M'!B:B,MATCH(B8,'Senior-M'!A:A,0)))</f>
        <v>VIAU, Nathan</v>
      </c>
      <c r="D8" s="14" t="str">
        <f>IF(B8&gt;MAX('Senior-M'!A:A),"",INDEX('Senior-M'!H:H,MATCH(B8,'Senior-M'!A:A,0)))</f>
        <v>No DD</v>
      </c>
    </row>
    <row r="9" spans="1:6" x14ac:dyDescent="0.2">
      <c r="A9" s="6"/>
      <c r="B9" s="6">
        <v>8</v>
      </c>
      <c r="C9" s="6" t="str">
        <f>IF(B9&gt;MAX('Senior-M'!A:A),"",INDEX('Senior-M'!B:B,MATCH(B9,'Senior-M'!A:A,0)))</f>
        <v>EVSTIGNEEV, Gleb</v>
      </c>
      <c r="D9" s="14" t="str">
        <f>IF(B9&gt;MAX('Senior-M'!A:A),"",INDEX('Senior-M'!H:H,MATCH(B9,'Senior-M'!A:A,0)))</f>
        <v>No DD</v>
      </c>
    </row>
    <row r="10" spans="1:6" x14ac:dyDescent="0.2">
      <c r="A10" s="7" t="s">
        <v>191</v>
      </c>
      <c r="B10" s="7">
        <v>1</v>
      </c>
      <c r="C10" s="7" t="str">
        <f>IF(B2&gt;MAX('Senior-W'!A:A),"",INDEX('Senior-W'!B:B,MATCH(B2,'Senior-W'!A:A,0)))</f>
        <v>MÉTHOT, Sophiane</v>
      </c>
      <c r="D10" s="13" t="str">
        <f>IF(B2&gt;MAX('Senior-W'!A:A),"",INDEX('Senior-W'!H:H,MATCH(B2,'Senior-W'!A:A,0)))</f>
        <v>National Team</v>
      </c>
    </row>
    <row r="11" spans="1:6" x14ac:dyDescent="0.2">
      <c r="A11" s="7"/>
      <c r="B11" s="7">
        <v>2</v>
      </c>
      <c r="C11" s="7" t="str">
        <f>IF(B3&gt;MAX('Senior-W'!A:A),"",INDEX('Senior-W'!B:B,MATCH(B3,'Senior-W'!A:A,0)))</f>
        <v>NOGA-BARD, Kasha</v>
      </c>
      <c r="D11" s="13" t="str">
        <f>IF(B3&gt;MAX('Senior-W'!A:A),"",INDEX('Senior-W'!H:H,MATCH(B3,'Senior-W'!A:A,0)))</f>
        <v>National Team</v>
      </c>
    </row>
    <row r="12" spans="1:6" x14ac:dyDescent="0.2">
      <c r="A12" s="7"/>
      <c r="B12" s="7">
        <v>3</v>
      </c>
      <c r="C12" s="7" t="str">
        <f>IF(B4&gt;MAX('Senior-W'!A:A),"",INDEX('Senior-W'!B:B,MATCH(B4,'Senior-W'!A:A,0)))</f>
        <v>MILETTE, Sarah</v>
      </c>
      <c r="D12" s="13" t="str">
        <f>IF(B4&gt;MAX('Senior-W'!A:A),"",INDEX('Senior-W'!H:H,MATCH(B4,'Senior-W'!A:A,0)))</f>
        <v>National Team</v>
      </c>
    </row>
    <row r="13" spans="1:6" x14ac:dyDescent="0.2">
      <c r="A13" s="7"/>
      <c r="B13" s="7">
        <v>4</v>
      </c>
      <c r="C13" s="7" t="str">
        <f>IF(B5&gt;MAX('Senior-W'!A:A),"",INDEX('Senior-W'!B:B,MATCH(B5,'Senior-W'!A:A,0)))</f>
        <v>TAM, Rachel</v>
      </c>
      <c r="D13" s="13" t="str">
        <f>IF(B5&gt;MAX('Senior-W'!A:A),"",INDEX('Senior-W'!H:H,MATCH(B5,'Senior-W'!A:A,0)))</f>
        <v>National Team</v>
      </c>
    </row>
    <row r="14" spans="1:6" x14ac:dyDescent="0.2">
      <c r="A14" s="7"/>
      <c r="B14" s="7">
        <v>5</v>
      </c>
      <c r="C14" s="7" t="str">
        <f>IF(B6&gt;MAX('Senior-W'!A:A),"",INDEX('Senior-W'!B:B,MATCH(B6,'Senior-W'!A:A,0)))</f>
        <v>BONNE, Rielle</v>
      </c>
      <c r="D14" s="13" t="str">
        <f>IF(B6&gt;MAX('Senior-W'!A:A),"",INDEX('Senior-W'!H:H,MATCH(B6,'Senior-W'!A:A,0)))</f>
        <v>National Team</v>
      </c>
    </row>
    <row r="15" spans="1:6" x14ac:dyDescent="0.2">
      <c r="A15" s="7"/>
      <c r="B15" s="7">
        <v>6</v>
      </c>
      <c r="C15" s="7" t="str">
        <f>IF(B7&gt;MAX('Senior-W'!A:A),"",INDEX('Senior-W'!B:B,MATCH(B7,'Senior-W'!A:A,0)))</f>
        <v>FLYNN, Gabby</v>
      </c>
      <c r="D15" s="13" t="str">
        <f>IF(B7&gt;MAX('Senior-W'!A:A),"",INDEX('Senior-W'!H:H,MATCH(B7,'Senior-W'!A:A,0)))</f>
        <v>National Team</v>
      </c>
    </row>
    <row r="16" spans="1:6" x14ac:dyDescent="0.2">
      <c r="A16" s="7"/>
      <c r="B16" s="7">
        <v>7</v>
      </c>
      <c r="C16" s="7" t="str">
        <f>IF(B8&gt;MAX('Senior-W'!A:A),"",INDEX('Senior-W'!B:B,MATCH(B8,'Senior-W'!A:A,0)))</f>
        <v>CORRIVEAU, Mélina</v>
      </c>
      <c r="D16" s="13" t="str">
        <f>IF(B8&gt;MAX('Senior-W'!A:A),"",INDEX('Senior-W'!H:H,MATCH(B8,'Senior-W'!A:A,0)))</f>
        <v>National Team</v>
      </c>
    </row>
    <row r="17" spans="1:4" x14ac:dyDescent="0.2">
      <c r="A17" s="7"/>
      <c r="B17" s="7">
        <v>8</v>
      </c>
      <c r="C17" s="7" t="str">
        <f>IF(B9&gt;MAX('Senior-W'!A:A),"",INDEX('Senior-W'!B:B,MATCH(B9,'Senior-W'!A:A,0)))</f>
        <v>SOEHN, Kalena</v>
      </c>
      <c r="D17" s="13" t="str">
        <f>IF(B9&gt;MAX('Senior-W'!A:A),"",INDEX('Senior-W'!H:H,MATCH(B9,'Senior-W'!A:A,0)))</f>
        <v>National Team</v>
      </c>
    </row>
    <row r="18" spans="1:4" x14ac:dyDescent="0.2">
      <c r="A18" s="6" t="s">
        <v>210</v>
      </c>
      <c r="B18" s="6">
        <v>1</v>
      </c>
      <c r="C18" s="6" t="str">
        <f>IF(B2&gt;MAX('Development-M'!A:A),"",INDEX('Development-M'!B:B,MATCH(B2,'Development-M'!A:A,0)))</f>
        <v>CYMAN, Cody</v>
      </c>
      <c r="D18" s="14" t="str">
        <f>IF(B2&gt;MAX('Development-M'!A:A),"",INDEX('Development-M'!H:H,MATCH(B2,'Development-M'!A:A,0)))</f>
        <v>National Team</v>
      </c>
    </row>
    <row r="19" spans="1:4" x14ac:dyDescent="0.2">
      <c r="A19" s="6"/>
      <c r="B19" s="6">
        <v>2</v>
      </c>
      <c r="C19" s="6" t="str">
        <f>IF(B3&gt;MAX('Development-M'!A:A),"",INDEX('Development-M'!B:B,MATCH(B3,'Development-M'!A:A,0)))</f>
        <v>VIAU, Nathan</v>
      </c>
      <c r="D19" s="14" t="str">
        <f>IF(B3&gt;MAX('Development-M'!A:A),"",INDEX('Development-M'!H:H,MATCH(B3,'Development-M'!A:A,0)))</f>
        <v>National Team</v>
      </c>
    </row>
    <row r="20" spans="1:4" x14ac:dyDescent="0.2">
      <c r="A20" s="6"/>
      <c r="B20" s="6">
        <v>3</v>
      </c>
      <c r="C20" s="6" t="str">
        <f>IF(B4&gt;MAX('Development-M'!A:A),"",INDEX('Development-M'!B:B,MATCH(B4,'Development-M'!A:A,0)))</f>
        <v>COOK, Mason</v>
      </c>
      <c r="D20" s="14" t="str">
        <f>IF(B4&gt;MAX('Development-M'!A:A),"",INDEX('Development-M'!H:H,MATCH(B4,'Development-M'!A:A,0)))</f>
        <v>National Team</v>
      </c>
    </row>
    <row r="21" spans="1:4" x14ac:dyDescent="0.2">
      <c r="A21" s="6"/>
      <c r="B21" s="6">
        <v>4</v>
      </c>
      <c r="C21" s="6" t="str">
        <f>IF(B5&gt;MAX('Development-M'!A:A),"",INDEX('Development-M'!B:B,MATCH(B5,'Development-M'!A:A,0)))</f>
        <v>BOURGAULT-FOURNIER, Alexis</v>
      </c>
      <c r="D21" s="14" t="str">
        <f>IF(B5&gt;MAX('Development-M'!A:A),"",INDEX('Development-M'!H:H,MATCH(B5,'Development-M'!A:A,0)))</f>
        <v>No DD</v>
      </c>
    </row>
    <row r="22" spans="1:4" x14ac:dyDescent="0.2">
      <c r="A22" s="7" t="s">
        <v>211</v>
      </c>
      <c r="B22" s="7">
        <v>1</v>
      </c>
      <c r="C22" s="7" t="str">
        <f>IF(B2&gt;MAX('Development-W'!A:A),"",INDEX('Development-W'!B:B,MATCH(B2,'Development-W'!A:A,0)))</f>
        <v>JAMES, Roshni</v>
      </c>
      <c r="D22" s="13" t="str">
        <f>IF(B2&gt;MAX('Development-W'!A:A),"",INDEX('Development-W'!H:H,MATCH(B2,'Development-W'!A:A,0)))</f>
        <v>National Team</v>
      </c>
    </row>
    <row r="23" spans="1:4" x14ac:dyDescent="0.2">
      <c r="A23" s="7"/>
      <c r="B23" s="7">
        <v>2</v>
      </c>
      <c r="C23" s="7" t="str">
        <f>IF(B3&gt;MAX('Development-W'!A:A),"",INDEX('Development-W'!B:B,MATCH(B3,'Development-W'!A:A,0)))</f>
        <v>LEPORÉ, Amylia</v>
      </c>
      <c r="D23" s="13" t="str">
        <f>IF(B3&gt;MAX('Development-W'!A:A),"",INDEX('Development-W'!H:H,MATCH(B3,'Development-W'!A:A,0)))</f>
        <v>National Team</v>
      </c>
    </row>
    <row r="24" spans="1:4" x14ac:dyDescent="0.2">
      <c r="A24" s="7"/>
      <c r="B24" s="7">
        <v>3</v>
      </c>
      <c r="C24" s="7" t="str">
        <f>IF(B4&gt;MAX('Development-W'!A:A),"",INDEX('Development-W'!B:B,MATCH(B4,'Development-W'!A:A,0)))</f>
        <v>KUZNAK, Sienna</v>
      </c>
      <c r="D24" s="13" t="str">
        <f>IF(B4&gt;MAX('Development-W'!A:A),"",INDEX('Development-W'!H:H,MATCH(B4,'Development-W'!A:A,0)))</f>
        <v>National Team</v>
      </c>
    </row>
    <row r="25" spans="1:4" hidden="1" x14ac:dyDescent="0.2">
      <c r="A25" s="7"/>
      <c r="B25" s="7">
        <v>4</v>
      </c>
      <c r="C25" s="7" t="str">
        <f>IF(B5&gt;MAX('Development-W'!A:A),"",INDEX('Development-W'!B:B,MATCH(B5,'Development-W'!A:A,0)))</f>
        <v/>
      </c>
      <c r="D25" s="13" t="str">
        <f>IF(B5&gt;MAX('Development-W'!A:A),"",INDEX('Development-W'!H:H,MATCH(B5,'Development-W'!A:A,0)))</f>
        <v/>
      </c>
    </row>
    <row r="26" spans="1:4" hidden="1" x14ac:dyDescent="0.2">
      <c r="A26" s="6" t="s">
        <v>220</v>
      </c>
      <c r="B26" s="6">
        <v>1</v>
      </c>
      <c r="C26" s="6" t="str">
        <f>IF(B2&gt;MAX('Junior-M'!A:A),"",INDEX('Junior-M'!B:B,MATCH(B2,'Junior-M'!A:A,0)))</f>
        <v/>
      </c>
      <c r="D26" s="14" t="str">
        <f>IF(B2&gt;MAX('Junior-M'!A:A),"",INDEX('Junior-M'!H:H,MATCH(B2,'Junior-M'!A:A,0)))</f>
        <v/>
      </c>
    </row>
    <row r="27" spans="1:4" hidden="1" x14ac:dyDescent="0.2">
      <c r="A27" s="6"/>
      <c r="B27" s="6">
        <v>2</v>
      </c>
      <c r="C27" s="6" t="str">
        <f>IF(B3&gt;MAX('Junior-M'!A:A),"",INDEX('Junior-M'!B:B,MATCH(B3,'Junior-M'!A:A,0)))</f>
        <v/>
      </c>
      <c r="D27" s="14" t="str">
        <f>IF(B3&gt;MAX('Junior-M'!A:A),"",INDEX('Junior-M'!H:H,MATCH(B3,'Junior-M'!A:A,0)))</f>
        <v/>
      </c>
    </row>
    <row r="28" spans="1:4" hidden="1" x14ac:dyDescent="0.2">
      <c r="A28" s="6"/>
      <c r="B28" s="6">
        <v>3</v>
      </c>
      <c r="C28" s="6" t="str">
        <f>IF(B4&gt;MAX('Junior-M'!A:A),"",INDEX('Junior-M'!B:B,MATCH(B4,'Junior-M'!A:A,0)))</f>
        <v/>
      </c>
      <c r="D28" s="14" t="str">
        <f>IF(B4&gt;MAX('Junior-M'!A:A),"",INDEX('Junior-M'!H:H,MATCH(B4,'Junior-M'!A:A,0)))</f>
        <v/>
      </c>
    </row>
    <row r="29" spans="1:4" hidden="1" x14ac:dyDescent="0.2">
      <c r="A29" s="6"/>
      <c r="B29" s="6">
        <v>4</v>
      </c>
      <c r="C29" s="6" t="str">
        <f>IF(B5&gt;MAX('Junior-M'!A:A),"",INDEX('Junior-M'!B:B,MATCH(B5,'Junior-M'!A:A,0)))</f>
        <v/>
      </c>
      <c r="D29" s="14" t="str">
        <f>IF(B5&gt;MAX('Junior-M'!A:A),"",INDEX('Junior-M'!H:H,MATCH(B5,'Junior-M'!A:A,0)))</f>
        <v/>
      </c>
    </row>
    <row r="30" spans="1:4" hidden="1" x14ac:dyDescent="0.2">
      <c r="A30" s="7" t="s">
        <v>221</v>
      </c>
      <c r="B30" s="7">
        <v>1</v>
      </c>
      <c r="C30" s="7" t="str">
        <f>IF(B2&gt;MAX('Junior-W'!A:A),"",INDEX('Junior-W'!B:B,MATCH(B2,'Junior-W'!A:A,0)))</f>
        <v/>
      </c>
      <c r="D30" s="13" t="str">
        <f>IF(B2&gt;MAX('Junior-W'!A:A),"",INDEX('Junior-W'!H:H,MATCH(B2,'Junior-W'!A:A,0)))</f>
        <v/>
      </c>
    </row>
    <row r="31" spans="1:4" hidden="1" x14ac:dyDescent="0.2">
      <c r="A31" s="7"/>
      <c r="B31" s="7">
        <v>2</v>
      </c>
      <c r="C31" s="7" t="str">
        <f>IF(B3&gt;MAX('Junior-W'!A:A),"",INDEX('Junior-W'!B:B,MATCH(B3,'Junior-W'!A:A,0)))</f>
        <v/>
      </c>
      <c r="D31" s="13" t="str">
        <f>IF(B3&gt;MAX('Junior-W'!A:A),"",INDEX('Junior-W'!H:H,MATCH(B3,'Junior-W'!A:A,0)))</f>
        <v/>
      </c>
    </row>
    <row r="32" spans="1:4" hidden="1" x14ac:dyDescent="0.2">
      <c r="A32" s="7"/>
      <c r="B32" s="7">
        <v>3</v>
      </c>
      <c r="C32" s="7" t="str">
        <f>IF(B4&gt;MAX('Junior-W'!A:A),"",INDEX('Junior-W'!B:B,MATCH(B4,'Junior-W'!A:A,0)))</f>
        <v/>
      </c>
      <c r="D32" s="13" t="str">
        <f>IF(B4&gt;MAX('Junior-W'!A:A),"",INDEX('Junior-W'!H:H,MATCH(B4,'Junior-W'!A:A,0)))</f>
        <v/>
      </c>
    </row>
    <row r="33" spans="1:5" hidden="1" x14ac:dyDescent="0.2">
      <c r="A33" s="7"/>
      <c r="B33" s="7">
        <v>4</v>
      </c>
      <c r="C33" s="7" t="str">
        <f>IF(B5&gt;MAX('Junior-W'!A:A),"",INDEX('Junior-W'!B:B,MATCH(B5,'Junior-W'!A:A,0)))</f>
        <v/>
      </c>
      <c r="D33" s="13" t="str">
        <f>IF(B5&gt;MAX('Junior-W'!A:A),"",INDEX('Junior-W'!H:H,MATCH(B5,'Junior-W'!A:A,0)))</f>
        <v/>
      </c>
    </row>
    <row r="34" spans="1:5" x14ac:dyDescent="0.2">
      <c r="A34" s="6" t="s">
        <v>192</v>
      </c>
      <c r="B34" s="6">
        <v>1</v>
      </c>
      <c r="C34" s="6" t="str">
        <f>IF(B2&gt;MAX('TRS-M'!A:A),"",INDEX('TRS-M'!B:B,MATCH(B2,'TRS-M'!A:A,0)))</f>
        <v>CLOUTIER &amp; VIAU</v>
      </c>
      <c r="D34" s="14" t="str">
        <f>IF(B2&gt;MAX('TRS-M'!A:A),"",INDEX('TRS-M'!H:H,MATCH(B2,'TRS-M'!A:A,0)))</f>
        <v>National Team</v>
      </c>
    </row>
    <row r="35" spans="1:5" x14ac:dyDescent="0.2">
      <c r="A35" s="6"/>
      <c r="B35" s="6">
        <v>2</v>
      </c>
      <c r="C35" s="6" t="str">
        <f>IF(B3&gt;MAX('TRS-M'!A:A),"",INDEX('TRS-M'!B:B,MATCH(B3,'TRS-M'!A:A,0)))</f>
        <v>CLOUTIER &amp; DON</v>
      </c>
      <c r="D35" s="14" t="str">
        <f>IF(B3&gt;MAX('TRS-M'!A:A),"",INDEX('TRS-M'!H:H,MATCH(B3,'TRS-M'!A:A,0)))</f>
        <v>National Team</v>
      </c>
    </row>
    <row r="36" spans="1:5" x14ac:dyDescent="0.2">
      <c r="A36" s="7" t="s">
        <v>193</v>
      </c>
      <c r="B36" s="7">
        <v>1</v>
      </c>
      <c r="C36" s="7" t="str">
        <f>IF(B2&gt;MAX('TRS-W'!A:A),"",INDEX('TRS-W'!B:B,MATCH(B2,'TRS-W'!A:A,0)))</f>
        <v>MÉTHOT &amp; MILETTE</v>
      </c>
      <c r="D36" s="13" t="str">
        <f>IF(B2&gt;MAX('TRS-W'!A:A),"",INDEX('TRS-W'!H:H,MATCH(B2,'TRS-W'!A:A,0)))</f>
        <v>National Team</v>
      </c>
    </row>
    <row r="37" spans="1:5" x14ac:dyDescent="0.2">
      <c r="A37" s="7"/>
      <c r="B37" s="7">
        <v>2</v>
      </c>
      <c r="C37" s="7" t="str">
        <f>IF(B3&gt;MAX('TRS-W'!A:A),"",INDEX('TRS-W'!B:B,MATCH(B3,'TRS-W'!A:A,0)))</f>
        <v>BONNE &amp; CORRIVEAU</v>
      </c>
      <c r="D37" s="13" t="str">
        <f>IF(B3&gt;MAX('TRS-W'!A:A),"",INDEX('TRS-W'!H:H,MATCH(B3,'TRS-W'!A:A,0)))</f>
        <v>National Team</v>
      </c>
    </row>
    <row r="38" spans="1:5" x14ac:dyDescent="0.2">
      <c r="A38" s="48" t="s">
        <v>194</v>
      </c>
      <c r="B38" s="48">
        <v>1</v>
      </c>
      <c r="C38" s="48" t="str">
        <f>IF(B2&gt;MAX('TRS-X'!A:A),"",INDEX('TRS-X'!B:B,MATCH(B2,'TRS-X'!A:A,0)))</f>
        <v>DODD &amp; FLYNN</v>
      </c>
      <c r="D38" s="49" t="str">
        <f>IF(B2&gt;MAX('TRS-X'!A:A),"",INDEX('TRS-X'!H:H,MATCH(B2,'TRS-X'!A:A,0)))</f>
        <v>National Team</v>
      </c>
    </row>
    <row r="39" spans="1:5" x14ac:dyDescent="0.2">
      <c r="A39" s="48"/>
      <c r="B39" s="48">
        <v>2</v>
      </c>
      <c r="C39" s="48" t="str">
        <f>IF(B3&gt;MAX('TRS-X'!A:A),"",INDEX('TRS-X'!B:B,MATCH(B3,'TRS-X'!A:A,0)))</f>
        <v>CLOUTIER &amp; TAM</v>
      </c>
      <c r="D39" s="49" t="str">
        <f>IF(B3&gt;MAX('TRS-X'!A:A),"",INDEX('TRS-X'!H:H,MATCH(B3,'TRS-X'!A:A,0)))</f>
        <v>National Team</v>
      </c>
    </row>
    <row r="40" spans="1:5" x14ac:dyDescent="0.2">
      <c r="D40" s="32"/>
    </row>
    <row r="41" spans="1:5" x14ac:dyDescent="0.2">
      <c r="B41" t="s">
        <v>33</v>
      </c>
    </row>
    <row r="42" spans="1:5" x14ac:dyDescent="0.2">
      <c r="B42" t="s">
        <v>31</v>
      </c>
    </row>
    <row r="43" spans="1:5" x14ac:dyDescent="0.2">
      <c r="B43" t="s">
        <v>32</v>
      </c>
    </row>
    <row r="44" spans="1:5" x14ac:dyDescent="0.2">
      <c r="B44" s="12" t="s">
        <v>47</v>
      </c>
      <c r="D44" t="s">
        <v>45</v>
      </c>
    </row>
    <row r="45" spans="1:5" x14ac:dyDescent="0.2">
      <c r="B45" s="12" t="s">
        <v>51</v>
      </c>
      <c r="D45" t="s">
        <v>45</v>
      </c>
      <c r="E45" t="s">
        <v>45</v>
      </c>
    </row>
    <row r="46" spans="1:5" x14ac:dyDescent="0.2">
      <c r="B46" t="s">
        <v>46</v>
      </c>
    </row>
    <row r="47" spans="1:5" x14ac:dyDescent="0.2">
      <c r="B47" t="s">
        <v>52</v>
      </c>
    </row>
    <row r="48" spans="1:5" x14ac:dyDescent="0.2">
      <c r="A48" t="s">
        <v>36</v>
      </c>
      <c r="B48" s="51">
        <v>46094</v>
      </c>
      <c r="C48" s="51"/>
    </row>
    <row r="49" spans="2:2" x14ac:dyDescent="0.2">
      <c r="B49" t="s">
        <v>189</v>
      </c>
    </row>
  </sheetData>
  <sheetProtection formatCells="0" formatColumns="0" formatRows="0"/>
  <mergeCells count="1">
    <mergeCell ref="B48:C48"/>
  </mergeCells>
  <conditionalFormatting sqref="D2:D39">
    <cfRule type="containsText" dxfId="965" priority="1" operator="containsText" text="No DD">
      <formula>NOT(ISERROR(SEARCH("No DD",D2)))</formula>
    </cfRule>
    <cfRule type="containsText" dxfId="964" priority="4" operator="containsText" text="Merit">
      <formula>NOT(ISERROR(SEARCH("Merit",D2)))</formula>
    </cfRule>
    <cfRule type="containsText" dxfId="963" priority="5" operator="containsText" text="Excellence">
      <formula>NOT(ISERROR(SEARCH("Excellence",D2)))</formula>
    </cfRule>
    <cfRule type="containsText" dxfId="962" priority="6" operator="containsText" text="Worlds Team">
      <formula>NOT(ISERROR(SEARCH("Worlds Team",D2)))</formula>
    </cfRule>
    <cfRule type="containsText" dxfId="961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44:D45" xr:uid="{D08F591B-E1ED-7A40-99FD-CEC4A428C792}">
      <formula1>"Select,Senior-M, Senior-W,Development-M,Development-W,Junior-M,Junior-W,TRS-M,TRS-W,TRS-X"</formula1>
    </dataValidation>
    <dataValidation type="list" allowBlank="1" showInputMessage="1" showErrorMessage="1" sqref="E45" xr:uid="{34EE6C87-AAA8-A345-8399-C87931D9699B}">
      <formula1>IF($D$45="Select",D45,INDIRECT("'"&amp;$D$45&amp;"'!"&amp;"B4:B"&amp;MATCH(TRUE,INDEX(INDIRECT("'"&amp;$D$45&amp;"'!"&amp;"B4:B100")="",0),0)+2))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40</xdr:row>
                    <xdr:rowOff>25400</xdr:rowOff>
                  </from>
                  <to>
                    <xdr:col>0</xdr:col>
                    <xdr:colOff>965200</xdr:colOff>
                    <xdr:row>40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41</xdr:row>
                    <xdr:rowOff>25400</xdr:rowOff>
                  </from>
                  <to>
                    <xdr:col>0</xdr:col>
                    <xdr:colOff>965200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42</xdr:row>
                    <xdr:rowOff>38100</xdr:rowOff>
                  </from>
                  <to>
                    <xdr:col>0</xdr:col>
                    <xdr:colOff>965200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43</xdr:row>
                    <xdr:rowOff>25400</xdr:rowOff>
                  </from>
                  <to>
                    <xdr:col>0</xdr:col>
                    <xdr:colOff>977900</xdr:colOff>
                    <xdr:row>43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45</xdr:row>
                    <xdr:rowOff>25400</xdr:rowOff>
                  </from>
                  <to>
                    <xdr:col>0</xdr:col>
                    <xdr:colOff>977900</xdr:colOff>
                    <xdr:row>45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46</xdr:row>
                    <xdr:rowOff>25400</xdr:rowOff>
                  </from>
                  <to>
                    <xdr:col>0</xdr:col>
                    <xdr:colOff>965200</xdr:colOff>
                    <xdr:row>46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44</xdr:row>
                    <xdr:rowOff>25400</xdr:rowOff>
                  </from>
                  <to>
                    <xdr:col>0</xdr:col>
                    <xdr:colOff>977900</xdr:colOff>
                    <xdr:row>44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0" name="Button 1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45</xdr:row>
                    <xdr:rowOff>12700</xdr:rowOff>
                  </from>
                  <to>
                    <xdr:col>4</xdr:col>
                    <xdr:colOff>495300</xdr:colOff>
                    <xdr:row>45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M58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7" max="7" width="10.83203125" customWidth="1"/>
    <col min="8" max="8" width="13.33203125" bestFit="1" customWidth="1"/>
    <col min="9" max="9" width="19" hidden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6" max="16" width="24.6640625" customWidth="1"/>
    <col min="17" max="17" width="13" customWidth="1"/>
    <col min="18" max="18" width="47" customWidth="1"/>
    <col min="19" max="34" width="10.83203125" hidden="1" customWidth="1"/>
    <col min="35" max="45" width="10.83203125" style="32" customWidth="1"/>
    <col min="46" max="61" width="10.83203125" hidden="1" customWidth="1"/>
    <col min="62" max="72" width="10.83203125" style="32" customWidth="1"/>
    <col min="73" max="88" width="10.83203125" hidden="1" customWidth="1"/>
    <col min="89" max="99" width="10.83203125" style="32" customWidth="1"/>
    <col min="100" max="101" width="12.83203125" style="32" customWidth="1"/>
    <col min="102" max="121" width="10.83203125" hidden="1" customWidth="1"/>
    <col min="122" max="134" width="10.83203125" customWidth="1"/>
    <col min="135" max="135" width="10.83203125" style="32" customWidth="1"/>
    <col min="136" max="155" width="10.83203125" hidden="1" customWidth="1"/>
    <col min="156" max="168" width="10.83203125" customWidth="1"/>
    <col min="169" max="169" width="10.83203125" style="32" customWidth="1"/>
    <col min="170" max="189" width="10.83203125" hidden="1" customWidth="1"/>
    <col min="190" max="202" width="10.83203125" customWidth="1"/>
    <col min="203" max="203" width="10.83203125" style="32" customWidth="1"/>
    <col min="204" max="223" width="10.83203125" hidden="1" customWidth="1"/>
    <col min="224" max="236" width="10.83203125" customWidth="1"/>
    <col min="237" max="237" width="10.83203125" style="32" customWidth="1"/>
    <col min="238" max="257" width="10.83203125" hidden="1" customWidth="1"/>
    <col min="258" max="270" width="10.83203125" customWidth="1"/>
    <col min="271" max="271" width="10.83203125" style="32" customWidth="1"/>
    <col min="272" max="291" width="10.83203125" hidden="1" customWidth="1"/>
    <col min="292" max="305" width="10.83203125" customWidth="1"/>
    <col min="306" max="325" width="10.83203125" hidden="1" customWidth="1"/>
    <col min="326" max="339" width="10.83203125" customWidth="1"/>
    <col min="340" max="359" width="10.83203125" hidden="1" customWidth="1"/>
    <col min="360" max="373" width="10.83203125" customWidth="1"/>
    <col min="374" max="393" width="10.83203125" hidden="1" customWidth="1"/>
    <col min="394" max="407" width="10.83203125" customWidth="1"/>
    <col min="408" max="536" width="10.83203125" hidden="1" customWidth="1"/>
    <col min="537" max="537" width="11.83203125" hidden="1" customWidth="1"/>
    <col min="538" max="538" width="12.83203125" hidden="1" customWidth="1"/>
    <col min="539" max="570" width="10.83203125" hidden="1" customWidth="1"/>
    <col min="571" max="571" width="11.83203125" hidden="1" customWidth="1"/>
    <col min="572" max="572" width="12.83203125" hidden="1" customWidth="1"/>
    <col min="573" max="604" width="10.83203125" hidden="1" customWidth="1"/>
    <col min="605" max="605" width="11.83203125" hidden="1" customWidth="1"/>
    <col min="606" max="606" width="12.83203125" hidden="1" customWidth="1"/>
    <col min="607" max="611" width="10.83203125" hidden="1" customWidth="1"/>
  </cols>
  <sheetData>
    <row r="1" spans="1:611" x14ac:dyDescent="0.2">
      <c r="A1" s="56" t="s">
        <v>1</v>
      </c>
      <c r="B1" s="56" t="s">
        <v>26</v>
      </c>
      <c r="C1" s="56" t="s">
        <v>0</v>
      </c>
      <c r="D1" s="56" t="s">
        <v>44</v>
      </c>
      <c r="E1" s="56" t="s">
        <v>2</v>
      </c>
      <c r="F1" s="60" t="s">
        <v>188</v>
      </c>
      <c r="G1" s="56" t="s">
        <v>9</v>
      </c>
      <c r="H1" s="56" t="s">
        <v>10</v>
      </c>
      <c r="I1" s="56" t="s">
        <v>61</v>
      </c>
      <c r="J1" s="57" t="s">
        <v>11</v>
      </c>
      <c r="K1" s="58" t="s">
        <v>28</v>
      </c>
      <c r="L1" s="57" t="s">
        <v>185</v>
      </c>
      <c r="M1" s="58" t="s">
        <v>28</v>
      </c>
      <c r="N1" s="57" t="s">
        <v>186</v>
      </c>
      <c r="O1" s="58" t="s">
        <v>28</v>
      </c>
      <c r="P1" s="61" t="s">
        <v>12</v>
      </c>
      <c r="Q1" s="58" t="s">
        <v>29</v>
      </c>
      <c r="R1" s="58" t="s">
        <v>28</v>
      </c>
      <c r="S1" s="52" t="s">
        <v>118</v>
      </c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52"/>
      <c r="AF1" s="52"/>
      <c r="AG1" s="52"/>
      <c r="AH1" s="52"/>
      <c r="AI1" s="52"/>
      <c r="AJ1" s="52"/>
      <c r="AK1" s="52"/>
      <c r="AL1" s="52"/>
      <c r="AM1" s="52"/>
      <c r="AN1" s="52"/>
      <c r="AO1" s="52"/>
      <c r="AP1" s="52"/>
      <c r="AQ1" s="52"/>
      <c r="AR1" s="52"/>
      <c r="AS1" s="52"/>
      <c r="AT1" s="53" t="s">
        <v>145</v>
      </c>
      <c r="AU1" s="53"/>
      <c r="AV1" s="53"/>
      <c r="AW1" s="53"/>
      <c r="AX1" s="53"/>
      <c r="AY1" s="53"/>
      <c r="AZ1" s="53"/>
      <c r="BA1" s="53"/>
      <c r="BB1" s="53"/>
      <c r="BC1" s="53"/>
      <c r="BD1" s="53"/>
      <c r="BE1" s="53"/>
      <c r="BF1" s="53"/>
      <c r="BG1" s="53"/>
      <c r="BH1" s="53"/>
      <c r="BI1" s="53"/>
      <c r="BJ1" s="53"/>
      <c r="BK1" s="53"/>
      <c r="BL1" s="53"/>
      <c r="BM1" s="53"/>
      <c r="BN1" s="53"/>
      <c r="BO1" s="53"/>
      <c r="BP1" s="53"/>
      <c r="BQ1" s="53"/>
      <c r="BR1" s="53"/>
      <c r="BS1" s="53"/>
      <c r="BT1" s="53"/>
      <c r="BU1" s="52" t="s">
        <v>161</v>
      </c>
      <c r="BV1" s="52"/>
      <c r="BW1" s="52"/>
      <c r="BX1" s="52"/>
      <c r="BY1" s="52"/>
      <c r="BZ1" s="52"/>
      <c r="CA1" s="52"/>
      <c r="CB1" s="52"/>
      <c r="CC1" s="52"/>
      <c r="CD1" s="52"/>
      <c r="CE1" s="52"/>
      <c r="CF1" s="52"/>
      <c r="CG1" s="52"/>
      <c r="CH1" s="52"/>
      <c r="CI1" s="52"/>
      <c r="CJ1" s="52"/>
      <c r="CK1" s="52"/>
      <c r="CL1" s="52"/>
      <c r="CM1" s="52"/>
      <c r="CN1" s="52"/>
      <c r="CO1" s="52"/>
      <c r="CP1" s="52"/>
      <c r="CQ1" s="52"/>
      <c r="CR1" s="52"/>
      <c r="CS1" s="52"/>
      <c r="CT1" s="52"/>
      <c r="CU1" s="52"/>
      <c r="CV1" s="59" t="s">
        <v>12</v>
      </c>
      <c r="CW1" s="59"/>
      <c r="CX1" s="52" t="s">
        <v>138</v>
      </c>
      <c r="CY1" s="52"/>
      <c r="CZ1" s="52"/>
      <c r="DA1" s="52"/>
      <c r="DB1" s="52"/>
      <c r="DC1" s="52"/>
      <c r="DD1" s="52"/>
      <c r="DE1" s="52"/>
      <c r="DF1" s="52"/>
      <c r="DG1" s="52"/>
      <c r="DH1" s="52"/>
      <c r="DI1" s="52"/>
      <c r="DJ1" s="52"/>
      <c r="DK1" s="52"/>
      <c r="DL1" s="52"/>
      <c r="DM1" s="52"/>
      <c r="DN1" s="52"/>
      <c r="DO1" s="52"/>
      <c r="DP1" s="52"/>
      <c r="DQ1" s="52"/>
      <c r="DR1" s="52"/>
      <c r="DS1" s="52"/>
      <c r="DT1" s="52"/>
      <c r="DU1" s="52"/>
      <c r="DV1" s="52"/>
      <c r="DW1" s="52"/>
      <c r="DX1" s="52"/>
      <c r="DY1" s="52"/>
      <c r="DZ1" s="52"/>
      <c r="EA1" s="52"/>
      <c r="EB1" s="52"/>
      <c r="EC1" s="52"/>
      <c r="ED1" s="52"/>
      <c r="EE1" s="52"/>
      <c r="EF1" s="53" t="s">
        <v>140</v>
      </c>
      <c r="EG1" s="53"/>
      <c r="EH1" s="53"/>
      <c r="EI1" s="53"/>
      <c r="EJ1" s="53"/>
      <c r="EK1" s="53"/>
      <c r="EL1" s="53"/>
      <c r="EM1" s="53"/>
      <c r="EN1" s="53"/>
      <c r="EO1" s="53"/>
      <c r="EP1" s="53"/>
      <c r="EQ1" s="53"/>
      <c r="ER1" s="53"/>
      <c r="ES1" s="53"/>
      <c r="ET1" s="53"/>
      <c r="EU1" s="53"/>
      <c r="EV1" s="53"/>
      <c r="EW1" s="53"/>
      <c r="EX1" s="53"/>
      <c r="EY1" s="53"/>
      <c r="EZ1" s="53"/>
      <c r="FA1" s="53"/>
      <c r="FB1" s="53"/>
      <c r="FC1" s="53"/>
      <c r="FD1" s="53"/>
      <c r="FE1" s="53"/>
      <c r="FF1" s="53"/>
      <c r="FG1" s="53"/>
      <c r="FH1" s="53"/>
      <c r="FI1" s="53"/>
      <c r="FJ1" s="53"/>
      <c r="FK1" s="53"/>
      <c r="FL1" s="53"/>
      <c r="FM1" s="53"/>
      <c r="FN1" s="52" t="s">
        <v>152</v>
      </c>
      <c r="FO1" s="52"/>
      <c r="FP1" s="52"/>
      <c r="FQ1" s="52"/>
      <c r="FR1" s="52"/>
      <c r="FS1" s="52"/>
      <c r="FT1" s="52"/>
      <c r="FU1" s="52"/>
      <c r="FV1" s="52"/>
      <c r="FW1" s="52"/>
      <c r="FX1" s="52"/>
      <c r="FY1" s="52"/>
      <c r="FZ1" s="52"/>
      <c r="GA1" s="52"/>
      <c r="GB1" s="52"/>
      <c r="GC1" s="52"/>
      <c r="GD1" s="52"/>
      <c r="GE1" s="52"/>
      <c r="GF1" s="52"/>
      <c r="GG1" s="52"/>
      <c r="GH1" s="52"/>
      <c r="GI1" s="52"/>
      <c r="GJ1" s="52"/>
      <c r="GK1" s="52"/>
      <c r="GL1" s="52"/>
      <c r="GM1" s="52"/>
      <c r="GN1" s="52"/>
      <c r="GO1" s="52"/>
      <c r="GP1" s="52"/>
      <c r="GQ1" s="52"/>
      <c r="GR1" s="52"/>
      <c r="GS1" s="52"/>
      <c r="GT1" s="52"/>
      <c r="GU1" s="52"/>
      <c r="GV1" s="53" t="s">
        <v>155</v>
      </c>
      <c r="GW1" s="53"/>
      <c r="GX1" s="53"/>
      <c r="GY1" s="53"/>
      <c r="GZ1" s="53"/>
      <c r="HA1" s="53"/>
      <c r="HB1" s="53"/>
      <c r="HC1" s="53"/>
      <c r="HD1" s="53"/>
      <c r="HE1" s="53"/>
      <c r="HF1" s="53"/>
      <c r="HG1" s="53"/>
      <c r="HH1" s="53"/>
      <c r="HI1" s="53"/>
      <c r="HJ1" s="53"/>
      <c r="HK1" s="53"/>
      <c r="HL1" s="53"/>
      <c r="HM1" s="53"/>
      <c r="HN1" s="53"/>
      <c r="HO1" s="53"/>
      <c r="HP1" s="53"/>
      <c r="HQ1" s="53"/>
      <c r="HR1" s="53"/>
      <c r="HS1" s="53"/>
      <c r="HT1" s="53"/>
      <c r="HU1" s="53"/>
      <c r="HV1" s="53"/>
      <c r="HW1" s="53"/>
      <c r="HX1" s="53"/>
      <c r="HY1" s="53"/>
      <c r="HZ1" s="53"/>
      <c r="IA1" s="53"/>
      <c r="IB1" s="53"/>
      <c r="IC1" s="53"/>
      <c r="ID1" s="52" t="s">
        <v>156</v>
      </c>
      <c r="IE1" s="52"/>
      <c r="IF1" s="52"/>
      <c r="IG1" s="52"/>
      <c r="IH1" s="52"/>
      <c r="II1" s="52"/>
      <c r="IJ1" s="52"/>
      <c r="IK1" s="52"/>
      <c r="IL1" s="52"/>
      <c r="IM1" s="52"/>
      <c r="IN1" s="52"/>
      <c r="IO1" s="52"/>
      <c r="IP1" s="52"/>
      <c r="IQ1" s="52"/>
      <c r="IR1" s="52"/>
      <c r="IS1" s="52"/>
      <c r="IT1" s="52"/>
      <c r="IU1" s="52"/>
      <c r="IV1" s="52"/>
      <c r="IW1" s="52"/>
      <c r="IX1" s="52"/>
      <c r="IY1" s="52"/>
      <c r="IZ1" s="52"/>
      <c r="JA1" s="52"/>
      <c r="JB1" s="52"/>
      <c r="JC1" s="52"/>
      <c r="JD1" s="52"/>
      <c r="JE1" s="52"/>
      <c r="JF1" s="52"/>
      <c r="JG1" s="52"/>
      <c r="JH1" s="52"/>
      <c r="JI1" s="52"/>
      <c r="JJ1" s="52"/>
      <c r="JK1" s="52"/>
      <c r="JL1" s="53" t="s">
        <v>164</v>
      </c>
      <c r="JM1" s="53"/>
      <c r="JN1" s="53"/>
      <c r="JO1" s="53"/>
      <c r="JP1" s="53"/>
      <c r="JQ1" s="53"/>
      <c r="JR1" s="53"/>
      <c r="JS1" s="53"/>
      <c r="JT1" s="53"/>
      <c r="JU1" s="53"/>
      <c r="JV1" s="53"/>
      <c r="JW1" s="53"/>
      <c r="JX1" s="53"/>
      <c r="JY1" s="53"/>
      <c r="JZ1" s="53"/>
      <c r="KA1" s="53"/>
      <c r="KB1" s="53"/>
      <c r="KC1" s="53"/>
      <c r="KD1" s="53"/>
      <c r="KE1" s="53"/>
      <c r="KF1" s="53"/>
      <c r="KG1" s="53"/>
      <c r="KH1" s="53"/>
      <c r="KI1" s="53"/>
      <c r="KJ1" s="53"/>
      <c r="KK1" s="53"/>
      <c r="KL1" s="53"/>
      <c r="KM1" s="53"/>
      <c r="KN1" s="53"/>
      <c r="KO1" s="53"/>
      <c r="KP1" s="53"/>
      <c r="KQ1" s="53"/>
      <c r="KR1" s="53"/>
      <c r="KS1" s="53"/>
      <c r="KT1" s="52" t="s">
        <v>173</v>
      </c>
      <c r="KU1" s="52"/>
      <c r="KV1" s="52"/>
      <c r="KW1" s="52"/>
      <c r="KX1" s="52"/>
      <c r="KY1" s="52"/>
      <c r="KZ1" s="52"/>
      <c r="LA1" s="52"/>
      <c r="LB1" s="52"/>
      <c r="LC1" s="52"/>
      <c r="LD1" s="52"/>
      <c r="LE1" s="52"/>
      <c r="LF1" s="52"/>
      <c r="LG1" s="52"/>
      <c r="LH1" s="52"/>
      <c r="LI1" s="52"/>
      <c r="LJ1" s="52"/>
      <c r="LK1" s="52"/>
      <c r="LL1" s="52"/>
      <c r="LM1" s="52"/>
      <c r="LN1" s="52"/>
      <c r="LO1" s="52"/>
      <c r="LP1" s="52"/>
      <c r="LQ1" s="52"/>
      <c r="LR1" s="52"/>
      <c r="LS1" s="52"/>
      <c r="LT1" s="52"/>
      <c r="LU1" s="52"/>
      <c r="LV1" s="52"/>
      <c r="LW1" s="52"/>
      <c r="LX1" s="52"/>
      <c r="LY1" s="52"/>
      <c r="LZ1" s="52"/>
      <c r="MA1" s="52"/>
      <c r="MB1" s="53" t="s">
        <v>176</v>
      </c>
      <c r="MC1" s="53"/>
      <c r="MD1" s="53"/>
      <c r="ME1" s="53"/>
      <c r="MF1" s="53"/>
      <c r="MG1" s="53"/>
      <c r="MH1" s="53"/>
      <c r="MI1" s="53"/>
      <c r="MJ1" s="53"/>
      <c r="MK1" s="53"/>
      <c r="ML1" s="53"/>
      <c r="MM1" s="53"/>
      <c r="MN1" s="53"/>
      <c r="MO1" s="53"/>
      <c r="MP1" s="53"/>
      <c r="MQ1" s="53"/>
      <c r="MR1" s="53"/>
      <c r="MS1" s="53"/>
      <c r="MT1" s="53"/>
      <c r="MU1" s="53"/>
      <c r="MV1" s="53"/>
      <c r="MW1" s="53"/>
      <c r="MX1" s="53"/>
      <c r="MY1" s="53"/>
      <c r="MZ1" s="53"/>
      <c r="NA1" s="53"/>
      <c r="NB1" s="53"/>
      <c r="NC1" s="53"/>
      <c r="ND1" s="53"/>
      <c r="NE1" s="53"/>
      <c r="NF1" s="53"/>
      <c r="NG1" s="53"/>
      <c r="NH1" s="53"/>
      <c r="NI1" s="53"/>
      <c r="NJ1" s="52" t="s">
        <v>182</v>
      </c>
      <c r="NK1" s="52"/>
      <c r="NL1" s="52"/>
      <c r="NM1" s="52"/>
      <c r="NN1" s="52"/>
      <c r="NO1" s="52"/>
      <c r="NP1" s="52"/>
      <c r="NQ1" s="52"/>
      <c r="NR1" s="52"/>
      <c r="NS1" s="52"/>
      <c r="NT1" s="52"/>
      <c r="NU1" s="52"/>
      <c r="NV1" s="52"/>
      <c r="NW1" s="52"/>
      <c r="NX1" s="52"/>
      <c r="NY1" s="52"/>
      <c r="NZ1" s="52"/>
      <c r="OA1" s="52"/>
      <c r="OB1" s="52"/>
      <c r="OC1" s="52"/>
      <c r="OD1" s="52"/>
      <c r="OE1" s="52"/>
      <c r="OF1" s="52"/>
      <c r="OG1" s="52"/>
      <c r="OH1" s="52"/>
      <c r="OI1" s="52"/>
      <c r="OJ1" s="52"/>
      <c r="OK1" s="52"/>
      <c r="OL1" s="52"/>
      <c r="OM1" s="52"/>
      <c r="ON1" s="52"/>
      <c r="OO1" s="52"/>
      <c r="OP1" s="52"/>
      <c r="OQ1" s="52"/>
      <c r="OR1" s="53"/>
      <c r="OS1" s="53"/>
      <c r="OT1" s="53"/>
      <c r="OU1" s="53"/>
      <c r="OV1" s="53"/>
      <c r="OW1" s="53"/>
      <c r="OX1" s="53"/>
      <c r="OY1" s="53"/>
      <c r="OZ1" s="53"/>
      <c r="PA1" s="53"/>
      <c r="PB1" s="53"/>
      <c r="PC1" s="53"/>
      <c r="PD1" s="53"/>
      <c r="PE1" s="53"/>
      <c r="PF1" s="53"/>
      <c r="PG1" s="53"/>
      <c r="PH1" s="53"/>
      <c r="PI1" s="53"/>
      <c r="PJ1" s="53"/>
      <c r="PK1" s="53"/>
      <c r="PL1" s="53"/>
      <c r="PM1" s="53"/>
      <c r="PN1" s="53"/>
      <c r="PO1" s="53"/>
      <c r="PP1" s="53"/>
      <c r="PQ1" s="53"/>
      <c r="PR1" s="53"/>
      <c r="PS1" s="53"/>
      <c r="PT1" s="53"/>
      <c r="PU1" s="53"/>
      <c r="PV1" s="53"/>
      <c r="PW1" s="53"/>
      <c r="PX1" s="53"/>
      <c r="PY1" s="53"/>
      <c r="PZ1" s="52"/>
      <c r="QA1" s="52"/>
      <c r="QB1" s="52"/>
      <c r="QC1" s="52"/>
      <c r="QD1" s="52"/>
      <c r="QE1" s="52"/>
      <c r="QF1" s="52"/>
      <c r="QG1" s="52"/>
      <c r="QH1" s="52"/>
      <c r="QI1" s="52"/>
      <c r="QJ1" s="52"/>
      <c r="QK1" s="52"/>
      <c r="QL1" s="52"/>
      <c r="QM1" s="52"/>
      <c r="QN1" s="52"/>
      <c r="QO1" s="52"/>
      <c r="QP1" s="52"/>
      <c r="QQ1" s="52"/>
      <c r="QR1" s="52"/>
      <c r="QS1" s="52"/>
      <c r="QT1" s="52"/>
      <c r="QU1" s="52"/>
      <c r="QV1" s="52"/>
      <c r="QW1" s="52"/>
      <c r="QX1" s="52"/>
      <c r="QY1" s="52"/>
      <c r="QZ1" s="52"/>
      <c r="RA1" s="52"/>
      <c r="RB1" s="52"/>
      <c r="RC1" s="52"/>
      <c r="RD1" s="52"/>
      <c r="RE1" s="52"/>
      <c r="RF1" s="52"/>
      <c r="RG1" s="52"/>
      <c r="RH1" s="53"/>
      <c r="RI1" s="53"/>
      <c r="RJ1" s="53"/>
      <c r="RK1" s="53"/>
      <c r="RL1" s="53"/>
      <c r="RM1" s="53"/>
      <c r="RN1" s="53"/>
      <c r="RO1" s="53"/>
      <c r="RP1" s="53"/>
      <c r="RQ1" s="53"/>
      <c r="RR1" s="53"/>
      <c r="RS1" s="53"/>
      <c r="RT1" s="53"/>
      <c r="RU1" s="53"/>
      <c r="RV1" s="53"/>
      <c r="RW1" s="53"/>
      <c r="RX1" s="53"/>
      <c r="RY1" s="53"/>
      <c r="RZ1" s="53"/>
      <c r="SA1" s="53"/>
      <c r="SB1" s="53"/>
      <c r="SC1" s="53"/>
      <c r="SD1" s="53"/>
      <c r="SE1" s="53"/>
      <c r="SF1" s="53"/>
      <c r="SG1" s="53"/>
      <c r="SH1" s="53"/>
      <c r="SI1" s="53"/>
      <c r="SJ1" s="53"/>
      <c r="SK1" s="53"/>
      <c r="SL1" s="53"/>
      <c r="SM1" s="53"/>
      <c r="SN1" s="53"/>
      <c r="SO1" s="53"/>
      <c r="SP1" s="52"/>
      <c r="SQ1" s="52"/>
      <c r="SR1" s="52"/>
      <c r="SS1" s="52"/>
      <c r="ST1" s="52"/>
      <c r="SU1" s="52"/>
      <c r="SV1" s="52"/>
      <c r="SW1" s="52"/>
      <c r="SX1" s="52"/>
      <c r="SY1" s="52"/>
      <c r="SZ1" s="52"/>
      <c r="TA1" s="52"/>
      <c r="TB1" s="52"/>
      <c r="TC1" s="52"/>
      <c r="TD1" s="52"/>
      <c r="TE1" s="52"/>
      <c r="TF1" s="52"/>
      <c r="TG1" s="52"/>
      <c r="TH1" s="52"/>
      <c r="TI1" s="52"/>
      <c r="TJ1" s="52"/>
      <c r="TK1" s="52"/>
      <c r="TL1" s="52"/>
      <c r="TM1" s="52"/>
      <c r="TN1" s="52"/>
      <c r="TO1" s="52"/>
      <c r="TP1" s="52"/>
      <c r="TQ1" s="52"/>
      <c r="TR1" s="52"/>
      <c r="TS1" s="52"/>
      <c r="TT1" s="52"/>
      <c r="TU1" s="52"/>
      <c r="TV1" s="52"/>
      <c r="TW1" s="52"/>
      <c r="TX1" s="53"/>
      <c r="TY1" s="53"/>
      <c r="TZ1" s="53"/>
      <c r="UA1" s="53"/>
      <c r="UB1" s="53"/>
      <c r="UC1" s="53"/>
      <c r="UD1" s="53"/>
      <c r="UE1" s="53"/>
      <c r="UF1" s="53"/>
      <c r="UG1" s="53"/>
      <c r="UH1" s="53"/>
      <c r="UI1" s="53"/>
      <c r="UJ1" s="53"/>
      <c r="UK1" s="53"/>
      <c r="UL1" s="53"/>
      <c r="UM1" s="53"/>
      <c r="UN1" s="53"/>
      <c r="UO1" s="53"/>
      <c r="UP1" s="53"/>
      <c r="UQ1" s="53"/>
      <c r="UR1" s="53"/>
      <c r="US1" s="53"/>
      <c r="UT1" s="53"/>
      <c r="UU1" s="53"/>
      <c r="UV1" s="53"/>
      <c r="UW1" s="53"/>
      <c r="UX1" s="53"/>
      <c r="UY1" s="53"/>
      <c r="UZ1" s="53"/>
      <c r="VA1" s="53"/>
      <c r="VB1" s="53"/>
      <c r="VC1" s="53"/>
      <c r="VD1" s="53"/>
      <c r="VE1" s="53"/>
      <c r="VF1" s="52"/>
      <c r="VG1" s="52"/>
      <c r="VH1" s="52"/>
      <c r="VI1" s="52"/>
      <c r="VJ1" s="52"/>
      <c r="VK1" s="52"/>
      <c r="VL1" s="52"/>
      <c r="VM1" s="52"/>
      <c r="VN1" s="52"/>
      <c r="VO1" s="52"/>
      <c r="VP1" s="52"/>
      <c r="VQ1" s="52"/>
      <c r="VR1" s="52"/>
      <c r="VS1" s="52"/>
      <c r="VT1" s="52"/>
      <c r="VU1" s="52"/>
      <c r="VV1" s="52"/>
      <c r="VW1" s="52"/>
      <c r="VX1" s="52"/>
      <c r="VY1" s="52"/>
      <c r="VZ1" s="52"/>
      <c r="WA1" s="52"/>
      <c r="WB1" s="52"/>
      <c r="WC1" s="52"/>
      <c r="WD1" s="52"/>
      <c r="WE1" s="52"/>
      <c r="WF1" s="52"/>
      <c r="WG1" s="52"/>
      <c r="WH1" s="52"/>
      <c r="WI1" s="52"/>
      <c r="WJ1" s="52"/>
      <c r="WK1" s="52"/>
      <c r="WL1" s="52"/>
      <c r="WM1" s="52"/>
    </row>
    <row r="2" spans="1:611" x14ac:dyDescent="0.2">
      <c r="A2" s="56"/>
      <c r="B2" s="56"/>
      <c r="C2" s="56"/>
      <c r="D2" s="56"/>
      <c r="E2" s="56"/>
      <c r="F2" s="60"/>
      <c r="G2" s="56"/>
      <c r="H2" s="56"/>
      <c r="I2" s="56"/>
      <c r="J2" s="57"/>
      <c r="K2" s="58"/>
      <c r="L2" s="57"/>
      <c r="M2" s="58"/>
      <c r="N2" s="57"/>
      <c r="O2" s="58"/>
      <c r="P2" s="61"/>
      <c r="Q2" s="58"/>
      <c r="R2" s="58"/>
      <c r="S2" s="54" t="s">
        <v>17</v>
      </c>
      <c r="T2" s="54"/>
      <c r="U2" s="54"/>
      <c r="V2" s="54"/>
      <c r="W2" s="54"/>
      <c r="X2" s="54" t="s">
        <v>18</v>
      </c>
      <c r="Y2" s="54"/>
      <c r="Z2" s="54"/>
      <c r="AA2" s="54"/>
      <c r="AB2" s="54"/>
      <c r="AC2" s="54" t="s">
        <v>21</v>
      </c>
      <c r="AD2" s="54"/>
      <c r="AE2" s="54"/>
      <c r="AF2" s="54"/>
      <c r="AG2" s="54"/>
      <c r="AH2" s="14"/>
      <c r="AI2" s="14" t="s">
        <v>67</v>
      </c>
      <c r="AJ2" s="14" t="s">
        <v>68</v>
      </c>
      <c r="AK2" s="14" t="s">
        <v>19</v>
      </c>
      <c r="AL2" s="14" t="s">
        <v>58</v>
      </c>
      <c r="AM2" s="14" t="s">
        <v>69</v>
      </c>
      <c r="AN2" s="14" t="s">
        <v>20</v>
      </c>
      <c r="AO2" s="14" t="s">
        <v>22</v>
      </c>
      <c r="AP2" s="14" t="s">
        <v>70</v>
      </c>
      <c r="AQ2" s="14" t="s">
        <v>71</v>
      </c>
      <c r="AR2" s="14" t="s">
        <v>21</v>
      </c>
      <c r="AS2" s="14" t="s">
        <v>16</v>
      </c>
      <c r="AT2" s="55" t="s">
        <v>17</v>
      </c>
      <c r="AU2" s="55"/>
      <c r="AV2" s="55"/>
      <c r="AW2" s="55"/>
      <c r="AX2" s="55"/>
      <c r="AY2" s="55" t="s">
        <v>18</v>
      </c>
      <c r="AZ2" s="55"/>
      <c r="BA2" s="55"/>
      <c r="BB2" s="55"/>
      <c r="BC2" s="55"/>
      <c r="BD2" s="55" t="s">
        <v>21</v>
      </c>
      <c r="BE2" s="55"/>
      <c r="BF2" s="55"/>
      <c r="BG2" s="55"/>
      <c r="BH2" s="55"/>
      <c r="BI2" s="13"/>
      <c r="BJ2" s="13" t="s">
        <v>67</v>
      </c>
      <c r="BK2" s="13" t="s">
        <v>68</v>
      </c>
      <c r="BL2" s="13" t="s">
        <v>19</v>
      </c>
      <c r="BM2" s="13" t="s">
        <v>58</v>
      </c>
      <c r="BN2" s="13" t="s">
        <v>69</v>
      </c>
      <c r="BO2" s="13" t="s">
        <v>20</v>
      </c>
      <c r="BP2" s="13" t="s">
        <v>22</v>
      </c>
      <c r="BQ2" s="13" t="s">
        <v>70</v>
      </c>
      <c r="BR2" s="13" t="s">
        <v>71</v>
      </c>
      <c r="BS2" s="13" t="s">
        <v>21</v>
      </c>
      <c r="BT2" s="13" t="s">
        <v>16</v>
      </c>
      <c r="BU2" s="54" t="s">
        <v>17</v>
      </c>
      <c r="BV2" s="54"/>
      <c r="BW2" s="54"/>
      <c r="BX2" s="54"/>
      <c r="BY2" s="54"/>
      <c r="BZ2" s="54" t="s">
        <v>18</v>
      </c>
      <c r="CA2" s="54"/>
      <c r="CB2" s="54"/>
      <c r="CC2" s="54"/>
      <c r="CD2" s="54"/>
      <c r="CE2" s="54" t="s">
        <v>21</v>
      </c>
      <c r="CF2" s="54"/>
      <c r="CG2" s="54"/>
      <c r="CH2" s="54"/>
      <c r="CI2" s="54"/>
      <c r="CJ2" s="14"/>
      <c r="CK2" s="14" t="s">
        <v>67</v>
      </c>
      <c r="CL2" s="14" t="s">
        <v>68</v>
      </c>
      <c r="CM2" s="14" t="s">
        <v>19</v>
      </c>
      <c r="CN2" s="14" t="s">
        <v>58</v>
      </c>
      <c r="CO2" s="14" t="s">
        <v>69</v>
      </c>
      <c r="CP2" s="14" t="s">
        <v>20</v>
      </c>
      <c r="CQ2" s="14" t="s">
        <v>22</v>
      </c>
      <c r="CR2" s="14" t="s">
        <v>70</v>
      </c>
      <c r="CS2" s="14" t="s">
        <v>71</v>
      </c>
      <c r="CT2" s="14" t="s">
        <v>21</v>
      </c>
      <c r="CU2" s="14" t="s">
        <v>16</v>
      </c>
      <c r="CV2" s="46" t="s">
        <v>21</v>
      </c>
      <c r="CW2" s="46" t="s">
        <v>187</v>
      </c>
      <c r="CX2" s="54" t="s">
        <v>17</v>
      </c>
      <c r="CY2" s="54"/>
      <c r="CZ2" s="54"/>
      <c r="DA2" s="54"/>
      <c r="DB2" s="54"/>
      <c r="DC2" s="54" t="s">
        <v>18</v>
      </c>
      <c r="DD2" s="54"/>
      <c r="DE2" s="54"/>
      <c r="DF2" s="54"/>
      <c r="DG2" s="54"/>
      <c r="DH2" s="54" t="s">
        <v>72</v>
      </c>
      <c r="DI2" s="54"/>
      <c r="DJ2" s="54"/>
      <c r="DK2" s="54"/>
      <c r="DL2" s="54"/>
      <c r="DM2" s="54" t="s">
        <v>21</v>
      </c>
      <c r="DN2" s="54"/>
      <c r="DO2" s="54"/>
      <c r="DP2" s="54"/>
      <c r="DQ2" s="54"/>
      <c r="DR2" s="14" t="s">
        <v>67</v>
      </c>
      <c r="DS2" s="14" t="s">
        <v>68</v>
      </c>
      <c r="DT2" s="14" t="s">
        <v>19</v>
      </c>
      <c r="DU2" s="14" t="s">
        <v>58</v>
      </c>
      <c r="DV2" s="14" t="s">
        <v>69</v>
      </c>
      <c r="DW2" s="14" t="s">
        <v>20</v>
      </c>
      <c r="DX2" s="14" t="s">
        <v>22</v>
      </c>
      <c r="DY2" s="14" t="s">
        <v>73</v>
      </c>
      <c r="DZ2" s="14" t="s">
        <v>74</v>
      </c>
      <c r="EA2" s="14" t="s">
        <v>72</v>
      </c>
      <c r="EB2" s="14" t="s">
        <v>70</v>
      </c>
      <c r="EC2" s="14" t="s">
        <v>71</v>
      </c>
      <c r="ED2" s="14" t="s">
        <v>21</v>
      </c>
      <c r="EE2" s="14" t="s">
        <v>16</v>
      </c>
      <c r="EF2" s="55" t="s">
        <v>17</v>
      </c>
      <c r="EG2" s="55"/>
      <c r="EH2" s="55"/>
      <c r="EI2" s="55"/>
      <c r="EJ2" s="55"/>
      <c r="EK2" s="55" t="s">
        <v>18</v>
      </c>
      <c r="EL2" s="55"/>
      <c r="EM2" s="55"/>
      <c r="EN2" s="55"/>
      <c r="EO2" s="55"/>
      <c r="EP2" s="55" t="s">
        <v>72</v>
      </c>
      <c r="EQ2" s="55"/>
      <c r="ER2" s="55"/>
      <c r="ES2" s="55"/>
      <c r="ET2" s="55"/>
      <c r="EU2" s="55" t="s">
        <v>21</v>
      </c>
      <c r="EV2" s="55"/>
      <c r="EW2" s="55"/>
      <c r="EX2" s="55"/>
      <c r="EY2" s="55"/>
      <c r="EZ2" s="13" t="s">
        <v>67</v>
      </c>
      <c r="FA2" s="13" t="s">
        <v>68</v>
      </c>
      <c r="FB2" s="13" t="s">
        <v>19</v>
      </c>
      <c r="FC2" s="13" t="s">
        <v>58</v>
      </c>
      <c r="FD2" s="13" t="s">
        <v>69</v>
      </c>
      <c r="FE2" s="13" t="s">
        <v>20</v>
      </c>
      <c r="FF2" s="13" t="s">
        <v>22</v>
      </c>
      <c r="FG2" s="13" t="s">
        <v>73</v>
      </c>
      <c r="FH2" s="13" t="s">
        <v>74</v>
      </c>
      <c r="FI2" s="13" t="s">
        <v>72</v>
      </c>
      <c r="FJ2" s="13" t="s">
        <v>70</v>
      </c>
      <c r="FK2" s="13" t="s">
        <v>71</v>
      </c>
      <c r="FL2" s="13" t="s">
        <v>21</v>
      </c>
      <c r="FM2" s="13" t="s">
        <v>16</v>
      </c>
      <c r="FN2" s="54" t="s">
        <v>17</v>
      </c>
      <c r="FO2" s="54"/>
      <c r="FP2" s="54"/>
      <c r="FQ2" s="54"/>
      <c r="FR2" s="54"/>
      <c r="FS2" s="54" t="s">
        <v>18</v>
      </c>
      <c r="FT2" s="54"/>
      <c r="FU2" s="54"/>
      <c r="FV2" s="54"/>
      <c r="FW2" s="54"/>
      <c r="FX2" s="54" t="s">
        <v>72</v>
      </c>
      <c r="FY2" s="54"/>
      <c r="FZ2" s="54"/>
      <c r="GA2" s="54"/>
      <c r="GB2" s="54"/>
      <c r="GC2" s="54" t="s">
        <v>21</v>
      </c>
      <c r="GD2" s="54"/>
      <c r="GE2" s="54"/>
      <c r="GF2" s="54"/>
      <c r="GG2" s="54"/>
      <c r="GH2" s="14" t="s">
        <v>67</v>
      </c>
      <c r="GI2" s="14" t="s">
        <v>68</v>
      </c>
      <c r="GJ2" s="14" t="s">
        <v>19</v>
      </c>
      <c r="GK2" s="14" t="s">
        <v>58</v>
      </c>
      <c r="GL2" s="14" t="s">
        <v>69</v>
      </c>
      <c r="GM2" s="14" t="s">
        <v>20</v>
      </c>
      <c r="GN2" s="14" t="s">
        <v>22</v>
      </c>
      <c r="GO2" s="14" t="s">
        <v>73</v>
      </c>
      <c r="GP2" s="14" t="s">
        <v>74</v>
      </c>
      <c r="GQ2" s="14" t="s">
        <v>72</v>
      </c>
      <c r="GR2" s="14" t="s">
        <v>70</v>
      </c>
      <c r="GS2" s="14" t="s">
        <v>71</v>
      </c>
      <c r="GT2" s="14" t="s">
        <v>21</v>
      </c>
      <c r="GU2" s="14" t="s">
        <v>16</v>
      </c>
      <c r="GV2" s="55" t="s">
        <v>17</v>
      </c>
      <c r="GW2" s="55"/>
      <c r="GX2" s="55"/>
      <c r="GY2" s="55"/>
      <c r="GZ2" s="55"/>
      <c r="HA2" s="55" t="s">
        <v>18</v>
      </c>
      <c r="HB2" s="55"/>
      <c r="HC2" s="55"/>
      <c r="HD2" s="55"/>
      <c r="HE2" s="55"/>
      <c r="HF2" s="55" t="s">
        <v>72</v>
      </c>
      <c r="HG2" s="55"/>
      <c r="HH2" s="55"/>
      <c r="HI2" s="55"/>
      <c r="HJ2" s="55"/>
      <c r="HK2" s="55" t="s">
        <v>21</v>
      </c>
      <c r="HL2" s="55"/>
      <c r="HM2" s="55"/>
      <c r="HN2" s="55"/>
      <c r="HO2" s="55"/>
      <c r="HP2" s="13" t="s">
        <v>67</v>
      </c>
      <c r="HQ2" s="13" t="s">
        <v>68</v>
      </c>
      <c r="HR2" s="13" t="s">
        <v>19</v>
      </c>
      <c r="HS2" s="13" t="s">
        <v>58</v>
      </c>
      <c r="HT2" s="13" t="s">
        <v>69</v>
      </c>
      <c r="HU2" s="13" t="s">
        <v>20</v>
      </c>
      <c r="HV2" s="13" t="s">
        <v>22</v>
      </c>
      <c r="HW2" s="13" t="s">
        <v>73</v>
      </c>
      <c r="HX2" s="13" t="s">
        <v>74</v>
      </c>
      <c r="HY2" s="13" t="s">
        <v>72</v>
      </c>
      <c r="HZ2" s="13" t="s">
        <v>70</v>
      </c>
      <c r="IA2" s="13" t="s">
        <v>71</v>
      </c>
      <c r="IB2" s="13" t="s">
        <v>21</v>
      </c>
      <c r="IC2" s="13" t="s">
        <v>16</v>
      </c>
      <c r="ID2" s="54" t="s">
        <v>17</v>
      </c>
      <c r="IE2" s="54"/>
      <c r="IF2" s="54"/>
      <c r="IG2" s="54"/>
      <c r="IH2" s="54"/>
      <c r="II2" s="54" t="s">
        <v>18</v>
      </c>
      <c r="IJ2" s="54"/>
      <c r="IK2" s="54"/>
      <c r="IL2" s="54"/>
      <c r="IM2" s="54"/>
      <c r="IN2" s="54" t="s">
        <v>72</v>
      </c>
      <c r="IO2" s="54"/>
      <c r="IP2" s="54"/>
      <c r="IQ2" s="54"/>
      <c r="IR2" s="54"/>
      <c r="IS2" s="54" t="s">
        <v>21</v>
      </c>
      <c r="IT2" s="54"/>
      <c r="IU2" s="54"/>
      <c r="IV2" s="54"/>
      <c r="IW2" s="54"/>
      <c r="IX2" s="14" t="s">
        <v>67</v>
      </c>
      <c r="IY2" s="14" t="s">
        <v>68</v>
      </c>
      <c r="IZ2" s="14" t="s">
        <v>19</v>
      </c>
      <c r="JA2" s="14" t="s">
        <v>58</v>
      </c>
      <c r="JB2" s="14" t="s">
        <v>69</v>
      </c>
      <c r="JC2" s="14" t="s">
        <v>20</v>
      </c>
      <c r="JD2" s="14" t="s">
        <v>22</v>
      </c>
      <c r="JE2" s="14" t="s">
        <v>73</v>
      </c>
      <c r="JF2" s="14" t="s">
        <v>74</v>
      </c>
      <c r="JG2" s="14" t="s">
        <v>72</v>
      </c>
      <c r="JH2" s="14" t="s">
        <v>70</v>
      </c>
      <c r="JI2" s="14" t="s">
        <v>71</v>
      </c>
      <c r="JJ2" s="14" t="s">
        <v>21</v>
      </c>
      <c r="JK2" s="14" t="s">
        <v>16</v>
      </c>
      <c r="JL2" s="55" t="s">
        <v>17</v>
      </c>
      <c r="JM2" s="55"/>
      <c r="JN2" s="55"/>
      <c r="JO2" s="55"/>
      <c r="JP2" s="55"/>
      <c r="JQ2" s="55" t="s">
        <v>18</v>
      </c>
      <c r="JR2" s="55"/>
      <c r="JS2" s="55"/>
      <c r="JT2" s="55"/>
      <c r="JU2" s="55"/>
      <c r="JV2" s="55" t="s">
        <v>72</v>
      </c>
      <c r="JW2" s="55"/>
      <c r="JX2" s="55"/>
      <c r="JY2" s="55"/>
      <c r="JZ2" s="55"/>
      <c r="KA2" s="55" t="s">
        <v>21</v>
      </c>
      <c r="KB2" s="55"/>
      <c r="KC2" s="55"/>
      <c r="KD2" s="55"/>
      <c r="KE2" s="55"/>
      <c r="KF2" s="13" t="s">
        <v>67</v>
      </c>
      <c r="KG2" s="13" t="s">
        <v>68</v>
      </c>
      <c r="KH2" s="13" t="s">
        <v>19</v>
      </c>
      <c r="KI2" s="13" t="s">
        <v>58</v>
      </c>
      <c r="KJ2" s="13" t="s">
        <v>69</v>
      </c>
      <c r="KK2" s="13" t="s">
        <v>20</v>
      </c>
      <c r="KL2" s="13" t="s">
        <v>22</v>
      </c>
      <c r="KM2" s="13" t="s">
        <v>73</v>
      </c>
      <c r="KN2" s="13" t="s">
        <v>74</v>
      </c>
      <c r="KO2" s="13" t="s">
        <v>72</v>
      </c>
      <c r="KP2" s="13" t="s">
        <v>70</v>
      </c>
      <c r="KQ2" s="13" t="s">
        <v>71</v>
      </c>
      <c r="KR2" s="13" t="s">
        <v>21</v>
      </c>
      <c r="KS2" s="13" t="s">
        <v>16</v>
      </c>
      <c r="KT2" s="54" t="s">
        <v>17</v>
      </c>
      <c r="KU2" s="54"/>
      <c r="KV2" s="54"/>
      <c r="KW2" s="54"/>
      <c r="KX2" s="54"/>
      <c r="KY2" s="54" t="s">
        <v>18</v>
      </c>
      <c r="KZ2" s="54"/>
      <c r="LA2" s="54"/>
      <c r="LB2" s="54"/>
      <c r="LC2" s="54"/>
      <c r="LD2" s="54" t="s">
        <v>72</v>
      </c>
      <c r="LE2" s="54"/>
      <c r="LF2" s="54"/>
      <c r="LG2" s="54"/>
      <c r="LH2" s="54"/>
      <c r="LI2" s="54" t="s">
        <v>21</v>
      </c>
      <c r="LJ2" s="54"/>
      <c r="LK2" s="54"/>
      <c r="LL2" s="54"/>
      <c r="LM2" s="54"/>
      <c r="LN2" s="14" t="s">
        <v>67</v>
      </c>
      <c r="LO2" s="14" t="s">
        <v>68</v>
      </c>
      <c r="LP2" s="14" t="s">
        <v>19</v>
      </c>
      <c r="LQ2" s="14" t="s">
        <v>58</v>
      </c>
      <c r="LR2" s="14" t="s">
        <v>69</v>
      </c>
      <c r="LS2" s="14" t="s">
        <v>20</v>
      </c>
      <c r="LT2" s="14" t="s">
        <v>22</v>
      </c>
      <c r="LU2" s="14" t="s">
        <v>73</v>
      </c>
      <c r="LV2" s="14" t="s">
        <v>74</v>
      </c>
      <c r="LW2" s="14" t="s">
        <v>72</v>
      </c>
      <c r="LX2" s="14" t="s">
        <v>70</v>
      </c>
      <c r="LY2" s="14" t="s">
        <v>71</v>
      </c>
      <c r="LZ2" s="14" t="s">
        <v>21</v>
      </c>
      <c r="MA2" s="14" t="s">
        <v>16</v>
      </c>
      <c r="MB2" s="55" t="s">
        <v>17</v>
      </c>
      <c r="MC2" s="55"/>
      <c r="MD2" s="55"/>
      <c r="ME2" s="55"/>
      <c r="MF2" s="55"/>
      <c r="MG2" s="55" t="s">
        <v>18</v>
      </c>
      <c r="MH2" s="55"/>
      <c r="MI2" s="55"/>
      <c r="MJ2" s="55"/>
      <c r="MK2" s="55"/>
      <c r="ML2" s="55" t="s">
        <v>72</v>
      </c>
      <c r="MM2" s="55"/>
      <c r="MN2" s="55"/>
      <c r="MO2" s="55"/>
      <c r="MP2" s="55"/>
      <c r="MQ2" s="55" t="s">
        <v>21</v>
      </c>
      <c r="MR2" s="55"/>
      <c r="MS2" s="55"/>
      <c r="MT2" s="55"/>
      <c r="MU2" s="55"/>
      <c r="MV2" s="13" t="s">
        <v>67</v>
      </c>
      <c r="MW2" s="13" t="s">
        <v>68</v>
      </c>
      <c r="MX2" s="13" t="s">
        <v>19</v>
      </c>
      <c r="MY2" s="13" t="s">
        <v>58</v>
      </c>
      <c r="MZ2" s="13" t="s">
        <v>69</v>
      </c>
      <c r="NA2" s="13" t="s">
        <v>20</v>
      </c>
      <c r="NB2" s="13" t="s">
        <v>22</v>
      </c>
      <c r="NC2" s="13" t="s">
        <v>73</v>
      </c>
      <c r="ND2" s="13" t="s">
        <v>74</v>
      </c>
      <c r="NE2" s="13" t="s">
        <v>72</v>
      </c>
      <c r="NF2" s="13" t="s">
        <v>70</v>
      </c>
      <c r="NG2" s="13" t="s">
        <v>71</v>
      </c>
      <c r="NH2" s="13" t="s">
        <v>21</v>
      </c>
      <c r="NI2" s="13" t="s">
        <v>16</v>
      </c>
      <c r="NJ2" s="54" t="s">
        <v>17</v>
      </c>
      <c r="NK2" s="54"/>
      <c r="NL2" s="54"/>
      <c r="NM2" s="54"/>
      <c r="NN2" s="54"/>
      <c r="NO2" s="54" t="s">
        <v>18</v>
      </c>
      <c r="NP2" s="54"/>
      <c r="NQ2" s="54"/>
      <c r="NR2" s="54"/>
      <c r="NS2" s="54"/>
      <c r="NT2" s="54" t="s">
        <v>72</v>
      </c>
      <c r="NU2" s="54"/>
      <c r="NV2" s="54"/>
      <c r="NW2" s="54"/>
      <c r="NX2" s="54"/>
      <c r="NY2" s="54" t="s">
        <v>21</v>
      </c>
      <c r="NZ2" s="54"/>
      <c r="OA2" s="54"/>
      <c r="OB2" s="54"/>
      <c r="OC2" s="54"/>
      <c r="OD2" s="14" t="s">
        <v>67</v>
      </c>
      <c r="OE2" s="14" t="s">
        <v>68</v>
      </c>
      <c r="OF2" s="14" t="s">
        <v>19</v>
      </c>
      <c r="OG2" s="14" t="s">
        <v>58</v>
      </c>
      <c r="OH2" s="14" t="s">
        <v>69</v>
      </c>
      <c r="OI2" s="14" t="s">
        <v>20</v>
      </c>
      <c r="OJ2" s="14" t="s">
        <v>22</v>
      </c>
      <c r="OK2" s="14" t="s">
        <v>73</v>
      </c>
      <c r="OL2" s="14" t="s">
        <v>74</v>
      </c>
      <c r="OM2" s="14" t="s">
        <v>72</v>
      </c>
      <c r="ON2" s="14" t="s">
        <v>70</v>
      </c>
      <c r="OO2" s="14" t="s">
        <v>71</v>
      </c>
      <c r="OP2" s="14" t="s">
        <v>21</v>
      </c>
      <c r="OQ2" s="14" t="s">
        <v>16</v>
      </c>
      <c r="OR2" s="55" t="s">
        <v>17</v>
      </c>
      <c r="OS2" s="55"/>
      <c r="OT2" s="55"/>
      <c r="OU2" s="55"/>
      <c r="OV2" s="55"/>
      <c r="OW2" s="55" t="s">
        <v>18</v>
      </c>
      <c r="OX2" s="55"/>
      <c r="OY2" s="55"/>
      <c r="OZ2" s="55"/>
      <c r="PA2" s="55"/>
      <c r="PB2" s="55" t="s">
        <v>72</v>
      </c>
      <c r="PC2" s="55"/>
      <c r="PD2" s="55"/>
      <c r="PE2" s="55"/>
      <c r="PF2" s="55"/>
      <c r="PG2" s="55" t="s">
        <v>21</v>
      </c>
      <c r="PH2" s="55"/>
      <c r="PI2" s="55"/>
      <c r="PJ2" s="55"/>
      <c r="PK2" s="55"/>
      <c r="PL2" s="13" t="s">
        <v>67</v>
      </c>
      <c r="PM2" s="13" t="s">
        <v>68</v>
      </c>
      <c r="PN2" s="13" t="s">
        <v>19</v>
      </c>
      <c r="PO2" s="13" t="s">
        <v>58</v>
      </c>
      <c r="PP2" s="13" t="s">
        <v>69</v>
      </c>
      <c r="PQ2" s="13" t="s">
        <v>20</v>
      </c>
      <c r="PR2" s="13" t="s">
        <v>22</v>
      </c>
      <c r="PS2" s="13" t="s">
        <v>73</v>
      </c>
      <c r="PT2" s="13" t="s">
        <v>74</v>
      </c>
      <c r="PU2" s="13" t="s">
        <v>72</v>
      </c>
      <c r="PV2" s="13" t="s">
        <v>70</v>
      </c>
      <c r="PW2" s="13" t="s">
        <v>71</v>
      </c>
      <c r="PX2" s="13" t="s">
        <v>21</v>
      </c>
      <c r="PY2" s="13" t="s">
        <v>16</v>
      </c>
      <c r="PZ2" s="54" t="s">
        <v>17</v>
      </c>
      <c r="QA2" s="54"/>
      <c r="QB2" s="54"/>
      <c r="QC2" s="54"/>
      <c r="QD2" s="54"/>
      <c r="QE2" s="54" t="s">
        <v>18</v>
      </c>
      <c r="QF2" s="54"/>
      <c r="QG2" s="54"/>
      <c r="QH2" s="54"/>
      <c r="QI2" s="54"/>
      <c r="QJ2" s="54" t="s">
        <v>72</v>
      </c>
      <c r="QK2" s="54"/>
      <c r="QL2" s="54"/>
      <c r="QM2" s="54"/>
      <c r="QN2" s="54"/>
      <c r="QO2" s="54" t="s">
        <v>21</v>
      </c>
      <c r="QP2" s="54"/>
      <c r="QQ2" s="54"/>
      <c r="QR2" s="54"/>
      <c r="QS2" s="54"/>
      <c r="QT2" s="14" t="s">
        <v>67</v>
      </c>
      <c r="QU2" s="14" t="s">
        <v>68</v>
      </c>
      <c r="QV2" s="14" t="s">
        <v>19</v>
      </c>
      <c r="QW2" s="14" t="s">
        <v>58</v>
      </c>
      <c r="QX2" s="14" t="s">
        <v>69</v>
      </c>
      <c r="QY2" s="14" t="s">
        <v>20</v>
      </c>
      <c r="QZ2" s="14" t="s">
        <v>22</v>
      </c>
      <c r="RA2" s="14" t="s">
        <v>73</v>
      </c>
      <c r="RB2" s="14" t="s">
        <v>74</v>
      </c>
      <c r="RC2" s="14" t="s">
        <v>72</v>
      </c>
      <c r="RD2" s="14" t="s">
        <v>70</v>
      </c>
      <c r="RE2" s="14" t="s">
        <v>71</v>
      </c>
      <c r="RF2" s="14" t="s">
        <v>21</v>
      </c>
      <c r="RG2" s="14" t="s">
        <v>16</v>
      </c>
      <c r="RH2" s="55" t="s">
        <v>17</v>
      </c>
      <c r="RI2" s="55"/>
      <c r="RJ2" s="55"/>
      <c r="RK2" s="55"/>
      <c r="RL2" s="55"/>
      <c r="RM2" s="55" t="s">
        <v>18</v>
      </c>
      <c r="RN2" s="55"/>
      <c r="RO2" s="55"/>
      <c r="RP2" s="55"/>
      <c r="RQ2" s="55"/>
      <c r="RR2" s="55" t="s">
        <v>72</v>
      </c>
      <c r="RS2" s="55"/>
      <c r="RT2" s="55"/>
      <c r="RU2" s="55"/>
      <c r="RV2" s="55"/>
      <c r="RW2" s="55" t="s">
        <v>21</v>
      </c>
      <c r="RX2" s="55"/>
      <c r="RY2" s="55"/>
      <c r="RZ2" s="55"/>
      <c r="SA2" s="55"/>
      <c r="SB2" s="13" t="s">
        <v>67</v>
      </c>
      <c r="SC2" s="13" t="s">
        <v>68</v>
      </c>
      <c r="SD2" s="13" t="s">
        <v>19</v>
      </c>
      <c r="SE2" s="13" t="s">
        <v>58</v>
      </c>
      <c r="SF2" s="13" t="s">
        <v>69</v>
      </c>
      <c r="SG2" s="13" t="s">
        <v>20</v>
      </c>
      <c r="SH2" s="13" t="s">
        <v>22</v>
      </c>
      <c r="SI2" s="13" t="s">
        <v>73</v>
      </c>
      <c r="SJ2" s="13" t="s">
        <v>74</v>
      </c>
      <c r="SK2" s="13" t="s">
        <v>72</v>
      </c>
      <c r="SL2" s="13" t="s">
        <v>70</v>
      </c>
      <c r="SM2" s="13" t="s">
        <v>71</v>
      </c>
      <c r="SN2" s="13" t="s">
        <v>21</v>
      </c>
      <c r="SO2" s="13" t="s">
        <v>16</v>
      </c>
      <c r="SP2" s="54" t="s">
        <v>17</v>
      </c>
      <c r="SQ2" s="54"/>
      <c r="SR2" s="54"/>
      <c r="SS2" s="54"/>
      <c r="ST2" s="54"/>
      <c r="SU2" s="54" t="s">
        <v>18</v>
      </c>
      <c r="SV2" s="54"/>
      <c r="SW2" s="54"/>
      <c r="SX2" s="54"/>
      <c r="SY2" s="54"/>
      <c r="SZ2" s="54" t="s">
        <v>72</v>
      </c>
      <c r="TA2" s="54"/>
      <c r="TB2" s="54"/>
      <c r="TC2" s="54"/>
      <c r="TD2" s="54"/>
      <c r="TE2" s="54" t="s">
        <v>21</v>
      </c>
      <c r="TF2" s="54"/>
      <c r="TG2" s="54"/>
      <c r="TH2" s="54"/>
      <c r="TI2" s="54"/>
      <c r="TJ2" s="14" t="s">
        <v>67</v>
      </c>
      <c r="TK2" s="14" t="s">
        <v>68</v>
      </c>
      <c r="TL2" s="14" t="s">
        <v>19</v>
      </c>
      <c r="TM2" s="14" t="s">
        <v>58</v>
      </c>
      <c r="TN2" s="14" t="s">
        <v>69</v>
      </c>
      <c r="TO2" s="14" t="s">
        <v>20</v>
      </c>
      <c r="TP2" s="14" t="s">
        <v>22</v>
      </c>
      <c r="TQ2" s="14" t="s">
        <v>73</v>
      </c>
      <c r="TR2" s="14" t="s">
        <v>74</v>
      </c>
      <c r="TS2" s="14" t="s">
        <v>72</v>
      </c>
      <c r="TT2" s="14" t="s">
        <v>70</v>
      </c>
      <c r="TU2" s="14" t="s">
        <v>71</v>
      </c>
      <c r="TV2" s="14" t="s">
        <v>21</v>
      </c>
      <c r="TW2" s="14" t="s">
        <v>16</v>
      </c>
      <c r="TX2" s="55" t="s">
        <v>17</v>
      </c>
      <c r="TY2" s="55"/>
      <c r="TZ2" s="55"/>
      <c r="UA2" s="55"/>
      <c r="UB2" s="55"/>
      <c r="UC2" s="55" t="s">
        <v>18</v>
      </c>
      <c r="UD2" s="55"/>
      <c r="UE2" s="55"/>
      <c r="UF2" s="55"/>
      <c r="UG2" s="55"/>
      <c r="UH2" s="55" t="s">
        <v>72</v>
      </c>
      <c r="UI2" s="55"/>
      <c r="UJ2" s="55"/>
      <c r="UK2" s="55"/>
      <c r="UL2" s="55"/>
      <c r="UM2" s="55" t="s">
        <v>21</v>
      </c>
      <c r="UN2" s="55"/>
      <c r="UO2" s="55"/>
      <c r="UP2" s="55"/>
      <c r="UQ2" s="55"/>
      <c r="UR2" s="13" t="s">
        <v>67</v>
      </c>
      <c r="US2" s="13" t="s">
        <v>68</v>
      </c>
      <c r="UT2" s="13" t="s">
        <v>19</v>
      </c>
      <c r="UU2" s="13" t="s">
        <v>58</v>
      </c>
      <c r="UV2" s="13" t="s">
        <v>69</v>
      </c>
      <c r="UW2" s="13" t="s">
        <v>20</v>
      </c>
      <c r="UX2" s="13" t="s">
        <v>22</v>
      </c>
      <c r="UY2" s="13" t="s">
        <v>73</v>
      </c>
      <c r="UZ2" s="13" t="s">
        <v>74</v>
      </c>
      <c r="VA2" s="13" t="s">
        <v>72</v>
      </c>
      <c r="VB2" s="13" t="s">
        <v>70</v>
      </c>
      <c r="VC2" s="13" t="s">
        <v>71</v>
      </c>
      <c r="VD2" s="13" t="s">
        <v>21</v>
      </c>
      <c r="VE2" s="13" t="s">
        <v>16</v>
      </c>
      <c r="VF2" s="54" t="s">
        <v>17</v>
      </c>
      <c r="VG2" s="54"/>
      <c r="VH2" s="54"/>
      <c r="VI2" s="54"/>
      <c r="VJ2" s="54"/>
      <c r="VK2" s="54" t="s">
        <v>18</v>
      </c>
      <c r="VL2" s="54"/>
      <c r="VM2" s="54"/>
      <c r="VN2" s="54"/>
      <c r="VO2" s="54"/>
      <c r="VP2" s="54" t="s">
        <v>72</v>
      </c>
      <c r="VQ2" s="54"/>
      <c r="VR2" s="54"/>
      <c r="VS2" s="54"/>
      <c r="VT2" s="54"/>
      <c r="VU2" s="54" t="s">
        <v>21</v>
      </c>
      <c r="VV2" s="54"/>
      <c r="VW2" s="54"/>
      <c r="VX2" s="54"/>
      <c r="VY2" s="54"/>
      <c r="VZ2" s="14" t="s">
        <v>67</v>
      </c>
      <c r="WA2" s="14" t="s">
        <v>68</v>
      </c>
      <c r="WB2" s="14" t="s">
        <v>19</v>
      </c>
      <c r="WC2" s="14" t="s">
        <v>58</v>
      </c>
      <c r="WD2" s="14" t="s">
        <v>69</v>
      </c>
      <c r="WE2" s="14" t="s">
        <v>20</v>
      </c>
      <c r="WF2" s="14" t="s">
        <v>22</v>
      </c>
      <c r="WG2" s="14" t="s">
        <v>73</v>
      </c>
      <c r="WH2" s="14" t="s">
        <v>74</v>
      </c>
      <c r="WI2" s="14" t="s">
        <v>72</v>
      </c>
      <c r="WJ2" s="14" t="s">
        <v>70</v>
      </c>
      <c r="WK2" s="14" t="s">
        <v>71</v>
      </c>
      <c r="WL2" s="14" t="s">
        <v>21</v>
      </c>
      <c r="WM2" s="14" t="s">
        <v>16</v>
      </c>
    </row>
    <row r="3" spans="1:611" x14ac:dyDescent="0.2">
      <c r="A3" s="56"/>
      <c r="B3" s="56"/>
      <c r="C3" s="56"/>
      <c r="D3" s="56"/>
      <c r="E3" s="56"/>
      <c r="F3" s="60"/>
      <c r="G3" s="56"/>
      <c r="H3" s="56"/>
      <c r="I3" s="56"/>
      <c r="J3" s="57"/>
      <c r="K3" s="58"/>
      <c r="L3" s="57"/>
      <c r="M3" s="58"/>
      <c r="N3" s="57"/>
      <c r="O3" s="58"/>
      <c r="P3" s="61"/>
      <c r="Q3" s="58"/>
      <c r="R3" s="58"/>
      <c r="S3" s="14" t="s">
        <v>13</v>
      </c>
      <c r="T3" s="14" t="s">
        <v>14</v>
      </c>
      <c r="U3" s="14" t="s">
        <v>8</v>
      </c>
      <c r="V3" s="14" t="s">
        <v>15</v>
      </c>
      <c r="W3" s="14" t="s">
        <v>27</v>
      </c>
      <c r="X3" s="14" t="s">
        <v>13</v>
      </c>
      <c r="Y3" s="14" t="s">
        <v>14</v>
      </c>
      <c r="Z3" s="14" t="s">
        <v>8</v>
      </c>
      <c r="AA3" s="14" t="s">
        <v>15</v>
      </c>
      <c r="AB3" s="14" t="s">
        <v>27</v>
      </c>
      <c r="AC3" s="14" t="s">
        <v>13</v>
      </c>
      <c r="AD3" s="14" t="s">
        <v>14</v>
      </c>
      <c r="AE3" s="14" t="s">
        <v>8</v>
      </c>
      <c r="AF3" s="14" t="s">
        <v>15</v>
      </c>
      <c r="AG3" s="14" t="s">
        <v>27</v>
      </c>
      <c r="AH3" s="14" t="s">
        <v>41</v>
      </c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3" t="s">
        <v>13</v>
      </c>
      <c r="AU3" s="13" t="s">
        <v>14</v>
      </c>
      <c r="AV3" s="13" t="s">
        <v>8</v>
      </c>
      <c r="AW3" s="13" t="s">
        <v>15</v>
      </c>
      <c r="AX3" s="13" t="s">
        <v>27</v>
      </c>
      <c r="AY3" s="13" t="s">
        <v>13</v>
      </c>
      <c r="AZ3" s="13" t="s">
        <v>14</v>
      </c>
      <c r="BA3" s="13" t="s">
        <v>8</v>
      </c>
      <c r="BB3" s="13" t="s">
        <v>15</v>
      </c>
      <c r="BC3" s="13" t="s">
        <v>27</v>
      </c>
      <c r="BD3" s="13" t="s">
        <v>13</v>
      </c>
      <c r="BE3" s="13" t="s">
        <v>14</v>
      </c>
      <c r="BF3" s="13" t="s">
        <v>8</v>
      </c>
      <c r="BG3" s="13" t="s">
        <v>15</v>
      </c>
      <c r="BH3" s="13" t="s">
        <v>27</v>
      </c>
      <c r="BI3" s="13" t="s">
        <v>41</v>
      </c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4" t="s">
        <v>13</v>
      </c>
      <c r="BV3" s="14" t="s">
        <v>14</v>
      </c>
      <c r="BW3" s="14" t="s">
        <v>8</v>
      </c>
      <c r="BX3" s="14" t="s">
        <v>15</v>
      </c>
      <c r="BY3" s="14" t="s">
        <v>27</v>
      </c>
      <c r="BZ3" s="14" t="s">
        <v>13</v>
      </c>
      <c r="CA3" s="14" t="s">
        <v>14</v>
      </c>
      <c r="CB3" s="14" t="s">
        <v>8</v>
      </c>
      <c r="CC3" s="14" t="s">
        <v>15</v>
      </c>
      <c r="CD3" s="14" t="s">
        <v>27</v>
      </c>
      <c r="CE3" s="14" t="s">
        <v>13</v>
      </c>
      <c r="CF3" s="14" t="s">
        <v>14</v>
      </c>
      <c r="CG3" s="14" t="s">
        <v>8</v>
      </c>
      <c r="CH3" s="14" t="s">
        <v>15</v>
      </c>
      <c r="CI3" s="14" t="s">
        <v>27</v>
      </c>
      <c r="CJ3" s="14" t="s">
        <v>41</v>
      </c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46"/>
      <c r="CW3" s="46"/>
      <c r="CX3" s="14" t="s">
        <v>13</v>
      </c>
      <c r="CY3" s="14" t="s">
        <v>14</v>
      </c>
      <c r="CZ3" s="14" t="s">
        <v>8</v>
      </c>
      <c r="DA3" s="14" t="s">
        <v>15</v>
      </c>
      <c r="DB3" s="14" t="s">
        <v>27</v>
      </c>
      <c r="DC3" s="14" t="s">
        <v>13</v>
      </c>
      <c r="DD3" s="14" t="s">
        <v>14</v>
      </c>
      <c r="DE3" s="14" t="s">
        <v>8</v>
      </c>
      <c r="DF3" s="14" t="s">
        <v>15</v>
      </c>
      <c r="DG3" s="14" t="s">
        <v>27</v>
      </c>
      <c r="DH3" s="14" t="s">
        <v>13</v>
      </c>
      <c r="DI3" s="14" t="s">
        <v>14</v>
      </c>
      <c r="DJ3" s="14" t="s">
        <v>8</v>
      </c>
      <c r="DK3" s="14" t="s">
        <v>15</v>
      </c>
      <c r="DL3" s="14" t="s">
        <v>27</v>
      </c>
      <c r="DM3" s="14" t="s">
        <v>13</v>
      </c>
      <c r="DN3" s="14" t="s">
        <v>14</v>
      </c>
      <c r="DO3" s="14" t="s">
        <v>8</v>
      </c>
      <c r="DP3" s="14" t="s">
        <v>15</v>
      </c>
      <c r="DQ3" s="14" t="s">
        <v>27</v>
      </c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6"/>
      <c r="ED3" s="6"/>
      <c r="EE3" s="14"/>
      <c r="EF3" s="13" t="s">
        <v>13</v>
      </c>
      <c r="EG3" s="13" t="s">
        <v>14</v>
      </c>
      <c r="EH3" s="13" t="s">
        <v>8</v>
      </c>
      <c r="EI3" s="13" t="s">
        <v>15</v>
      </c>
      <c r="EJ3" s="13" t="s">
        <v>27</v>
      </c>
      <c r="EK3" s="13" t="s">
        <v>13</v>
      </c>
      <c r="EL3" s="13" t="s">
        <v>14</v>
      </c>
      <c r="EM3" s="13" t="s">
        <v>8</v>
      </c>
      <c r="EN3" s="13" t="s">
        <v>15</v>
      </c>
      <c r="EO3" s="13" t="s">
        <v>27</v>
      </c>
      <c r="EP3" s="13" t="s">
        <v>13</v>
      </c>
      <c r="EQ3" s="13" t="s">
        <v>14</v>
      </c>
      <c r="ER3" s="13" t="s">
        <v>8</v>
      </c>
      <c r="ES3" s="13" t="s">
        <v>15</v>
      </c>
      <c r="ET3" s="13" t="s">
        <v>27</v>
      </c>
      <c r="EU3" s="13" t="s">
        <v>13</v>
      </c>
      <c r="EV3" s="13" t="s">
        <v>14</v>
      </c>
      <c r="EW3" s="13" t="s">
        <v>8</v>
      </c>
      <c r="EX3" s="13" t="s">
        <v>15</v>
      </c>
      <c r="EY3" s="13" t="s">
        <v>27</v>
      </c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13"/>
      <c r="FN3" s="14" t="s">
        <v>13</v>
      </c>
      <c r="FO3" s="14" t="s">
        <v>14</v>
      </c>
      <c r="FP3" s="14" t="s">
        <v>8</v>
      </c>
      <c r="FQ3" s="14" t="s">
        <v>15</v>
      </c>
      <c r="FR3" s="14" t="s">
        <v>27</v>
      </c>
      <c r="FS3" s="14" t="s">
        <v>13</v>
      </c>
      <c r="FT3" s="14" t="s">
        <v>14</v>
      </c>
      <c r="FU3" s="14" t="s">
        <v>8</v>
      </c>
      <c r="FV3" s="14" t="s">
        <v>15</v>
      </c>
      <c r="FW3" s="14" t="s">
        <v>27</v>
      </c>
      <c r="FX3" s="14" t="s">
        <v>13</v>
      </c>
      <c r="FY3" s="14" t="s">
        <v>14</v>
      </c>
      <c r="FZ3" s="14" t="s">
        <v>8</v>
      </c>
      <c r="GA3" s="14" t="s">
        <v>15</v>
      </c>
      <c r="GB3" s="14" t="s">
        <v>27</v>
      </c>
      <c r="GC3" s="14" t="s">
        <v>13</v>
      </c>
      <c r="GD3" s="14" t="s">
        <v>14</v>
      </c>
      <c r="GE3" s="14" t="s">
        <v>8</v>
      </c>
      <c r="GF3" s="14" t="s">
        <v>15</v>
      </c>
      <c r="GG3" s="14" t="s">
        <v>27</v>
      </c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6"/>
      <c r="GT3" s="6"/>
      <c r="GU3" s="14"/>
      <c r="GV3" s="13" t="s">
        <v>13</v>
      </c>
      <c r="GW3" s="13" t="s">
        <v>14</v>
      </c>
      <c r="GX3" s="13" t="s">
        <v>8</v>
      </c>
      <c r="GY3" s="13" t="s">
        <v>15</v>
      </c>
      <c r="GZ3" s="13" t="s">
        <v>27</v>
      </c>
      <c r="HA3" s="13" t="s">
        <v>13</v>
      </c>
      <c r="HB3" s="13" t="s">
        <v>14</v>
      </c>
      <c r="HC3" s="13" t="s">
        <v>8</v>
      </c>
      <c r="HD3" s="13" t="s">
        <v>15</v>
      </c>
      <c r="HE3" s="13" t="s">
        <v>27</v>
      </c>
      <c r="HF3" s="13" t="s">
        <v>13</v>
      </c>
      <c r="HG3" s="13" t="s">
        <v>14</v>
      </c>
      <c r="HH3" s="13" t="s">
        <v>8</v>
      </c>
      <c r="HI3" s="13" t="s">
        <v>15</v>
      </c>
      <c r="HJ3" s="13" t="s">
        <v>27</v>
      </c>
      <c r="HK3" s="13" t="s">
        <v>13</v>
      </c>
      <c r="HL3" s="13" t="s">
        <v>14</v>
      </c>
      <c r="HM3" s="13" t="s">
        <v>8</v>
      </c>
      <c r="HN3" s="13" t="s">
        <v>15</v>
      </c>
      <c r="HO3" s="13" t="s">
        <v>27</v>
      </c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7"/>
      <c r="IB3" s="7"/>
      <c r="IC3" s="13"/>
      <c r="ID3" s="14" t="s">
        <v>13</v>
      </c>
      <c r="IE3" s="14" t="s">
        <v>14</v>
      </c>
      <c r="IF3" s="14" t="s">
        <v>8</v>
      </c>
      <c r="IG3" s="14" t="s">
        <v>15</v>
      </c>
      <c r="IH3" s="14" t="s">
        <v>27</v>
      </c>
      <c r="II3" s="14" t="s">
        <v>13</v>
      </c>
      <c r="IJ3" s="14" t="s">
        <v>14</v>
      </c>
      <c r="IK3" s="14" t="s">
        <v>8</v>
      </c>
      <c r="IL3" s="14" t="s">
        <v>15</v>
      </c>
      <c r="IM3" s="14" t="s">
        <v>27</v>
      </c>
      <c r="IN3" s="14" t="s">
        <v>13</v>
      </c>
      <c r="IO3" s="14" t="s">
        <v>14</v>
      </c>
      <c r="IP3" s="14" t="s">
        <v>8</v>
      </c>
      <c r="IQ3" s="14" t="s">
        <v>15</v>
      </c>
      <c r="IR3" s="14" t="s">
        <v>27</v>
      </c>
      <c r="IS3" s="14" t="s">
        <v>13</v>
      </c>
      <c r="IT3" s="14" t="s">
        <v>14</v>
      </c>
      <c r="IU3" s="14" t="s">
        <v>8</v>
      </c>
      <c r="IV3" s="14" t="s">
        <v>15</v>
      </c>
      <c r="IW3" s="14" t="s">
        <v>27</v>
      </c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6"/>
      <c r="JJ3" s="6"/>
      <c r="JK3" s="14"/>
      <c r="JL3" s="13" t="s">
        <v>13</v>
      </c>
      <c r="JM3" s="13" t="s">
        <v>14</v>
      </c>
      <c r="JN3" s="13" t="s">
        <v>8</v>
      </c>
      <c r="JO3" s="13" t="s">
        <v>15</v>
      </c>
      <c r="JP3" s="13" t="s">
        <v>27</v>
      </c>
      <c r="JQ3" s="13" t="s">
        <v>13</v>
      </c>
      <c r="JR3" s="13" t="s">
        <v>14</v>
      </c>
      <c r="JS3" s="13" t="s">
        <v>8</v>
      </c>
      <c r="JT3" s="13" t="s">
        <v>15</v>
      </c>
      <c r="JU3" s="13" t="s">
        <v>27</v>
      </c>
      <c r="JV3" s="13" t="s">
        <v>13</v>
      </c>
      <c r="JW3" s="13" t="s">
        <v>14</v>
      </c>
      <c r="JX3" s="13" t="s">
        <v>8</v>
      </c>
      <c r="JY3" s="13" t="s">
        <v>15</v>
      </c>
      <c r="JZ3" s="13" t="s">
        <v>27</v>
      </c>
      <c r="KA3" s="13" t="s">
        <v>13</v>
      </c>
      <c r="KB3" s="13" t="s">
        <v>14</v>
      </c>
      <c r="KC3" s="13" t="s">
        <v>8</v>
      </c>
      <c r="KD3" s="13" t="s">
        <v>15</v>
      </c>
      <c r="KE3" s="13" t="s">
        <v>27</v>
      </c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7"/>
      <c r="KS3" s="7"/>
      <c r="KT3" s="14" t="s">
        <v>13</v>
      </c>
      <c r="KU3" s="14" t="s">
        <v>14</v>
      </c>
      <c r="KV3" s="14" t="s">
        <v>8</v>
      </c>
      <c r="KW3" s="14" t="s">
        <v>15</v>
      </c>
      <c r="KX3" s="14" t="s">
        <v>27</v>
      </c>
      <c r="KY3" s="14" t="s">
        <v>13</v>
      </c>
      <c r="KZ3" s="14" t="s">
        <v>14</v>
      </c>
      <c r="LA3" s="14" t="s">
        <v>8</v>
      </c>
      <c r="LB3" s="14" t="s">
        <v>15</v>
      </c>
      <c r="LC3" s="14" t="s">
        <v>27</v>
      </c>
      <c r="LD3" s="14" t="s">
        <v>13</v>
      </c>
      <c r="LE3" s="14" t="s">
        <v>14</v>
      </c>
      <c r="LF3" s="14" t="s">
        <v>8</v>
      </c>
      <c r="LG3" s="14" t="s">
        <v>15</v>
      </c>
      <c r="LH3" s="14" t="s">
        <v>27</v>
      </c>
      <c r="LI3" s="14" t="s">
        <v>13</v>
      </c>
      <c r="LJ3" s="14" t="s">
        <v>14</v>
      </c>
      <c r="LK3" s="14" t="s">
        <v>8</v>
      </c>
      <c r="LL3" s="14" t="s">
        <v>15</v>
      </c>
      <c r="LM3" s="14" t="s">
        <v>27</v>
      </c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6"/>
      <c r="MA3" s="6"/>
      <c r="MB3" s="13" t="s">
        <v>13</v>
      </c>
      <c r="MC3" s="13" t="s">
        <v>14</v>
      </c>
      <c r="MD3" s="13" t="s">
        <v>8</v>
      </c>
      <c r="ME3" s="13" t="s">
        <v>15</v>
      </c>
      <c r="MF3" s="13" t="s">
        <v>27</v>
      </c>
      <c r="MG3" s="13" t="s">
        <v>13</v>
      </c>
      <c r="MH3" s="13" t="s">
        <v>14</v>
      </c>
      <c r="MI3" s="13" t="s">
        <v>8</v>
      </c>
      <c r="MJ3" s="13" t="s">
        <v>15</v>
      </c>
      <c r="MK3" s="13" t="s">
        <v>27</v>
      </c>
      <c r="ML3" s="13" t="s">
        <v>13</v>
      </c>
      <c r="MM3" s="13" t="s">
        <v>14</v>
      </c>
      <c r="MN3" s="13" t="s">
        <v>8</v>
      </c>
      <c r="MO3" s="13" t="s">
        <v>15</v>
      </c>
      <c r="MP3" s="13" t="s">
        <v>27</v>
      </c>
      <c r="MQ3" s="13" t="s">
        <v>13</v>
      </c>
      <c r="MR3" s="13" t="s">
        <v>14</v>
      </c>
      <c r="MS3" s="13" t="s">
        <v>8</v>
      </c>
      <c r="MT3" s="13" t="s">
        <v>15</v>
      </c>
      <c r="MU3" s="13" t="s">
        <v>27</v>
      </c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7"/>
      <c r="NI3" s="7"/>
      <c r="NJ3" s="14" t="s">
        <v>13</v>
      </c>
      <c r="NK3" s="14" t="s">
        <v>14</v>
      </c>
      <c r="NL3" s="14" t="s">
        <v>8</v>
      </c>
      <c r="NM3" s="14" t="s">
        <v>15</v>
      </c>
      <c r="NN3" s="14" t="s">
        <v>27</v>
      </c>
      <c r="NO3" s="14" t="s">
        <v>13</v>
      </c>
      <c r="NP3" s="14" t="s">
        <v>14</v>
      </c>
      <c r="NQ3" s="14" t="s">
        <v>8</v>
      </c>
      <c r="NR3" s="14" t="s">
        <v>15</v>
      </c>
      <c r="NS3" s="14" t="s">
        <v>27</v>
      </c>
      <c r="NT3" s="14" t="s">
        <v>13</v>
      </c>
      <c r="NU3" s="14" t="s">
        <v>14</v>
      </c>
      <c r="NV3" s="14" t="s">
        <v>8</v>
      </c>
      <c r="NW3" s="14" t="s">
        <v>15</v>
      </c>
      <c r="NX3" s="14" t="s">
        <v>27</v>
      </c>
      <c r="NY3" s="14" t="s">
        <v>13</v>
      </c>
      <c r="NZ3" s="14" t="s">
        <v>14</v>
      </c>
      <c r="OA3" s="14" t="s">
        <v>8</v>
      </c>
      <c r="OB3" s="14" t="s">
        <v>15</v>
      </c>
      <c r="OC3" s="14" t="s">
        <v>27</v>
      </c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6"/>
      <c r="OQ3" s="6"/>
      <c r="OR3" s="13" t="s">
        <v>13</v>
      </c>
      <c r="OS3" s="13" t="s">
        <v>14</v>
      </c>
      <c r="OT3" s="13" t="s">
        <v>8</v>
      </c>
      <c r="OU3" s="13" t="s">
        <v>15</v>
      </c>
      <c r="OV3" s="13" t="s">
        <v>27</v>
      </c>
      <c r="OW3" s="13" t="s">
        <v>13</v>
      </c>
      <c r="OX3" s="13" t="s">
        <v>14</v>
      </c>
      <c r="OY3" s="13" t="s">
        <v>8</v>
      </c>
      <c r="OZ3" s="13" t="s">
        <v>15</v>
      </c>
      <c r="PA3" s="13" t="s">
        <v>27</v>
      </c>
      <c r="PB3" s="13" t="s">
        <v>13</v>
      </c>
      <c r="PC3" s="13" t="s">
        <v>14</v>
      </c>
      <c r="PD3" s="13" t="s">
        <v>8</v>
      </c>
      <c r="PE3" s="13" t="s">
        <v>15</v>
      </c>
      <c r="PF3" s="13" t="s">
        <v>27</v>
      </c>
      <c r="PG3" s="13" t="s">
        <v>13</v>
      </c>
      <c r="PH3" s="13" t="s">
        <v>14</v>
      </c>
      <c r="PI3" s="13" t="s">
        <v>8</v>
      </c>
      <c r="PJ3" s="13" t="s">
        <v>15</v>
      </c>
      <c r="PK3" s="13" t="s">
        <v>27</v>
      </c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7"/>
      <c r="PY3" s="7"/>
      <c r="PZ3" s="14" t="s">
        <v>13</v>
      </c>
      <c r="QA3" s="14" t="s">
        <v>14</v>
      </c>
      <c r="QB3" s="14" t="s">
        <v>8</v>
      </c>
      <c r="QC3" s="14" t="s">
        <v>15</v>
      </c>
      <c r="QD3" s="14" t="s">
        <v>27</v>
      </c>
      <c r="QE3" s="14" t="s">
        <v>13</v>
      </c>
      <c r="QF3" s="14" t="s">
        <v>14</v>
      </c>
      <c r="QG3" s="14" t="s">
        <v>8</v>
      </c>
      <c r="QH3" s="14" t="s">
        <v>15</v>
      </c>
      <c r="QI3" s="14" t="s">
        <v>27</v>
      </c>
      <c r="QJ3" s="14" t="s">
        <v>13</v>
      </c>
      <c r="QK3" s="14" t="s">
        <v>14</v>
      </c>
      <c r="QL3" s="14" t="s">
        <v>8</v>
      </c>
      <c r="QM3" s="14" t="s">
        <v>15</v>
      </c>
      <c r="QN3" s="14" t="s">
        <v>27</v>
      </c>
      <c r="QO3" s="14" t="s">
        <v>13</v>
      </c>
      <c r="QP3" s="14" t="s">
        <v>14</v>
      </c>
      <c r="QQ3" s="14" t="s">
        <v>8</v>
      </c>
      <c r="QR3" s="14" t="s">
        <v>15</v>
      </c>
      <c r="QS3" s="14" t="s">
        <v>27</v>
      </c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6"/>
      <c r="RG3" s="6"/>
      <c r="RH3" s="13" t="s">
        <v>13</v>
      </c>
      <c r="RI3" s="13" t="s">
        <v>14</v>
      </c>
      <c r="RJ3" s="13" t="s">
        <v>8</v>
      </c>
      <c r="RK3" s="13" t="s">
        <v>15</v>
      </c>
      <c r="RL3" s="13" t="s">
        <v>27</v>
      </c>
      <c r="RM3" s="13" t="s">
        <v>13</v>
      </c>
      <c r="RN3" s="13" t="s">
        <v>14</v>
      </c>
      <c r="RO3" s="13" t="s">
        <v>8</v>
      </c>
      <c r="RP3" s="13" t="s">
        <v>15</v>
      </c>
      <c r="RQ3" s="13" t="s">
        <v>27</v>
      </c>
      <c r="RR3" s="13" t="s">
        <v>13</v>
      </c>
      <c r="RS3" s="13" t="s">
        <v>14</v>
      </c>
      <c r="RT3" s="13" t="s">
        <v>8</v>
      </c>
      <c r="RU3" s="13" t="s">
        <v>15</v>
      </c>
      <c r="RV3" s="13" t="s">
        <v>27</v>
      </c>
      <c r="RW3" s="13" t="s">
        <v>13</v>
      </c>
      <c r="RX3" s="13" t="s">
        <v>14</v>
      </c>
      <c r="RY3" s="13" t="s">
        <v>8</v>
      </c>
      <c r="RZ3" s="13" t="s">
        <v>15</v>
      </c>
      <c r="SA3" s="13" t="s">
        <v>27</v>
      </c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7"/>
      <c r="SO3" s="7"/>
      <c r="SP3" s="14" t="s">
        <v>13</v>
      </c>
      <c r="SQ3" s="14" t="s">
        <v>14</v>
      </c>
      <c r="SR3" s="14" t="s">
        <v>8</v>
      </c>
      <c r="SS3" s="14" t="s">
        <v>15</v>
      </c>
      <c r="ST3" s="14" t="s">
        <v>27</v>
      </c>
      <c r="SU3" s="14" t="s">
        <v>13</v>
      </c>
      <c r="SV3" s="14" t="s">
        <v>14</v>
      </c>
      <c r="SW3" s="14" t="s">
        <v>8</v>
      </c>
      <c r="SX3" s="14" t="s">
        <v>15</v>
      </c>
      <c r="SY3" s="14" t="s">
        <v>27</v>
      </c>
      <c r="SZ3" s="14" t="s">
        <v>13</v>
      </c>
      <c r="TA3" s="14" t="s">
        <v>14</v>
      </c>
      <c r="TB3" s="14" t="s">
        <v>8</v>
      </c>
      <c r="TC3" s="14" t="s">
        <v>15</v>
      </c>
      <c r="TD3" s="14" t="s">
        <v>27</v>
      </c>
      <c r="TE3" s="14" t="s">
        <v>13</v>
      </c>
      <c r="TF3" s="14" t="s">
        <v>14</v>
      </c>
      <c r="TG3" s="14" t="s">
        <v>8</v>
      </c>
      <c r="TH3" s="14" t="s">
        <v>15</v>
      </c>
      <c r="TI3" s="14" t="s">
        <v>27</v>
      </c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6"/>
      <c r="TW3" s="6"/>
      <c r="TX3" s="13" t="s">
        <v>13</v>
      </c>
      <c r="TY3" s="13" t="s">
        <v>14</v>
      </c>
      <c r="TZ3" s="13" t="s">
        <v>8</v>
      </c>
      <c r="UA3" s="13" t="s">
        <v>15</v>
      </c>
      <c r="UB3" s="13" t="s">
        <v>27</v>
      </c>
      <c r="UC3" s="13" t="s">
        <v>13</v>
      </c>
      <c r="UD3" s="13" t="s">
        <v>14</v>
      </c>
      <c r="UE3" s="13" t="s">
        <v>8</v>
      </c>
      <c r="UF3" s="13" t="s">
        <v>15</v>
      </c>
      <c r="UG3" s="13" t="s">
        <v>27</v>
      </c>
      <c r="UH3" s="13" t="s">
        <v>13</v>
      </c>
      <c r="UI3" s="13" t="s">
        <v>14</v>
      </c>
      <c r="UJ3" s="13" t="s">
        <v>8</v>
      </c>
      <c r="UK3" s="13" t="s">
        <v>15</v>
      </c>
      <c r="UL3" s="13" t="s">
        <v>27</v>
      </c>
      <c r="UM3" s="13" t="s">
        <v>13</v>
      </c>
      <c r="UN3" s="13" t="s">
        <v>14</v>
      </c>
      <c r="UO3" s="13" t="s">
        <v>8</v>
      </c>
      <c r="UP3" s="13" t="s">
        <v>15</v>
      </c>
      <c r="UQ3" s="13" t="s">
        <v>27</v>
      </c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7"/>
      <c r="VE3" s="7"/>
      <c r="VF3" s="14" t="s">
        <v>13</v>
      </c>
      <c r="VG3" s="14" t="s">
        <v>14</v>
      </c>
      <c r="VH3" s="14" t="s">
        <v>8</v>
      </c>
      <c r="VI3" s="14" t="s">
        <v>15</v>
      </c>
      <c r="VJ3" s="14" t="s">
        <v>27</v>
      </c>
      <c r="VK3" s="14" t="s">
        <v>13</v>
      </c>
      <c r="VL3" s="14" t="s">
        <v>14</v>
      </c>
      <c r="VM3" s="14" t="s">
        <v>8</v>
      </c>
      <c r="VN3" s="14" t="s">
        <v>15</v>
      </c>
      <c r="VO3" s="14" t="s">
        <v>27</v>
      </c>
      <c r="VP3" s="14" t="s">
        <v>13</v>
      </c>
      <c r="VQ3" s="14" t="s">
        <v>14</v>
      </c>
      <c r="VR3" s="14" t="s">
        <v>8</v>
      </c>
      <c r="VS3" s="14" t="s">
        <v>15</v>
      </c>
      <c r="VT3" s="14" t="s">
        <v>27</v>
      </c>
      <c r="VU3" s="14" t="s">
        <v>13</v>
      </c>
      <c r="VV3" s="14" t="s">
        <v>14</v>
      </c>
      <c r="VW3" s="14" t="s">
        <v>8</v>
      </c>
      <c r="VX3" s="14" t="s">
        <v>15</v>
      </c>
      <c r="VY3" s="14" t="s">
        <v>27</v>
      </c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6"/>
      <c r="WM3" s="6"/>
    </row>
    <row r="4" spans="1:611" x14ac:dyDescent="0.2">
      <c r="A4" s="4" cm="1">
        <f t="array" ref="A4">IF(AND(H4&lt;&gt;"",H4&lt;&gt;"No DD"),SUMPRODUCT((H$4:H$27&lt;&gt;"")*(H$4:H$27&lt;&gt;"No DD")*(E$4:E$27&gt;E4))+1,IF(H4="No DD",SUMPRODUCT((H$4:H$27="No DD")*(E$4:E$27&gt;E4))+1+SUMPRODUCT((H$4:H$27&lt;&gt;"")*(H$4:H$27&lt;&gt;"No DD")),""))</f>
        <v>1</v>
      </c>
      <c r="B4" s="5" t="s">
        <v>62</v>
      </c>
      <c r="C4" s="4" t="s">
        <v>6</v>
      </c>
      <c r="D4" s="4">
        <v>2003</v>
      </c>
      <c r="E4" s="9">
        <f t="shared" ref="E4:E26" si="0">J4+L4+N4+P4+(J4+L4+N4)*0.0000001+MAX(J4,L4)*0.0000000000001</f>
        <v>174.9200173440058</v>
      </c>
      <c r="F4" s="3" t="str">
        <f t="shared" ref="F4:F26" si="1">IF(OR(AND(AI4&gt;=AS$29,AI4&lt;&gt;"",AK4&gt;=AS$33,AK4&lt;&gt;"",AH4=""),AND(AL4&gt;=AS$29,AL4&lt;&gt;"",AN4&gt;=AS$33,AN4&lt;&gt;"",AH4=""),AND(AP4&gt;=AS$29,AP4&lt;&gt;"",AR4&gt;=AS$33,AR4&lt;&gt;"",AH4=""),AND(BJ4&gt;=BT$29,BJ4&lt;&gt;"",BL4&gt;=BT$33,BL4&lt;&gt;"",BI4=""),AND(BM4&gt;=BT$29,BM4&lt;&gt;"",BO4&gt;=BT$33,BO4&lt;&gt;"",BI4=""),AND(BQ4&gt;=BT$29,BQ4&lt;&gt;"",BS4&gt;=BT$33,BS4&lt;&gt;"",BI4=""),AND(CK4&gt;=CU$29,CK4&lt;&gt;"",CM4&gt;=CU$33,CM4&lt;&gt;"",CJ4=""),AND(CN4&gt;=CU$29,CN4&lt;&gt;"",CP4&gt;=CU$33,CP4&lt;&gt;"",CJ4=""),AND(CR4&gt;=CU$29,CR4&lt;&gt;"",CT4&gt;=CU$33,CT4&lt;&gt;"",CJ4=""),AND(DR4&gt;=EE$29,DR4&lt;&gt;"",DT4&gt;=EE$33,DT4&lt;&gt;""),AND(DU4&gt;=EE$29,DU4&lt;&gt;"",DW4&gt;=EE$33,DW4&lt;&gt;""),AND(DY4&gt;=EE$29,DY4&lt;&gt;"",EA4&gt;=EE$33,EA4&lt;&gt;""),AND(EB4&gt;=EE$29,EB4&lt;&gt;"",ED4&gt;=EE$33,ED4&lt;&gt;""),AND(EZ4&gt;=FM$29,EZ4&lt;&gt;"",FB4&gt;=FM$33,FB4&lt;&gt;""),AND(FC4&gt;=FM$29,FC4&lt;&gt;"",FE4&gt;=FM$33,FE4&lt;&gt;""),AND(FG4&gt;=FM$29,FG4&lt;&gt;"",FI4&gt;=FM$33,FI4&lt;&gt;""),AND(FJ4&gt;=FM$29,FJ4&lt;&gt;"",FL4&gt;=FM$33,FL4&lt;&gt;""),AND(GH4&gt;=GU$29,GH4&lt;&gt;"",GJ4&gt;=GU$33,GJ4&lt;&gt;""),AND(GK4&gt;=GU$29,GK4&lt;&gt;"",GM4&gt;=GU$33,GM4&lt;&gt;""),AND(GO4&gt;=GU$29,GO4&lt;&gt;"",GQ4&gt;=GU$33,GQ4&lt;&gt;""),AND(GR4&gt;=GU$29,GR4&lt;&gt;"",GT4&gt;=GU$33,GT4&lt;&gt;""),AND(HP4&gt;=IC$29,HP4&lt;&gt;"",HR4&gt;=IC$33,HR4&lt;&gt;""),AND(HS4&gt;=IC$29,HS4&lt;&gt;"",HU4&gt;=IC$33,HU4&lt;&gt;""),AND(HW4&gt;=IC$29,HW4&lt;&gt;"",HY4&gt;=IC$33,HY4&lt;&gt;""),AND(HZ4&gt;=IC$29,HZ4&lt;&gt;"",IB4&gt;=IC$33,IB4&lt;&gt;""),AND(IX4&gt;=JK$29,IX4&lt;&gt;"",IZ4&gt;=JK$33,IZ4&lt;&gt;""),AND(JA4&gt;=JK$29,JA4&lt;&gt;"",JC4&gt;=JK$33,JC4&lt;&gt;""),AND(JE4&gt;=JK$29,JE4&lt;&gt;"",JG4&gt;=JK$33,JG4&lt;&gt;""),AND(JH4&gt;=JK$29,JH4&lt;&gt;"",JJ4&gt;=JK$33,JJ4&lt;&gt;""),AND(KF4&gt;=KS$29,KF4&lt;&gt;"",KH4&gt;=KS$33,KH4&lt;&gt;""),AND(KI4&gt;=KS$29,KI4&lt;&gt;"",KK4&gt;=KS$33,KK4&lt;&gt;""),AND(KM4&gt;=KS$29,KM4&lt;&gt;"",KO4&gt;=KS$33,KO4&lt;&gt;""),AND(KP4&gt;=KS$29,KP4&lt;&gt;"",KR4&gt;=KS$33,KR4&lt;&gt;""),AND(LN4&gt;=MA$29,LN4&lt;&gt;"",LP4&gt;=MA$33,LP4&lt;&gt;""),AND(LQ4&gt;=MA$29,LQ4&lt;&gt;"",LS4&gt;=MA$33,LS4&lt;&gt;""),AND(LU4&gt;=MA$29,LU4&lt;&gt;"",LW4&gt;=MA$33,LW4&lt;&gt;""),AND(LX4&gt;=MA$29,LX4&lt;&gt;"",LZ4&gt;=MA$33,LZ4&lt;&gt;""),AND(MV4&gt;=NI$29,MV4&lt;&gt;"",MX4&gt;=NI$33,MX4&lt;&gt;""),AND(MY4&gt;=NI$29,MY4&lt;&gt;"",NA4&gt;=NI$33,NA4&lt;&gt;""),AND(NC4&gt;=NI$29,NC4&lt;&gt;"",NE4&gt;=NI$33,NE4&lt;&gt;""),AND(NF4&gt;=NI$29,NF4&lt;&gt;"",NH4&gt;=NI$33,NH4&lt;&gt;""),AND(OD4&gt;=OQ$29,OD4&lt;&gt;"",OF4&gt;=OQ$33,OF4&lt;&gt;""),AND(OG4&gt;=OQ$29,OG4&lt;&gt;"",OI4&gt;=OQ$33,OI4&lt;&gt;""),AND(OK4&gt;=OQ$29,OK4&lt;&gt;"",OM4&gt;=OQ$33,OM4&lt;&gt;""),AND(ON4&gt;=OQ$29,ON4&lt;&gt;"",OP4&gt;=OQ$33,OP4&lt;&gt;""),AND(PL4&gt;=PY$29,PL4&lt;&gt;"",PN4&gt;=PY$33,PN4&lt;&gt;""),AND(PO4&gt;=PY$29,PO4&lt;&gt;"",PQ4&gt;=PY$33,PQ4&lt;&gt;""),AND(PS4&gt;=PY$29,PS4&lt;&gt;"",PU4&gt;=PY$33,PU4&lt;&gt;""),AND(PV4&gt;=PY$29,PV4&lt;&gt;"",PX4&gt;=PY$33,PX4&lt;&gt;""),AND(QT4&gt;=RG$29,QT4&lt;&gt;"",QV4&gt;=RG$33,QV4&lt;&gt;""),AND(QW4&gt;=RG$29,QW4&lt;&gt;"",QY4&gt;=RG$33,QY4&lt;&gt;""),AND(RA4&gt;=RG$29,RA4&lt;&gt;"",RC4&gt;=RG$33,RC4&lt;&gt;""),AND(RD4&gt;=RG$29,RD4&lt;&gt;"",RF4&gt;=RG$33,RF4&lt;&gt;""),AND(SB4&gt;=SO$29,SB4&lt;&gt;"",SD4&gt;=SO$33,SD4&lt;&gt;""),AND(SE4&gt;=SO$29,SE4&lt;&gt;"",SG4&gt;=SO$33,SG4&lt;&gt;""),AND(SI4&gt;=SO$29,SI4&lt;&gt;"",SK4&gt;=SO$33,SK4&lt;&gt;""),AND(SL4&gt;=SO$29,SL4&lt;&gt;"",SN4&gt;=SO$33,SN4&lt;&gt;""),AND(TJ4&gt;=TW$29,TJ4&lt;&gt;"",TL4&gt;=TW$33,TL4&lt;&gt;""),AND(TM4&gt;=TW$29,TM4&lt;&gt;"",TO4&gt;=TW$33,TO4&lt;&gt;""),AND(TQ4&gt;=TW$29,TQ4&lt;&gt;"",TS4&gt;=TW$33,TXQ4&lt;&gt;""),AND(TT4&gt;=TW$29,TT4&lt;&gt;"",TV4&gt;=TW$33,TV4&lt;&gt;""),AND(UR4&gt;=VE$29,UR4&lt;&gt;"",UT4&gt;=VE$33,UT4&lt;&gt;""),AND(UU4&gt;=VE$29,UU4&lt;&gt;"",UW4&gt;=VE$33,UW4&lt;&gt;""),AND(UY4&gt;=VE$29,UY4&lt;&gt;"",VA4&gt;=VE$33,VA4&lt;&gt;""),AND(VB4&gt;=VE$29,VB4&lt;&gt;"",VD4&gt;=VE$33,VD4&lt;&gt;""),AND(VZ4&gt;=WM$29,VZ4&lt;&gt;"",WB4&gt;=WM$33,WB4&lt;&gt;""),AND(WC4&gt;=WM$29,WC4&lt;&gt;"",WE4&gt;=WM$33,WE4&lt;&gt;""),AND(WG4&gt;=WM$29,WG4&lt;&gt;"",WI4&gt;=WM$33,WI4&lt;&gt;""),AND(WJ4&gt;=WM$29,WJ4&lt;&gt;"",WL4&gt;=WM$33,WL4&lt;&gt;"")),"P","")</f>
        <v>P</v>
      </c>
      <c r="G4" s="3" t="str">
        <f t="shared" ref="G4:G26" si="2">IF(OR(AND(AK4&gt;=AS$33,AK4&lt;&gt;"",AH4=""),AND(AN4&gt;=AS$33,AN4&lt;&gt;"",AH4=""),AND(AR4&gt;=AS$33,AR4&lt;&gt;"",AH4=""),AND(BL4&gt;=BT$33,BL4&lt;&gt;"",BI4=""),AND(BO4&gt;=BT$33,BO4&lt;&gt;"",BI4=""),AND(BS4&gt;=BT$33,BS4&lt;&gt;"",BI4=""),AND(CM4&gt;=CU$33,CM4&lt;&gt;"",CJ4=""),AND(CP4&gt;=CU$33,CP4&lt;&gt;"",CJ4=""),AND(CT4&gt;=CU$33,CT4&lt;&gt;"",CJ4=""),AND(DT4&gt;=EE$33,DT4&lt;&gt;""),AND(DW4&gt;=EE$33,DW4&lt;&gt;""),AND(EA4&gt;=EE$33,EA4&lt;&gt;""),AND(ED4&gt;=EE$33,ED4&lt;&gt;""),AND(FB4&gt;=FM$33,FB4&lt;&gt;""),AND(FE4&gt;=FM$33,FE4&lt;&gt;""),AND(FI4&gt;=FM$33,FI4&lt;&gt;""),AND(FL4&gt;=FM$33,FL4&lt;&gt;""),AND(GJ4&gt;=GU$33,GJ4&lt;&gt;""),AND(GM4&gt;=GU$33,GM4&lt;&gt;""),AND(GQ4&gt;=GU$33,GQ4&lt;&gt;""),AND(GT4&gt;=GU$33,GT4&lt;&gt;""),AND(HR4&gt;=IC$33,HR4&lt;&gt;""),AND(HU4&gt;=IC$33,HU4&lt;&gt;""),AND(HY4&gt;=IC$33,HY4&lt;&gt;""),AND(IB4&gt;=IC$33,IB4&lt;&gt;""),AND(IZ4&gt;=JK$33,IZ4&lt;&gt;""),AND(JC4&gt;=JK$33,JC4&lt;&gt;""),AND(JG4&gt;=JK$33,JG4&lt;&gt;""),AND(JJ4&gt;=JK$33,JJ4&lt;&gt;""),AND(KH4&gt;=KS$33,KH4&lt;&gt;""),AND(KK4&gt;=KS$33,KK4&lt;&gt;""),AND(KO4&gt;=KS$33,KO4&lt;&gt;""),AND(KR4&gt;=KS$33,KR4&lt;&gt;""),AND(LP4&gt;=MA$33,LP4&lt;&gt;""),AND(LS4&gt;=MA$33,LS4&lt;&gt;""),AND(LW4&gt;=MA$33,LW4&lt;&gt;""),AND(LZ4&gt;=MA$33,LZ4&lt;&gt;""),AND(MX4&gt;=NI$33,MX4&lt;&gt;""),AND(NA4&gt;=NI$33,NA4&lt;&gt;""),AND(NE4&gt;=NI$33,NE4&lt;&gt;""),AND(NH4&gt;=NI$33,NH4&lt;&gt;""),AND(OF4&gt;=OQ$33,OF4&lt;&gt;""),AND(OI4&gt;=OQ$33,OI4&lt;&gt;""),AND(OM4&gt;=OQ$33,OM4&lt;&gt;""),AND(OP4&gt;=OQ$33,OP4&lt;&gt;""),AND(PN4&gt;=PY$33,PN4&lt;&gt;""),AND(PQ4&gt;=PY$33,PQ4&lt;&gt;""),AND(PU4&gt;=PY$33,PU4&lt;&gt;""),AND(PX4&gt;=PY$33,PX4&lt;&gt;""),AND(QV4&gt;=RG$33,QV4&lt;&gt;""),AND(QY4&gt;=RG$33,QY4&lt;&gt;""),AND(RC4&gt;=RG$33,RC4&lt;&gt;""),AND(RF4&gt;=RG$33,RF4&lt;&gt;""),AND(SD4&gt;=SO$33,SD4&lt;&gt;""),AND(SG4&gt;=SO$33,SG4&lt;&gt;""),AND(SK4&gt;=SO$33,SK4&lt;&gt;""),AND(SN4&gt;=SO$33,SN4&lt;&gt;""),AND(TL4&gt;=TW$33,TL4&lt;&gt;""),AND(TO4&gt;=TW$33,TO4&lt;&gt;""),AND(TS4&gt;=TW$33,TXQ4&lt;&gt;""),AND(TV4&gt;=TW$33,TV4&lt;&gt;""),AND(UT4&gt;=VE$33,UT4&lt;&gt;""),AND(UW4&gt;=VE$33,UW4&lt;&gt;""),AND(VA4&gt;=VE$33,VA4&lt;&gt;""),AND(VD4&gt;=VE$33,VD4&lt;&gt;""),AND(WB4&gt;=WM$33,WB4&lt;&gt;""),AND(WE4&gt;=WM$33,WE4&lt;&gt;""),AND(WI4&gt;=WM$33,WI4&lt;&gt;""),AND(WL4&gt;=WM$33,WL4&lt;&gt;"")),"P","")</f>
        <v>P</v>
      </c>
      <c r="H4" s="32" t="str">
        <f t="shared" ref="H4:H26" si="3">IF(AND(G4="P",F4=""),"No DD",IF(OR(AND(AI4&gt;=AS$32,AI4&lt;&gt;"",AK4&gt;=AS$36,AK4&lt;&gt;"",AH4=""),AND(AL4&gt;=AS$32,AL4&lt;&gt;"",AN4&gt;=AS$36,AN4&lt;&gt;"",AH4=""),AND(AP4&gt;=AS$32,AP4&lt;&gt;"",AR4&gt;=AS$36,AR4&lt;&gt;"",AH4=""),AND(BJ4&gt;=BT$32,BJ4&lt;&gt;"",BL4&gt;=BT$36,BL4&lt;&gt;"",BI4=""),AND(BM4&gt;=BT$32,BM4&lt;&gt;"",BO4&gt;=BT$36,BO4&lt;&gt;"",BI4=""),AND(BQ4&gt;=BT$32,BQ4&lt;&gt;"",BS4&gt;=BT$36,BS4&lt;&gt;"",BI4=""),AND(CK4&gt;=CU$32,CK4&lt;&gt;"",CM4&gt;=CU$36,CM4&lt;&gt;"",CJ4=""),AND(CN4&gt;=CU$32,CN4&lt;&gt;"",CP4&gt;=CU$36,CP4&lt;&gt;"",CJ4=""),AND(CR4&gt;=CU$32,CR4&lt;&gt;"",CT4&gt;=CU$36,CT4&lt;&gt;"",CJ4=""),AND(DR4&gt;=EE$32,DR4&lt;&gt;"",DT4&gt;=EE$36,DT4&lt;&gt;""),AND(DU4&gt;=EE$32,DU4&lt;&gt;"",DW4&gt;=EE$36,DW4&lt;&gt;""),AND(DY4&gt;=EE$32,DY4&lt;&gt;"",EA4&gt;=EE$36,EA4&lt;&gt;""),AND(EB4&gt;=EE$32,EB4&lt;&gt;"",ED4&gt;=EE$36,ED4&lt;&gt;""),AND(EZ4&gt;=FM$32,EZ4&lt;&gt;"",FB4&gt;=FM$36,FB4&lt;&gt;""),AND(FC4&gt;=FM$32,FC4&lt;&gt;"",FE4&gt;=FM$36,FE4&lt;&gt;""),AND(FG4&gt;=FM$32,FG4&lt;&gt;"",FI4&gt;=FM$36,FI4&lt;&gt;""),AND(FJ4&gt;=FM$32,FJ4&lt;&gt;"",FL4&gt;=FM$36,FL4&lt;&gt;""),AND(GH4&gt;=GU$32,GH4&lt;&gt;"",GJ4&gt;=GU$36,GJ4&lt;&gt;""),AND(GK4&gt;=GU$32,GK4&lt;&gt;"",GM4&gt;=GU$36,GM4&lt;&gt;""),AND(GO4&gt;=GU$32,GO4&lt;&gt;"",GQ4&gt;=GU$36,GQ4&lt;&gt;""),AND(GR4&gt;=GU$32,GR4&lt;&gt;"",GT4&gt;=GU$36,GT4&lt;&gt;""),AND(HP4&gt;=IC$32,HP4&lt;&gt;"",HR4&gt;=IC$36,HR4&lt;&gt;""),AND(HS4&gt;=IC$32,HS4&lt;&gt;"",HU4&gt;=IC$36,HU4&lt;&gt;""),AND(HW4&gt;=IC$32,HW4&lt;&gt;"",HY4&gt;=IC$36,HY4&lt;&gt;""),AND(HZ4&gt;=IC$32,HZ4&lt;&gt;"",IB4&gt;=IC$36,IB4&lt;&gt;""),AND(IX4&gt;=JK$32,IX4&lt;&gt;"",IZ4&gt;=JK$36,IZ4&lt;&gt;""),AND(JA4&gt;=JK$32,JA4&lt;&gt;"",JC4&gt;=JK$36,JC4&lt;&gt;""),AND(JE4&gt;=JK$32,JE4&lt;&gt;"",JG4&gt;=JK$36,JG4&lt;&gt;""),AND(JH4&gt;=JK$32,JH4&lt;&gt;"",JJ4&gt;=JK$36,JJ4&lt;&gt;""),AND(KF4&gt;=KS$32,KF4&lt;&gt;"",KH4&gt;=KS$36,KH4&lt;&gt;""),AND(KI4&gt;=KS$32,KI4&lt;&gt;"",KK4&gt;=KS$36,KK4&lt;&gt;""),AND(KM4&gt;=KS$32,KM4&lt;&gt;"",KO4&gt;=KS$36,KO4&lt;&gt;""),AND(KP4&gt;=KS$32,KP4&lt;&gt;"",KR4&gt;=KS$36,KR4&lt;&gt;""),AND(LN4&gt;=MA$32,LN4&lt;&gt;"",LP4&gt;=MA$36,LP4&lt;&gt;""),AND(LQ4&gt;=MA$32,LQ4&lt;&gt;"",LS4&gt;=MA$36,LS4&lt;&gt;""),AND(LU4&gt;=MA$32,LU4&lt;&gt;"",LW4&gt;=MA$36,LW4&lt;&gt;""),AND(LX4&gt;=MA$32,LX4&lt;&gt;"",LZ4&gt;=MA$36,LZ4&lt;&gt;""),AND(MV4&gt;=NI$32,MV4&lt;&gt;"",MX4&gt;=NI$36,MX4&lt;&gt;""),AND(MY4&gt;=NI$32,MY4&lt;&gt;"",NA4&gt;=NI$36,NA4&lt;&gt;""),AND(NC4&gt;=NI$32,NC4&lt;&gt;"",NE4&gt;=NI$36,NE4&lt;&gt;""),AND(NF4&gt;=NI$32,NF4&lt;&gt;"",NH4&gt;=NI$36,NH4&lt;&gt;""),AND(OD4&gt;=OQ$32,OD4&lt;&gt;"",OF4&gt;=OQ$36,OF4&lt;&gt;""),AND(OG4&gt;=OQ$32,OG4&lt;&gt;"",OI4&gt;=OQ$36,OI4&lt;&gt;""),AND(OK4&gt;=OQ$32,OK4&lt;&gt;"",OM4&gt;=OQ$36,OM4&lt;&gt;""),AND(ON4&gt;=OQ$32,ON4&lt;&gt;"",OP4&gt;=OQ$36,OP4&lt;&gt;""),AND(PL4&gt;=PY$32,PL4&lt;&gt;"",PN4&gt;=PY$36,PN4&lt;&gt;""),AND(PO4&gt;=PY$32,PO4&lt;&gt;"",PQ4&gt;=PY$36,PQ4&lt;&gt;""),AND(PS4&gt;=PY$32,PS4&lt;&gt;"",PU4&gt;=PY$36,PU4&lt;&gt;""),AND(PV4&gt;=PY$32,PV4&lt;&gt;"",PX4&gt;=PY$36,PX4&lt;&gt;""),AND(QT4&gt;=RG$32,QT4&lt;&gt;"",QV4&gt;=RG$36,QV4&lt;&gt;""),AND(QW4&gt;=RG$32,QW4&lt;&gt;"",QY4&gt;=RG$36,QY4&lt;&gt;""),AND(RA4&gt;=RG$32,RA4&lt;&gt;"",RC4&gt;=RG$36,RC4&lt;&gt;""),AND(RD4&gt;=RG$32,RD4&lt;&gt;"",RF4&gt;=RG$36,RF4&lt;&gt;""),AND(SB4&gt;=SO$32,SB4&lt;&gt;"",SD4&gt;=SO$36,SD4&lt;&gt;""),AND(SE4&gt;=SO$32,SE4&lt;&gt;"",SG4&gt;=SO$36,SG4&lt;&gt;""),AND(SI4&gt;=SO$32,SI4&lt;&gt;"",SK4&gt;=SO$36,SK4&lt;&gt;""),AND(SL4&gt;=SO$32,SL4&lt;&gt;"",SN4&gt;=SO$36,SN4&lt;&gt;""),AND(TJ4&gt;=TW$32,TJ4&lt;&gt;"",TL4&gt;=TW$36,TL4&lt;&gt;""),AND(TM4&gt;=TW$32,TM4&lt;&gt;"",TO4&gt;=TW$36,TO4&lt;&gt;""),AND(TQ4&gt;=TW$32,TQ4&lt;&gt;"",TS4&gt;=TW$356,TXQ4&lt;&gt;""),AND(TT4&gt;=TW$32,TT4&lt;&gt;"",TV4&gt;=TW$36,TV4&lt;&gt;""),AND(UR4&gt;=VE$32,UR4&lt;&gt;"",UT4&gt;=VE$36,UT4&lt;&gt;""),AND(UU4&gt;=VE$32,UU4&lt;&gt;"",UW4&gt;=VE$36,UW4&lt;&gt;""),AND(UY4&gt;=VE$32,UY4&lt;&gt;"",VA4&gt;=VE$36,VA4&lt;&gt;""),AND(VB4&gt;=VE$32,VB4&lt;&gt;"",VD4&gt;=VE$36,VD4&lt;&gt;""),AND(VZ4&gt;=WM$32,VZ4&lt;&gt;"",WB4&gt;=WM$36,WB4&lt;&gt;""),AND(WC4&gt;=WM$32,WC4&lt;&gt;"",WE4&gt;=WM$36,WE4&lt;&gt;""),AND(WG4&gt;=WM$32,WG4&lt;&gt;"",WI4&gt;=WM$36,WI4&lt;&gt;""),AND(WJ4&gt;=WM$32,WJ4&lt;&gt;"",WL4&gt;=WM$36,WL4&lt;&gt;"")),"Merit",IF(OR(AND(AI4&gt;=AS$31,AI4&lt;&gt;"",AK4&gt;=AS$35,AK4&lt;&gt;"",AH4=""),AND(AL4&gt;=AS$31,AL4&lt;&gt;"",AN4&gt;=AS$35,AN4&lt;&gt;"",AH4=""),AND(AP4&gt;=AS$31,AP4&lt;&gt;"",AR4&gt;=AS$35,AR4&lt;&gt;"",AH4=""),AND(BJ4&gt;=BT$31,BJ4&lt;&gt;"",BL4&gt;=BT$35,BL4&lt;&gt;"",BI4=""),AND(BM4&gt;=BT$31,BM4&lt;&gt;"",BO4&gt;=BT$35,BO4&lt;&gt;"",BI4=""),AND(BQ4&gt;=BT$31,BQ4&lt;&gt;"",BS4&gt;=BT$35,BS4&lt;&gt;"",BI4=""),AND(CK4&gt;=CU$31,CK4&lt;&gt;"",CM4&gt;=CU$35,CM4&lt;&gt;"",CJ4=""),AND(CN4&gt;=CU$31,CN4&lt;&gt;"",CP4&gt;=CU$35,CP4&lt;&gt;"",CJ4=""),AND(CR4&gt;=CU$31,CR4&lt;&gt;"",CT4&gt;=CU$35,CT4&lt;&gt;"",CJ4=""),AND(DR4&gt;=EE$31,DR4&lt;&gt;"",DT4&gt;=EE$35,DT4&lt;&gt;""),AND(DU4&gt;=EE$31,DU4&lt;&gt;"",DW4&gt;=EE$35,DW4&lt;&gt;""),AND(DY4&gt;=EE$31,DY4&lt;&gt;"",EA4&gt;=EE$35,EA4&lt;&gt;""),AND(EB4&gt;=EE$31,EB4&lt;&gt;"",ED4&gt;=EE$35,ED4&lt;&gt;""),AND(EZ4&gt;=FM$31,EZ4&lt;&gt;"",FB4&gt;=FM$35,FB4&lt;&gt;""),AND(FC4&gt;=FM$31,FC4&lt;&gt;"",FE4&gt;=FM$35,FE4&lt;&gt;""),AND(FG4&gt;=FM$31,FG4&lt;&gt;"",FI4&gt;=FM$35,FI4&lt;&gt;""),AND(FJ4&gt;=FM$31,FJ4&lt;&gt;"",FL4&gt;=FM$35,FL4&lt;&gt;""),AND(GH4&gt;=GU$31,GH4&lt;&gt;"",GJ4&gt;=GU$35,GJ4&lt;&gt;""),AND(GK4&gt;=GU$31,GK4&lt;&gt;"",GM4&gt;=GU$35,GM4&lt;&gt;""),AND(GO4&gt;=GU$31,GO4&lt;&gt;"",GQ4&gt;=GU$35,GQ4&lt;&gt;""),AND(GR4&gt;=GU$31,GR4&lt;&gt;"",GT4&gt;=GU$35,GT4&lt;&gt;""),AND(HP4&gt;=IC$31,HP4&lt;&gt;"",HR4&gt;=IC$35,HR4&lt;&gt;""),AND(HS4&gt;=IC$31,HS4&lt;&gt;"",HU4&gt;=IC$35,HU4&lt;&gt;""),AND(HW4&gt;=IC$31,HW4&lt;&gt;"",HY4&gt;=IC$35,HY4&lt;&gt;""),AND(HZ4&gt;=IC$31,HZ4&lt;&gt;"",IB4&gt;=IC$35,IB4&lt;&gt;""),AND(IX4&gt;=JK$31,IX4&lt;&gt;"",IZ4&gt;=JK$35,IZ4&lt;&gt;""),AND(JA4&gt;=JK$31,JA4&lt;&gt;"",JC4&gt;=JK$35,JC4&lt;&gt;""),AND(JE4&gt;=JK$31,JE4&lt;&gt;"",JG4&gt;=JK$35,JG4&lt;&gt;""),AND(JH4&gt;=JK$31,JH4&lt;&gt;"",JJ4&gt;=JK$35,JJ4&lt;&gt;""),AND(KF4&gt;=KS$31,KF4&lt;&gt;"",KH4&gt;=KS$35,KH4&lt;&gt;""),AND(KI4&gt;=KS$31,KI4&lt;&gt;"",KK4&gt;=KS$35,KK4&lt;&gt;""),AND(KM4&gt;=KS$31,KM4&lt;&gt;"",KO4&gt;=KS$35,KO4&lt;&gt;""),AND(KP4&gt;=KS$31,KP4&lt;&gt;"",KR4&gt;=KS$35,KR4&lt;&gt;""),AND(LN4&gt;=MA$31,LN4&lt;&gt;"",LP4&gt;=MA$35,LP4&lt;&gt;""),AND(LQ4&gt;=MA$31,LQ4&lt;&gt;"",LS4&gt;=MA$35,LS4&lt;&gt;""),AND(LU4&gt;=MA$31,LU4&lt;&gt;"",LW4&gt;=MA$35,LW4&lt;&gt;""),AND(LX4&gt;=MA$31,LX4&lt;&gt;"",LZ4&gt;=MA$35,LZ4&lt;&gt;""),AND(MV4&gt;=NI$31,MV4&lt;&gt;"",MX4&gt;=NI$35,MX4&lt;&gt;""),AND(MY4&gt;=NI$31,MY4&lt;&gt;"",NA4&gt;=NI$35,NA4&lt;&gt;""),AND(NC4&gt;=NI$31,NC4&lt;&gt;"",NE4&gt;=NI$35,NE4&lt;&gt;""),AND(NF4&gt;=NI$31,NF4&lt;&gt;"",NH4&gt;=NI$35,NH4&lt;&gt;""),AND(OD4&gt;=OQ$31,OD4&lt;&gt;"",OF4&gt;=OQ$35,OF4&lt;&gt;""),AND(OG4&gt;=OQ$31,OG4&lt;&gt;"",OI4&gt;=OQ$35,OI4&lt;&gt;""),AND(OK4&gt;=OQ$31,OK4&lt;&gt;"",OM4&gt;=OQ$35,OM4&lt;&gt;""),AND(ON4&gt;=OQ$31,ON4&lt;&gt;"",OP4&gt;=OQ$35,OP4&lt;&gt;""),AND(PL4&gt;=PY$31,PL4&lt;&gt;"",PN4&gt;=PY$35,PN4&lt;&gt;""),AND(PO4&gt;=PY$31,PO4&lt;&gt;"",PQ4&gt;=PY$35,PQ4&lt;&gt;""),AND(PS4&gt;=PY$31,PS4&lt;&gt;"",PU4&gt;=PY$35,PU4&lt;&gt;""),AND(PV4&gt;=PY$31,PV4&lt;&gt;"",PX4&gt;=PY$35,PX4&lt;&gt;""),AND(QT4&gt;=RG$31,QT4&lt;&gt;"",QV4&gt;=RG$35,QV4&lt;&gt;""),AND(QW4&gt;=RG$31,QW4&lt;&gt;"",QY4&gt;=RG$35,QY4&lt;&gt;""),AND(RA4&gt;=RG$31,RA4&lt;&gt;"",RC4&gt;=RG$35,RC4&lt;&gt;""),AND(RD4&gt;=RG$31,RD4&lt;&gt;"",RF4&gt;=RG$35,RF4&lt;&gt;""),AND(SB4&gt;=SO$31,SB4&lt;&gt;"",SD4&gt;=SO$35,SD4&lt;&gt;""),AND(SE4&gt;=SO$31,SE4&lt;&gt;"",SG4&gt;=SO$35,SG4&lt;&gt;""),AND(SI4&gt;=SO$31,SI4&lt;&gt;"",SK4&gt;=SO$35,SK4&lt;&gt;""),AND(SL4&gt;=SO$31,SL4&lt;&gt;"",SN4&gt;=SO$35,SN4&lt;&gt;""),AND(TJ4&gt;=TW$31,TJ4&lt;&gt;"",TL4&gt;=TW$35,TL4&lt;&gt;""),AND(TM4&gt;=TW$31,TM4&lt;&gt;"",TO4&gt;=TW$35,TO4&lt;&gt;""),AND(TQ4&gt;=TW$31,TQ4&lt;&gt;"",TS4&gt;=TW$35,TXQ4&lt;&gt;""),AND(TT4&gt;=TW$31,TT4&lt;&gt;"",TV4&gt;=TW$35,TV4&lt;&gt;""),AND(UR4&gt;=VE$31,UR4&lt;&gt;"",UT4&gt;=VE$35,UT4&lt;&gt;""),AND(UU4&gt;=VE$31,UU4&lt;&gt;"",UW4&gt;=VE$35,UW4&lt;&gt;""),AND(UY4&gt;=VE$31,UY4&lt;&gt;"",VA4&gt;=VE$35,VA4&lt;&gt;""),AND(VB4&gt;=VE$31,VB4&lt;&gt;"",VD4&gt;=VE$35,VD4&lt;&gt;""),AND(VZ4&gt;=WM$31,VZ4&lt;&gt;"",WB4&gt;=WM$35,WB4&lt;&gt;""),AND(WC4&gt;=WM$31,WC4&lt;&gt;"",WE4&gt;=WM$35,WE4&lt;&gt;""),AND(WG4&gt;=WM$31,WG4&lt;&gt;"",WI4&gt;=WM$35,WI4&lt;&gt;""),AND(WJ4&gt;=WM$31,WJ4&lt;&gt;"",WL4&gt;=WM$35,WL4&lt;&gt;"")),"Excellence",IF(I4="P","Worlds Team",IF(F4="P","National Team","")))))</f>
        <v>National Team</v>
      </c>
      <c r="I4" s="3" t="str">
        <f t="shared" ref="I4:I26" si="4">IF(OR(AND(AI4&gt;=AS$30,AI4&lt;&gt;"",AK4&gt;=AS$34,AK4&lt;&gt;"",AH4=""),AND(AL4&gt;=AS$30,AL4&lt;&gt;"",AN4&gt;=AS$34,AN4&lt;&gt;"",AH4=""),AND(AP4&gt;=AS$30,AP4&lt;&gt;"",AR4&gt;=AS$34,AR4&lt;&gt;"",AH4=""),AND(BJ4&gt;=BT$30,BJ4&lt;&gt;"",BL4&gt;=BT$34,BL4&lt;&gt;"",BI4=""),AND(BM4&gt;=BT$30,BM4&lt;&gt;"",BO4&gt;=BT$34,BO4&lt;&gt;"",BI4=""),AND(BQ4&gt;=BT$30,BQ4&lt;&gt;"",BS4&gt;=BT$34,BS4&lt;&gt;"",BI4=""),AND(CK4&gt;=CU$30,CK4&lt;&gt;"",CM4&gt;=CU$34,CM4&lt;&gt;"",CJ4=""),AND(CN4&gt;=CU$30,CN4&lt;&gt;"",CP4&gt;=CU$34,CP4&lt;&gt;"",CJ4=""),AND(CR4&gt;=CU$30,CR4&lt;&gt;"",CT4&gt;=CU$34,CT4&lt;&gt;"",CJ4=""),AND(DR4&gt;=EE$30,DR4&lt;&gt;"",DT4&gt;=EE$34,DT4&lt;&gt;""),AND(DU4&gt;=EE$30,DU4&lt;&gt;"",DW4&gt;=EE$34,DW4&lt;&gt;""),AND(DY4&gt;=EE$30,DY4&lt;&gt;"",EA4&gt;=EE$34,EA4&lt;&gt;""),AND(EB4&gt;=EE$30,EB4&lt;&gt;"",ED4&gt;=EE$34,ED4&lt;&gt;""),AND(EZ4&gt;=FM$30,EZ4&lt;&gt;"",FB4&gt;=FM$34,FB4&lt;&gt;""),AND(FC4&gt;=FM$30,FC4&lt;&gt;"",FE4&gt;=FM$34,FE4&lt;&gt;""),AND(FG4&gt;=FM$30,FG4&lt;&gt;"",FI4&gt;=FM$34,FI4&lt;&gt;""),AND(FJ4&gt;=FM$30,FJ4&lt;&gt;"",FL4&gt;=FM$34,FL4&lt;&gt;""),AND(GH4&gt;=GU$30,GH4&lt;&gt;"",GJ4&gt;=GU$34,GJ4&lt;&gt;""),AND(GK4&gt;=GU$30,GK4&lt;&gt;"",GM4&gt;=GU$34,GM4&lt;&gt;""),AND(GO4&gt;=GU$30,GO4&lt;&gt;"",GQ4&gt;=GU$34,GQ4&lt;&gt;""),AND(GR4&gt;=GU$30,GR4&lt;&gt;"",GT4&gt;=GU$34,GT4&lt;&gt;""),AND(HP4&gt;=IC$30,HP4&lt;&gt;"",HR4&gt;=IC$34,HR4&lt;&gt;""),AND(HS4&gt;=IC$30,HS4&lt;&gt;"",HU4&gt;=IC$34,HU4&lt;&gt;""),AND(HW4&gt;=IC$30,HW4&lt;&gt;"",HY4&gt;=IC$34,HY4&lt;&gt;""),AND(HZ4&gt;=IC$30,HZ4&lt;&gt;"",IB4&gt;=IC$34,IB4&lt;&gt;""),AND(IX4&gt;=JK$30,IX4&lt;&gt;"",IZ4&gt;=JK$34,IZ4&lt;&gt;""),AND(JA4&gt;=JK$30,JA4&lt;&gt;"",JC4&gt;=JK$34,JC4&lt;&gt;""),AND(JE4&gt;=JK$30,JE4&lt;&gt;"",JG4&gt;=JK$34,JG4&lt;&gt;""),AND(JH4&gt;=JK$30,JH4&lt;&gt;"",JJ4&gt;=JK$34,JJ4&lt;&gt;""),AND(KF4&gt;=KS$30,KF4&lt;&gt;"",KH4&gt;=KS$34,KH4&lt;&gt;""),AND(KI4&gt;=KS$30,KI4&lt;&gt;"",KK4&gt;=KS$34,KK4&lt;&gt;""),AND(KM4&gt;=KS$30,KM4&lt;&gt;"",KO4&gt;=KS$34,KO4&lt;&gt;""),AND(KP4&gt;=KS$30,KP4&lt;&gt;"",KR4&gt;=KS$34,KR4&lt;&gt;""),AND(LN4&gt;=MA$30,LN4&lt;&gt;"",LP4&gt;=MA$34,LP4&lt;&gt;""),AND(LQ4&gt;=MA$30,LQ4&lt;&gt;"",LS4&gt;=MA$34,LS4&lt;&gt;""),AND(LU4&gt;=MA$30,LU4&lt;&gt;"",LW4&gt;=MA$34,LW4&lt;&gt;""),AND(LX4&gt;=MA$30,LX4&lt;&gt;"",LZ4&gt;=MA$34,LZ4&lt;&gt;""),AND(MV4&gt;=NI$30,MV4&lt;&gt;"",MX4&gt;=NI$34,MX4&lt;&gt;""),AND(MY4&gt;=NI$30,MY4&lt;&gt;"",NA4&gt;=NI$34,NA4&lt;&gt;""),AND(NC4&gt;=NI$30,NC4&lt;&gt;"",NE4&gt;=NI$34,NE4&lt;&gt;""),AND(NF4&gt;=NI$30,NF4&lt;&gt;"",NH4&gt;=NI$34,NH4&lt;&gt;""),AND(OD4&gt;=OQ$30,OD4&lt;&gt;"",OF4&gt;=OQ$34,OF4&lt;&gt;""),AND(OG4&gt;=OQ$30,OG4&lt;&gt;"",OI4&gt;=OQ$34,OI4&lt;&gt;""),AND(OK4&gt;=OQ$30,OK4&lt;&gt;"",OM4&gt;=OQ$34,OM4&lt;&gt;""),AND(ON4&gt;=OQ$30,ON4&lt;&gt;"",OP4&gt;=OQ$34,OP4&lt;&gt;""),AND(PL4&gt;=PY$30,PL4&lt;&gt;"",PN4&gt;=PY$34,PN4&lt;&gt;""),AND(PO4&gt;=PY$30,PO4&lt;&gt;"",PQ4&gt;=PY$34,PQ4&lt;&gt;""),AND(PS4&gt;=PY$30,PS4&lt;&gt;"",PU4&gt;=PY$34,PU4&lt;&gt;""),AND(PV4&gt;=PY$30,PV4&lt;&gt;"",PX4&gt;=PY$34,PX4&lt;&gt;""),AND(QT4&gt;=RG$30,QT4&lt;&gt;"",QV4&gt;=RG$34,QV4&lt;&gt;""),AND(QW4&gt;=RG$30,QW4&lt;&gt;"",QY4&gt;=RG$34,QY4&lt;&gt;""),AND(RA4&gt;=RG$30,RA4&lt;&gt;"",RC4&gt;=RG$34,RC4&lt;&gt;""),AND(RD4&gt;=RG$30,RD4&lt;&gt;"",RF4&gt;=RG$34,RF4&lt;&gt;""),AND(SB4&gt;=SO$30,SB4&lt;&gt;"",SD4&gt;=SO$34,SD4&lt;&gt;""),AND(SE4&gt;=SO$30,SE4&lt;&gt;"",SG4&gt;=SO$34,SG4&lt;&gt;""),AND(SI4&gt;=SO$30,SI4&lt;&gt;"",SK4&gt;=SO$34,SK4&lt;&gt;""),AND(SL4&gt;=SO$30,SL4&lt;&gt;"",SN4&gt;=SO$34,SN4&lt;&gt;""),AND(TJ4&gt;=TW$30,TJ4&lt;&gt;"",TL4&gt;=TW$34,TL4&lt;&gt;""),AND(TM4&gt;=TW$30,TM4&lt;&gt;"",TO4&gt;=TW$34,TO4&lt;&gt;""),AND(TQ4&gt;=TW$30,TQ4&lt;&gt;"",TS4&gt;=TW$34,TXQ4&lt;&gt;""),AND(TT4&gt;=TW$30,TT4&lt;&gt;"",TV4&gt;=TW$34,TV4&lt;&gt;""),AND(UR4&gt;=VE$30,UR4&lt;&gt;"",UT4&gt;=VE$34,UT4&lt;&gt;""),AND(UU4&gt;=VE$30,UU4&lt;&gt;"",UW4&gt;=VE$34,UW4&lt;&gt;""),AND(UY4&gt;=VE$30,UY4&lt;&gt;"",VA4&gt;=VE$34,VA4&lt;&gt;""),AND(VB4&gt;=VE$30,VB4&lt;&gt;"",VD4&gt;=VE$34,VD4&lt;&gt;""),AND(VZ4&gt;=WM$30,VZ4&lt;&gt;"",WB4&gt;=WM$34,WB4&lt;&gt;""),AND(WC4&gt;=WM$30,WC4&lt;&gt;"",WE4&gt;=WM$34,WE4&lt;&gt;""),AND(WG4&gt;=WM$30,WG4&lt;&gt;"",WI4&gt;=WM$34,WI4&lt;&gt;""),AND(WJ4&gt;=WM$30,WJ4&lt;&gt;"",WL4&gt;=WM$34,WL4&lt;&gt;"")),"P","")</f>
        <v/>
      </c>
      <c r="J4" s="8">
        <f t="shared" ref="J4:J26" si="5">IF(MAX(AR4,BS4,CT4)&gt;0,MAX(AR4,BS4,CT4),0)</f>
        <v>57.64</v>
      </c>
      <c r="K4" s="8" t="str">
        <f t="shared" ref="K4:K26" si="6">IF(J4="","",IF(J4=CT4,$BU$1,IF(J4=BS4,$AT$1,IF(J4=AR4,$S$1,""))))</f>
        <v>2025 Elite Canada</v>
      </c>
      <c r="L4" s="8">
        <f>IFERROR(IF(J4=AR4,LARGE((AK4,AN4,BL4,BO4,BS4,CM4,CP4,CT4),1),IF(J4=BS4,LARGE((AK4,AN4,AR4,BL4,BO4,CM4,CP4,CT4),1),LARGE((AK4,AN4,AR4,BL4,BO4,BS4,CM4,CP4),1))),0)</f>
        <v>58.01</v>
      </c>
      <c r="M4" s="8" t="str">
        <f t="shared" ref="M4:M26" si="7">IF(L4="","",IF(OR(L4=CM4,L4=CP4,L4=CT4),$BU$1,IF(OR(L4=BL4,L4=BO4,L4=BS4),$AT$1,IF(OR(L4=AK4,L4=AN4,L4=AR4),$S$1,""))))</f>
        <v>2025 Nationals</v>
      </c>
      <c r="N4" s="8">
        <f>IFERROR(IF(J4=AR4,LARGE((AK4,AN4,BL4,BO4,BS4,CM4,CP4,CT4),2),IF(J4=BS4,LARGE((AK4,AN4,AR4,BL4,BO4,CM4,CP4,CT4),2),LARGE((AK4,AN4,AR4,BL4,BO4,BS4,CM4,CP4),2))),0)</f>
        <v>57.79</v>
      </c>
      <c r="O4" s="8" t="str">
        <f t="shared" ref="O4:O26" si="8">IF(L4="","",IF(OR(N4=CM4,N4=CP4,N4=CT4),$BU$1,IF(OR(N4=BL4,N4=BO4,N4=BS4),$AT$1,IF(OR(N4=AK4,N4=AN4,N4=AR4),$S$1,""))))</f>
        <v>2025 3rd Domestic Trial</v>
      </c>
      <c r="P4" s="8">
        <f t="shared" ref="P4:P26" si="9">IF(MAX(CV4,CW4)&gt;0,MAX(CV4,CW4),0)</f>
        <v>1.4799999999999969</v>
      </c>
      <c r="Q4" s="11" t="str">
        <f t="shared" ref="Q4:Q26" si="10">IF(P4=0,"",IF(P4=CV4,"("&amp;CV$2&amp;")",IF(P4=CW4,"("&amp;CW$2&amp;")")))</f>
        <v>(Final)</v>
      </c>
      <c r="R4" s="8" t="str">
        <f t="shared" ref="R4:R26" si="11">IF(P4=0,"",IF(P4=CV4,IF(P4+IF(J4="",0,J4)=MAX(WI4,WL4),$VF$1,IF(P4+IF(J4="",0,J4)=MAX(VA4,VD4),$TX$1,IF(P4+IF(J4="",0,J4)=MAX(TS4,TV4),$SP$1,IF(P4+IF(J4="",0,J4)=MAX(SK4,SN4),$RH$1,IF(P4+IF(J4="",0,J4)=MAX(RC4,RF4),$PZ$1,IF(P4+IF(J4="",0,J4)=MAX(PU4,PX4),$OR$1,IF(P4+IF(J4="",0,J4)=MAX(OM4,OP4),$NJ$1,IF(P4+IF(J4="",0,J4)=MAX(NE4,NH4),$MB$1,IF(P4+IF(J4="",0,J4)=MAX(LW4,LZ4),$KT$1,IF(P4+IF(J4="",0,J4)=MAX(KO4,KR4),$JL$1,IF(P4+IF(J4="",0,J4)=MAX(JG4,JJ4),$ID$1,IF(P4+IF(J4="",0,J4)=MAX(HY4,IB4),$GV$1,IF(P4+IF(J4="",0,J4)=MAX(GQ4,GT4),$FN$1,IF(P4+IF(J4="",0,J4)=MAX(FI4,FL4),$EF$1,IF(P4+IF(J4="",0,J4)=MAX(EA4,ED4),$CX$1))))))))))))))),IF(P4+MAX(N4,0)=MAX(WF4,WI4,WL4),$VF$1,IF(P4+MAX(N4,0)=MAX(UX4,VA4,VD4),$TX$1,IF(P4+MAX(N4,0)=MAX(TP4,TS4,TV4),$SP$1,IF(P4+MAX(N4,0)=MAX(SH4,SK4,SN4),$RH$1,IF(P4+MAX(N4,0)=MAX(QZ4,RC4,RF4),$PZ$1,IF(P4+MAX(N4,0)=MAX(PR4,PU4,PX4),$OR$1,IF(P4+MAX(N4,0)=MAX(OJ4,OM4,OP4),$NJ$1,IF(P4+MAX(N4,0)=MAX(NB4,NE4,NH4),$MB$1,IF(P4+MAX(N4,0)=MAX(LT4,LW4,LZ4),$KT$1,IF(P4+MAX(N4,0)=MAX(KL4,KO4,KR4),$JL$1,IF(P4+MAX(N4,0)=MAX(JD4,JG4,JJ4),$ID$1,IF(P4+MAX(N4,0)=MAX(HV4,HY4,IB4),$GV$1,IF(P4+MAX(N4,0)=MAX(GN4,GQ4,GT4),$FN$1,IF(P4+MAX(N4,0)=MAX(FF4,FI4,FL4),$EF$1,IF(P4+MAX(N4,0)=MAX(DX4,EA4,ED4),$CX$1)))))))))))))))))</f>
        <v>2025 World Cup GER (Sept 21)</v>
      </c>
      <c r="S4" s="18">
        <v>14.3</v>
      </c>
      <c r="T4" s="18">
        <v>9.1</v>
      </c>
      <c r="U4" s="18">
        <v>16.399999999999999</v>
      </c>
      <c r="V4" s="18">
        <v>16.37</v>
      </c>
      <c r="W4" s="18">
        <v>0</v>
      </c>
      <c r="X4" s="18">
        <v>3.2</v>
      </c>
      <c r="Y4" s="18">
        <v>1.9</v>
      </c>
      <c r="Z4" s="18">
        <v>4</v>
      </c>
      <c r="AA4" s="18">
        <v>3.52</v>
      </c>
      <c r="AB4" s="18">
        <v>0</v>
      </c>
      <c r="AC4" s="18">
        <v>15.1</v>
      </c>
      <c r="AD4" s="18">
        <v>8.9</v>
      </c>
      <c r="AE4" s="18">
        <v>16.600000000000001</v>
      </c>
      <c r="AF4" s="18">
        <v>17.04</v>
      </c>
      <c r="AG4" s="18">
        <v>0</v>
      </c>
      <c r="AH4" s="23"/>
      <c r="AI4" s="34">
        <f t="shared" ref="AI4:AI26" si="12">IF(U4&gt;0,U4,"")</f>
        <v>16.399999999999999</v>
      </c>
      <c r="AJ4" s="34">
        <f t="shared" ref="AJ4:AJ26" si="13">IF(V4&gt;0,V4,"")</f>
        <v>16.37</v>
      </c>
      <c r="AK4" s="36">
        <f t="shared" ref="AK4:AK26" si="14">IF(SUM(S4:V4)-W4&gt;0,SUM(S4:V4)-W4,"")</f>
        <v>56.17</v>
      </c>
      <c r="AL4" s="36">
        <f t="shared" ref="AL4:AL26" si="15">IF(Z4&gt;0,Z4,"")</f>
        <v>4</v>
      </c>
      <c r="AM4" s="36">
        <f t="shared" ref="AM4:AM26" si="16">IF(AA4&gt;0,AA4,"")</f>
        <v>3.52</v>
      </c>
      <c r="AN4" s="36">
        <f t="shared" ref="AN4:AN26" si="17">IF(SUM(X4:AA4)-AB4&gt;0,SUM(X4:AA4)-AB4,"")</f>
        <v>12.62</v>
      </c>
      <c r="AO4" s="36">
        <f t="shared" ref="AO4:AO26" si="18">IF(AK4="","",MAX(AK4,AN4))</f>
        <v>56.17</v>
      </c>
      <c r="AP4" s="36">
        <f t="shared" ref="AP4:AP26" si="19">IF(AE4&gt;0,AE4,"")</f>
        <v>16.600000000000001</v>
      </c>
      <c r="AQ4" s="36">
        <f t="shared" ref="AQ4:AQ26" si="20">IF(AF4&gt;0,AF4,"")</f>
        <v>17.04</v>
      </c>
      <c r="AR4" s="36">
        <f t="shared" ref="AR4:AR26" si="21">IF(SUM(AC4:AF4)-AG4&gt;0,SUM(AC4:AF4)-AG4,"")</f>
        <v>57.64</v>
      </c>
      <c r="AS4" s="36">
        <f t="shared" ref="AS4:AS26" si="22">IF(SUM(AO4,AR4)&gt;0,SUM(AO4,AR4),"")</f>
        <v>113.81</v>
      </c>
      <c r="AT4" s="22">
        <v>15.2</v>
      </c>
      <c r="AU4" s="22">
        <v>9.1</v>
      </c>
      <c r="AV4" s="22">
        <v>17</v>
      </c>
      <c r="AW4" s="22">
        <v>16.71</v>
      </c>
      <c r="AX4" s="22">
        <v>0</v>
      </c>
      <c r="AY4" s="22">
        <v>7.2</v>
      </c>
      <c r="AZ4" s="22">
        <v>4.4000000000000004</v>
      </c>
      <c r="BA4" s="22">
        <v>9.4</v>
      </c>
      <c r="BB4" s="22">
        <v>8.41</v>
      </c>
      <c r="BC4" s="22">
        <v>0</v>
      </c>
      <c r="BD4" s="22">
        <v>0</v>
      </c>
      <c r="BE4" s="22">
        <v>0</v>
      </c>
      <c r="BF4" s="22">
        <v>0</v>
      </c>
      <c r="BG4" s="22">
        <v>0</v>
      </c>
      <c r="BH4" s="22">
        <v>0</v>
      </c>
      <c r="BI4" s="24"/>
      <c r="BJ4" s="35">
        <f t="shared" ref="BJ4:BJ26" si="23">IF(AV4&gt;0,AV4,"")</f>
        <v>17</v>
      </c>
      <c r="BK4" s="35">
        <f t="shared" ref="BK4:BK26" si="24">IF(AW4&gt;0,AW4,"")</f>
        <v>16.71</v>
      </c>
      <c r="BL4" s="11">
        <f t="shared" ref="BL4:BL26" si="25">IF(SUM(AT4:AW4)-AX4&gt;0,SUM(AT4:AW4)-AX4,"")</f>
        <v>58.01</v>
      </c>
      <c r="BM4" s="11">
        <f t="shared" ref="BM4:BM26" si="26">IF(BA4&gt;0,BA4,"")</f>
        <v>9.4</v>
      </c>
      <c r="BN4" s="11">
        <f t="shared" ref="BN4:BN26" si="27">IF(BB4&gt;0,BB4,"")</f>
        <v>8.41</v>
      </c>
      <c r="BO4" s="11">
        <f t="shared" ref="BO4:BO26" si="28">IF(SUM(AY4:BB4)-BC4&gt;0,SUM(AY4:BB4)-BC4,"")</f>
        <v>29.41</v>
      </c>
      <c r="BP4" s="11">
        <f t="shared" ref="BP4:BP26" si="29">IF(BL4="","",MAX(BL4,BO4))</f>
        <v>58.01</v>
      </c>
      <c r="BQ4" s="11" t="str">
        <f t="shared" ref="BQ4:BQ26" si="30">IF(BF4&gt;0,BF4,"")</f>
        <v/>
      </c>
      <c r="BR4" s="11" t="str">
        <f t="shared" ref="BR4:BR26" si="31">IF(BG4&gt;0,BG4,"")</f>
        <v/>
      </c>
      <c r="BS4" s="11" t="str">
        <f t="shared" ref="BS4:BS26" si="32">IF(SUM(BD4:BG4)-BH4&gt;0,SUM(BD4:BG4)-BH4,"")</f>
        <v/>
      </c>
      <c r="BT4" s="11">
        <f t="shared" ref="BT4:BT26" si="33">IF(SUM(BP4,BS4)&gt;0,SUM(BP4,BS4),"")</f>
        <v>58.01</v>
      </c>
      <c r="BU4" s="18">
        <v>15.3</v>
      </c>
      <c r="BV4" s="18">
        <v>9.1</v>
      </c>
      <c r="BW4" s="18">
        <v>17</v>
      </c>
      <c r="BX4" s="18">
        <v>16.39</v>
      </c>
      <c r="BY4" s="18">
        <v>0</v>
      </c>
      <c r="BZ4" s="18">
        <v>1.7</v>
      </c>
      <c r="CA4" s="18">
        <v>0.9</v>
      </c>
      <c r="CB4" s="18">
        <v>2</v>
      </c>
      <c r="CC4" s="18">
        <v>1.8</v>
      </c>
      <c r="CD4" s="18">
        <v>0</v>
      </c>
      <c r="CE4" s="18">
        <v>6.1</v>
      </c>
      <c r="CF4" s="18">
        <v>3.8</v>
      </c>
      <c r="CG4" s="18">
        <v>7.4</v>
      </c>
      <c r="CH4" s="18">
        <v>6.77</v>
      </c>
      <c r="CI4" s="18">
        <v>0</v>
      </c>
      <c r="CJ4" s="23"/>
      <c r="CK4" s="34">
        <f t="shared" ref="CK4:CK26" si="34">IF(BW4&gt;0,BW4,"")</f>
        <v>17</v>
      </c>
      <c r="CL4" s="34">
        <f t="shared" ref="CL4:CL26" si="35">IF(BX4&gt;0,BX4,"")</f>
        <v>16.39</v>
      </c>
      <c r="CM4" s="36">
        <f t="shared" ref="CM4:CM26" si="36">IF(SUM(BU4:BX4)-BY4&gt;0,SUM(BU4:BX4)-BY4,"")</f>
        <v>57.79</v>
      </c>
      <c r="CN4" s="36">
        <f t="shared" ref="CN4:CN26" si="37">IF(CB4&gt;0,CB4,"")</f>
        <v>2</v>
      </c>
      <c r="CO4" s="36">
        <f t="shared" ref="CO4:CO26" si="38">IF(CC4&gt;0,CC4,"")</f>
        <v>1.8</v>
      </c>
      <c r="CP4" s="36">
        <f t="shared" ref="CP4:CP26" si="39">IF(SUM(BZ4:CC4)-CD4&gt;0,SUM(BZ4:CC4)-CD4,"")</f>
        <v>6.3999999999999995</v>
      </c>
      <c r="CQ4" s="36">
        <f t="shared" ref="CQ4:CQ26" si="40">IF(CM4="","",MAX(CM4,CP4))</f>
        <v>57.79</v>
      </c>
      <c r="CR4" s="36">
        <f t="shared" ref="CR4:CR26" si="41">IF(CG4&gt;0,CG4,"")</f>
        <v>7.4</v>
      </c>
      <c r="CS4" s="36">
        <f t="shared" ref="CS4:CS26" si="42">IF(CH4&gt;0,CH4,"")</f>
        <v>6.77</v>
      </c>
      <c r="CT4" s="36">
        <f t="shared" ref="CT4:CT26" si="43">IF(SUM(CE4:CH4)-CI4&gt;0,SUM(CE4:CH4)-CI4,"")</f>
        <v>24.069999999999997</v>
      </c>
      <c r="CU4" s="36">
        <f t="shared" ref="CU4:CU26" si="44">IF(SUM(CQ4,CT4)&gt;0,SUM(CQ4,CT4),"")</f>
        <v>81.86</v>
      </c>
      <c r="CV4" s="47">
        <f t="shared" ref="CV4:CV26" si="45">IF(MAX(EA4,ED4,FI4,FL4,GQ4,GT4,HY4,IB4,JG4,JJ4,KO4,KR4,LW4,LZ4,NE4,NH4,OM4,OP4,PU4,PX4,RC4,RF4,SK4,SN4,TS4,TV4,VA4,VD4,WI4,WL4)-IF(J4="",0,J4)&gt;0.001,MAX(EA4,ED4,FI4,FL4,GQ4,GT4,HY4,IB4,JG4,JJ4,KO4,KR4,LW4,LZ4,NE4,NH4,OM4,OP4,PU4,PX4,RC4,RF4,SK4,SN4,TS4,TV4,VA4,VD4,WI4,WL4)-IF(J4="",0,J4),"")</f>
        <v>1.4799999999999969</v>
      </c>
      <c r="CW4" s="47">
        <f t="shared" ref="CW4:CW26" si="46">IF(MAX(DX4,EA4,ED4,FF4,FI4,FL4,GN4,GQ4,GT4,HV4,HY4,IB4,JD4,JG4,JJ4,KL4,KO4,KR4,LT4,LW4,LZ4,NB4,NE4,NH4,OJ4,OM4,OP4,PR4,PU4,PX4,QZ4,RC4,RF4,SH4,SK4,SN4,TP4,TS4,TV4,UX4,VA4,VD4,WF4,WI4,WL4)-MAX(N4,0)&gt;0.001,MAX(DX4,EA4,ED4,FF4,FI4,FL4,GN4,GQ4,GT4,HV4,HY4,IB4,JD4,JG4,JJ4,KL4,KO4,KR4,LT4,LW4,LZ4,NB4,NE4,NH4,OJ4,OM4,OP4,PR4,PU4,PX4,QZ4,RC4,RF4,SH4,SK4,SN4,TP4,TS4,TV4,UX4,VA4,VD4,WF4,WI4,WL4)-MAX(N4,0),"")</f>
        <v>1.3299999999999983</v>
      </c>
      <c r="CX4" s="15">
        <v>13.8</v>
      </c>
      <c r="CY4" s="15">
        <v>8.9</v>
      </c>
      <c r="CZ4" s="15">
        <v>6.8</v>
      </c>
      <c r="DA4" s="15">
        <v>16.62</v>
      </c>
      <c r="DB4" s="15">
        <v>0</v>
      </c>
      <c r="DC4" s="15">
        <v>14.6</v>
      </c>
      <c r="DD4" s="15">
        <v>8.9</v>
      </c>
      <c r="DE4" s="15">
        <v>16.600000000000001</v>
      </c>
      <c r="DF4" s="15">
        <v>16.84</v>
      </c>
      <c r="DG4" s="15"/>
      <c r="DH4" s="15"/>
      <c r="DI4" s="15"/>
      <c r="DJ4" s="15"/>
      <c r="DK4" s="15"/>
      <c r="DL4" s="15"/>
      <c r="DM4" s="15"/>
      <c r="DN4" s="15"/>
      <c r="DO4" s="15"/>
      <c r="DP4" s="15"/>
      <c r="DQ4" s="15"/>
      <c r="DR4" s="36">
        <f t="shared" ref="DR4:DR26" si="47">IF(CZ4&gt;0,CZ4,"")</f>
        <v>6.8</v>
      </c>
      <c r="DS4" s="36">
        <f t="shared" ref="DS4:DS26" si="48">IF(DA4&gt;0,DA4,"")</f>
        <v>16.62</v>
      </c>
      <c r="DT4" s="36">
        <f t="shared" ref="DT4:DT26" si="49">IF(SUM(CX4:DA4)-DB4&gt;0,SUM(CX4:DA4)-DB4,"")</f>
        <v>46.120000000000005</v>
      </c>
      <c r="DU4" s="36">
        <f t="shared" ref="DU4:DU26" si="50">IF(DE4&gt;0,DE4,"")</f>
        <v>16.600000000000001</v>
      </c>
      <c r="DV4" s="36">
        <f t="shared" ref="DV4:DV26" si="51">IF(DF4&gt;0,DF4,"")</f>
        <v>16.84</v>
      </c>
      <c r="DW4" s="36">
        <f t="shared" ref="DW4:DW26" si="52">IF(SUM(DC4:DF4)-DG4&gt;0,SUM(DC4:DF4)-DG4,"")</f>
        <v>56.94</v>
      </c>
      <c r="DX4" s="36">
        <f t="shared" ref="DX4:DX26" si="53">IF(MAX(DT4,DW4)&gt;0,MAX(DT4,DW4),"")</f>
        <v>56.94</v>
      </c>
      <c r="DY4" s="36" t="str">
        <f t="shared" ref="DY4:DY26" si="54">IF(DJ4&gt;0,DJ4,"")</f>
        <v/>
      </c>
      <c r="DZ4" s="36" t="str">
        <f t="shared" ref="DZ4:DZ26" si="55">IF(DK4&gt;0,DK4,"")</f>
        <v/>
      </c>
      <c r="EA4" s="36" t="str">
        <f t="shared" ref="EA4:EA26" si="56">IF(SUM(DH4:DK4)-DL4&gt;0,SUM(DH4:DK4)-DL4,"")</f>
        <v/>
      </c>
      <c r="EB4" s="36" t="str">
        <f t="shared" ref="EB4:EB26" si="57">IF(DO4&gt;0,DO4,"")</f>
        <v/>
      </c>
      <c r="EC4" s="36" t="str">
        <f t="shared" ref="EC4:EC26" si="58">IF(DP4&gt;0,DP4,"")</f>
        <v/>
      </c>
      <c r="ED4" s="36" t="str">
        <f t="shared" ref="ED4:ED26" si="59">IF(SUM(DM4:DP4)-DQ4&gt;0,SUM(DM4:DP4)-DQ4,"")</f>
        <v/>
      </c>
      <c r="EE4" s="36">
        <f t="shared" ref="EE4:EE26" si="60">IF(SUM(DX4,EA4,ED4)&gt;0,SUM(DX4,EA4,ED4),"")</f>
        <v>56.94</v>
      </c>
      <c r="EF4" s="16"/>
      <c r="EG4" s="16"/>
      <c r="EH4" s="16"/>
      <c r="EI4" s="16"/>
      <c r="EJ4" s="16"/>
      <c r="EK4" s="16"/>
      <c r="EL4" s="16"/>
      <c r="EM4" s="16"/>
      <c r="EN4" s="16"/>
      <c r="EO4" s="16"/>
      <c r="EP4" s="16"/>
      <c r="EQ4" s="16"/>
      <c r="ER4" s="16"/>
      <c r="ES4" s="16"/>
      <c r="ET4" s="16"/>
      <c r="EU4" s="16"/>
      <c r="EV4" s="16"/>
      <c r="EW4" s="16"/>
      <c r="EX4" s="16"/>
      <c r="EY4" s="16"/>
      <c r="EZ4" s="11" t="str">
        <f t="shared" ref="EZ4:EZ26" si="61">IF(EH4&gt;0,EH4,"")</f>
        <v/>
      </c>
      <c r="FA4" s="11" t="str">
        <f t="shared" ref="FA4:FA26" si="62">IF(EI4&gt;0,EI4,"")</f>
        <v/>
      </c>
      <c r="FB4" s="11" t="str">
        <f t="shared" ref="FB4:FB26" si="63">IF(SUM(EF4:EI4)-EJ4&gt;0,SUM(EF4:EI4)-EJ4,"")</f>
        <v/>
      </c>
      <c r="FC4" s="11" t="str">
        <f t="shared" ref="FC4:FC26" si="64">IF(EM4&gt;0,EM4,"")</f>
        <v/>
      </c>
      <c r="FD4" s="11" t="str">
        <f t="shared" ref="FD4:FD26" si="65">IF(EN4&gt;0,EN4,"")</f>
        <v/>
      </c>
      <c r="FE4" s="11" t="str">
        <f t="shared" ref="FE4:FE26" si="66">IF(SUM(EK4:EN4)-EO4&gt;0,SUM(EK4:EN4)-EO4,"")</f>
        <v/>
      </c>
      <c r="FF4" s="11" t="str">
        <f t="shared" ref="FF4:FF26" si="67">IF(MAX(FB4,FE4)&gt;0,MAX(FB4,FE4),"")</f>
        <v/>
      </c>
      <c r="FG4" s="11" t="str">
        <f t="shared" ref="FG4:FG26" si="68">IF(ER4&gt;0,ER4,"")</f>
        <v/>
      </c>
      <c r="FH4" s="11" t="str">
        <f t="shared" ref="FH4:FH26" si="69">IF(ES4&gt;0,ES4,"")</f>
        <v/>
      </c>
      <c r="FI4" s="11" t="str">
        <f t="shared" ref="FI4:FI26" si="70">IF(SUM(EP4:ES4)-ET4&gt;0,SUM(EP4:ES4)-ET4,"")</f>
        <v/>
      </c>
      <c r="FJ4" s="11" t="str">
        <f t="shared" ref="FJ4:FJ26" si="71">IF(EW4&gt;0,EW4,"")</f>
        <v/>
      </c>
      <c r="FK4" s="11" t="str">
        <f t="shared" ref="FK4:FK26" si="72">IF(EX4&gt;0,EX4,"")</f>
        <v/>
      </c>
      <c r="FL4" s="11" t="str">
        <f t="shared" ref="FL4:FL26" si="73">IF(SUM(EU4:EX4)-EY4&gt;0,SUM(EU4:EX4)-EY4,"")</f>
        <v/>
      </c>
      <c r="FM4" s="11" t="str">
        <f t="shared" ref="FM4:FM26" si="74">IF(SUM(FF4,FI4,FL4)&gt;0,SUM(FF4,FI4,FL4),"")</f>
        <v/>
      </c>
      <c r="FN4" s="15">
        <v>14.9</v>
      </c>
      <c r="FO4" s="15">
        <v>9.3000000000000007</v>
      </c>
      <c r="FP4" s="15">
        <v>17</v>
      </c>
      <c r="FQ4" s="15">
        <v>16.89</v>
      </c>
      <c r="FR4" s="15">
        <v>0</v>
      </c>
      <c r="FS4" s="15">
        <v>10.8</v>
      </c>
      <c r="FT4" s="15">
        <v>6.7</v>
      </c>
      <c r="FU4" s="15">
        <v>11.7</v>
      </c>
      <c r="FV4" s="15">
        <v>12.48</v>
      </c>
      <c r="FW4" s="15">
        <v>0</v>
      </c>
      <c r="FX4" s="15"/>
      <c r="FY4" s="15"/>
      <c r="FZ4" s="15"/>
      <c r="GA4" s="15"/>
      <c r="GB4" s="15"/>
      <c r="GC4" s="15"/>
      <c r="GD4" s="15"/>
      <c r="GE4" s="15"/>
      <c r="GF4" s="15"/>
      <c r="GG4" s="15"/>
      <c r="GH4" s="36">
        <f t="shared" ref="GH4:GH26" si="75">IF(FP4&gt;0,FP4,"")</f>
        <v>17</v>
      </c>
      <c r="GI4" s="36">
        <f t="shared" ref="GI4:GI26" si="76">IF(FQ4&gt;0,FQ4,"")</f>
        <v>16.89</v>
      </c>
      <c r="GJ4" s="36">
        <f t="shared" ref="GJ4:GJ26" si="77">IF(SUM(FN4:FQ4)-FR4&gt;0,SUM(FN4:FQ4)-FR4,"")</f>
        <v>58.09</v>
      </c>
      <c r="GK4" s="36">
        <f t="shared" ref="GK4:GK26" si="78">IF(FU4&gt;0,FU4,"")</f>
        <v>11.7</v>
      </c>
      <c r="GL4" s="36">
        <f t="shared" ref="GL4:GL26" si="79">IF(FV4&gt;0,FV4,"")</f>
        <v>12.48</v>
      </c>
      <c r="GM4" s="36">
        <f t="shared" ref="GM4:GM26" si="80">IF(SUM(FS4:FV4)-FW4&gt;0,SUM(FS4:FV4)-FW4,"")</f>
        <v>41.68</v>
      </c>
      <c r="GN4" s="36">
        <f t="shared" ref="GN4:GN26" si="81">IF(MAX(GJ4,GM4)&gt;0,MAX(GJ4,GM4),"")</f>
        <v>58.09</v>
      </c>
      <c r="GO4" s="36" t="str">
        <f t="shared" ref="GO4:GO26" si="82">IF(FZ4&gt;0,FZ4,"")</f>
        <v/>
      </c>
      <c r="GP4" s="36" t="str">
        <f t="shared" ref="GP4:GP26" si="83">IF(GA4&gt;0,GA4,"")</f>
        <v/>
      </c>
      <c r="GQ4" s="36" t="str">
        <f t="shared" ref="GQ4:GQ26" si="84">IF(SUM(FX4:GA4)-GB4&gt;0,SUM(FX4:GA4)-GB4,"")</f>
        <v/>
      </c>
      <c r="GR4" s="36" t="str">
        <f t="shared" ref="GR4:GR26" si="85">IF(GE4&gt;0,GE4,"")</f>
        <v/>
      </c>
      <c r="GS4" s="36" t="str">
        <f t="shared" ref="GS4:GS26" si="86">IF(GF4&gt;0,GF4,"")</f>
        <v/>
      </c>
      <c r="GT4" s="36" t="str">
        <f t="shared" ref="GT4:GT26" si="87">IF(SUM(GC4:GF4)-GG4&gt;0,SUM(GC4:GF4)-GG4,"")</f>
        <v/>
      </c>
      <c r="GU4" s="36">
        <f t="shared" ref="GU4:GU26" si="88">IF(SUM(GN4,GQ4,GT4)&gt;0,SUM(GN4,GQ4,GT4),"")</f>
        <v>58.09</v>
      </c>
      <c r="GV4" s="16"/>
      <c r="GW4" s="16"/>
      <c r="GX4" s="16"/>
      <c r="GY4" s="16"/>
      <c r="GZ4" s="16"/>
      <c r="HA4" s="16"/>
      <c r="HB4" s="16"/>
      <c r="HC4" s="16"/>
      <c r="HD4" s="16"/>
      <c r="HE4" s="16"/>
      <c r="HF4" s="16"/>
      <c r="HG4" s="16"/>
      <c r="HH4" s="16"/>
      <c r="HI4" s="16"/>
      <c r="HJ4" s="16"/>
      <c r="HK4" s="16"/>
      <c r="HL4" s="16"/>
      <c r="HM4" s="16"/>
      <c r="HN4" s="16"/>
      <c r="HO4" s="16"/>
      <c r="HP4" s="11" t="str">
        <f t="shared" ref="HP4:HP26" si="89">IF(GX4&gt;0,GX4,"")</f>
        <v/>
      </c>
      <c r="HQ4" s="11" t="str">
        <f t="shared" ref="HQ4:HQ26" si="90">IF(GY4&gt;0,GY4,"")</f>
        <v/>
      </c>
      <c r="HR4" s="11" t="str">
        <f t="shared" ref="HR4:HR26" si="91">IF(SUM(GV4:GY4)-GZ4&gt;0,SUM(GV4:GY4)-GZ4,"")</f>
        <v/>
      </c>
      <c r="HS4" s="11" t="str">
        <f t="shared" ref="HS4:HS26" si="92">IF(HC4&gt;0,HC4,"")</f>
        <v/>
      </c>
      <c r="HT4" s="11" t="str">
        <f t="shared" ref="HT4:HT26" si="93">IF(HD4&gt;0,HD4,"")</f>
        <v/>
      </c>
      <c r="HU4" s="11" t="str">
        <f t="shared" ref="HU4:HU26" si="94">IF(SUM(HA4:HD4)-HE4&gt;0,SUM(HA4:HD4)-HE4,"")</f>
        <v/>
      </c>
      <c r="HV4" s="11" t="str">
        <f t="shared" ref="HV4:HV26" si="95">IF(MAX(HR4,HU4)&gt;0,MAX(HR4,HU4),"")</f>
        <v/>
      </c>
      <c r="HW4" s="11" t="str">
        <f t="shared" ref="HW4:HW26" si="96">IF(HH4&gt;0,HH4,"")</f>
        <v/>
      </c>
      <c r="HX4" s="11" t="str">
        <f t="shared" ref="HX4:HX26" si="97">IF(HI4&gt;0,HI4,"")</f>
        <v/>
      </c>
      <c r="HY4" s="11" t="str">
        <f t="shared" ref="HY4:HY26" si="98">IF(SUM(HF4:HI4)-HJ4&gt;0,SUM(HF4:HI4)-HJ4,"")</f>
        <v/>
      </c>
      <c r="HZ4" s="11" t="str">
        <f t="shared" ref="HZ4:HZ26" si="99">IF(HM4&gt;0,HM4,"")</f>
        <v/>
      </c>
      <c r="IA4" s="11" t="str">
        <f t="shared" ref="IA4:IA26" si="100">IF(HN4&gt;0,HN4,"")</f>
        <v/>
      </c>
      <c r="IB4" s="11" t="str">
        <f t="shared" ref="IB4:IB26" si="101">IF(SUM(HK4:HN4)-HO4&gt;0,SUM(HK4:HN4)-HO4,"")</f>
        <v/>
      </c>
      <c r="IC4" s="11" t="str">
        <f t="shared" ref="IC4:IC26" si="102">IF(SUM(HV4,HY4,IB4)&gt;0,SUM(HV4,HY4,IB4),"")</f>
        <v/>
      </c>
      <c r="ID4" s="15"/>
      <c r="IE4" s="15"/>
      <c r="IF4" s="15"/>
      <c r="IG4" s="15"/>
      <c r="IH4" s="15"/>
      <c r="II4" s="15"/>
      <c r="IJ4" s="15"/>
      <c r="IK4" s="15"/>
      <c r="IL4" s="15"/>
      <c r="IM4" s="15"/>
      <c r="IN4" s="15"/>
      <c r="IO4" s="15"/>
      <c r="IP4" s="15"/>
      <c r="IQ4" s="15"/>
      <c r="IR4" s="15"/>
      <c r="IS4" s="15"/>
      <c r="IT4" s="15"/>
      <c r="IU4" s="15"/>
      <c r="IV4" s="15"/>
      <c r="IW4" s="15"/>
      <c r="IX4" s="36" t="str">
        <f t="shared" ref="IX4:IX26" si="103">IF(IF4&gt;0,IF4,"")</f>
        <v/>
      </c>
      <c r="IY4" s="36" t="str">
        <f t="shared" ref="IY4:IY26" si="104">IF(IG4&gt;0,IG4,"")</f>
        <v/>
      </c>
      <c r="IZ4" s="36" t="str">
        <f t="shared" ref="IZ4:IZ26" si="105">IF(SUM(ID4:IG4)-IH4&gt;0,SUM(ID4:IG4)-IH4,"")</f>
        <v/>
      </c>
      <c r="JA4" s="36" t="str">
        <f t="shared" ref="JA4:JA26" si="106">IF(IK4&gt;0,IK4,"")</f>
        <v/>
      </c>
      <c r="JB4" s="36" t="str">
        <f t="shared" ref="JB4:JB26" si="107">IF(IL4&gt;0,IL4,"")</f>
        <v/>
      </c>
      <c r="JC4" s="36" t="str">
        <f t="shared" ref="JC4:JC26" si="108">IF(SUM(II4:IL4)-IM4&gt;0,SUM(II4:IL4)-IM4,"")</f>
        <v/>
      </c>
      <c r="JD4" s="36" t="str">
        <f t="shared" ref="JD4:JD26" si="109">IF(MAX(IZ4,JC4)&gt;0,MAX(IZ4,JC4),"")</f>
        <v/>
      </c>
      <c r="JE4" s="36" t="str">
        <f t="shared" ref="JE4:JE26" si="110">IF(IP4&gt;0,IP4,"")</f>
        <v/>
      </c>
      <c r="JF4" s="36" t="str">
        <f t="shared" ref="JF4:JF26" si="111">IF(IQ4&gt;0,IQ4,"")</f>
        <v/>
      </c>
      <c r="JG4" s="36" t="str">
        <f t="shared" ref="JG4:JG26" si="112">IF(SUM(IN4:IQ4)-IR4&gt;0,SUM(IN4:IQ4)-IR4,"")</f>
        <v/>
      </c>
      <c r="JH4" s="36" t="str">
        <f t="shared" ref="JH4:JH26" si="113">IF(IU4&gt;0,IU4,"")</f>
        <v/>
      </c>
      <c r="JI4" s="36" t="str">
        <f t="shared" ref="JI4:JI26" si="114">IF(IV4&gt;0,IV4,"")</f>
        <v/>
      </c>
      <c r="JJ4" s="36" t="str">
        <f t="shared" ref="JJ4:JJ26" si="115">IF(SUM(IS4:IV4)-IW4&gt;0,SUM(IS4:IV4)-IW4,"")</f>
        <v/>
      </c>
      <c r="JK4" s="36" t="str">
        <f t="shared" ref="JK4:JK26" si="116">IF(SUM(JD4,JG4,JJ4)&gt;0,SUM(JD4,JG4,JJ4),"")</f>
        <v/>
      </c>
      <c r="JL4" s="16">
        <v>14.9</v>
      </c>
      <c r="JM4" s="16">
        <v>9.3000000000000007</v>
      </c>
      <c r="JN4" s="16">
        <v>17</v>
      </c>
      <c r="JO4" s="16">
        <v>16.600000000000001</v>
      </c>
      <c r="JP4" s="16">
        <v>0</v>
      </c>
      <c r="JQ4" s="16">
        <v>6</v>
      </c>
      <c r="JR4" s="16">
        <v>3.3</v>
      </c>
      <c r="JS4" s="16">
        <v>7.2</v>
      </c>
      <c r="JT4" s="16">
        <v>7.04</v>
      </c>
      <c r="JU4" s="16">
        <v>0</v>
      </c>
      <c r="JV4" s="16">
        <v>15.2</v>
      </c>
      <c r="JW4" s="16">
        <v>9.1999999999999993</v>
      </c>
      <c r="JX4" s="16">
        <v>17.399999999999999</v>
      </c>
      <c r="JY4" s="16">
        <v>17.32</v>
      </c>
      <c r="JZ4" s="16">
        <v>0</v>
      </c>
      <c r="KA4" s="16">
        <v>1.6</v>
      </c>
      <c r="KB4" s="16">
        <v>0.8</v>
      </c>
      <c r="KC4" s="16">
        <v>2</v>
      </c>
      <c r="KD4" s="16">
        <v>1.87</v>
      </c>
      <c r="KE4" s="16">
        <v>0</v>
      </c>
      <c r="KF4" s="11">
        <f t="shared" ref="KF4:KF26" si="117">IF(JN4&gt;0,JN4,"")</f>
        <v>17</v>
      </c>
      <c r="KG4" s="11">
        <f t="shared" ref="KG4:KG26" si="118">IF(JO4&gt;0,JO4,"")</f>
        <v>16.600000000000001</v>
      </c>
      <c r="KH4" s="11">
        <f t="shared" ref="KH4:KH26" si="119">IF(SUM(JL4:JO4)-JP4&gt;0,SUM(JL4:JO4)-JP4,"")</f>
        <v>57.800000000000004</v>
      </c>
      <c r="KI4" s="11">
        <f t="shared" ref="KI4:KI26" si="120">IF(JS4&gt;0,JS4,"")</f>
        <v>7.2</v>
      </c>
      <c r="KJ4" s="11">
        <f t="shared" ref="KJ4:KJ26" si="121">IF(JT4&gt;0,JT4,"")</f>
        <v>7.04</v>
      </c>
      <c r="KK4" s="11">
        <f t="shared" ref="KK4:KK26" si="122">IF(SUM(JQ4:JT4)-JU4&gt;0,SUM(JQ4:JT4)-JU4,"")</f>
        <v>23.54</v>
      </c>
      <c r="KL4" s="11">
        <f t="shared" ref="KL4:KL26" si="123">IF(MAX(KH4,KK4)&gt;0,MAX(KH4,KK4),"")</f>
        <v>57.800000000000004</v>
      </c>
      <c r="KM4" s="11">
        <f t="shared" ref="KM4:KM26" si="124">IF(JX4&gt;0,JX4,"")</f>
        <v>17.399999999999999</v>
      </c>
      <c r="KN4" s="11">
        <f t="shared" ref="KN4:KN26" si="125">IF(JY4&gt;0,JY4,"")</f>
        <v>17.32</v>
      </c>
      <c r="KO4" s="11">
        <f t="shared" ref="KO4:KO26" si="126">IF(SUM(JV4:JY4)-JZ4&gt;0,SUM(JV4:JY4)-JZ4,"")</f>
        <v>59.12</v>
      </c>
      <c r="KP4" s="11">
        <f t="shared" ref="KP4:KP26" si="127">IF(KC4&gt;0,KC4,"")</f>
        <v>2</v>
      </c>
      <c r="KQ4" s="11">
        <f t="shared" ref="KQ4:KQ26" si="128">IF(KD4&gt;0,KD4,"")</f>
        <v>1.87</v>
      </c>
      <c r="KR4" s="11">
        <f t="shared" ref="KR4:KR26" si="129">IF(SUM(KA4:KD4)-KE4&gt;0,SUM(KA4:KD4)-KE4,"")</f>
        <v>6.2700000000000005</v>
      </c>
      <c r="KS4" s="11">
        <f t="shared" ref="KS4:KS26" si="130">IF(SUM(KL4,KO4,KR4)&gt;0,SUM(KL4,KO4,KR4),"")</f>
        <v>123.19</v>
      </c>
      <c r="KT4" s="15"/>
      <c r="KU4" s="15"/>
      <c r="KV4" s="15"/>
      <c r="KW4" s="15"/>
      <c r="KX4" s="15"/>
      <c r="KY4" s="15"/>
      <c r="KZ4" s="15"/>
      <c r="LA4" s="15"/>
      <c r="LB4" s="15"/>
      <c r="LC4" s="15"/>
      <c r="LD4" s="15"/>
      <c r="LE4" s="15"/>
      <c r="LF4" s="15"/>
      <c r="LG4" s="15"/>
      <c r="LH4" s="15"/>
      <c r="LI4" s="15"/>
      <c r="LJ4" s="15"/>
      <c r="LK4" s="15"/>
      <c r="LL4" s="15"/>
      <c r="LM4" s="15"/>
      <c r="LN4" s="36" t="str">
        <f t="shared" ref="LN4:LN26" si="131">IF(KV4&gt;0,KV4,"")</f>
        <v/>
      </c>
      <c r="LO4" s="36" t="str">
        <f t="shared" ref="LO4:LO26" si="132">IF(KW4&gt;0,KW4,"")</f>
        <v/>
      </c>
      <c r="LP4" s="36" t="str">
        <f t="shared" ref="LP4:LP26" si="133">IF(SUM(KT4:KW4)-KX4&gt;0,SUM(KT4:KW4)-KX4,"")</f>
        <v/>
      </c>
      <c r="LQ4" s="36" t="str">
        <f t="shared" ref="LQ4:LQ26" si="134">IF(LA4&gt;0,LA4,"")</f>
        <v/>
      </c>
      <c r="LR4" s="36" t="str">
        <f t="shared" ref="LR4:LR26" si="135">IF(LB4&gt;0,LB4,"")</f>
        <v/>
      </c>
      <c r="LS4" s="36" t="str">
        <f t="shared" ref="LS4:LS26" si="136">IF(SUM(KY4:LB4)-LC4&gt;0,SUM(KY4:LB4)-LC4,"")</f>
        <v/>
      </c>
      <c r="LT4" s="36" t="str">
        <f t="shared" ref="LT4:LT26" si="137">IF(MAX(LP4,LS4)&gt;0,MAX(LP4,LS4),"")</f>
        <v/>
      </c>
      <c r="LU4" s="36" t="str">
        <f t="shared" ref="LU4:LU26" si="138">IF(LF4&gt;0,LF4,"")</f>
        <v/>
      </c>
      <c r="LV4" s="36" t="str">
        <f t="shared" ref="LV4:LV26" si="139">IF(LG4&gt;0,LG4,"")</f>
        <v/>
      </c>
      <c r="LW4" s="36" t="str">
        <f t="shared" ref="LW4:LW26" si="140">IF(SUM(LD4:LG4)-LH4&gt;0,SUM(LD4:LG4)-LH4,"")</f>
        <v/>
      </c>
      <c r="LX4" s="36" t="str">
        <f t="shared" ref="LX4:LX26" si="141">IF(LK4&gt;0,LK4,"")</f>
        <v/>
      </c>
      <c r="LY4" s="36" t="str">
        <f t="shared" ref="LY4:LY26" si="142">IF(LL4&gt;0,LL4,"")</f>
        <v/>
      </c>
      <c r="LZ4" s="36" t="str">
        <f t="shared" ref="LZ4:LZ26" si="143">IF(SUM(LI4:LL4)-LM4&gt;0,SUM(LI4:LL4)-LM4,"")</f>
        <v/>
      </c>
      <c r="MA4" s="36" t="str">
        <f t="shared" ref="MA4:MA26" si="144">IF(SUM(LT4,LW4,LZ4)&gt;0,SUM(LT4,LW4,LZ4),"")</f>
        <v/>
      </c>
      <c r="MB4" s="16"/>
      <c r="MC4" s="16"/>
      <c r="MD4" s="16"/>
      <c r="ME4" s="16"/>
      <c r="MF4" s="16"/>
      <c r="MG4" s="16"/>
      <c r="MH4" s="16"/>
      <c r="MI4" s="16"/>
      <c r="MJ4" s="16"/>
      <c r="MK4" s="16"/>
      <c r="ML4" s="16"/>
      <c r="MM4" s="16"/>
      <c r="MN4" s="16"/>
      <c r="MO4" s="16"/>
      <c r="MP4" s="16"/>
      <c r="MQ4" s="16"/>
      <c r="MR4" s="16"/>
      <c r="MS4" s="16"/>
      <c r="MT4" s="16"/>
      <c r="MU4" s="16"/>
      <c r="MV4" s="11" t="str">
        <f t="shared" ref="MV4:MV26" si="145">IF(MD4&gt;0,MD4,"")</f>
        <v/>
      </c>
      <c r="MW4" s="11" t="str">
        <f t="shared" ref="MW4:MW26" si="146">IF(ME4&gt;0,ME4,"")</f>
        <v/>
      </c>
      <c r="MX4" s="11" t="str">
        <f t="shared" ref="MX4:MX26" si="147">IF(SUM(MB4:ME4)-MF4&gt;0,SUM(MB4:ME4)-MF4,"")</f>
        <v/>
      </c>
      <c r="MY4" s="11" t="str">
        <f t="shared" ref="MY4:MY26" si="148">IF(MI4&gt;0,MI4,"")</f>
        <v/>
      </c>
      <c r="MZ4" s="11" t="str">
        <f t="shared" ref="MZ4:MZ26" si="149">IF(MJ4&gt;0,MJ4,"")</f>
        <v/>
      </c>
      <c r="NA4" s="11" t="str">
        <f t="shared" ref="NA4:NA26" si="150">IF(SUM(MG4:MJ4)-MK4&gt;0,SUM(MG4:MJ4)-MK4,"")</f>
        <v/>
      </c>
      <c r="NB4" s="11" t="str">
        <f t="shared" ref="NB4:NB26" si="151">IF(MAX(MX4,NA4)&gt;0,MAX(MX4,NA4),"")</f>
        <v/>
      </c>
      <c r="NC4" s="11" t="str">
        <f t="shared" ref="NC4:NC26" si="152">IF(MN4&gt;0,MN4,"")</f>
        <v/>
      </c>
      <c r="ND4" s="11" t="str">
        <f t="shared" ref="ND4:ND26" si="153">IF(MO4&gt;0,MO4,"")</f>
        <v/>
      </c>
      <c r="NE4" s="11" t="str">
        <f t="shared" ref="NE4:NE26" si="154">IF(SUM(ML4:MO4)-MP4&gt;0,SUM(ML4:MO4)-MP4,"")</f>
        <v/>
      </c>
      <c r="NF4" s="11" t="str">
        <f t="shared" ref="NF4:NF26" si="155">IF(MS4&gt;0,MS4,"")</f>
        <v/>
      </c>
      <c r="NG4" s="11" t="str">
        <f t="shared" ref="NG4:NG26" si="156">IF(MT4&gt;0,MT4,"")</f>
        <v/>
      </c>
      <c r="NH4" s="11" t="str">
        <f t="shared" ref="NH4:NH26" si="157">IF(SUM(MQ4:MT4)-MU4&gt;0,SUM(MQ4:MT4)-MU4,"")</f>
        <v/>
      </c>
      <c r="NI4" s="11" t="str">
        <f t="shared" ref="NI4:NI26" si="158">IF(SUM(NB4,NE4,NH4)&gt;0,SUM(NB4,NE4,NH4),"")</f>
        <v/>
      </c>
      <c r="NJ4" s="15"/>
      <c r="NK4" s="15"/>
      <c r="NL4" s="15"/>
      <c r="NM4" s="15"/>
      <c r="NN4" s="15"/>
      <c r="NO4" s="15"/>
      <c r="NP4" s="15"/>
      <c r="NQ4" s="15"/>
      <c r="NR4" s="15"/>
      <c r="NS4" s="15"/>
      <c r="NT4" s="15"/>
      <c r="NU4" s="15"/>
      <c r="NV4" s="15"/>
      <c r="NW4" s="15"/>
      <c r="NX4" s="15"/>
      <c r="NY4" s="15"/>
      <c r="NZ4" s="15"/>
      <c r="OA4" s="15"/>
      <c r="OB4" s="15"/>
      <c r="OC4" s="15"/>
      <c r="OD4" s="36" t="str">
        <f t="shared" ref="OD4:OD26" si="159">IF(NL4&gt;0,NL4,"")</f>
        <v/>
      </c>
      <c r="OE4" s="36" t="str">
        <f t="shared" ref="OE4:OE26" si="160">IF(NM4&gt;0,NM4,"")</f>
        <v/>
      </c>
      <c r="OF4" s="36" t="str">
        <f t="shared" ref="OF4:OF26" si="161">IF(SUM(NJ4:NM4)-NN4&gt;0,SUM(NJ4:NM4)-NN4,"")</f>
        <v/>
      </c>
      <c r="OG4" s="36" t="str">
        <f t="shared" ref="OG4:OG26" si="162">IF(NQ4&gt;0,NQ4,"")</f>
        <v/>
      </c>
      <c r="OH4" s="36" t="str">
        <f t="shared" ref="OH4:OH26" si="163">IF(NR4&gt;0,NR4,"")</f>
        <v/>
      </c>
      <c r="OI4" s="36" t="str">
        <f t="shared" ref="OI4:OI26" si="164">IF(SUM(NO4:NR4)-NS4&gt;0,SUM(NO4:NR4)-NS4,"")</f>
        <v/>
      </c>
      <c r="OJ4" s="36" t="str">
        <f t="shared" ref="OJ4:OJ26" si="165">IF(MAX(OF4,OI4)&gt;0,MAX(OF4,OI4),"")</f>
        <v/>
      </c>
      <c r="OK4" s="36" t="str">
        <f t="shared" ref="OK4:OK26" si="166">IF(NV4&gt;0,NV4,"")</f>
        <v/>
      </c>
      <c r="OL4" s="36" t="str">
        <f t="shared" ref="OL4:OL26" si="167">IF(NW4&gt;0,NW4,"")</f>
        <v/>
      </c>
      <c r="OM4" s="36" t="str">
        <f t="shared" ref="OM4:OM26" si="168">IF(SUM(NT4:NW4)-NX4&gt;0,SUM(NT4:NW4)-NX4,"")</f>
        <v/>
      </c>
      <c r="ON4" s="36" t="str">
        <f t="shared" ref="ON4:ON26" si="169">IF(OA4&gt;0,OA4,"")</f>
        <v/>
      </c>
      <c r="OO4" s="36" t="str">
        <f t="shared" ref="OO4:OO26" si="170">IF(OB4&gt;0,OB4,"")</f>
        <v/>
      </c>
      <c r="OP4" s="36" t="str">
        <f t="shared" ref="OP4:OP26" si="171">IF(SUM(NY4:OB4)-OC4&gt;0,SUM(NY4:OB4)-OC4,"")</f>
        <v/>
      </c>
      <c r="OQ4" s="36" t="str">
        <f t="shared" ref="OQ4:OQ26" si="172">IF(SUM(OJ4,OM4,OP4)&gt;0,SUM(OJ4,OM4,OP4),"")</f>
        <v/>
      </c>
      <c r="OR4" s="16"/>
      <c r="OS4" s="16"/>
      <c r="OT4" s="16"/>
      <c r="OU4" s="16"/>
      <c r="OV4" s="16"/>
      <c r="OW4" s="16"/>
      <c r="OX4" s="16"/>
      <c r="OY4" s="16"/>
      <c r="OZ4" s="16"/>
      <c r="PA4" s="16"/>
      <c r="PB4" s="16"/>
      <c r="PC4" s="16"/>
      <c r="PD4" s="16"/>
      <c r="PE4" s="16"/>
      <c r="PF4" s="16"/>
      <c r="PG4" s="16"/>
      <c r="PH4" s="16"/>
      <c r="PI4" s="16"/>
      <c r="PJ4" s="16"/>
      <c r="PK4" s="16"/>
      <c r="PL4" s="11" t="str">
        <f t="shared" ref="PL4:PL26" si="173">IF(OT4&gt;0,OT4,"")</f>
        <v/>
      </c>
      <c r="PM4" s="11" t="str">
        <f t="shared" ref="PM4:PM26" si="174">IF(OU4&gt;0,OU4,"")</f>
        <v/>
      </c>
      <c r="PN4" s="11" t="str">
        <f t="shared" ref="PN4:PN26" si="175">IF(SUM(OR4:OU4)-OV4&gt;0,SUM(OR4:OU4)-OV4,"")</f>
        <v/>
      </c>
      <c r="PO4" s="11" t="str">
        <f t="shared" ref="PO4:PO26" si="176">IF(OY4&gt;0,OY4,"")</f>
        <v/>
      </c>
      <c r="PP4" s="11" t="str">
        <f t="shared" ref="PP4:PP26" si="177">IF(OZ4&gt;0,OZ4,"")</f>
        <v/>
      </c>
      <c r="PQ4" s="11" t="str">
        <f t="shared" ref="PQ4:PQ26" si="178">IF(SUM(OW4:OZ4)-PA4&gt;0,SUM(OW4:OZ4)-PA4,"")</f>
        <v/>
      </c>
      <c r="PR4" s="11" t="str">
        <f t="shared" ref="PR4:PR26" si="179">IF(MAX(PN4,PQ4)&gt;0,MAX(PN4,PQ4),"")</f>
        <v/>
      </c>
      <c r="PS4" s="11" t="str">
        <f t="shared" ref="PS4:PS26" si="180">IF(PD4&gt;0,PD4,"")</f>
        <v/>
      </c>
      <c r="PT4" s="11" t="str">
        <f t="shared" ref="PT4:PT26" si="181">IF(PE4&gt;0,PE4,"")</f>
        <v/>
      </c>
      <c r="PU4" s="11" t="str">
        <f t="shared" ref="PU4:PU26" si="182">IF(SUM(PB4:PE4)-PF4&gt;0,SUM(PB4:PE4)-PF4,"")</f>
        <v/>
      </c>
      <c r="PV4" s="11" t="str">
        <f t="shared" ref="PV4:PV26" si="183">IF(PI4&gt;0,PI4,"")</f>
        <v/>
      </c>
      <c r="PW4" s="11" t="str">
        <f t="shared" ref="PW4:PW26" si="184">IF(PJ4&gt;0,PJ4,"")</f>
        <v/>
      </c>
      <c r="PX4" s="11" t="str">
        <f t="shared" ref="PX4:PX26" si="185">IF(SUM(PG4:PJ4)-PK4&gt;0,SUM(PG4:PJ4)-PK4,"")</f>
        <v/>
      </c>
      <c r="PY4" s="11" t="str">
        <f t="shared" ref="PY4:PY26" si="186">IF(SUM(PR4,PU4,PX4)&gt;0,SUM(PR4,PU4,PX4),"")</f>
        <v/>
      </c>
      <c r="PZ4" s="15"/>
      <c r="QA4" s="15"/>
      <c r="QB4" s="15"/>
      <c r="QC4" s="15"/>
      <c r="QD4" s="15"/>
      <c r="QE4" s="15"/>
      <c r="QF4" s="15"/>
      <c r="QG4" s="15"/>
      <c r="QH4" s="15"/>
      <c r="QI4" s="15"/>
      <c r="QJ4" s="15"/>
      <c r="QK4" s="15"/>
      <c r="QL4" s="15"/>
      <c r="QM4" s="15"/>
      <c r="QN4" s="15"/>
      <c r="QO4" s="15"/>
      <c r="QP4" s="15"/>
      <c r="QQ4" s="15"/>
      <c r="QR4" s="15"/>
      <c r="QS4" s="15"/>
      <c r="QT4" s="36" t="str">
        <f t="shared" ref="QT4:QT26" si="187">IF(QB4&gt;0,QB4,"")</f>
        <v/>
      </c>
      <c r="QU4" s="36" t="str">
        <f t="shared" ref="QU4:QU26" si="188">IF(QC4&gt;0,QC4,"")</f>
        <v/>
      </c>
      <c r="QV4" s="36" t="str">
        <f t="shared" ref="QV4:QV26" si="189">IF(SUM(PZ4:QC4)-QD4&gt;0,SUM(PZ4:QC4)-QD4,"")</f>
        <v/>
      </c>
      <c r="QW4" s="36" t="str">
        <f t="shared" ref="QW4:QW26" si="190">IF(QG4&gt;0,QG4,"")</f>
        <v/>
      </c>
      <c r="QX4" s="36" t="str">
        <f t="shared" ref="QX4:QX26" si="191">IF(QH4&gt;0,QH4,"")</f>
        <v/>
      </c>
      <c r="QY4" s="36" t="str">
        <f t="shared" ref="QY4:QY26" si="192">IF(SUM(QE4:QH4)-QI4&gt;0,SUM(QE4:QH4)-QI4,"")</f>
        <v/>
      </c>
      <c r="QZ4" s="36" t="str">
        <f t="shared" ref="QZ4:QZ26" si="193">IF(MAX(QV4,QY4)&gt;0,MAX(QV4,QY4),"")</f>
        <v/>
      </c>
      <c r="RA4" s="36" t="str">
        <f t="shared" ref="RA4:RA26" si="194">IF(QL4&gt;0,QL4,"")</f>
        <v/>
      </c>
      <c r="RB4" s="36" t="str">
        <f t="shared" ref="RB4:RB26" si="195">IF(QM4&gt;0,QM4,"")</f>
        <v/>
      </c>
      <c r="RC4" s="36" t="str">
        <f t="shared" ref="RC4:RC26" si="196">IF(SUM(QJ4:QM4)-QN4&gt;0,SUM(QJ4:QM4)-QN4,"")</f>
        <v/>
      </c>
      <c r="RD4" s="36" t="str">
        <f t="shared" ref="RD4:RD26" si="197">IF(QQ4&gt;0,QQ4,"")</f>
        <v/>
      </c>
      <c r="RE4" s="36" t="str">
        <f t="shared" ref="RE4:RE26" si="198">IF(QR4&gt;0,QR4,"")</f>
        <v/>
      </c>
      <c r="RF4" s="36" t="str">
        <f t="shared" ref="RF4:RF26" si="199">IF(SUM(QO4:QR4)-QS4&gt;0,SUM(QO4:QR4)-QS4,"")</f>
        <v/>
      </c>
      <c r="RG4" s="36" t="str">
        <f t="shared" ref="RG4:RG26" si="200">IF(SUM(QZ4,RC4,RF4)&gt;0,SUM(QZ4,RC4,RF4),"")</f>
        <v/>
      </c>
      <c r="RH4" s="16"/>
      <c r="RI4" s="16"/>
      <c r="RJ4" s="16"/>
      <c r="RK4" s="16"/>
      <c r="RL4" s="16"/>
      <c r="RM4" s="16"/>
      <c r="RN4" s="16"/>
      <c r="RO4" s="16"/>
      <c r="RP4" s="16"/>
      <c r="RQ4" s="16"/>
      <c r="RR4" s="16"/>
      <c r="RS4" s="16"/>
      <c r="RT4" s="16"/>
      <c r="RU4" s="16"/>
      <c r="RV4" s="16"/>
      <c r="RW4" s="16"/>
      <c r="RX4" s="16"/>
      <c r="RY4" s="16"/>
      <c r="RZ4" s="16"/>
      <c r="SA4" s="16"/>
      <c r="SB4" s="11" t="str">
        <f t="shared" ref="SB4:SB26" si="201">IF(RJ4&gt;0,RJ4,"")</f>
        <v/>
      </c>
      <c r="SC4" s="11" t="str">
        <f t="shared" ref="SC4:SC26" si="202">IF(RK4&gt;0,RK4,"")</f>
        <v/>
      </c>
      <c r="SD4" s="11" t="str">
        <f t="shared" ref="SD4:SD26" si="203">IF(SUM(RH4:RK4)-RL4&gt;0,SUM(RH4:RK4)-RL4,"")</f>
        <v/>
      </c>
      <c r="SE4" s="11" t="str">
        <f t="shared" ref="SE4:SE26" si="204">IF(RO4&gt;0,RO4,"")</f>
        <v/>
      </c>
      <c r="SF4" s="11" t="str">
        <f t="shared" ref="SF4:SF26" si="205">IF(RP4&gt;0,RP4,"")</f>
        <v/>
      </c>
      <c r="SG4" s="11" t="str">
        <f t="shared" ref="SG4:SG26" si="206">IF(SUM(RM4:RP4)-RQ4&gt;0,SUM(RM4:RP4)-RQ4,"")</f>
        <v/>
      </c>
      <c r="SH4" s="11" t="str">
        <f t="shared" ref="SH4:SH26" si="207">IF(MAX(SD4,SG4)&gt;0,MAX(SD4,SG4),"")</f>
        <v/>
      </c>
      <c r="SI4" s="11" t="str">
        <f t="shared" ref="SI4:SI26" si="208">IF(RT4&gt;0,RT4,"")</f>
        <v/>
      </c>
      <c r="SJ4" s="11" t="str">
        <f t="shared" ref="SJ4:SJ26" si="209">IF(RU4&gt;0,RU4,"")</f>
        <v/>
      </c>
      <c r="SK4" s="11" t="str">
        <f t="shared" ref="SK4:SK26" si="210">IF(SUM(RR4:RU4)-RV4&gt;0,SUM(RR4:RU4)-RV4,"")</f>
        <v/>
      </c>
      <c r="SL4" s="11" t="str">
        <f t="shared" ref="SL4:SL26" si="211">IF(RY4&gt;0,RY4,"")</f>
        <v/>
      </c>
      <c r="SM4" s="11" t="str">
        <f t="shared" ref="SM4:SM26" si="212">IF(RZ4&gt;0,RZ4,"")</f>
        <v/>
      </c>
      <c r="SN4" s="11" t="str">
        <f t="shared" ref="SN4:SN26" si="213">IF(SUM(RW4:RZ4)-SA4&gt;0,SUM(RW4:RZ4)-SA4,"")</f>
        <v/>
      </c>
      <c r="SO4" s="11" t="str">
        <f t="shared" ref="SO4:SO26" si="214">IF(SUM(SH4,SK4,SN4)&gt;0,SUM(SH4,SK4,SN4),"")</f>
        <v/>
      </c>
      <c r="SP4" s="15"/>
      <c r="SQ4" s="15"/>
      <c r="SR4" s="15"/>
      <c r="SS4" s="15"/>
      <c r="ST4" s="15"/>
      <c r="SU4" s="15"/>
      <c r="SV4" s="15"/>
      <c r="SW4" s="15"/>
      <c r="SX4" s="15"/>
      <c r="SY4" s="15"/>
      <c r="SZ4" s="15"/>
      <c r="TA4" s="15"/>
      <c r="TB4" s="15"/>
      <c r="TC4" s="15"/>
      <c r="TD4" s="15"/>
      <c r="TE4" s="15"/>
      <c r="TF4" s="15"/>
      <c r="TG4" s="15"/>
      <c r="TH4" s="15"/>
      <c r="TI4" s="15"/>
      <c r="TJ4" s="36" t="str">
        <f t="shared" ref="TJ4:TJ26" si="215">IF(SR4&gt;0,SR4,"")</f>
        <v/>
      </c>
      <c r="TK4" s="36" t="str">
        <f t="shared" ref="TK4:TK26" si="216">IF(SS4&gt;0,SS4,"")</f>
        <v/>
      </c>
      <c r="TL4" s="36" t="str">
        <f t="shared" ref="TL4:TL26" si="217">IF(SUM(SP4:SS4)-ST4&gt;0,SUM(SP4:SS4)-ST4,"")</f>
        <v/>
      </c>
      <c r="TM4" s="36" t="str">
        <f t="shared" ref="TM4:TM26" si="218">IF(SW4&gt;0,SW4,"")</f>
        <v/>
      </c>
      <c r="TN4" s="36" t="str">
        <f t="shared" ref="TN4:TN26" si="219">IF(SX4&gt;0,SX4,"")</f>
        <v/>
      </c>
      <c r="TO4" s="36" t="str">
        <f t="shared" ref="TO4:TO26" si="220">IF(SUM(SU4:SX4)-SY4&gt;0,SUM(SU4:SX4)-SY4,"")</f>
        <v/>
      </c>
      <c r="TP4" s="36" t="str">
        <f t="shared" ref="TP4:TP26" si="221">IF(MAX(TL4,TO4)&gt;0,MAX(TL4,TO4),"")</f>
        <v/>
      </c>
      <c r="TQ4" s="36" t="str">
        <f t="shared" ref="TQ4:TQ26" si="222">IF(TB4&gt;0,TB4,"")</f>
        <v/>
      </c>
      <c r="TR4" s="36" t="str">
        <f t="shared" ref="TR4:TR26" si="223">IF(TC4&gt;0,TC4,"")</f>
        <v/>
      </c>
      <c r="TS4" s="36" t="str">
        <f t="shared" ref="TS4:TS26" si="224">IF(SUM(SZ4:TC4)-TD4&gt;0,SUM(SZ4:TC4)-TD4,"")</f>
        <v/>
      </c>
      <c r="TT4" s="36" t="str">
        <f t="shared" ref="TT4:TT26" si="225">IF(TG4&gt;0,TG4,"")</f>
        <v/>
      </c>
      <c r="TU4" s="36" t="str">
        <f t="shared" ref="TU4:TU26" si="226">IF(TH4&gt;0,TH4,"")</f>
        <v/>
      </c>
      <c r="TV4" s="36" t="str">
        <f t="shared" ref="TV4:TV26" si="227">IF(SUM(TE4:TH4)-TI4&gt;0,SUM(TE4:TH4)-TI4,"")</f>
        <v/>
      </c>
      <c r="TW4" s="36" t="str">
        <f t="shared" ref="TW4:TW26" si="228">IF(SUM(TP4,TS4,TV4)&gt;0,SUM(TP4,TS4,TV4),"")</f>
        <v/>
      </c>
      <c r="TX4" s="16"/>
      <c r="TY4" s="16"/>
      <c r="TZ4" s="16"/>
      <c r="UA4" s="16"/>
      <c r="UB4" s="16"/>
      <c r="UC4" s="16"/>
      <c r="UD4" s="16"/>
      <c r="UE4" s="16"/>
      <c r="UF4" s="16"/>
      <c r="UG4" s="16"/>
      <c r="UH4" s="16"/>
      <c r="UI4" s="16"/>
      <c r="UJ4" s="16"/>
      <c r="UK4" s="16"/>
      <c r="UL4" s="16"/>
      <c r="UM4" s="16"/>
      <c r="UN4" s="16"/>
      <c r="UO4" s="16"/>
      <c r="UP4" s="16"/>
      <c r="UQ4" s="16"/>
      <c r="UR4" s="11" t="str">
        <f t="shared" ref="UR4:UR26" si="229">IF(TZ4&gt;0,TZ4,"")</f>
        <v/>
      </c>
      <c r="US4" s="11" t="str">
        <f t="shared" ref="US4:US26" si="230">IF(UA4&gt;0,UA4,"")</f>
        <v/>
      </c>
      <c r="UT4" s="11" t="str">
        <f t="shared" ref="UT4:UT26" si="231">IF(SUM(TX4:UA4)-UB4&gt;0,SUM(TX4:UA4)-UB4,"")</f>
        <v/>
      </c>
      <c r="UU4" s="11" t="str">
        <f t="shared" ref="UU4:UU26" si="232">IF(UE4&gt;0,UE4,"")</f>
        <v/>
      </c>
      <c r="UV4" s="11" t="str">
        <f t="shared" ref="UV4:UV26" si="233">IF(UF4&gt;0,UF4,"")</f>
        <v/>
      </c>
      <c r="UW4" s="11" t="str">
        <f t="shared" ref="UW4:UW26" si="234">IF(SUM(UC4:UF4)-UG4&gt;0,SUM(UC4:UF4)-UG4,"")</f>
        <v/>
      </c>
      <c r="UX4" s="11" t="str">
        <f t="shared" ref="UX4:UX26" si="235">IF(MAX(UT4,UW4)&gt;0,MAX(UT4,UW4),"")</f>
        <v/>
      </c>
      <c r="UY4" s="11" t="str">
        <f t="shared" ref="UY4:UY26" si="236">IF(UJ4&gt;0,UJ4,"")</f>
        <v/>
      </c>
      <c r="UZ4" s="11" t="str">
        <f t="shared" ref="UZ4:UZ26" si="237">IF(UK4&gt;0,UK4,"")</f>
        <v/>
      </c>
      <c r="VA4" s="11" t="str">
        <f t="shared" ref="VA4:VA26" si="238">IF(SUM(UH4:UK4)-UL4&gt;0,SUM(UH4:UK4)-UL4,"")</f>
        <v/>
      </c>
      <c r="VB4" s="11" t="str">
        <f t="shared" ref="VB4:VB26" si="239">IF(UO4&gt;0,UO4,"")</f>
        <v/>
      </c>
      <c r="VC4" s="11" t="str">
        <f t="shared" ref="VC4:VC26" si="240">IF(UP4&gt;0,UP4,"")</f>
        <v/>
      </c>
      <c r="VD4" s="11" t="str">
        <f t="shared" ref="VD4:VD26" si="241">IF(SUM(UM4:UP4)-UQ4&gt;0,SUM(UM4:UP4)-UQ4,"")</f>
        <v/>
      </c>
      <c r="VE4" s="11" t="str">
        <f t="shared" ref="VE4:VE26" si="242">IF(SUM(UX4,VA4,VD4)&gt;0,SUM(UX4,VA4,VD4),"")</f>
        <v/>
      </c>
      <c r="VF4" s="15"/>
      <c r="VG4" s="15"/>
      <c r="VH4" s="15"/>
      <c r="VI4" s="15"/>
      <c r="VJ4" s="15"/>
      <c r="VK4" s="15"/>
      <c r="VL4" s="15"/>
      <c r="VM4" s="15"/>
      <c r="VN4" s="15"/>
      <c r="VO4" s="15"/>
      <c r="VP4" s="15"/>
      <c r="VQ4" s="15"/>
      <c r="VR4" s="15"/>
      <c r="VS4" s="15"/>
      <c r="VT4" s="15"/>
      <c r="VU4" s="15"/>
      <c r="VV4" s="15"/>
      <c r="VW4" s="15"/>
      <c r="VX4" s="15"/>
      <c r="VY4" s="15"/>
      <c r="VZ4" s="36" t="str">
        <f t="shared" ref="VZ4:VZ26" si="243">IF(VH4&gt;0,VH4,"")</f>
        <v/>
      </c>
      <c r="WA4" s="36" t="str">
        <f t="shared" ref="WA4:WA26" si="244">IF(VI4&gt;0,VI4,"")</f>
        <v/>
      </c>
      <c r="WB4" s="36" t="str">
        <f t="shared" ref="WB4:WB26" si="245">IF(SUM(VF4:VI4)-VJ4&gt;0,SUM(VF4:VI4)-VJ4,"")</f>
        <v/>
      </c>
      <c r="WC4" s="36" t="str">
        <f t="shared" ref="WC4:WC26" si="246">IF(VM4&gt;0,VM4,"")</f>
        <v/>
      </c>
      <c r="WD4" s="36" t="str">
        <f t="shared" ref="WD4:WD26" si="247">IF(VN4&gt;0,VN4,"")</f>
        <v/>
      </c>
      <c r="WE4" s="36" t="str">
        <f t="shared" ref="WE4:WE26" si="248">IF(SUM(VK4:VN4)-VO4&gt;0,SUM(VK4:VN4)-VO4,"")</f>
        <v/>
      </c>
      <c r="WF4" s="36" t="str">
        <f t="shared" ref="WF4:WF26" si="249">IF(MAX(WB4,WE4)&gt;0,MAX(WB4,WE4),"")</f>
        <v/>
      </c>
      <c r="WG4" s="36" t="str">
        <f t="shared" ref="WG4:WG26" si="250">IF(VR4&gt;0,VR4,"")</f>
        <v/>
      </c>
      <c r="WH4" s="36" t="str">
        <f t="shared" ref="WH4:WH26" si="251">IF(VS4&gt;0,VS4,"")</f>
        <v/>
      </c>
      <c r="WI4" s="36" t="str">
        <f t="shared" ref="WI4:WI26" si="252">IF(SUM(VP4:VS4)-VT4&gt;0,SUM(VP4:VS4)-VT4,"")</f>
        <v/>
      </c>
      <c r="WJ4" s="36" t="str">
        <f t="shared" ref="WJ4:WJ26" si="253">IF(VW4&gt;0,VW4,"")</f>
        <v/>
      </c>
      <c r="WK4" s="36" t="str">
        <f t="shared" ref="WK4:WK26" si="254">IF(VX4&gt;0,VX4,"")</f>
        <v/>
      </c>
      <c r="WL4" s="36" t="str">
        <f t="shared" ref="WL4:WL26" si="255">IF(SUM(VU4:VX4)-VY4&gt;0,SUM(VU4:VX4)-VY4,"")</f>
        <v/>
      </c>
      <c r="WM4" s="36" t="str">
        <f t="shared" ref="WM4:WM26" si="256">IF(SUM(WF4,WI4,WL4)&gt;0,SUM(WF4,WI4,WL4),"")</f>
        <v/>
      </c>
    </row>
    <row r="5" spans="1:611" x14ac:dyDescent="0.2">
      <c r="A5" s="4" cm="1">
        <f t="array" ref="A5">IF(AND(H5&lt;&gt;"",H5&lt;&gt;"No DD"),SUMPRODUCT((H$4:H$27&lt;&gt;"")*(H$4:H$27&lt;&gt;"No DD")*(E$4:E$27&gt;E5))+1,IF(H5="No DD",SUMPRODUCT((H$4:H$27="No DD")*(E$4:E$27&gt;E5))+1+SUMPRODUCT((H$4:H$27&lt;&gt;"")*(H$4:H$27&lt;&gt;"No DD")),""))</f>
        <v>2</v>
      </c>
      <c r="B5" s="5" t="s">
        <v>4</v>
      </c>
      <c r="C5" s="4" t="s">
        <v>5</v>
      </c>
      <c r="D5" s="4">
        <v>1992</v>
      </c>
      <c r="E5" s="9">
        <f t="shared" si="0"/>
        <v>173.83001735900584</v>
      </c>
      <c r="F5" s="3" t="str">
        <f t="shared" si="1"/>
        <v>P</v>
      </c>
      <c r="G5" s="3" t="str">
        <f t="shared" si="2"/>
        <v>P</v>
      </c>
      <c r="H5" s="32" t="str">
        <f t="shared" si="3"/>
        <v>National Team</v>
      </c>
      <c r="I5" s="3" t="str">
        <f t="shared" si="4"/>
        <v/>
      </c>
      <c r="J5" s="8">
        <f t="shared" si="5"/>
        <v>57.89</v>
      </c>
      <c r="K5" s="8" t="str">
        <f t="shared" si="6"/>
        <v>2025 Elite Canada</v>
      </c>
      <c r="L5" s="8">
        <f>IFERROR(IF(J5=AR5,LARGE((AK5,AN5,BL5,BO5,BS5,CM5,CP5,CT5),1),IF(J5=BS5,LARGE((AK5,AN5,AR5,BL5,BO5,CM5,CP5,CT5),1),LARGE((AK5,AN5,AR5,BL5,BO5,BS5,CM5,CP5),1))),0)</f>
        <v>58.58</v>
      </c>
      <c r="M5" s="8" t="str">
        <f t="shared" si="7"/>
        <v>2025 Elite Canada</v>
      </c>
      <c r="N5" s="8">
        <f>IFERROR(IF(J5=AR5,LARGE((AK5,AN5,BL5,BO5,BS5,CM5,CP5,CT5),2),IF(J5=BS5,LARGE((AK5,AN5,AR5,BL5,BO5,CM5,CP5,CT5),2),LARGE((AK5,AN5,AR5,BL5,BO5,BS5,CM5,CP5),2))),0)</f>
        <v>57.120000000000005</v>
      </c>
      <c r="O5" s="8" t="str">
        <f t="shared" si="8"/>
        <v>2025 3rd Domestic Trial</v>
      </c>
      <c r="P5" s="8">
        <f t="shared" si="9"/>
        <v>0.23999999999999488</v>
      </c>
      <c r="Q5" s="11" t="str">
        <f t="shared" si="10"/>
        <v>(Any)</v>
      </c>
      <c r="R5" s="8" t="str">
        <f t="shared" si="11"/>
        <v>2025 World Cup POR (July 6)</v>
      </c>
      <c r="S5" s="18">
        <v>16.8</v>
      </c>
      <c r="T5" s="18">
        <v>9.3000000000000007</v>
      </c>
      <c r="U5" s="18">
        <v>16.5</v>
      </c>
      <c r="V5" s="18">
        <v>15.98</v>
      </c>
      <c r="W5" s="18">
        <v>0</v>
      </c>
      <c r="X5" s="18">
        <v>1.8</v>
      </c>
      <c r="Y5" s="18">
        <v>0.8</v>
      </c>
      <c r="Z5" s="18">
        <v>2</v>
      </c>
      <c r="AA5" s="18">
        <v>1.75</v>
      </c>
      <c r="AB5" s="18">
        <v>0</v>
      </c>
      <c r="AC5" s="18">
        <v>16.8</v>
      </c>
      <c r="AD5" s="18">
        <v>8.8000000000000007</v>
      </c>
      <c r="AE5" s="18">
        <v>16.100000000000001</v>
      </c>
      <c r="AF5" s="18">
        <v>16.190000000000001</v>
      </c>
      <c r="AG5" s="18">
        <v>0</v>
      </c>
      <c r="AH5" s="23"/>
      <c r="AI5" s="34">
        <f t="shared" si="12"/>
        <v>16.5</v>
      </c>
      <c r="AJ5" s="34">
        <f t="shared" si="13"/>
        <v>15.98</v>
      </c>
      <c r="AK5" s="36">
        <f t="shared" si="14"/>
        <v>58.58</v>
      </c>
      <c r="AL5" s="36">
        <f t="shared" si="15"/>
        <v>2</v>
      </c>
      <c r="AM5" s="36">
        <f t="shared" si="16"/>
        <v>1.75</v>
      </c>
      <c r="AN5" s="36">
        <f t="shared" si="17"/>
        <v>6.35</v>
      </c>
      <c r="AO5" s="36">
        <f t="shared" si="18"/>
        <v>58.58</v>
      </c>
      <c r="AP5" s="36">
        <f t="shared" si="19"/>
        <v>16.100000000000001</v>
      </c>
      <c r="AQ5" s="36">
        <f t="shared" si="20"/>
        <v>16.190000000000001</v>
      </c>
      <c r="AR5" s="36">
        <f t="shared" si="21"/>
        <v>57.89</v>
      </c>
      <c r="AS5" s="36">
        <f t="shared" si="22"/>
        <v>116.47</v>
      </c>
      <c r="AT5" s="22">
        <v>16.100000000000001</v>
      </c>
      <c r="AU5" s="22">
        <v>8.8000000000000007</v>
      </c>
      <c r="AV5" s="22">
        <v>14.9</v>
      </c>
      <c r="AW5" s="22">
        <v>15.86</v>
      </c>
      <c r="AX5" s="22">
        <v>0</v>
      </c>
      <c r="AY5" s="22">
        <v>5.8</v>
      </c>
      <c r="AZ5" s="22">
        <v>3.4</v>
      </c>
      <c r="BA5" s="22">
        <v>6.7</v>
      </c>
      <c r="BB5" s="22">
        <v>6.41</v>
      </c>
      <c r="BC5" s="22">
        <v>0</v>
      </c>
      <c r="BD5" s="22">
        <v>15.6</v>
      </c>
      <c r="BE5" s="22">
        <v>9</v>
      </c>
      <c r="BF5" s="22">
        <v>15.7</v>
      </c>
      <c r="BG5" s="22">
        <v>15.35</v>
      </c>
      <c r="BH5" s="22">
        <v>0</v>
      </c>
      <c r="BI5" s="24"/>
      <c r="BJ5" s="35">
        <f t="shared" si="23"/>
        <v>14.9</v>
      </c>
      <c r="BK5" s="35">
        <f t="shared" si="24"/>
        <v>15.86</v>
      </c>
      <c r="BL5" s="11">
        <f t="shared" si="25"/>
        <v>55.660000000000004</v>
      </c>
      <c r="BM5" s="11">
        <f t="shared" si="26"/>
        <v>6.7</v>
      </c>
      <c r="BN5" s="11">
        <f t="shared" si="27"/>
        <v>6.41</v>
      </c>
      <c r="BO5" s="11">
        <f t="shared" si="28"/>
        <v>22.31</v>
      </c>
      <c r="BP5" s="11">
        <f t="shared" si="29"/>
        <v>55.660000000000004</v>
      </c>
      <c r="BQ5" s="11">
        <f t="shared" si="30"/>
        <v>15.7</v>
      </c>
      <c r="BR5" s="11">
        <f t="shared" si="31"/>
        <v>15.35</v>
      </c>
      <c r="BS5" s="11">
        <f t="shared" si="32"/>
        <v>55.65</v>
      </c>
      <c r="BT5" s="11">
        <f t="shared" si="33"/>
        <v>111.31</v>
      </c>
      <c r="BU5" s="18">
        <v>16.450000000000003</v>
      </c>
      <c r="BV5" s="18">
        <v>9.0500000000000007</v>
      </c>
      <c r="BW5" s="18">
        <v>15.7</v>
      </c>
      <c r="BX5" s="18">
        <v>15.92</v>
      </c>
      <c r="BY5" s="18">
        <v>0</v>
      </c>
      <c r="BZ5" s="18">
        <v>3.8</v>
      </c>
      <c r="CA5" s="18">
        <v>2.1</v>
      </c>
      <c r="CB5" s="18">
        <v>4.3499999999999996</v>
      </c>
      <c r="CC5" s="18">
        <v>4.08</v>
      </c>
      <c r="CD5" s="18">
        <v>0</v>
      </c>
      <c r="CE5" s="18">
        <v>16.2</v>
      </c>
      <c r="CF5" s="18">
        <v>8.9</v>
      </c>
      <c r="CG5" s="18">
        <v>15.9</v>
      </c>
      <c r="CH5" s="18">
        <v>15.77</v>
      </c>
      <c r="CI5" s="18">
        <v>0</v>
      </c>
      <c r="CJ5" s="23" t="s">
        <v>42</v>
      </c>
      <c r="CK5" s="34">
        <f t="shared" si="34"/>
        <v>15.7</v>
      </c>
      <c r="CL5" s="34">
        <f t="shared" si="35"/>
        <v>15.92</v>
      </c>
      <c r="CM5" s="36">
        <f t="shared" si="36"/>
        <v>57.120000000000005</v>
      </c>
      <c r="CN5" s="36">
        <f t="shared" si="37"/>
        <v>4.3499999999999996</v>
      </c>
      <c r="CO5" s="36">
        <f t="shared" si="38"/>
        <v>4.08</v>
      </c>
      <c r="CP5" s="36">
        <f t="shared" si="39"/>
        <v>14.33</v>
      </c>
      <c r="CQ5" s="36">
        <f t="shared" si="40"/>
        <v>57.120000000000005</v>
      </c>
      <c r="CR5" s="36">
        <f t="shared" si="41"/>
        <v>15.9</v>
      </c>
      <c r="CS5" s="36">
        <f t="shared" si="42"/>
        <v>15.77</v>
      </c>
      <c r="CT5" s="36">
        <f t="shared" si="43"/>
        <v>56.769999999999996</v>
      </c>
      <c r="CU5" s="36">
        <f t="shared" si="44"/>
        <v>113.89</v>
      </c>
      <c r="CV5" s="47" t="str">
        <f t="shared" si="45"/>
        <v/>
      </c>
      <c r="CW5" s="47">
        <f t="shared" si="46"/>
        <v>0.23999999999999488</v>
      </c>
      <c r="CX5" s="15"/>
      <c r="CY5" s="15"/>
      <c r="CZ5" s="15"/>
      <c r="DA5" s="15"/>
      <c r="DB5" s="15"/>
      <c r="DC5" s="15"/>
      <c r="DD5" s="15"/>
      <c r="DE5" s="15"/>
      <c r="DF5" s="15"/>
      <c r="DG5" s="15"/>
      <c r="DH5" s="15"/>
      <c r="DI5" s="15"/>
      <c r="DJ5" s="15"/>
      <c r="DK5" s="15"/>
      <c r="DL5" s="15"/>
      <c r="DM5" s="15"/>
      <c r="DN5" s="15"/>
      <c r="DO5" s="15"/>
      <c r="DP5" s="15"/>
      <c r="DQ5" s="15"/>
      <c r="DR5" s="36" t="str">
        <f t="shared" si="47"/>
        <v/>
      </c>
      <c r="DS5" s="36" t="str">
        <f t="shared" si="48"/>
        <v/>
      </c>
      <c r="DT5" s="36" t="str">
        <f t="shared" si="49"/>
        <v/>
      </c>
      <c r="DU5" s="36" t="str">
        <f t="shared" si="50"/>
        <v/>
      </c>
      <c r="DV5" s="36" t="str">
        <f t="shared" si="51"/>
        <v/>
      </c>
      <c r="DW5" s="36" t="str">
        <f t="shared" si="52"/>
        <v/>
      </c>
      <c r="DX5" s="36" t="str">
        <f t="shared" si="53"/>
        <v/>
      </c>
      <c r="DY5" s="36" t="str">
        <f t="shared" si="54"/>
        <v/>
      </c>
      <c r="DZ5" s="36" t="str">
        <f t="shared" si="55"/>
        <v/>
      </c>
      <c r="EA5" s="36" t="str">
        <f t="shared" si="56"/>
        <v/>
      </c>
      <c r="EB5" s="36" t="str">
        <f t="shared" si="57"/>
        <v/>
      </c>
      <c r="EC5" s="36" t="str">
        <f t="shared" si="58"/>
        <v/>
      </c>
      <c r="ED5" s="36" t="str">
        <f t="shared" si="59"/>
        <v/>
      </c>
      <c r="EE5" s="36" t="str">
        <f t="shared" si="60"/>
        <v/>
      </c>
      <c r="EF5" s="16"/>
      <c r="EG5" s="16"/>
      <c r="EH5" s="16"/>
      <c r="EI5" s="16"/>
      <c r="EJ5" s="16"/>
      <c r="EK5" s="16"/>
      <c r="EL5" s="16"/>
      <c r="EM5" s="16"/>
      <c r="EN5" s="16"/>
      <c r="EO5" s="16"/>
      <c r="EP5" s="16"/>
      <c r="EQ5" s="16"/>
      <c r="ER5" s="16"/>
      <c r="ES5" s="16"/>
      <c r="ET5" s="16"/>
      <c r="EU5" s="16"/>
      <c r="EV5" s="16"/>
      <c r="EW5" s="16"/>
      <c r="EX5" s="16"/>
      <c r="EY5" s="16"/>
      <c r="EZ5" s="11" t="str">
        <f t="shared" si="61"/>
        <v/>
      </c>
      <c r="FA5" s="11" t="str">
        <f t="shared" si="62"/>
        <v/>
      </c>
      <c r="FB5" s="11" t="str">
        <f t="shared" si="63"/>
        <v/>
      </c>
      <c r="FC5" s="11" t="str">
        <f t="shared" si="64"/>
        <v/>
      </c>
      <c r="FD5" s="11" t="str">
        <f t="shared" si="65"/>
        <v/>
      </c>
      <c r="FE5" s="11" t="str">
        <f t="shared" si="66"/>
        <v/>
      </c>
      <c r="FF5" s="11" t="str">
        <f t="shared" si="67"/>
        <v/>
      </c>
      <c r="FG5" s="11" t="str">
        <f t="shared" si="68"/>
        <v/>
      </c>
      <c r="FH5" s="11" t="str">
        <f t="shared" si="69"/>
        <v/>
      </c>
      <c r="FI5" s="11" t="str">
        <f t="shared" si="70"/>
        <v/>
      </c>
      <c r="FJ5" s="11" t="str">
        <f t="shared" si="71"/>
        <v/>
      </c>
      <c r="FK5" s="11" t="str">
        <f t="shared" si="72"/>
        <v/>
      </c>
      <c r="FL5" s="11" t="str">
        <f t="shared" si="73"/>
        <v/>
      </c>
      <c r="FM5" s="11" t="str">
        <f t="shared" si="74"/>
        <v/>
      </c>
      <c r="FN5" s="15">
        <v>15.3</v>
      </c>
      <c r="FO5" s="15">
        <v>9.1999999999999993</v>
      </c>
      <c r="FP5" s="15">
        <v>17</v>
      </c>
      <c r="FQ5" s="15">
        <v>15.79</v>
      </c>
      <c r="FR5" s="15">
        <v>0</v>
      </c>
      <c r="FS5" s="15">
        <v>15.2</v>
      </c>
      <c r="FT5" s="15">
        <v>9.3000000000000007</v>
      </c>
      <c r="FU5" s="15">
        <v>17</v>
      </c>
      <c r="FV5" s="15">
        <v>15.86</v>
      </c>
      <c r="FW5" s="15">
        <v>0</v>
      </c>
      <c r="FX5" s="15"/>
      <c r="FY5" s="15"/>
      <c r="FZ5" s="15"/>
      <c r="GA5" s="15"/>
      <c r="GB5" s="15"/>
      <c r="GC5" s="15"/>
      <c r="GD5" s="15"/>
      <c r="GE5" s="15"/>
      <c r="GF5" s="15"/>
      <c r="GG5" s="15"/>
      <c r="GH5" s="36">
        <f t="shared" si="75"/>
        <v>17</v>
      </c>
      <c r="GI5" s="36">
        <f t="shared" si="76"/>
        <v>15.79</v>
      </c>
      <c r="GJ5" s="36">
        <f t="shared" si="77"/>
        <v>57.29</v>
      </c>
      <c r="GK5" s="36">
        <f t="shared" si="78"/>
        <v>17</v>
      </c>
      <c r="GL5" s="36">
        <f t="shared" si="79"/>
        <v>15.86</v>
      </c>
      <c r="GM5" s="36">
        <f t="shared" si="80"/>
        <v>57.36</v>
      </c>
      <c r="GN5" s="36">
        <f t="shared" si="81"/>
        <v>57.36</v>
      </c>
      <c r="GO5" s="36" t="str">
        <f t="shared" si="82"/>
        <v/>
      </c>
      <c r="GP5" s="36" t="str">
        <f t="shared" si="83"/>
        <v/>
      </c>
      <c r="GQ5" s="36" t="str">
        <f t="shared" si="84"/>
        <v/>
      </c>
      <c r="GR5" s="36" t="str">
        <f t="shared" si="85"/>
        <v/>
      </c>
      <c r="GS5" s="36" t="str">
        <f t="shared" si="86"/>
        <v/>
      </c>
      <c r="GT5" s="36" t="str">
        <f t="shared" si="87"/>
        <v/>
      </c>
      <c r="GU5" s="36">
        <f t="shared" si="88"/>
        <v>57.36</v>
      </c>
      <c r="GV5" s="16"/>
      <c r="GW5" s="16"/>
      <c r="GX5" s="16"/>
      <c r="GY5" s="16"/>
      <c r="GZ5" s="16"/>
      <c r="HA5" s="16"/>
      <c r="HB5" s="16"/>
      <c r="HC5" s="16"/>
      <c r="HD5" s="16"/>
      <c r="HE5" s="16"/>
      <c r="HF5" s="16"/>
      <c r="HG5" s="16"/>
      <c r="HH5" s="16"/>
      <c r="HI5" s="16"/>
      <c r="HJ5" s="16"/>
      <c r="HK5" s="16"/>
      <c r="HL5" s="16"/>
      <c r="HM5" s="16"/>
      <c r="HN5" s="16"/>
      <c r="HO5" s="16"/>
      <c r="HP5" s="11" t="str">
        <f t="shared" si="89"/>
        <v/>
      </c>
      <c r="HQ5" s="11" t="str">
        <f t="shared" si="90"/>
        <v/>
      </c>
      <c r="HR5" s="11" t="str">
        <f t="shared" si="91"/>
        <v/>
      </c>
      <c r="HS5" s="11" t="str">
        <f t="shared" si="92"/>
        <v/>
      </c>
      <c r="HT5" s="11" t="str">
        <f t="shared" si="93"/>
        <v/>
      </c>
      <c r="HU5" s="11" t="str">
        <f t="shared" si="94"/>
        <v/>
      </c>
      <c r="HV5" s="11" t="str">
        <f t="shared" si="95"/>
        <v/>
      </c>
      <c r="HW5" s="11" t="str">
        <f t="shared" si="96"/>
        <v/>
      </c>
      <c r="HX5" s="11" t="str">
        <f t="shared" si="97"/>
        <v/>
      </c>
      <c r="HY5" s="11" t="str">
        <f t="shared" si="98"/>
        <v/>
      </c>
      <c r="HZ5" s="11" t="str">
        <f t="shared" si="99"/>
        <v/>
      </c>
      <c r="IA5" s="11" t="str">
        <f t="shared" si="100"/>
        <v/>
      </c>
      <c r="IB5" s="11" t="str">
        <f t="shared" si="101"/>
        <v/>
      </c>
      <c r="IC5" s="11" t="str">
        <f t="shared" si="102"/>
        <v/>
      </c>
      <c r="ID5" s="15"/>
      <c r="IE5" s="15"/>
      <c r="IF5" s="15"/>
      <c r="IG5" s="15"/>
      <c r="IH5" s="15"/>
      <c r="II5" s="15"/>
      <c r="IJ5" s="15"/>
      <c r="IK5" s="15"/>
      <c r="IL5" s="15"/>
      <c r="IM5" s="15"/>
      <c r="IN5" s="15"/>
      <c r="IO5" s="15"/>
      <c r="IP5" s="15"/>
      <c r="IQ5" s="15"/>
      <c r="IR5" s="15"/>
      <c r="IS5" s="15"/>
      <c r="IT5" s="15"/>
      <c r="IU5" s="15"/>
      <c r="IV5" s="15"/>
      <c r="IW5" s="15"/>
      <c r="IX5" s="36" t="str">
        <f t="shared" si="103"/>
        <v/>
      </c>
      <c r="IY5" s="36" t="str">
        <f t="shared" si="104"/>
        <v/>
      </c>
      <c r="IZ5" s="36" t="str">
        <f t="shared" si="105"/>
        <v/>
      </c>
      <c r="JA5" s="36" t="str">
        <f t="shared" si="106"/>
        <v/>
      </c>
      <c r="JB5" s="36" t="str">
        <f t="shared" si="107"/>
        <v/>
      </c>
      <c r="JC5" s="36" t="str">
        <f t="shared" si="108"/>
        <v/>
      </c>
      <c r="JD5" s="36" t="str">
        <f t="shared" si="109"/>
        <v/>
      </c>
      <c r="JE5" s="36" t="str">
        <f t="shared" si="110"/>
        <v/>
      </c>
      <c r="JF5" s="36" t="str">
        <f t="shared" si="111"/>
        <v/>
      </c>
      <c r="JG5" s="36" t="str">
        <f t="shared" si="112"/>
        <v/>
      </c>
      <c r="JH5" s="36" t="str">
        <f t="shared" si="113"/>
        <v/>
      </c>
      <c r="JI5" s="36" t="str">
        <f t="shared" si="114"/>
        <v/>
      </c>
      <c r="JJ5" s="36" t="str">
        <f t="shared" si="115"/>
        <v/>
      </c>
      <c r="JK5" s="36" t="str">
        <f t="shared" si="116"/>
        <v/>
      </c>
      <c r="JL5" s="16"/>
      <c r="JM5" s="16"/>
      <c r="JN5" s="16"/>
      <c r="JO5" s="16"/>
      <c r="JP5" s="16"/>
      <c r="JQ5" s="16"/>
      <c r="JR5" s="16"/>
      <c r="JS5" s="16"/>
      <c r="JT5" s="16"/>
      <c r="JU5" s="16"/>
      <c r="JV5" s="16"/>
      <c r="JW5" s="16"/>
      <c r="JX5" s="16"/>
      <c r="JY5" s="16"/>
      <c r="JZ5" s="16"/>
      <c r="KA5" s="16"/>
      <c r="KB5" s="16"/>
      <c r="KC5" s="16"/>
      <c r="KD5" s="16"/>
      <c r="KE5" s="16"/>
      <c r="KF5" s="11" t="str">
        <f t="shared" si="117"/>
        <v/>
      </c>
      <c r="KG5" s="11" t="str">
        <f t="shared" si="118"/>
        <v/>
      </c>
      <c r="KH5" s="11" t="str">
        <f t="shared" si="119"/>
        <v/>
      </c>
      <c r="KI5" s="11" t="str">
        <f t="shared" si="120"/>
        <v/>
      </c>
      <c r="KJ5" s="11" t="str">
        <f t="shared" si="121"/>
        <v/>
      </c>
      <c r="KK5" s="11" t="str">
        <f t="shared" si="122"/>
        <v/>
      </c>
      <c r="KL5" s="11" t="str">
        <f t="shared" si="123"/>
        <v/>
      </c>
      <c r="KM5" s="11" t="str">
        <f t="shared" si="124"/>
        <v/>
      </c>
      <c r="KN5" s="11" t="str">
        <f t="shared" si="125"/>
        <v/>
      </c>
      <c r="KO5" s="11" t="str">
        <f t="shared" si="126"/>
        <v/>
      </c>
      <c r="KP5" s="11" t="str">
        <f t="shared" si="127"/>
        <v/>
      </c>
      <c r="KQ5" s="11" t="str">
        <f t="shared" si="128"/>
        <v/>
      </c>
      <c r="KR5" s="11" t="str">
        <f t="shared" si="129"/>
        <v/>
      </c>
      <c r="KS5" s="11" t="str">
        <f t="shared" si="130"/>
        <v/>
      </c>
      <c r="KT5" s="15"/>
      <c r="KU5" s="15"/>
      <c r="KV5" s="15"/>
      <c r="KW5" s="15"/>
      <c r="KX5" s="15"/>
      <c r="KY5" s="15"/>
      <c r="KZ5" s="15"/>
      <c r="LA5" s="15"/>
      <c r="LB5" s="15"/>
      <c r="LC5" s="15"/>
      <c r="LD5" s="15"/>
      <c r="LE5" s="15"/>
      <c r="LF5" s="15"/>
      <c r="LG5" s="15"/>
      <c r="LH5" s="15"/>
      <c r="LI5" s="15"/>
      <c r="LJ5" s="15"/>
      <c r="LK5" s="15"/>
      <c r="LL5" s="15"/>
      <c r="LM5" s="15"/>
      <c r="LN5" s="36" t="str">
        <f t="shared" si="131"/>
        <v/>
      </c>
      <c r="LO5" s="36" t="str">
        <f t="shared" si="132"/>
        <v/>
      </c>
      <c r="LP5" s="36" t="str">
        <f t="shared" si="133"/>
        <v/>
      </c>
      <c r="LQ5" s="36" t="str">
        <f t="shared" si="134"/>
        <v/>
      </c>
      <c r="LR5" s="36" t="str">
        <f t="shared" si="135"/>
        <v/>
      </c>
      <c r="LS5" s="36" t="str">
        <f t="shared" si="136"/>
        <v/>
      </c>
      <c r="LT5" s="36" t="str">
        <f t="shared" si="137"/>
        <v/>
      </c>
      <c r="LU5" s="36" t="str">
        <f t="shared" si="138"/>
        <v/>
      </c>
      <c r="LV5" s="36" t="str">
        <f t="shared" si="139"/>
        <v/>
      </c>
      <c r="LW5" s="36" t="str">
        <f t="shared" si="140"/>
        <v/>
      </c>
      <c r="LX5" s="36" t="str">
        <f t="shared" si="141"/>
        <v/>
      </c>
      <c r="LY5" s="36" t="str">
        <f t="shared" si="142"/>
        <v/>
      </c>
      <c r="LZ5" s="36" t="str">
        <f t="shared" si="143"/>
        <v/>
      </c>
      <c r="MA5" s="36" t="str">
        <f t="shared" si="144"/>
        <v/>
      </c>
      <c r="MB5" s="16"/>
      <c r="MC5" s="16"/>
      <c r="MD5" s="16"/>
      <c r="ME5" s="16"/>
      <c r="MF5" s="16"/>
      <c r="MG5" s="16"/>
      <c r="MH5" s="16"/>
      <c r="MI5" s="16"/>
      <c r="MJ5" s="16"/>
      <c r="MK5" s="16"/>
      <c r="ML5" s="16"/>
      <c r="MM5" s="16"/>
      <c r="MN5" s="16"/>
      <c r="MO5" s="16"/>
      <c r="MP5" s="16"/>
      <c r="MQ5" s="16"/>
      <c r="MR5" s="16"/>
      <c r="MS5" s="16"/>
      <c r="MT5" s="16"/>
      <c r="MU5" s="16"/>
      <c r="MV5" s="11" t="str">
        <f t="shared" si="145"/>
        <v/>
      </c>
      <c r="MW5" s="11" t="str">
        <f t="shared" si="146"/>
        <v/>
      </c>
      <c r="MX5" s="11" t="str">
        <f t="shared" si="147"/>
        <v/>
      </c>
      <c r="MY5" s="11" t="str">
        <f t="shared" si="148"/>
        <v/>
      </c>
      <c r="MZ5" s="11" t="str">
        <f t="shared" si="149"/>
        <v/>
      </c>
      <c r="NA5" s="11" t="str">
        <f t="shared" si="150"/>
        <v/>
      </c>
      <c r="NB5" s="11" t="str">
        <f t="shared" si="151"/>
        <v/>
      </c>
      <c r="NC5" s="11" t="str">
        <f t="shared" si="152"/>
        <v/>
      </c>
      <c r="ND5" s="11" t="str">
        <f t="shared" si="153"/>
        <v/>
      </c>
      <c r="NE5" s="11" t="str">
        <f t="shared" si="154"/>
        <v/>
      </c>
      <c r="NF5" s="11" t="str">
        <f t="shared" si="155"/>
        <v/>
      </c>
      <c r="NG5" s="11" t="str">
        <f t="shared" si="156"/>
        <v/>
      </c>
      <c r="NH5" s="11" t="str">
        <f t="shared" si="157"/>
        <v/>
      </c>
      <c r="NI5" s="11" t="str">
        <f t="shared" si="158"/>
        <v/>
      </c>
      <c r="NJ5" s="15"/>
      <c r="NK5" s="15"/>
      <c r="NL5" s="15"/>
      <c r="NM5" s="15"/>
      <c r="NN5" s="15"/>
      <c r="NO5" s="15"/>
      <c r="NP5" s="15"/>
      <c r="NQ5" s="15"/>
      <c r="NR5" s="15"/>
      <c r="NS5" s="15"/>
      <c r="NT5" s="15"/>
      <c r="NU5" s="15"/>
      <c r="NV5" s="15"/>
      <c r="NW5" s="15"/>
      <c r="NX5" s="15"/>
      <c r="NY5" s="15"/>
      <c r="NZ5" s="15"/>
      <c r="OA5" s="15"/>
      <c r="OB5" s="15"/>
      <c r="OC5" s="15"/>
      <c r="OD5" s="36" t="str">
        <f t="shared" si="159"/>
        <v/>
      </c>
      <c r="OE5" s="36" t="str">
        <f t="shared" si="160"/>
        <v/>
      </c>
      <c r="OF5" s="36" t="str">
        <f t="shared" si="161"/>
        <v/>
      </c>
      <c r="OG5" s="36" t="str">
        <f t="shared" si="162"/>
        <v/>
      </c>
      <c r="OH5" s="36" t="str">
        <f t="shared" si="163"/>
        <v/>
      </c>
      <c r="OI5" s="36" t="str">
        <f t="shared" si="164"/>
        <v/>
      </c>
      <c r="OJ5" s="36" t="str">
        <f t="shared" si="165"/>
        <v/>
      </c>
      <c r="OK5" s="36" t="str">
        <f t="shared" si="166"/>
        <v/>
      </c>
      <c r="OL5" s="36" t="str">
        <f t="shared" si="167"/>
        <v/>
      </c>
      <c r="OM5" s="36" t="str">
        <f t="shared" si="168"/>
        <v/>
      </c>
      <c r="ON5" s="36" t="str">
        <f t="shared" si="169"/>
        <v/>
      </c>
      <c r="OO5" s="36" t="str">
        <f t="shared" si="170"/>
        <v/>
      </c>
      <c r="OP5" s="36" t="str">
        <f t="shared" si="171"/>
        <v/>
      </c>
      <c r="OQ5" s="36" t="str">
        <f t="shared" si="172"/>
        <v/>
      </c>
      <c r="OR5" s="16"/>
      <c r="OS5" s="16"/>
      <c r="OT5" s="16"/>
      <c r="OU5" s="16"/>
      <c r="OV5" s="16"/>
      <c r="OW5" s="16"/>
      <c r="OX5" s="16"/>
      <c r="OY5" s="16"/>
      <c r="OZ5" s="16"/>
      <c r="PA5" s="16"/>
      <c r="PB5" s="16"/>
      <c r="PC5" s="16"/>
      <c r="PD5" s="16"/>
      <c r="PE5" s="16"/>
      <c r="PF5" s="16"/>
      <c r="PG5" s="16"/>
      <c r="PH5" s="16"/>
      <c r="PI5" s="16"/>
      <c r="PJ5" s="16"/>
      <c r="PK5" s="16"/>
      <c r="PL5" s="11" t="str">
        <f t="shared" si="173"/>
        <v/>
      </c>
      <c r="PM5" s="11" t="str">
        <f t="shared" si="174"/>
        <v/>
      </c>
      <c r="PN5" s="11" t="str">
        <f t="shared" si="175"/>
        <v/>
      </c>
      <c r="PO5" s="11" t="str">
        <f t="shared" si="176"/>
        <v/>
      </c>
      <c r="PP5" s="11" t="str">
        <f t="shared" si="177"/>
        <v/>
      </c>
      <c r="PQ5" s="11" t="str">
        <f t="shared" si="178"/>
        <v/>
      </c>
      <c r="PR5" s="11" t="str">
        <f t="shared" si="179"/>
        <v/>
      </c>
      <c r="PS5" s="11" t="str">
        <f t="shared" si="180"/>
        <v/>
      </c>
      <c r="PT5" s="11" t="str">
        <f t="shared" si="181"/>
        <v/>
      </c>
      <c r="PU5" s="11" t="str">
        <f t="shared" si="182"/>
        <v/>
      </c>
      <c r="PV5" s="11" t="str">
        <f t="shared" si="183"/>
        <v/>
      </c>
      <c r="PW5" s="11" t="str">
        <f t="shared" si="184"/>
        <v/>
      </c>
      <c r="PX5" s="11" t="str">
        <f t="shared" si="185"/>
        <v/>
      </c>
      <c r="PY5" s="11" t="str">
        <f t="shared" si="186"/>
        <v/>
      </c>
      <c r="PZ5" s="15"/>
      <c r="QA5" s="15"/>
      <c r="QB5" s="15"/>
      <c r="QC5" s="15"/>
      <c r="QD5" s="15"/>
      <c r="QE5" s="15"/>
      <c r="QF5" s="15"/>
      <c r="QG5" s="15"/>
      <c r="QH5" s="15"/>
      <c r="QI5" s="15"/>
      <c r="QJ5" s="15"/>
      <c r="QK5" s="15"/>
      <c r="QL5" s="15"/>
      <c r="QM5" s="15"/>
      <c r="QN5" s="15"/>
      <c r="QO5" s="15"/>
      <c r="QP5" s="15"/>
      <c r="QQ5" s="15"/>
      <c r="QR5" s="15"/>
      <c r="QS5" s="15"/>
      <c r="QT5" s="36" t="str">
        <f t="shared" si="187"/>
        <v/>
      </c>
      <c r="QU5" s="36" t="str">
        <f t="shared" si="188"/>
        <v/>
      </c>
      <c r="QV5" s="36" t="str">
        <f t="shared" si="189"/>
        <v/>
      </c>
      <c r="QW5" s="36" t="str">
        <f t="shared" si="190"/>
        <v/>
      </c>
      <c r="QX5" s="36" t="str">
        <f t="shared" si="191"/>
        <v/>
      </c>
      <c r="QY5" s="36" t="str">
        <f t="shared" si="192"/>
        <v/>
      </c>
      <c r="QZ5" s="36" t="str">
        <f t="shared" si="193"/>
        <v/>
      </c>
      <c r="RA5" s="36" t="str">
        <f t="shared" si="194"/>
        <v/>
      </c>
      <c r="RB5" s="36" t="str">
        <f t="shared" si="195"/>
        <v/>
      </c>
      <c r="RC5" s="36" t="str">
        <f t="shared" si="196"/>
        <v/>
      </c>
      <c r="RD5" s="36" t="str">
        <f t="shared" si="197"/>
        <v/>
      </c>
      <c r="RE5" s="36" t="str">
        <f t="shared" si="198"/>
        <v/>
      </c>
      <c r="RF5" s="36" t="str">
        <f t="shared" si="199"/>
        <v/>
      </c>
      <c r="RG5" s="36" t="str">
        <f t="shared" si="200"/>
        <v/>
      </c>
      <c r="RH5" s="16"/>
      <c r="RI5" s="16"/>
      <c r="RJ5" s="16"/>
      <c r="RK5" s="16"/>
      <c r="RL5" s="16"/>
      <c r="RM5" s="16"/>
      <c r="RN5" s="16"/>
      <c r="RO5" s="16"/>
      <c r="RP5" s="16"/>
      <c r="RQ5" s="16"/>
      <c r="RR5" s="16"/>
      <c r="RS5" s="16"/>
      <c r="RT5" s="16"/>
      <c r="RU5" s="16"/>
      <c r="RV5" s="16"/>
      <c r="RW5" s="16"/>
      <c r="RX5" s="16"/>
      <c r="RY5" s="16"/>
      <c r="RZ5" s="16"/>
      <c r="SA5" s="16"/>
      <c r="SB5" s="11" t="str">
        <f t="shared" si="201"/>
        <v/>
      </c>
      <c r="SC5" s="11" t="str">
        <f t="shared" si="202"/>
        <v/>
      </c>
      <c r="SD5" s="11" t="str">
        <f t="shared" si="203"/>
        <v/>
      </c>
      <c r="SE5" s="11" t="str">
        <f t="shared" si="204"/>
        <v/>
      </c>
      <c r="SF5" s="11" t="str">
        <f t="shared" si="205"/>
        <v/>
      </c>
      <c r="SG5" s="11" t="str">
        <f t="shared" si="206"/>
        <v/>
      </c>
      <c r="SH5" s="11" t="str">
        <f t="shared" si="207"/>
        <v/>
      </c>
      <c r="SI5" s="11" t="str">
        <f t="shared" si="208"/>
        <v/>
      </c>
      <c r="SJ5" s="11" t="str">
        <f t="shared" si="209"/>
        <v/>
      </c>
      <c r="SK5" s="11" t="str">
        <f t="shared" si="210"/>
        <v/>
      </c>
      <c r="SL5" s="11" t="str">
        <f t="shared" si="211"/>
        <v/>
      </c>
      <c r="SM5" s="11" t="str">
        <f t="shared" si="212"/>
        <v/>
      </c>
      <c r="SN5" s="11" t="str">
        <f t="shared" si="213"/>
        <v/>
      </c>
      <c r="SO5" s="11" t="str">
        <f t="shared" si="214"/>
        <v/>
      </c>
      <c r="SP5" s="15"/>
      <c r="SQ5" s="15"/>
      <c r="SR5" s="15"/>
      <c r="SS5" s="15"/>
      <c r="ST5" s="15"/>
      <c r="SU5" s="15"/>
      <c r="SV5" s="15"/>
      <c r="SW5" s="15"/>
      <c r="SX5" s="15"/>
      <c r="SY5" s="15"/>
      <c r="SZ5" s="15"/>
      <c r="TA5" s="15"/>
      <c r="TB5" s="15"/>
      <c r="TC5" s="15"/>
      <c r="TD5" s="15"/>
      <c r="TE5" s="15"/>
      <c r="TF5" s="15"/>
      <c r="TG5" s="15"/>
      <c r="TH5" s="15"/>
      <c r="TI5" s="15"/>
      <c r="TJ5" s="36" t="str">
        <f t="shared" si="215"/>
        <v/>
      </c>
      <c r="TK5" s="36" t="str">
        <f t="shared" si="216"/>
        <v/>
      </c>
      <c r="TL5" s="36" t="str">
        <f t="shared" si="217"/>
        <v/>
      </c>
      <c r="TM5" s="36" t="str">
        <f t="shared" si="218"/>
        <v/>
      </c>
      <c r="TN5" s="36" t="str">
        <f t="shared" si="219"/>
        <v/>
      </c>
      <c r="TO5" s="36" t="str">
        <f t="shared" si="220"/>
        <v/>
      </c>
      <c r="TP5" s="36" t="str">
        <f t="shared" si="221"/>
        <v/>
      </c>
      <c r="TQ5" s="36" t="str">
        <f t="shared" si="222"/>
        <v/>
      </c>
      <c r="TR5" s="36" t="str">
        <f t="shared" si="223"/>
        <v/>
      </c>
      <c r="TS5" s="36" t="str">
        <f t="shared" si="224"/>
        <v/>
      </c>
      <c r="TT5" s="36" t="str">
        <f t="shared" si="225"/>
        <v/>
      </c>
      <c r="TU5" s="36" t="str">
        <f t="shared" si="226"/>
        <v/>
      </c>
      <c r="TV5" s="36" t="str">
        <f t="shared" si="227"/>
        <v/>
      </c>
      <c r="TW5" s="36" t="str">
        <f t="shared" si="228"/>
        <v/>
      </c>
      <c r="TX5" s="16"/>
      <c r="TY5" s="16"/>
      <c r="TZ5" s="16"/>
      <c r="UA5" s="16"/>
      <c r="UB5" s="16"/>
      <c r="UC5" s="16"/>
      <c r="UD5" s="16"/>
      <c r="UE5" s="16"/>
      <c r="UF5" s="16"/>
      <c r="UG5" s="16"/>
      <c r="UH5" s="16"/>
      <c r="UI5" s="16"/>
      <c r="UJ5" s="16"/>
      <c r="UK5" s="16"/>
      <c r="UL5" s="16"/>
      <c r="UM5" s="16"/>
      <c r="UN5" s="16"/>
      <c r="UO5" s="16"/>
      <c r="UP5" s="16"/>
      <c r="UQ5" s="16"/>
      <c r="UR5" s="11" t="str">
        <f t="shared" si="229"/>
        <v/>
      </c>
      <c r="US5" s="11" t="str">
        <f t="shared" si="230"/>
        <v/>
      </c>
      <c r="UT5" s="11" t="str">
        <f t="shared" si="231"/>
        <v/>
      </c>
      <c r="UU5" s="11" t="str">
        <f t="shared" si="232"/>
        <v/>
      </c>
      <c r="UV5" s="11" t="str">
        <f t="shared" si="233"/>
        <v/>
      </c>
      <c r="UW5" s="11" t="str">
        <f t="shared" si="234"/>
        <v/>
      </c>
      <c r="UX5" s="11" t="str">
        <f t="shared" si="235"/>
        <v/>
      </c>
      <c r="UY5" s="11" t="str">
        <f t="shared" si="236"/>
        <v/>
      </c>
      <c r="UZ5" s="11" t="str">
        <f t="shared" si="237"/>
        <v/>
      </c>
      <c r="VA5" s="11" t="str">
        <f t="shared" si="238"/>
        <v/>
      </c>
      <c r="VB5" s="11" t="str">
        <f t="shared" si="239"/>
        <v/>
      </c>
      <c r="VC5" s="11" t="str">
        <f t="shared" si="240"/>
        <v/>
      </c>
      <c r="VD5" s="11" t="str">
        <f t="shared" si="241"/>
        <v/>
      </c>
      <c r="VE5" s="11" t="str">
        <f t="shared" si="242"/>
        <v/>
      </c>
      <c r="VF5" s="15"/>
      <c r="VG5" s="15"/>
      <c r="VH5" s="15"/>
      <c r="VI5" s="15"/>
      <c r="VJ5" s="15"/>
      <c r="VK5" s="15"/>
      <c r="VL5" s="15"/>
      <c r="VM5" s="15"/>
      <c r="VN5" s="15"/>
      <c r="VO5" s="15"/>
      <c r="VP5" s="15"/>
      <c r="VQ5" s="15"/>
      <c r="VR5" s="15"/>
      <c r="VS5" s="15"/>
      <c r="VT5" s="15"/>
      <c r="VU5" s="15"/>
      <c r="VV5" s="15"/>
      <c r="VW5" s="15"/>
      <c r="VX5" s="15"/>
      <c r="VY5" s="15"/>
      <c r="VZ5" s="36" t="str">
        <f t="shared" si="243"/>
        <v/>
      </c>
      <c r="WA5" s="36" t="str">
        <f t="shared" si="244"/>
        <v/>
      </c>
      <c r="WB5" s="36" t="str">
        <f t="shared" si="245"/>
        <v/>
      </c>
      <c r="WC5" s="36" t="str">
        <f t="shared" si="246"/>
        <v/>
      </c>
      <c r="WD5" s="36" t="str">
        <f t="shared" si="247"/>
        <v/>
      </c>
      <c r="WE5" s="36" t="str">
        <f t="shared" si="248"/>
        <v/>
      </c>
      <c r="WF5" s="36" t="str">
        <f t="shared" si="249"/>
        <v/>
      </c>
      <c r="WG5" s="36" t="str">
        <f t="shared" si="250"/>
        <v/>
      </c>
      <c r="WH5" s="36" t="str">
        <f t="shared" si="251"/>
        <v/>
      </c>
      <c r="WI5" s="36" t="str">
        <f t="shared" si="252"/>
        <v/>
      </c>
      <c r="WJ5" s="36" t="str">
        <f t="shared" si="253"/>
        <v/>
      </c>
      <c r="WK5" s="36" t="str">
        <f t="shared" si="254"/>
        <v/>
      </c>
      <c r="WL5" s="36" t="str">
        <f t="shared" si="255"/>
        <v/>
      </c>
      <c r="WM5" s="36" t="str">
        <f t="shared" si="256"/>
        <v/>
      </c>
    </row>
    <row r="6" spans="1:611" x14ac:dyDescent="0.2">
      <c r="A6" s="4" cm="1">
        <f t="array" ref="A6">IF(AND(H6&lt;&gt;"",H6&lt;&gt;"No DD"),SUMPRODUCT((H$4:H$27&lt;&gt;"")*(H$4:H$27&lt;&gt;"No DD")*(E$4:E$27&gt;E6))+1,IF(H6="No DD",SUMPRODUCT((H$4:H$27="No DD")*(E$4:E$27&gt;E6))+1+SUMPRODUCT((H$4:H$27&lt;&gt;"")*(H$4:H$27&lt;&gt;"No DD")),""))</f>
        <v>3</v>
      </c>
      <c r="B6" s="5" t="s">
        <v>64</v>
      </c>
      <c r="C6" s="4" t="s">
        <v>3</v>
      </c>
      <c r="D6" s="4">
        <v>2002</v>
      </c>
      <c r="E6" s="9">
        <f t="shared" si="0"/>
        <v>171.01001421600589</v>
      </c>
      <c r="F6" s="3" t="str">
        <f t="shared" si="1"/>
        <v>P</v>
      </c>
      <c r="G6" s="3" t="str">
        <f t="shared" si="2"/>
        <v>P</v>
      </c>
      <c r="H6" s="32" t="str">
        <f t="shared" si="3"/>
        <v>National Team</v>
      </c>
      <c r="I6" s="3" t="str">
        <f t="shared" si="4"/>
        <v/>
      </c>
      <c r="J6" s="8">
        <f t="shared" si="5"/>
        <v>26.999999999999996</v>
      </c>
      <c r="K6" s="8" t="str">
        <f t="shared" si="6"/>
        <v>2025 Nationals</v>
      </c>
      <c r="L6" s="8">
        <f>IFERROR(IF(J6=AR6,LARGE((AK6,AN6,BL6,BO6,BS6,CM6,CP6,CT6),1),IF(J6=BS6,LARGE((AK6,AN6,AR6,BL6,BO6,CM6,CP6,CT6),1),LARGE((AK6,AN6,AR6,BL6,BO6,BS6,CM6,CP6),1))),0)</f>
        <v>58.769999999999996</v>
      </c>
      <c r="M6" s="8" t="str">
        <f t="shared" si="7"/>
        <v>2025 Nationals</v>
      </c>
      <c r="N6" s="8">
        <f>IFERROR(IF(J6=AR6,LARGE((AK6,AN6,BL6,BO6,BS6,CM6,CP6,CT6),2),IF(J6=BS6,LARGE((AK6,AN6,AR6,BL6,BO6,CM6,CP6,CT6),2),LARGE((AK6,AN6,AR6,BL6,BO6,BS6,CM6,CP6),2))),0)</f>
        <v>56.39</v>
      </c>
      <c r="O6" s="8" t="str">
        <f t="shared" si="8"/>
        <v>2025 Nationals</v>
      </c>
      <c r="P6" s="8">
        <f t="shared" si="9"/>
        <v>28.850000000000005</v>
      </c>
      <c r="Q6" s="11" t="str">
        <f t="shared" si="10"/>
        <v>(Final)</v>
      </c>
      <c r="R6" s="8" t="str">
        <f t="shared" si="11"/>
        <v>2025 Pan Am Championships (May 18)</v>
      </c>
      <c r="S6" s="18">
        <v>1.8</v>
      </c>
      <c r="T6" s="18">
        <v>0.8</v>
      </c>
      <c r="U6" s="18">
        <v>2</v>
      </c>
      <c r="V6" s="18">
        <v>1.7</v>
      </c>
      <c r="W6" s="18">
        <v>0</v>
      </c>
      <c r="X6" s="18">
        <v>3</v>
      </c>
      <c r="Y6" s="18">
        <v>1.8</v>
      </c>
      <c r="Z6" s="18">
        <v>4</v>
      </c>
      <c r="AA6" s="18">
        <v>3.34</v>
      </c>
      <c r="AB6" s="18">
        <v>0</v>
      </c>
      <c r="AC6" s="18"/>
      <c r="AD6" s="18"/>
      <c r="AE6" s="18"/>
      <c r="AF6" s="18"/>
      <c r="AG6" s="18"/>
      <c r="AH6" s="23"/>
      <c r="AI6" s="34">
        <f t="shared" si="12"/>
        <v>2</v>
      </c>
      <c r="AJ6" s="34">
        <f t="shared" si="13"/>
        <v>1.7</v>
      </c>
      <c r="AK6" s="36">
        <f t="shared" si="14"/>
        <v>6.3</v>
      </c>
      <c r="AL6" s="36">
        <f t="shared" si="15"/>
        <v>4</v>
      </c>
      <c r="AM6" s="36">
        <f t="shared" si="16"/>
        <v>3.34</v>
      </c>
      <c r="AN6" s="36">
        <f t="shared" si="17"/>
        <v>12.14</v>
      </c>
      <c r="AO6" s="36">
        <f t="shared" si="18"/>
        <v>12.14</v>
      </c>
      <c r="AP6" s="36" t="str">
        <f t="shared" si="19"/>
        <v/>
      </c>
      <c r="AQ6" s="36" t="str">
        <f t="shared" si="20"/>
        <v/>
      </c>
      <c r="AR6" s="36" t="str">
        <f t="shared" si="21"/>
        <v/>
      </c>
      <c r="AS6" s="36">
        <f t="shared" si="22"/>
        <v>12.14</v>
      </c>
      <c r="AT6" s="22">
        <v>15.8</v>
      </c>
      <c r="AU6" s="22">
        <v>9.4</v>
      </c>
      <c r="AV6" s="22">
        <v>16</v>
      </c>
      <c r="AW6" s="22">
        <v>15.19</v>
      </c>
      <c r="AX6" s="22">
        <v>0</v>
      </c>
      <c r="AY6" s="22">
        <v>16.399999999999999</v>
      </c>
      <c r="AZ6" s="22">
        <v>9.6999999999999993</v>
      </c>
      <c r="BA6" s="22">
        <v>16.8</v>
      </c>
      <c r="BB6" s="22">
        <v>15.87</v>
      </c>
      <c r="BC6" s="22">
        <v>0</v>
      </c>
      <c r="BD6" s="22">
        <v>7.9</v>
      </c>
      <c r="BE6" s="22">
        <v>4.3</v>
      </c>
      <c r="BF6" s="22">
        <v>7.1</v>
      </c>
      <c r="BG6" s="22">
        <v>7.7</v>
      </c>
      <c r="BH6" s="22">
        <v>0</v>
      </c>
      <c r="BI6" s="24"/>
      <c r="BJ6" s="35">
        <f t="shared" si="23"/>
        <v>16</v>
      </c>
      <c r="BK6" s="35">
        <f t="shared" si="24"/>
        <v>15.19</v>
      </c>
      <c r="BL6" s="11">
        <f t="shared" si="25"/>
        <v>56.39</v>
      </c>
      <c r="BM6" s="11">
        <f t="shared" si="26"/>
        <v>16.8</v>
      </c>
      <c r="BN6" s="11">
        <f t="shared" si="27"/>
        <v>15.87</v>
      </c>
      <c r="BO6" s="11">
        <f t="shared" si="28"/>
        <v>58.769999999999996</v>
      </c>
      <c r="BP6" s="11">
        <f t="shared" si="29"/>
        <v>58.769999999999996</v>
      </c>
      <c r="BQ6" s="11">
        <f t="shared" si="30"/>
        <v>7.1</v>
      </c>
      <c r="BR6" s="11">
        <f t="shared" si="31"/>
        <v>7.7</v>
      </c>
      <c r="BS6" s="11">
        <f t="shared" si="32"/>
        <v>26.999999999999996</v>
      </c>
      <c r="BT6" s="11">
        <f t="shared" si="33"/>
        <v>85.77</v>
      </c>
      <c r="BU6" s="18">
        <v>15</v>
      </c>
      <c r="BV6" s="18">
        <v>8.3000000000000007</v>
      </c>
      <c r="BW6" s="18">
        <v>16</v>
      </c>
      <c r="BX6" s="18">
        <v>15.96</v>
      </c>
      <c r="BY6" s="18">
        <v>0</v>
      </c>
      <c r="BZ6" s="18">
        <v>3.3</v>
      </c>
      <c r="CA6" s="18">
        <v>1.8</v>
      </c>
      <c r="CB6" s="18">
        <v>4</v>
      </c>
      <c r="CC6" s="18">
        <v>3.62</v>
      </c>
      <c r="CD6" s="18">
        <v>0</v>
      </c>
      <c r="CE6" s="18">
        <v>6.3</v>
      </c>
      <c r="CF6" s="18">
        <v>3.4</v>
      </c>
      <c r="CG6" s="18">
        <v>7.4</v>
      </c>
      <c r="CH6" s="18">
        <v>6.97</v>
      </c>
      <c r="CI6" s="18">
        <v>0</v>
      </c>
      <c r="CJ6" s="23"/>
      <c r="CK6" s="34">
        <f t="shared" si="34"/>
        <v>16</v>
      </c>
      <c r="CL6" s="34">
        <f t="shared" si="35"/>
        <v>15.96</v>
      </c>
      <c r="CM6" s="36">
        <f t="shared" si="36"/>
        <v>55.26</v>
      </c>
      <c r="CN6" s="36">
        <f t="shared" si="37"/>
        <v>4</v>
      </c>
      <c r="CO6" s="36">
        <f t="shared" si="38"/>
        <v>3.62</v>
      </c>
      <c r="CP6" s="36">
        <f t="shared" si="39"/>
        <v>12.719999999999999</v>
      </c>
      <c r="CQ6" s="36">
        <f t="shared" si="40"/>
        <v>55.26</v>
      </c>
      <c r="CR6" s="36">
        <f t="shared" si="41"/>
        <v>7.4</v>
      </c>
      <c r="CS6" s="36">
        <f t="shared" si="42"/>
        <v>6.97</v>
      </c>
      <c r="CT6" s="36">
        <f t="shared" si="43"/>
        <v>24.07</v>
      </c>
      <c r="CU6" s="36">
        <f t="shared" si="44"/>
        <v>79.33</v>
      </c>
      <c r="CV6" s="47">
        <f t="shared" si="45"/>
        <v>28.850000000000005</v>
      </c>
      <c r="CW6" s="47" t="str">
        <f t="shared" si="46"/>
        <v/>
      </c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36" t="str">
        <f t="shared" si="47"/>
        <v/>
      </c>
      <c r="DS6" s="36" t="str">
        <f t="shared" si="48"/>
        <v/>
      </c>
      <c r="DT6" s="36" t="str">
        <f t="shared" si="49"/>
        <v/>
      </c>
      <c r="DU6" s="36" t="str">
        <f t="shared" si="50"/>
        <v/>
      </c>
      <c r="DV6" s="36" t="str">
        <f t="shared" si="51"/>
        <v/>
      </c>
      <c r="DW6" s="36" t="str">
        <f t="shared" si="52"/>
        <v/>
      </c>
      <c r="DX6" s="36" t="str">
        <f t="shared" si="53"/>
        <v/>
      </c>
      <c r="DY6" s="36" t="str">
        <f t="shared" si="54"/>
        <v/>
      </c>
      <c r="DZ6" s="36" t="str">
        <f t="shared" si="55"/>
        <v/>
      </c>
      <c r="EA6" s="36" t="str">
        <f t="shared" si="56"/>
        <v/>
      </c>
      <c r="EB6" s="36" t="str">
        <f t="shared" si="57"/>
        <v/>
      </c>
      <c r="EC6" s="36" t="str">
        <f t="shared" si="58"/>
        <v/>
      </c>
      <c r="ED6" s="36" t="str">
        <f t="shared" si="59"/>
        <v/>
      </c>
      <c r="EE6" s="36" t="str">
        <f t="shared" si="60"/>
        <v/>
      </c>
      <c r="EF6" s="16">
        <v>14.9</v>
      </c>
      <c r="EG6" s="16">
        <v>16.399999999999999</v>
      </c>
      <c r="EH6" s="16">
        <v>8.6999999999999993</v>
      </c>
      <c r="EI6" s="16">
        <v>15.39</v>
      </c>
      <c r="EJ6" s="16">
        <v>0</v>
      </c>
      <c r="EK6" s="16">
        <v>14.5</v>
      </c>
      <c r="EL6" s="16">
        <v>9.1999999999999993</v>
      </c>
      <c r="EM6" s="16">
        <v>17</v>
      </c>
      <c r="EN6" s="16">
        <v>15.545</v>
      </c>
      <c r="EO6" s="16">
        <v>0</v>
      </c>
      <c r="EP6" s="16"/>
      <c r="EQ6" s="16"/>
      <c r="ER6" s="16"/>
      <c r="ES6" s="16"/>
      <c r="ET6" s="16"/>
      <c r="EU6" s="16">
        <v>14.6</v>
      </c>
      <c r="EV6" s="16">
        <v>9</v>
      </c>
      <c r="EW6" s="16">
        <v>17</v>
      </c>
      <c r="EX6" s="16">
        <v>15.25</v>
      </c>
      <c r="EY6" s="16">
        <v>0</v>
      </c>
      <c r="EZ6" s="11">
        <f t="shared" si="61"/>
        <v>8.6999999999999993</v>
      </c>
      <c r="FA6" s="11">
        <f t="shared" si="62"/>
        <v>15.39</v>
      </c>
      <c r="FB6" s="11">
        <f t="shared" si="63"/>
        <v>55.39</v>
      </c>
      <c r="FC6" s="11">
        <f t="shared" si="64"/>
        <v>17</v>
      </c>
      <c r="FD6" s="11">
        <f t="shared" si="65"/>
        <v>15.545</v>
      </c>
      <c r="FE6" s="11">
        <f t="shared" si="66"/>
        <v>56.245000000000005</v>
      </c>
      <c r="FF6" s="11">
        <f t="shared" si="67"/>
        <v>56.245000000000005</v>
      </c>
      <c r="FG6" s="11" t="str">
        <f t="shared" si="68"/>
        <v/>
      </c>
      <c r="FH6" s="11" t="str">
        <f t="shared" si="69"/>
        <v/>
      </c>
      <c r="FI6" s="11" t="str">
        <f t="shared" si="70"/>
        <v/>
      </c>
      <c r="FJ6" s="11">
        <f t="shared" si="71"/>
        <v>17</v>
      </c>
      <c r="FK6" s="11">
        <f t="shared" si="72"/>
        <v>15.25</v>
      </c>
      <c r="FL6" s="11">
        <f t="shared" si="73"/>
        <v>55.85</v>
      </c>
      <c r="FM6" s="11">
        <f t="shared" si="74"/>
        <v>112.095</v>
      </c>
      <c r="FN6" s="15"/>
      <c r="FO6" s="15"/>
      <c r="FP6" s="15"/>
      <c r="FQ6" s="15"/>
      <c r="FR6" s="15"/>
      <c r="FS6" s="15"/>
      <c r="FT6" s="15"/>
      <c r="FU6" s="15"/>
      <c r="FV6" s="15"/>
      <c r="FW6" s="15"/>
      <c r="FX6" s="15"/>
      <c r="FY6" s="15"/>
      <c r="FZ6" s="15"/>
      <c r="GA6" s="15"/>
      <c r="GB6" s="15"/>
      <c r="GC6" s="15"/>
      <c r="GD6" s="15"/>
      <c r="GE6" s="15"/>
      <c r="GF6" s="15"/>
      <c r="GG6" s="15"/>
      <c r="GH6" s="36" t="str">
        <f t="shared" si="75"/>
        <v/>
      </c>
      <c r="GI6" s="36" t="str">
        <f t="shared" si="76"/>
        <v/>
      </c>
      <c r="GJ6" s="36" t="str">
        <f t="shared" si="77"/>
        <v/>
      </c>
      <c r="GK6" s="36" t="str">
        <f t="shared" si="78"/>
        <v/>
      </c>
      <c r="GL6" s="36" t="str">
        <f t="shared" si="79"/>
        <v/>
      </c>
      <c r="GM6" s="36" t="str">
        <f t="shared" si="80"/>
        <v/>
      </c>
      <c r="GN6" s="36" t="str">
        <f t="shared" si="81"/>
        <v/>
      </c>
      <c r="GO6" s="36" t="str">
        <f t="shared" si="82"/>
        <v/>
      </c>
      <c r="GP6" s="36" t="str">
        <f t="shared" si="83"/>
        <v/>
      </c>
      <c r="GQ6" s="36" t="str">
        <f t="shared" si="84"/>
        <v/>
      </c>
      <c r="GR6" s="36" t="str">
        <f t="shared" si="85"/>
        <v/>
      </c>
      <c r="GS6" s="36" t="str">
        <f t="shared" si="86"/>
        <v/>
      </c>
      <c r="GT6" s="36" t="str">
        <f t="shared" si="87"/>
        <v/>
      </c>
      <c r="GU6" s="36" t="str">
        <f t="shared" si="88"/>
        <v/>
      </c>
      <c r="GV6" s="16"/>
      <c r="GW6" s="16"/>
      <c r="GX6" s="16"/>
      <c r="GY6" s="16"/>
      <c r="GZ6" s="16"/>
      <c r="HA6" s="16"/>
      <c r="HB6" s="16"/>
      <c r="HC6" s="16"/>
      <c r="HD6" s="16"/>
      <c r="HE6" s="16"/>
      <c r="HF6" s="16"/>
      <c r="HG6" s="16"/>
      <c r="HH6" s="16"/>
      <c r="HI6" s="16"/>
      <c r="HJ6" s="16"/>
      <c r="HK6" s="16"/>
      <c r="HL6" s="16"/>
      <c r="HM6" s="16"/>
      <c r="HN6" s="16"/>
      <c r="HO6" s="16"/>
      <c r="HP6" s="11" t="str">
        <f t="shared" si="89"/>
        <v/>
      </c>
      <c r="HQ6" s="11" t="str">
        <f t="shared" si="90"/>
        <v/>
      </c>
      <c r="HR6" s="11" t="str">
        <f t="shared" si="91"/>
        <v/>
      </c>
      <c r="HS6" s="11" t="str">
        <f t="shared" si="92"/>
        <v/>
      </c>
      <c r="HT6" s="11" t="str">
        <f t="shared" si="93"/>
        <v/>
      </c>
      <c r="HU6" s="11" t="str">
        <f t="shared" si="94"/>
        <v/>
      </c>
      <c r="HV6" s="11" t="str">
        <f t="shared" si="95"/>
        <v/>
      </c>
      <c r="HW6" s="11" t="str">
        <f t="shared" si="96"/>
        <v/>
      </c>
      <c r="HX6" s="11" t="str">
        <f t="shared" si="97"/>
        <v/>
      </c>
      <c r="HY6" s="11" t="str">
        <f t="shared" si="98"/>
        <v/>
      </c>
      <c r="HZ6" s="11" t="str">
        <f t="shared" si="99"/>
        <v/>
      </c>
      <c r="IA6" s="11" t="str">
        <f t="shared" si="100"/>
        <v/>
      </c>
      <c r="IB6" s="11" t="str">
        <f t="shared" si="101"/>
        <v/>
      </c>
      <c r="IC6" s="11" t="str">
        <f t="shared" si="102"/>
        <v/>
      </c>
      <c r="ID6" s="15"/>
      <c r="IE6" s="15"/>
      <c r="IF6" s="15"/>
      <c r="IG6" s="15"/>
      <c r="IH6" s="15"/>
      <c r="II6" s="15"/>
      <c r="IJ6" s="15"/>
      <c r="IK6" s="15"/>
      <c r="IL6" s="15"/>
      <c r="IM6" s="15"/>
      <c r="IN6" s="15"/>
      <c r="IO6" s="15"/>
      <c r="IP6" s="15"/>
      <c r="IQ6" s="15"/>
      <c r="IR6" s="15"/>
      <c r="IS6" s="15"/>
      <c r="IT6" s="15"/>
      <c r="IU6" s="15"/>
      <c r="IV6" s="15"/>
      <c r="IW6" s="15"/>
      <c r="IX6" s="36" t="str">
        <f t="shared" si="103"/>
        <v/>
      </c>
      <c r="IY6" s="36" t="str">
        <f t="shared" si="104"/>
        <v/>
      </c>
      <c r="IZ6" s="36" t="str">
        <f t="shared" si="105"/>
        <v/>
      </c>
      <c r="JA6" s="36" t="str">
        <f t="shared" si="106"/>
        <v/>
      </c>
      <c r="JB6" s="36" t="str">
        <f t="shared" si="107"/>
        <v/>
      </c>
      <c r="JC6" s="36" t="str">
        <f t="shared" si="108"/>
        <v/>
      </c>
      <c r="JD6" s="36" t="str">
        <f t="shared" si="109"/>
        <v/>
      </c>
      <c r="JE6" s="36" t="str">
        <f t="shared" si="110"/>
        <v/>
      </c>
      <c r="JF6" s="36" t="str">
        <f t="shared" si="111"/>
        <v/>
      </c>
      <c r="JG6" s="36" t="str">
        <f t="shared" si="112"/>
        <v/>
      </c>
      <c r="JH6" s="36" t="str">
        <f t="shared" si="113"/>
        <v/>
      </c>
      <c r="JI6" s="36" t="str">
        <f t="shared" si="114"/>
        <v/>
      </c>
      <c r="JJ6" s="36" t="str">
        <f t="shared" si="115"/>
        <v/>
      </c>
      <c r="JK6" s="36" t="str">
        <f t="shared" si="116"/>
        <v/>
      </c>
      <c r="JL6" s="16">
        <v>0</v>
      </c>
      <c r="JM6" s="16">
        <v>0</v>
      </c>
      <c r="JN6" s="16">
        <v>0</v>
      </c>
      <c r="JO6" s="16">
        <v>0</v>
      </c>
      <c r="JP6" s="16">
        <v>0</v>
      </c>
      <c r="JQ6" s="16">
        <v>3</v>
      </c>
      <c r="JR6" s="16">
        <v>1.8</v>
      </c>
      <c r="JS6" s="16">
        <v>4</v>
      </c>
      <c r="JT6" s="16">
        <v>3.4</v>
      </c>
      <c r="JU6" s="16">
        <v>0</v>
      </c>
      <c r="JV6" s="16"/>
      <c r="JW6" s="16"/>
      <c r="JX6" s="16"/>
      <c r="JY6" s="16"/>
      <c r="JZ6" s="16"/>
      <c r="KA6" s="16"/>
      <c r="KB6" s="16"/>
      <c r="KC6" s="16"/>
      <c r="KD6" s="16"/>
      <c r="KE6" s="16"/>
      <c r="KF6" s="11" t="str">
        <f t="shared" si="117"/>
        <v/>
      </c>
      <c r="KG6" s="11" t="str">
        <f t="shared" si="118"/>
        <v/>
      </c>
      <c r="KH6" s="11" t="str">
        <f t="shared" si="119"/>
        <v/>
      </c>
      <c r="KI6" s="11">
        <f t="shared" si="120"/>
        <v>4</v>
      </c>
      <c r="KJ6" s="11">
        <f t="shared" si="121"/>
        <v>3.4</v>
      </c>
      <c r="KK6" s="11">
        <f t="shared" si="122"/>
        <v>12.200000000000001</v>
      </c>
      <c r="KL6" s="11">
        <f t="shared" si="123"/>
        <v>12.200000000000001</v>
      </c>
      <c r="KM6" s="11" t="str">
        <f t="shared" si="124"/>
        <v/>
      </c>
      <c r="KN6" s="11" t="str">
        <f t="shared" si="125"/>
        <v/>
      </c>
      <c r="KO6" s="11" t="str">
        <f t="shared" si="126"/>
        <v/>
      </c>
      <c r="KP6" s="11" t="str">
        <f t="shared" si="127"/>
        <v/>
      </c>
      <c r="KQ6" s="11" t="str">
        <f t="shared" si="128"/>
        <v/>
      </c>
      <c r="KR6" s="11" t="str">
        <f t="shared" si="129"/>
        <v/>
      </c>
      <c r="KS6" s="11">
        <f t="shared" si="130"/>
        <v>12.200000000000001</v>
      </c>
      <c r="KT6" s="15">
        <v>4.4000000000000004</v>
      </c>
      <c r="KU6" s="15">
        <v>2.7</v>
      </c>
      <c r="KV6" s="15">
        <v>5.7</v>
      </c>
      <c r="KW6" s="15">
        <v>4.95</v>
      </c>
      <c r="KX6" s="15">
        <v>0</v>
      </c>
      <c r="KY6" s="15">
        <v>14.1</v>
      </c>
      <c r="KZ6" s="15">
        <v>8.9</v>
      </c>
      <c r="LA6" s="15">
        <v>17</v>
      </c>
      <c r="LB6" s="15">
        <v>15.49</v>
      </c>
      <c r="LC6" s="15">
        <v>0</v>
      </c>
      <c r="LD6" s="15"/>
      <c r="LE6" s="15"/>
      <c r="LF6" s="15"/>
      <c r="LG6" s="15"/>
      <c r="LH6" s="15"/>
      <c r="LI6" s="15"/>
      <c r="LJ6" s="15"/>
      <c r="LK6" s="15"/>
      <c r="LL6" s="15"/>
      <c r="LM6" s="15"/>
      <c r="LN6" s="36">
        <f t="shared" si="131"/>
        <v>5.7</v>
      </c>
      <c r="LO6" s="36">
        <f t="shared" si="132"/>
        <v>4.95</v>
      </c>
      <c r="LP6" s="36">
        <f t="shared" si="133"/>
        <v>17.75</v>
      </c>
      <c r="LQ6" s="36">
        <f t="shared" si="134"/>
        <v>17</v>
      </c>
      <c r="LR6" s="36">
        <f t="shared" si="135"/>
        <v>15.49</v>
      </c>
      <c r="LS6" s="36">
        <f t="shared" si="136"/>
        <v>55.49</v>
      </c>
      <c r="LT6" s="36">
        <f t="shared" si="137"/>
        <v>55.49</v>
      </c>
      <c r="LU6" s="36" t="str">
        <f t="shared" si="138"/>
        <v/>
      </c>
      <c r="LV6" s="36" t="str">
        <f t="shared" si="139"/>
        <v/>
      </c>
      <c r="LW6" s="36" t="str">
        <f t="shared" si="140"/>
        <v/>
      </c>
      <c r="LX6" s="36" t="str">
        <f t="shared" si="141"/>
        <v/>
      </c>
      <c r="LY6" s="36" t="str">
        <f t="shared" si="142"/>
        <v/>
      </c>
      <c r="LZ6" s="36" t="str">
        <f t="shared" si="143"/>
        <v/>
      </c>
      <c r="MA6" s="36">
        <f t="shared" si="144"/>
        <v>55.49</v>
      </c>
      <c r="MB6" s="16">
        <v>14.9</v>
      </c>
      <c r="MC6" s="16">
        <v>9.1999999999999993</v>
      </c>
      <c r="MD6" s="16">
        <v>16.600000000000001</v>
      </c>
      <c r="ME6" s="16">
        <v>15.64</v>
      </c>
      <c r="MF6" s="16">
        <v>0</v>
      </c>
      <c r="MG6" s="16">
        <v>5.9</v>
      </c>
      <c r="MH6" s="16">
        <v>3.8</v>
      </c>
      <c r="MI6" s="16">
        <v>7.4</v>
      </c>
      <c r="MJ6" s="16">
        <v>7.04</v>
      </c>
      <c r="MK6" s="16">
        <v>0</v>
      </c>
      <c r="ML6" s="16"/>
      <c r="MM6" s="16"/>
      <c r="MN6" s="16"/>
      <c r="MO6" s="16"/>
      <c r="MP6" s="16"/>
      <c r="MQ6" s="16"/>
      <c r="MR6" s="16"/>
      <c r="MS6" s="16"/>
      <c r="MT6" s="16"/>
      <c r="MU6" s="16"/>
      <c r="MV6" s="11">
        <f t="shared" si="145"/>
        <v>16.600000000000001</v>
      </c>
      <c r="MW6" s="11">
        <f t="shared" si="146"/>
        <v>15.64</v>
      </c>
      <c r="MX6" s="11">
        <f t="shared" si="147"/>
        <v>56.34</v>
      </c>
      <c r="MY6" s="11">
        <f t="shared" si="148"/>
        <v>7.4</v>
      </c>
      <c r="MZ6" s="11">
        <f t="shared" si="149"/>
        <v>7.04</v>
      </c>
      <c r="NA6" s="11">
        <f t="shared" si="150"/>
        <v>24.14</v>
      </c>
      <c r="NB6" s="11">
        <f t="shared" si="151"/>
        <v>56.34</v>
      </c>
      <c r="NC6" s="11" t="str">
        <f t="shared" si="152"/>
        <v/>
      </c>
      <c r="ND6" s="11" t="str">
        <f t="shared" si="153"/>
        <v/>
      </c>
      <c r="NE6" s="11" t="str">
        <f t="shared" si="154"/>
        <v/>
      </c>
      <c r="NF6" s="11" t="str">
        <f t="shared" si="155"/>
        <v/>
      </c>
      <c r="NG6" s="11" t="str">
        <f t="shared" si="156"/>
        <v/>
      </c>
      <c r="NH6" s="11" t="str">
        <f t="shared" si="157"/>
        <v/>
      </c>
      <c r="NI6" s="11">
        <f t="shared" si="158"/>
        <v>56.34</v>
      </c>
      <c r="NJ6" s="15"/>
      <c r="NK6" s="15"/>
      <c r="NL6" s="15"/>
      <c r="NM6" s="15"/>
      <c r="NN6" s="15"/>
      <c r="NO6" s="15"/>
      <c r="NP6" s="15"/>
      <c r="NQ6" s="15"/>
      <c r="NR6" s="15"/>
      <c r="NS6" s="15"/>
      <c r="NT6" s="15"/>
      <c r="NU6" s="15"/>
      <c r="NV6" s="15"/>
      <c r="NW6" s="15"/>
      <c r="NX6" s="15"/>
      <c r="NY6" s="15"/>
      <c r="NZ6" s="15"/>
      <c r="OA6" s="15"/>
      <c r="OB6" s="15"/>
      <c r="OC6" s="15"/>
      <c r="OD6" s="36" t="str">
        <f t="shared" si="159"/>
        <v/>
      </c>
      <c r="OE6" s="36" t="str">
        <f t="shared" si="160"/>
        <v/>
      </c>
      <c r="OF6" s="36" t="str">
        <f t="shared" si="161"/>
        <v/>
      </c>
      <c r="OG6" s="36" t="str">
        <f t="shared" si="162"/>
        <v/>
      </c>
      <c r="OH6" s="36" t="str">
        <f t="shared" si="163"/>
        <v/>
      </c>
      <c r="OI6" s="36" t="str">
        <f t="shared" si="164"/>
        <v/>
      </c>
      <c r="OJ6" s="36" t="str">
        <f t="shared" si="165"/>
        <v/>
      </c>
      <c r="OK6" s="36" t="str">
        <f t="shared" si="166"/>
        <v/>
      </c>
      <c r="OL6" s="36" t="str">
        <f t="shared" si="167"/>
        <v/>
      </c>
      <c r="OM6" s="36" t="str">
        <f t="shared" si="168"/>
        <v/>
      </c>
      <c r="ON6" s="36" t="str">
        <f t="shared" si="169"/>
        <v/>
      </c>
      <c r="OO6" s="36" t="str">
        <f t="shared" si="170"/>
        <v/>
      </c>
      <c r="OP6" s="36" t="str">
        <f t="shared" si="171"/>
        <v/>
      </c>
      <c r="OQ6" s="36" t="str">
        <f t="shared" si="172"/>
        <v/>
      </c>
      <c r="OR6" s="16"/>
      <c r="OS6" s="16"/>
      <c r="OT6" s="16"/>
      <c r="OU6" s="16"/>
      <c r="OV6" s="16"/>
      <c r="OW6" s="16"/>
      <c r="OX6" s="16"/>
      <c r="OY6" s="16"/>
      <c r="OZ6" s="16"/>
      <c r="PA6" s="16"/>
      <c r="PB6" s="16"/>
      <c r="PC6" s="16"/>
      <c r="PD6" s="16"/>
      <c r="PE6" s="16"/>
      <c r="PF6" s="16"/>
      <c r="PG6" s="16"/>
      <c r="PH6" s="16"/>
      <c r="PI6" s="16"/>
      <c r="PJ6" s="16"/>
      <c r="PK6" s="16"/>
      <c r="PL6" s="11" t="str">
        <f t="shared" si="173"/>
        <v/>
      </c>
      <c r="PM6" s="11" t="str">
        <f t="shared" si="174"/>
        <v/>
      </c>
      <c r="PN6" s="11" t="str">
        <f t="shared" si="175"/>
        <v/>
      </c>
      <c r="PO6" s="11" t="str">
        <f t="shared" si="176"/>
        <v/>
      </c>
      <c r="PP6" s="11" t="str">
        <f t="shared" si="177"/>
        <v/>
      </c>
      <c r="PQ6" s="11" t="str">
        <f t="shared" si="178"/>
        <v/>
      </c>
      <c r="PR6" s="11" t="str">
        <f t="shared" si="179"/>
        <v/>
      </c>
      <c r="PS6" s="11" t="str">
        <f t="shared" si="180"/>
        <v/>
      </c>
      <c r="PT6" s="11" t="str">
        <f t="shared" si="181"/>
        <v/>
      </c>
      <c r="PU6" s="11" t="str">
        <f t="shared" si="182"/>
        <v/>
      </c>
      <c r="PV6" s="11" t="str">
        <f t="shared" si="183"/>
        <v/>
      </c>
      <c r="PW6" s="11" t="str">
        <f t="shared" si="184"/>
        <v/>
      </c>
      <c r="PX6" s="11" t="str">
        <f t="shared" si="185"/>
        <v/>
      </c>
      <c r="PY6" s="11" t="str">
        <f t="shared" si="186"/>
        <v/>
      </c>
      <c r="PZ6" s="15"/>
      <c r="QA6" s="15"/>
      <c r="QB6" s="15"/>
      <c r="QC6" s="15"/>
      <c r="QD6" s="15"/>
      <c r="QE6" s="15"/>
      <c r="QF6" s="15"/>
      <c r="QG6" s="15"/>
      <c r="QH6" s="15"/>
      <c r="QI6" s="15"/>
      <c r="QJ6" s="15"/>
      <c r="QK6" s="15"/>
      <c r="QL6" s="15"/>
      <c r="QM6" s="15"/>
      <c r="QN6" s="15"/>
      <c r="QO6" s="15"/>
      <c r="QP6" s="15"/>
      <c r="QQ6" s="15"/>
      <c r="QR6" s="15"/>
      <c r="QS6" s="15"/>
      <c r="QT6" s="36" t="str">
        <f t="shared" si="187"/>
        <v/>
      </c>
      <c r="QU6" s="36" t="str">
        <f t="shared" si="188"/>
        <v/>
      </c>
      <c r="QV6" s="36" t="str">
        <f t="shared" si="189"/>
        <v/>
      </c>
      <c r="QW6" s="36" t="str">
        <f t="shared" si="190"/>
        <v/>
      </c>
      <c r="QX6" s="36" t="str">
        <f t="shared" si="191"/>
        <v/>
      </c>
      <c r="QY6" s="36" t="str">
        <f t="shared" si="192"/>
        <v/>
      </c>
      <c r="QZ6" s="36" t="str">
        <f t="shared" si="193"/>
        <v/>
      </c>
      <c r="RA6" s="36" t="str">
        <f t="shared" si="194"/>
        <v/>
      </c>
      <c r="RB6" s="36" t="str">
        <f t="shared" si="195"/>
        <v/>
      </c>
      <c r="RC6" s="36" t="str">
        <f t="shared" si="196"/>
        <v/>
      </c>
      <c r="RD6" s="36" t="str">
        <f t="shared" si="197"/>
        <v/>
      </c>
      <c r="RE6" s="36" t="str">
        <f t="shared" si="198"/>
        <v/>
      </c>
      <c r="RF6" s="36" t="str">
        <f t="shared" si="199"/>
        <v/>
      </c>
      <c r="RG6" s="36" t="str">
        <f t="shared" si="200"/>
        <v/>
      </c>
      <c r="RH6" s="16"/>
      <c r="RI6" s="16"/>
      <c r="RJ6" s="16"/>
      <c r="RK6" s="16"/>
      <c r="RL6" s="16"/>
      <c r="RM6" s="16"/>
      <c r="RN6" s="16"/>
      <c r="RO6" s="16"/>
      <c r="RP6" s="16"/>
      <c r="RQ6" s="16"/>
      <c r="RR6" s="16"/>
      <c r="RS6" s="16"/>
      <c r="RT6" s="16"/>
      <c r="RU6" s="16"/>
      <c r="RV6" s="16"/>
      <c r="RW6" s="16"/>
      <c r="RX6" s="16"/>
      <c r="RY6" s="16"/>
      <c r="RZ6" s="16"/>
      <c r="SA6" s="16"/>
      <c r="SB6" s="11" t="str">
        <f t="shared" si="201"/>
        <v/>
      </c>
      <c r="SC6" s="11" t="str">
        <f t="shared" si="202"/>
        <v/>
      </c>
      <c r="SD6" s="11" t="str">
        <f t="shared" si="203"/>
        <v/>
      </c>
      <c r="SE6" s="11" t="str">
        <f t="shared" si="204"/>
        <v/>
      </c>
      <c r="SF6" s="11" t="str">
        <f t="shared" si="205"/>
        <v/>
      </c>
      <c r="SG6" s="11" t="str">
        <f t="shared" si="206"/>
        <v/>
      </c>
      <c r="SH6" s="11" t="str">
        <f t="shared" si="207"/>
        <v/>
      </c>
      <c r="SI6" s="11" t="str">
        <f t="shared" si="208"/>
        <v/>
      </c>
      <c r="SJ6" s="11" t="str">
        <f t="shared" si="209"/>
        <v/>
      </c>
      <c r="SK6" s="11" t="str">
        <f t="shared" si="210"/>
        <v/>
      </c>
      <c r="SL6" s="11" t="str">
        <f t="shared" si="211"/>
        <v/>
      </c>
      <c r="SM6" s="11" t="str">
        <f t="shared" si="212"/>
        <v/>
      </c>
      <c r="SN6" s="11" t="str">
        <f t="shared" si="213"/>
        <v/>
      </c>
      <c r="SO6" s="11" t="str">
        <f t="shared" si="214"/>
        <v/>
      </c>
      <c r="SP6" s="15"/>
      <c r="SQ6" s="15"/>
      <c r="SR6" s="15"/>
      <c r="SS6" s="15"/>
      <c r="ST6" s="15"/>
      <c r="SU6" s="15"/>
      <c r="SV6" s="15"/>
      <c r="SW6" s="15"/>
      <c r="SX6" s="15"/>
      <c r="SY6" s="15"/>
      <c r="SZ6" s="15"/>
      <c r="TA6" s="15"/>
      <c r="TB6" s="15"/>
      <c r="TC6" s="15"/>
      <c r="TD6" s="15"/>
      <c r="TE6" s="15"/>
      <c r="TF6" s="15"/>
      <c r="TG6" s="15"/>
      <c r="TH6" s="15"/>
      <c r="TI6" s="15"/>
      <c r="TJ6" s="36" t="str">
        <f t="shared" si="215"/>
        <v/>
      </c>
      <c r="TK6" s="36" t="str">
        <f t="shared" si="216"/>
        <v/>
      </c>
      <c r="TL6" s="36" t="str">
        <f t="shared" si="217"/>
        <v/>
      </c>
      <c r="TM6" s="36" t="str">
        <f t="shared" si="218"/>
        <v/>
      </c>
      <c r="TN6" s="36" t="str">
        <f t="shared" si="219"/>
        <v/>
      </c>
      <c r="TO6" s="36" t="str">
        <f t="shared" si="220"/>
        <v/>
      </c>
      <c r="TP6" s="36" t="str">
        <f t="shared" si="221"/>
        <v/>
      </c>
      <c r="TQ6" s="36" t="str">
        <f t="shared" si="222"/>
        <v/>
      </c>
      <c r="TR6" s="36" t="str">
        <f t="shared" si="223"/>
        <v/>
      </c>
      <c r="TS6" s="36" t="str">
        <f t="shared" si="224"/>
        <v/>
      </c>
      <c r="TT6" s="36" t="str">
        <f t="shared" si="225"/>
        <v/>
      </c>
      <c r="TU6" s="36" t="str">
        <f t="shared" si="226"/>
        <v/>
      </c>
      <c r="TV6" s="36" t="str">
        <f t="shared" si="227"/>
        <v/>
      </c>
      <c r="TW6" s="36" t="str">
        <f t="shared" si="228"/>
        <v/>
      </c>
      <c r="TX6" s="16"/>
      <c r="TY6" s="16"/>
      <c r="TZ6" s="16"/>
      <c r="UA6" s="16"/>
      <c r="UB6" s="16"/>
      <c r="UC6" s="16"/>
      <c r="UD6" s="16"/>
      <c r="UE6" s="16"/>
      <c r="UF6" s="16"/>
      <c r="UG6" s="16"/>
      <c r="UH6" s="16"/>
      <c r="UI6" s="16"/>
      <c r="UJ6" s="16"/>
      <c r="UK6" s="16"/>
      <c r="UL6" s="16"/>
      <c r="UM6" s="16"/>
      <c r="UN6" s="16"/>
      <c r="UO6" s="16"/>
      <c r="UP6" s="16"/>
      <c r="UQ6" s="16"/>
      <c r="UR6" s="11" t="str">
        <f t="shared" si="229"/>
        <v/>
      </c>
      <c r="US6" s="11" t="str">
        <f t="shared" si="230"/>
        <v/>
      </c>
      <c r="UT6" s="11" t="str">
        <f t="shared" si="231"/>
        <v/>
      </c>
      <c r="UU6" s="11" t="str">
        <f t="shared" si="232"/>
        <v/>
      </c>
      <c r="UV6" s="11" t="str">
        <f t="shared" si="233"/>
        <v/>
      </c>
      <c r="UW6" s="11" t="str">
        <f t="shared" si="234"/>
        <v/>
      </c>
      <c r="UX6" s="11" t="str">
        <f t="shared" si="235"/>
        <v/>
      </c>
      <c r="UY6" s="11" t="str">
        <f t="shared" si="236"/>
        <v/>
      </c>
      <c r="UZ6" s="11" t="str">
        <f t="shared" si="237"/>
        <v/>
      </c>
      <c r="VA6" s="11" t="str">
        <f t="shared" si="238"/>
        <v/>
      </c>
      <c r="VB6" s="11" t="str">
        <f t="shared" si="239"/>
        <v/>
      </c>
      <c r="VC6" s="11" t="str">
        <f t="shared" si="240"/>
        <v/>
      </c>
      <c r="VD6" s="11" t="str">
        <f t="shared" si="241"/>
        <v/>
      </c>
      <c r="VE6" s="11" t="str">
        <f t="shared" si="242"/>
        <v/>
      </c>
      <c r="VF6" s="15"/>
      <c r="VG6" s="15"/>
      <c r="VH6" s="15"/>
      <c r="VI6" s="15"/>
      <c r="VJ6" s="15"/>
      <c r="VK6" s="15"/>
      <c r="VL6" s="15"/>
      <c r="VM6" s="15"/>
      <c r="VN6" s="15"/>
      <c r="VO6" s="15"/>
      <c r="VP6" s="15"/>
      <c r="VQ6" s="15"/>
      <c r="VR6" s="15"/>
      <c r="VS6" s="15"/>
      <c r="VT6" s="15"/>
      <c r="VU6" s="15"/>
      <c r="VV6" s="15"/>
      <c r="VW6" s="15"/>
      <c r="VX6" s="15"/>
      <c r="VY6" s="15"/>
      <c r="VZ6" s="36" t="str">
        <f t="shared" si="243"/>
        <v/>
      </c>
      <c r="WA6" s="36" t="str">
        <f t="shared" si="244"/>
        <v/>
      </c>
      <c r="WB6" s="36" t="str">
        <f t="shared" si="245"/>
        <v/>
      </c>
      <c r="WC6" s="36" t="str">
        <f t="shared" si="246"/>
        <v/>
      </c>
      <c r="WD6" s="36" t="str">
        <f t="shared" si="247"/>
        <v/>
      </c>
      <c r="WE6" s="36" t="str">
        <f t="shared" si="248"/>
        <v/>
      </c>
      <c r="WF6" s="36" t="str">
        <f t="shared" si="249"/>
        <v/>
      </c>
      <c r="WG6" s="36" t="str">
        <f t="shared" si="250"/>
        <v/>
      </c>
      <c r="WH6" s="36" t="str">
        <f t="shared" si="251"/>
        <v/>
      </c>
      <c r="WI6" s="36" t="str">
        <f t="shared" si="252"/>
        <v/>
      </c>
      <c r="WJ6" s="36" t="str">
        <f t="shared" si="253"/>
        <v/>
      </c>
      <c r="WK6" s="36" t="str">
        <f t="shared" si="254"/>
        <v/>
      </c>
      <c r="WL6" s="36" t="str">
        <f t="shared" si="255"/>
        <v/>
      </c>
      <c r="WM6" s="36" t="str">
        <f t="shared" si="256"/>
        <v/>
      </c>
    </row>
    <row r="7" spans="1:611" x14ac:dyDescent="0.2">
      <c r="A7" s="4" cm="1">
        <f t="array" ref="A7">IF(AND(H7&lt;&gt;"",H7&lt;&gt;"No DD"),SUMPRODUCT((H$4:H$27&lt;&gt;"")*(H$4:H$27&lt;&gt;"No DD")*(E$4:E$27&gt;E7))+1,IF(H7="No DD",SUMPRODUCT((H$4:H$27="No DD")*(E$4:E$27&gt;E7))+1+SUMPRODUCT((H$4:H$27&lt;&gt;"")*(H$4:H$27&lt;&gt;"No DD")),""))</f>
        <v>4</v>
      </c>
      <c r="B7" s="5" t="s">
        <v>77</v>
      </c>
      <c r="C7" s="4" t="s">
        <v>7</v>
      </c>
      <c r="D7" s="4">
        <v>2005</v>
      </c>
      <c r="E7" s="9">
        <f t="shared" si="0"/>
        <v>170.54001702900575</v>
      </c>
      <c r="F7" s="3" t="str">
        <f t="shared" si="1"/>
        <v>P</v>
      </c>
      <c r="G7" s="3" t="str">
        <f t="shared" si="2"/>
        <v>P</v>
      </c>
      <c r="H7" s="32" t="str">
        <f t="shared" si="3"/>
        <v>National Team</v>
      </c>
      <c r="I7" s="3" t="str">
        <f t="shared" si="4"/>
        <v/>
      </c>
      <c r="J7" s="8">
        <f t="shared" si="5"/>
        <v>57.680000000000007</v>
      </c>
      <c r="K7" s="8" t="str">
        <f t="shared" si="6"/>
        <v>2025 3rd Domestic Trial</v>
      </c>
      <c r="L7" s="8">
        <f>IFERROR(IF(J7=AR7,LARGE((AK7,AN7,BL7,BO7,BS7,CM7,CP7,CT7),1),IF(J7=BS7,LARGE((AK7,AN7,AR7,BL7,BO7,CM7,CP7,CT7),1),LARGE((AK7,AN7,AR7,BL7,BO7,BS7,CM7,CP7),1))),0)</f>
        <v>56.35</v>
      </c>
      <c r="M7" s="8" t="str">
        <f t="shared" si="7"/>
        <v>2025 3rd Domestic Trial</v>
      </c>
      <c r="N7" s="8">
        <f>IFERROR(IF(J7=AR7,LARGE((AK7,AN7,BL7,BO7,BS7,CM7,CP7,CT7),2),IF(J7=BS7,LARGE((AK7,AN7,AR7,BL7,BO7,CM7,CP7,CT7),2),LARGE((AK7,AN7,AR7,BL7,BO7,BS7,CM7,CP7),2))),0)</f>
        <v>56.26</v>
      </c>
      <c r="O7" s="8" t="str">
        <f t="shared" si="8"/>
        <v>2025 3rd Domestic Trial</v>
      </c>
      <c r="P7" s="8">
        <f t="shared" si="9"/>
        <v>0.25000000000000711</v>
      </c>
      <c r="Q7" s="11" t="str">
        <f t="shared" si="10"/>
        <v>(Any)</v>
      </c>
      <c r="R7" s="8" t="str">
        <f t="shared" si="11"/>
        <v>2025 World Cup POR (July 6)</v>
      </c>
      <c r="S7" s="18">
        <v>12.9</v>
      </c>
      <c r="T7" s="18">
        <v>7.9</v>
      </c>
      <c r="U7" s="18">
        <v>14.2</v>
      </c>
      <c r="V7" s="18">
        <v>13.71</v>
      </c>
      <c r="W7" s="18">
        <v>0</v>
      </c>
      <c r="X7" s="18">
        <v>13</v>
      </c>
      <c r="Y7" s="18">
        <v>8.6999999999999993</v>
      </c>
      <c r="Z7" s="18">
        <v>15.1</v>
      </c>
      <c r="AA7" s="18">
        <v>15.19</v>
      </c>
      <c r="AB7" s="18">
        <v>0</v>
      </c>
      <c r="AC7" s="18">
        <v>15.3</v>
      </c>
      <c r="AD7" s="18">
        <v>9.3000000000000007</v>
      </c>
      <c r="AE7" s="18">
        <v>14.7</v>
      </c>
      <c r="AF7" s="18">
        <v>15.29</v>
      </c>
      <c r="AG7" s="18">
        <v>0</v>
      </c>
      <c r="AH7" s="23"/>
      <c r="AI7" s="34">
        <f t="shared" si="12"/>
        <v>14.2</v>
      </c>
      <c r="AJ7" s="34">
        <f t="shared" si="13"/>
        <v>13.71</v>
      </c>
      <c r="AK7" s="36">
        <f t="shared" si="14"/>
        <v>48.71</v>
      </c>
      <c r="AL7" s="36">
        <f t="shared" si="15"/>
        <v>15.1</v>
      </c>
      <c r="AM7" s="36">
        <f t="shared" si="16"/>
        <v>15.19</v>
      </c>
      <c r="AN7" s="36">
        <f t="shared" si="17"/>
        <v>51.989999999999995</v>
      </c>
      <c r="AO7" s="36">
        <f t="shared" si="18"/>
        <v>51.989999999999995</v>
      </c>
      <c r="AP7" s="36">
        <f t="shared" si="19"/>
        <v>14.7</v>
      </c>
      <c r="AQ7" s="36">
        <f t="shared" si="20"/>
        <v>15.29</v>
      </c>
      <c r="AR7" s="36">
        <f t="shared" si="21"/>
        <v>54.589999999999996</v>
      </c>
      <c r="AS7" s="36">
        <f t="shared" si="22"/>
        <v>106.57999999999998</v>
      </c>
      <c r="AT7" s="22">
        <v>15.8</v>
      </c>
      <c r="AU7" s="22">
        <v>9</v>
      </c>
      <c r="AV7" s="22">
        <v>15.9</v>
      </c>
      <c r="AW7" s="22">
        <v>15.33</v>
      </c>
      <c r="AX7" s="22">
        <v>0</v>
      </c>
      <c r="AY7" s="22">
        <v>6.8</v>
      </c>
      <c r="AZ7" s="22">
        <v>3.6</v>
      </c>
      <c r="BA7" s="22">
        <v>6.9</v>
      </c>
      <c r="BB7" s="22">
        <v>6.43</v>
      </c>
      <c r="BC7" s="22">
        <v>0</v>
      </c>
      <c r="BD7" s="22">
        <v>15.5</v>
      </c>
      <c r="BE7" s="22">
        <v>9.5</v>
      </c>
      <c r="BF7" s="22">
        <v>13.9</v>
      </c>
      <c r="BG7" s="22">
        <v>15.04</v>
      </c>
      <c r="BH7" s="22">
        <v>0.6</v>
      </c>
      <c r="BI7" s="24"/>
      <c r="BJ7" s="35">
        <f t="shared" si="23"/>
        <v>15.9</v>
      </c>
      <c r="BK7" s="35">
        <f t="shared" si="24"/>
        <v>15.33</v>
      </c>
      <c r="BL7" s="11">
        <f t="shared" si="25"/>
        <v>56.03</v>
      </c>
      <c r="BM7" s="11">
        <f t="shared" si="26"/>
        <v>6.9</v>
      </c>
      <c r="BN7" s="11">
        <f t="shared" si="27"/>
        <v>6.43</v>
      </c>
      <c r="BO7" s="11">
        <f t="shared" si="28"/>
        <v>23.73</v>
      </c>
      <c r="BP7" s="11">
        <f t="shared" si="29"/>
        <v>56.03</v>
      </c>
      <c r="BQ7" s="11">
        <f t="shared" si="30"/>
        <v>13.9</v>
      </c>
      <c r="BR7" s="11">
        <f t="shared" si="31"/>
        <v>15.04</v>
      </c>
      <c r="BS7" s="11">
        <f t="shared" si="32"/>
        <v>53.339999999999996</v>
      </c>
      <c r="BT7" s="11">
        <f t="shared" si="33"/>
        <v>109.37</v>
      </c>
      <c r="BU7" s="18">
        <v>15.9</v>
      </c>
      <c r="BV7" s="18">
        <v>9.1</v>
      </c>
      <c r="BW7" s="18">
        <v>15.3</v>
      </c>
      <c r="BX7" s="18">
        <v>15.96</v>
      </c>
      <c r="BY7" s="18">
        <v>0</v>
      </c>
      <c r="BZ7" s="18">
        <v>16.100000000000001</v>
      </c>
      <c r="CA7" s="18">
        <v>8.8000000000000007</v>
      </c>
      <c r="CB7" s="18">
        <v>15.3</v>
      </c>
      <c r="CC7" s="18">
        <v>16.149999999999999</v>
      </c>
      <c r="CD7" s="18">
        <v>0</v>
      </c>
      <c r="CE7" s="18">
        <v>17</v>
      </c>
      <c r="CF7" s="18">
        <v>9.1</v>
      </c>
      <c r="CG7" s="18">
        <v>15.3</v>
      </c>
      <c r="CH7" s="18">
        <v>16.28</v>
      </c>
      <c r="CI7" s="18">
        <v>0</v>
      </c>
      <c r="CJ7" s="23"/>
      <c r="CK7" s="34">
        <f t="shared" si="34"/>
        <v>15.3</v>
      </c>
      <c r="CL7" s="34">
        <f t="shared" si="35"/>
        <v>15.96</v>
      </c>
      <c r="CM7" s="36">
        <f t="shared" si="36"/>
        <v>56.26</v>
      </c>
      <c r="CN7" s="36">
        <f t="shared" si="37"/>
        <v>15.3</v>
      </c>
      <c r="CO7" s="36">
        <f t="shared" si="38"/>
        <v>16.149999999999999</v>
      </c>
      <c r="CP7" s="36">
        <f t="shared" si="39"/>
        <v>56.35</v>
      </c>
      <c r="CQ7" s="36">
        <f t="shared" si="40"/>
        <v>56.35</v>
      </c>
      <c r="CR7" s="36">
        <f t="shared" si="41"/>
        <v>15.3</v>
      </c>
      <c r="CS7" s="36">
        <f t="shared" si="42"/>
        <v>16.28</v>
      </c>
      <c r="CT7" s="36">
        <f t="shared" si="43"/>
        <v>57.680000000000007</v>
      </c>
      <c r="CU7" s="36">
        <f t="shared" si="44"/>
        <v>114.03</v>
      </c>
      <c r="CV7" s="47" t="str">
        <f t="shared" si="45"/>
        <v/>
      </c>
      <c r="CW7" s="47">
        <f t="shared" si="46"/>
        <v>0.25000000000000711</v>
      </c>
      <c r="CX7" s="15">
        <v>13.9</v>
      </c>
      <c r="CY7" s="15">
        <v>8.6</v>
      </c>
      <c r="CZ7" s="15">
        <v>15.5</v>
      </c>
      <c r="DA7" s="15">
        <v>15.27</v>
      </c>
      <c r="DB7" s="15">
        <v>0</v>
      </c>
      <c r="DC7" s="15">
        <v>2.9</v>
      </c>
      <c r="DD7" s="15">
        <v>1.7</v>
      </c>
      <c r="DE7" s="15">
        <v>3.5</v>
      </c>
      <c r="DF7" s="15">
        <v>3.22</v>
      </c>
      <c r="DG7" s="15"/>
      <c r="DH7" s="15"/>
      <c r="DI7" s="15"/>
      <c r="DJ7" s="15"/>
      <c r="DK7" s="15"/>
      <c r="DL7" s="15"/>
      <c r="DM7" s="15"/>
      <c r="DN7" s="15"/>
      <c r="DO7" s="15"/>
      <c r="DP7" s="15"/>
      <c r="DQ7" s="15"/>
      <c r="DR7" s="36">
        <f t="shared" si="47"/>
        <v>15.5</v>
      </c>
      <c r="DS7" s="36">
        <f t="shared" si="48"/>
        <v>15.27</v>
      </c>
      <c r="DT7" s="36">
        <f t="shared" si="49"/>
        <v>53.269999999999996</v>
      </c>
      <c r="DU7" s="36">
        <f t="shared" si="50"/>
        <v>3.5</v>
      </c>
      <c r="DV7" s="36">
        <f t="shared" si="51"/>
        <v>3.22</v>
      </c>
      <c r="DW7" s="36">
        <f t="shared" si="52"/>
        <v>11.32</v>
      </c>
      <c r="DX7" s="36">
        <f t="shared" si="53"/>
        <v>53.269999999999996</v>
      </c>
      <c r="DY7" s="36" t="str">
        <f t="shared" si="54"/>
        <v/>
      </c>
      <c r="DZ7" s="36" t="str">
        <f t="shared" si="55"/>
        <v/>
      </c>
      <c r="EA7" s="36" t="str">
        <f t="shared" si="56"/>
        <v/>
      </c>
      <c r="EB7" s="36" t="str">
        <f t="shared" si="57"/>
        <v/>
      </c>
      <c r="EC7" s="36" t="str">
        <f t="shared" si="58"/>
        <v/>
      </c>
      <c r="ED7" s="36" t="str">
        <f t="shared" si="59"/>
        <v/>
      </c>
      <c r="EE7" s="36">
        <f t="shared" si="60"/>
        <v>53.269999999999996</v>
      </c>
      <c r="EF7" s="16"/>
      <c r="EG7" s="16"/>
      <c r="EH7" s="16"/>
      <c r="EI7" s="16"/>
      <c r="EJ7" s="16"/>
      <c r="EK7" s="16"/>
      <c r="EL7" s="16"/>
      <c r="EM7" s="16"/>
      <c r="EN7" s="16"/>
      <c r="EO7" s="16"/>
      <c r="EP7" s="16"/>
      <c r="EQ7" s="16"/>
      <c r="ER7" s="16"/>
      <c r="ES7" s="16"/>
      <c r="ET7" s="16"/>
      <c r="EU7" s="16"/>
      <c r="EV7" s="16"/>
      <c r="EW7" s="16"/>
      <c r="EX7" s="16"/>
      <c r="EY7" s="16"/>
      <c r="EZ7" s="11" t="str">
        <f t="shared" si="61"/>
        <v/>
      </c>
      <c r="FA7" s="11" t="str">
        <f t="shared" si="62"/>
        <v/>
      </c>
      <c r="FB7" s="11" t="str">
        <f t="shared" si="63"/>
        <v/>
      </c>
      <c r="FC7" s="11" t="str">
        <f t="shared" si="64"/>
        <v/>
      </c>
      <c r="FD7" s="11" t="str">
        <f t="shared" si="65"/>
        <v/>
      </c>
      <c r="FE7" s="11" t="str">
        <f t="shared" si="66"/>
        <v/>
      </c>
      <c r="FF7" s="11" t="str">
        <f t="shared" si="67"/>
        <v/>
      </c>
      <c r="FG7" s="11" t="str">
        <f t="shared" si="68"/>
        <v/>
      </c>
      <c r="FH7" s="11" t="str">
        <f t="shared" si="69"/>
        <v/>
      </c>
      <c r="FI7" s="11" t="str">
        <f t="shared" si="70"/>
        <v/>
      </c>
      <c r="FJ7" s="11" t="str">
        <f t="shared" si="71"/>
        <v/>
      </c>
      <c r="FK7" s="11" t="str">
        <f t="shared" si="72"/>
        <v/>
      </c>
      <c r="FL7" s="11" t="str">
        <f t="shared" si="73"/>
        <v/>
      </c>
      <c r="FM7" s="11" t="str">
        <f t="shared" si="74"/>
        <v/>
      </c>
      <c r="FN7" s="15">
        <v>15.6</v>
      </c>
      <c r="FO7" s="15">
        <v>8.9</v>
      </c>
      <c r="FP7" s="15">
        <v>14.9</v>
      </c>
      <c r="FQ7" s="15">
        <v>15.44</v>
      </c>
      <c r="FR7" s="15">
        <v>0</v>
      </c>
      <c r="FS7" s="15">
        <v>15.9</v>
      </c>
      <c r="FT7" s="15">
        <v>9.5</v>
      </c>
      <c r="FU7" s="15">
        <v>15.3</v>
      </c>
      <c r="FV7" s="15">
        <v>15.81</v>
      </c>
      <c r="FW7" s="15">
        <v>0</v>
      </c>
      <c r="FX7" s="15"/>
      <c r="FY7" s="15"/>
      <c r="FZ7" s="15"/>
      <c r="GA7" s="15"/>
      <c r="GB7" s="15"/>
      <c r="GC7" s="15"/>
      <c r="GD7" s="15"/>
      <c r="GE7" s="15"/>
      <c r="GF7" s="15"/>
      <c r="GG7" s="15"/>
      <c r="GH7" s="36">
        <f t="shared" si="75"/>
        <v>14.9</v>
      </c>
      <c r="GI7" s="36">
        <f t="shared" si="76"/>
        <v>15.44</v>
      </c>
      <c r="GJ7" s="36">
        <f t="shared" si="77"/>
        <v>54.839999999999996</v>
      </c>
      <c r="GK7" s="36">
        <f t="shared" si="78"/>
        <v>15.3</v>
      </c>
      <c r="GL7" s="36">
        <f t="shared" si="79"/>
        <v>15.81</v>
      </c>
      <c r="GM7" s="36">
        <f t="shared" si="80"/>
        <v>56.510000000000005</v>
      </c>
      <c r="GN7" s="36">
        <f t="shared" si="81"/>
        <v>56.510000000000005</v>
      </c>
      <c r="GO7" s="36" t="str">
        <f t="shared" si="82"/>
        <v/>
      </c>
      <c r="GP7" s="36" t="str">
        <f t="shared" si="83"/>
        <v/>
      </c>
      <c r="GQ7" s="36" t="str">
        <f t="shared" si="84"/>
        <v/>
      </c>
      <c r="GR7" s="36" t="str">
        <f t="shared" si="85"/>
        <v/>
      </c>
      <c r="GS7" s="36" t="str">
        <f t="shared" si="86"/>
        <v/>
      </c>
      <c r="GT7" s="36" t="str">
        <f t="shared" si="87"/>
        <v/>
      </c>
      <c r="GU7" s="36">
        <f t="shared" si="88"/>
        <v>56.510000000000005</v>
      </c>
      <c r="GV7" s="16"/>
      <c r="GW7" s="16"/>
      <c r="GX7" s="16"/>
      <c r="GY7" s="16"/>
      <c r="GZ7" s="16"/>
      <c r="HA7" s="16"/>
      <c r="HB7" s="16"/>
      <c r="HC7" s="16"/>
      <c r="HD7" s="16"/>
      <c r="HE7" s="16"/>
      <c r="HF7" s="16"/>
      <c r="HG7" s="16"/>
      <c r="HH7" s="16"/>
      <c r="HI7" s="16"/>
      <c r="HJ7" s="16"/>
      <c r="HK7" s="16"/>
      <c r="HL7" s="16"/>
      <c r="HM7" s="16"/>
      <c r="HN7" s="16"/>
      <c r="HO7" s="16"/>
      <c r="HP7" s="11" t="str">
        <f t="shared" si="89"/>
        <v/>
      </c>
      <c r="HQ7" s="11" t="str">
        <f t="shared" si="90"/>
        <v/>
      </c>
      <c r="HR7" s="11" t="str">
        <f t="shared" si="91"/>
        <v/>
      </c>
      <c r="HS7" s="11" t="str">
        <f t="shared" si="92"/>
        <v/>
      </c>
      <c r="HT7" s="11" t="str">
        <f t="shared" si="93"/>
        <v/>
      </c>
      <c r="HU7" s="11" t="str">
        <f t="shared" si="94"/>
        <v/>
      </c>
      <c r="HV7" s="11" t="str">
        <f t="shared" si="95"/>
        <v/>
      </c>
      <c r="HW7" s="11" t="str">
        <f t="shared" si="96"/>
        <v/>
      </c>
      <c r="HX7" s="11" t="str">
        <f t="shared" si="97"/>
        <v/>
      </c>
      <c r="HY7" s="11" t="str">
        <f t="shared" si="98"/>
        <v/>
      </c>
      <c r="HZ7" s="11" t="str">
        <f t="shared" si="99"/>
        <v/>
      </c>
      <c r="IA7" s="11" t="str">
        <f t="shared" si="100"/>
        <v/>
      </c>
      <c r="IB7" s="11" t="str">
        <f t="shared" si="101"/>
        <v/>
      </c>
      <c r="IC7" s="11" t="str">
        <f t="shared" si="102"/>
        <v/>
      </c>
      <c r="ID7" s="15"/>
      <c r="IE7" s="15"/>
      <c r="IF7" s="15"/>
      <c r="IG7" s="15"/>
      <c r="IH7" s="15"/>
      <c r="II7" s="15">
        <v>16.399999999999999</v>
      </c>
      <c r="IJ7" s="15">
        <v>9.4</v>
      </c>
      <c r="IK7" s="15">
        <v>14.9</v>
      </c>
      <c r="IL7" s="15">
        <v>15.56</v>
      </c>
      <c r="IM7" s="15">
        <v>0</v>
      </c>
      <c r="IN7" s="15"/>
      <c r="IO7" s="15"/>
      <c r="IP7" s="15"/>
      <c r="IQ7" s="15"/>
      <c r="IR7" s="15"/>
      <c r="IS7" s="15">
        <v>16.2</v>
      </c>
      <c r="IT7" s="15">
        <v>8.6</v>
      </c>
      <c r="IU7" s="15">
        <v>14.9</v>
      </c>
      <c r="IV7" s="15">
        <v>15.23</v>
      </c>
      <c r="IW7" s="15">
        <v>0</v>
      </c>
      <c r="IX7" s="36" t="str">
        <f t="shared" si="103"/>
        <v/>
      </c>
      <c r="IY7" s="36" t="str">
        <f t="shared" si="104"/>
        <v/>
      </c>
      <c r="IZ7" s="36" t="str">
        <f t="shared" si="105"/>
        <v/>
      </c>
      <c r="JA7" s="36">
        <f t="shared" si="106"/>
        <v>14.9</v>
      </c>
      <c r="JB7" s="36">
        <f t="shared" si="107"/>
        <v>15.56</v>
      </c>
      <c r="JC7" s="36">
        <f t="shared" si="108"/>
        <v>56.26</v>
      </c>
      <c r="JD7" s="36">
        <f t="shared" si="109"/>
        <v>56.26</v>
      </c>
      <c r="JE7" s="36" t="str">
        <f t="shared" si="110"/>
        <v/>
      </c>
      <c r="JF7" s="36" t="str">
        <f t="shared" si="111"/>
        <v/>
      </c>
      <c r="JG7" s="36" t="str">
        <f t="shared" si="112"/>
        <v/>
      </c>
      <c r="JH7" s="36">
        <f t="shared" si="113"/>
        <v>14.9</v>
      </c>
      <c r="JI7" s="36">
        <f t="shared" si="114"/>
        <v>15.23</v>
      </c>
      <c r="JJ7" s="36">
        <f t="shared" si="115"/>
        <v>54.929999999999993</v>
      </c>
      <c r="JK7" s="36">
        <f t="shared" si="116"/>
        <v>111.19</v>
      </c>
      <c r="JL7" s="16">
        <v>15.6</v>
      </c>
      <c r="JM7" s="16">
        <v>8.6</v>
      </c>
      <c r="JN7" s="16">
        <v>13.7</v>
      </c>
      <c r="JO7" s="16">
        <v>15.29</v>
      </c>
      <c r="JP7" s="16">
        <v>0</v>
      </c>
      <c r="JQ7" s="16">
        <v>14.1</v>
      </c>
      <c r="JR7" s="16">
        <v>7.6</v>
      </c>
      <c r="JS7" s="16">
        <v>13.2</v>
      </c>
      <c r="JT7" s="16">
        <v>14.29</v>
      </c>
      <c r="JU7" s="16">
        <v>0</v>
      </c>
      <c r="JV7" s="16"/>
      <c r="JW7" s="16"/>
      <c r="JX7" s="16"/>
      <c r="JY7" s="16"/>
      <c r="JZ7" s="16"/>
      <c r="KA7" s="16"/>
      <c r="KB7" s="16"/>
      <c r="KC7" s="16"/>
      <c r="KD7" s="16"/>
      <c r="KE7" s="16"/>
      <c r="KF7" s="11">
        <f t="shared" si="117"/>
        <v>13.7</v>
      </c>
      <c r="KG7" s="11">
        <f t="shared" si="118"/>
        <v>15.29</v>
      </c>
      <c r="KH7" s="11">
        <f t="shared" si="119"/>
        <v>53.19</v>
      </c>
      <c r="KI7" s="11">
        <f t="shared" si="120"/>
        <v>13.2</v>
      </c>
      <c r="KJ7" s="11">
        <f t="shared" si="121"/>
        <v>14.29</v>
      </c>
      <c r="KK7" s="11">
        <f t="shared" si="122"/>
        <v>49.19</v>
      </c>
      <c r="KL7" s="11">
        <f t="shared" si="123"/>
        <v>53.19</v>
      </c>
      <c r="KM7" s="11" t="str">
        <f t="shared" si="124"/>
        <v/>
      </c>
      <c r="KN7" s="11" t="str">
        <f t="shared" si="125"/>
        <v/>
      </c>
      <c r="KO7" s="11" t="str">
        <f t="shared" si="126"/>
        <v/>
      </c>
      <c r="KP7" s="11" t="str">
        <f t="shared" si="127"/>
        <v/>
      </c>
      <c r="KQ7" s="11" t="str">
        <f t="shared" si="128"/>
        <v/>
      </c>
      <c r="KR7" s="11" t="str">
        <f t="shared" si="129"/>
        <v/>
      </c>
      <c r="KS7" s="11">
        <f t="shared" si="130"/>
        <v>53.19</v>
      </c>
      <c r="KT7" s="15">
        <v>15</v>
      </c>
      <c r="KU7" s="15">
        <v>9.3000000000000007</v>
      </c>
      <c r="KV7" s="15">
        <v>16.2</v>
      </c>
      <c r="KW7" s="15">
        <v>15.85</v>
      </c>
      <c r="KX7" s="15">
        <v>0</v>
      </c>
      <c r="KY7" s="15">
        <v>13.6</v>
      </c>
      <c r="KZ7" s="15">
        <v>8.1</v>
      </c>
      <c r="LA7" s="15">
        <v>13.2</v>
      </c>
      <c r="LB7" s="15">
        <v>14.13</v>
      </c>
      <c r="LC7" s="15">
        <v>0</v>
      </c>
      <c r="LD7" s="15"/>
      <c r="LE7" s="15"/>
      <c r="LF7" s="15"/>
      <c r="LG7" s="15"/>
      <c r="LH7" s="15"/>
      <c r="LI7" s="15"/>
      <c r="LJ7" s="15"/>
      <c r="LK7" s="15"/>
      <c r="LL7" s="15"/>
      <c r="LM7" s="15"/>
      <c r="LN7" s="36">
        <f t="shared" si="131"/>
        <v>16.2</v>
      </c>
      <c r="LO7" s="36">
        <f t="shared" si="132"/>
        <v>15.85</v>
      </c>
      <c r="LP7" s="36">
        <f t="shared" si="133"/>
        <v>56.35</v>
      </c>
      <c r="LQ7" s="36">
        <f t="shared" si="134"/>
        <v>13.2</v>
      </c>
      <c r="LR7" s="36">
        <f t="shared" si="135"/>
        <v>14.13</v>
      </c>
      <c r="LS7" s="36">
        <f t="shared" si="136"/>
        <v>49.03</v>
      </c>
      <c r="LT7" s="36">
        <f t="shared" si="137"/>
        <v>56.35</v>
      </c>
      <c r="LU7" s="36" t="str">
        <f t="shared" si="138"/>
        <v/>
      </c>
      <c r="LV7" s="36" t="str">
        <f t="shared" si="139"/>
        <v/>
      </c>
      <c r="LW7" s="36" t="str">
        <f t="shared" si="140"/>
        <v/>
      </c>
      <c r="LX7" s="36" t="str">
        <f t="shared" si="141"/>
        <v/>
      </c>
      <c r="LY7" s="36" t="str">
        <f t="shared" si="142"/>
        <v/>
      </c>
      <c r="LZ7" s="36" t="str">
        <f t="shared" si="143"/>
        <v/>
      </c>
      <c r="MA7" s="36">
        <f t="shared" si="144"/>
        <v>56.35</v>
      </c>
      <c r="MB7" s="16">
        <v>13</v>
      </c>
      <c r="MC7" s="16">
        <v>9.1</v>
      </c>
      <c r="MD7" s="16">
        <v>16.8</v>
      </c>
      <c r="ME7" s="16">
        <v>15.41</v>
      </c>
      <c r="MF7" s="16">
        <v>0</v>
      </c>
      <c r="MG7" s="16">
        <v>14.1</v>
      </c>
      <c r="MH7" s="16">
        <v>9.5</v>
      </c>
      <c r="MI7" s="16">
        <v>17</v>
      </c>
      <c r="MJ7" s="16">
        <v>15.64</v>
      </c>
      <c r="MK7" s="16">
        <v>0</v>
      </c>
      <c r="ML7" s="16"/>
      <c r="MM7" s="16"/>
      <c r="MN7" s="16"/>
      <c r="MO7" s="16"/>
      <c r="MP7" s="16"/>
      <c r="MQ7" s="16"/>
      <c r="MR7" s="16"/>
      <c r="MS7" s="16"/>
      <c r="MT7" s="16"/>
      <c r="MU7" s="16"/>
      <c r="MV7" s="11">
        <f t="shared" si="145"/>
        <v>16.8</v>
      </c>
      <c r="MW7" s="11">
        <f t="shared" si="146"/>
        <v>15.41</v>
      </c>
      <c r="MX7" s="11">
        <f t="shared" si="147"/>
        <v>54.31</v>
      </c>
      <c r="MY7" s="11">
        <f t="shared" si="148"/>
        <v>17</v>
      </c>
      <c r="MZ7" s="11">
        <f t="shared" si="149"/>
        <v>15.64</v>
      </c>
      <c r="NA7" s="11">
        <f t="shared" si="150"/>
        <v>56.24</v>
      </c>
      <c r="NB7" s="11">
        <f t="shared" si="151"/>
        <v>56.24</v>
      </c>
      <c r="NC7" s="11" t="str">
        <f t="shared" si="152"/>
        <v/>
      </c>
      <c r="ND7" s="11" t="str">
        <f t="shared" si="153"/>
        <v/>
      </c>
      <c r="NE7" s="11" t="str">
        <f t="shared" si="154"/>
        <v/>
      </c>
      <c r="NF7" s="11" t="str">
        <f t="shared" si="155"/>
        <v/>
      </c>
      <c r="NG7" s="11" t="str">
        <f t="shared" si="156"/>
        <v/>
      </c>
      <c r="NH7" s="11" t="str">
        <f t="shared" si="157"/>
        <v/>
      </c>
      <c r="NI7" s="11">
        <f t="shared" si="158"/>
        <v>56.24</v>
      </c>
      <c r="NJ7" s="15"/>
      <c r="NK7" s="15"/>
      <c r="NL7" s="15"/>
      <c r="NM7" s="15"/>
      <c r="NN7" s="15"/>
      <c r="NO7" s="15"/>
      <c r="NP7" s="15"/>
      <c r="NQ7" s="15"/>
      <c r="NR7" s="15"/>
      <c r="NS7" s="15"/>
      <c r="NT7" s="15"/>
      <c r="NU7" s="15"/>
      <c r="NV7" s="15"/>
      <c r="NW7" s="15"/>
      <c r="NX7" s="15"/>
      <c r="NY7" s="15"/>
      <c r="NZ7" s="15"/>
      <c r="OA7" s="15"/>
      <c r="OB7" s="15"/>
      <c r="OC7" s="15"/>
      <c r="OD7" s="36" t="str">
        <f t="shared" si="159"/>
        <v/>
      </c>
      <c r="OE7" s="36" t="str">
        <f t="shared" si="160"/>
        <v/>
      </c>
      <c r="OF7" s="36" t="str">
        <f t="shared" si="161"/>
        <v/>
      </c>
      <c r="OG7" s="36" t="str">
        <f t="shared" si="162"/>
        <v/>
      </c>
      <c r="OH7" s="36" t="str">
        <f t="shared" si="163"/>
        <v/>
      </c>
      <c r="OI7" s="36" t="str">
        <f t="shared" si="164"/>
        <v/>
      </c>
      <c r="OJ7" s="36" t="str">
        <f t="shared" si="165"/>
        <v/>
      </c>
      <c r="OK7" s="36" t="str">
        <f t="shared" si="166"/>
        <v/>
      </c>
      <c r="OL7" s="36" t="str">
        <f t="shared" si="167"/>
        <v/>
      </c>
      <c r="OM7" s="36" t="str">
        <f t="shared" si="168"/>
        <v/>
      </c>
      <c r="ON7" s="36" t="str">
        <f t="shared" si="169"/>
        <v/>
      </c>
      <c r="OO7" s="36" t="str">
        <f t="shared" si="170"/>
        <v/>
      </c>
      <c r="OP7" s="36" t="str">
        <f t="shared" si="171"/>
        <v/>
      </c>
      <c r="OQ7" s="36" t="str">
        <f t="shared" si="172"/>
        <v/>
      </c>
      <c r="OR7" s="16"/>
      <c r="OS7" s="16"/>
      <c r="OT7" s="16"/>
      <c r="OU7" s="16"/>
      <c r="OV7" s="16"/>
      <c r="OW7" s="16"/>
      <c r="OX7" s="16"/>
      <c r="OY7" s="16"/>
      <c r="OZ7" s="16"/>
      <c r="PA7" s="16"/>
      <c r="PB7" s="16"/>
      <c r="PC7" s="16"/>
      <c r="PD7" s="16"/>
      <c r="PE7" s="16"/>
      <c r="PF7" s="16"/>
      <c r="PG7" s="16"/>
      <c r="PH7" s="16"/>
      <c r="PI7" s="16"/>
      <c r="PJ7" s="16"/>
      <c r="PK7" s="16"/>
      <c r="PL7" s="11" t="str">
        <f t="shared" si="173"/>
        <v/>
      </c>
      <c r="PM7" s="11" t="str">
        <f t="shared" si="174"/>
        <v/>
      </c>
      <c r="PN7" s="11" t="str">
        <f t="shared" si="175"/>
        <v/>
      </c>
      <c r="PO7" s="11" t="str">
        <f t="shared" si="176"/>
        <v/>
      </c>
      <c r="PP7" s="11" t="str">
        <f t="shared" si="177"/>
        <v/>
      </c>
      <c r="PQ7" s="11" t="str">
        <f t="shared" si="178"/>
        <v/>
      </c>
      <c r="PR7" s="11" t="str">
        <f t="shared" si="179"/>
        <v/>
      </c>
      <c r="PS7" s="11" t="str">
        <f t="shared" si="180"/>
        <v/>
      </c>
      <c r="PT7" s="11" t="str">
        <f t="shared" si="181"/>
        <v/>
      </c>
      <c r="PU7" s="11" t="str">
        <f t="shared" si="182"/>
        <v/>
      </c>
      <c r="PV7" s="11" t="str">
        <f t="shared" si="183"/>
        <v/>
      </c>
      <c r="PW7" s="11" t="str">
        <f t="shared" si="184"/>
        <v/>
      </c>
      <c r="PX7" s="11" t="str">
        <f t="shared" si="185"/>
        <v/>
      </c>
      <c r="PY7" s="11" t="str">
        <f t="shared" si="186"/>
        <v/>
      </c>
      <c r="PZ7" s="15"/>
      <c r="QA7" s="15"/>
      <c r="QB7" s="15"/>
      <c r="QC7" s="15"/>
      <c r="QD7" s="15"/>
      <c r="QE7" s="15"/>
      <c r="QF7" s="15"/>
      <c r="QG7" s="15"/>
      <c r="QH7" s="15"/>
      <c r="QI7" s="15"/>
      <c r="QJ7" s="15"/>
      <c r="QK7" s="15"/>
      <c r="QL7" s="15"/>
      <c r="QM7" s="15"/>
      <c r="QN7" s="15"/>
      <c r="QO7" s="15"/>
      <c r="QP7" s="15"/>
      <c r="QQ7" s="15"/>
      <c r="QR7" s="15"/>
      <c r="QS7" s="15"/>
      <c r="QT7" s="36" t="str">
        <f t="shared" si="187"/>
        <v/>
      </c>
      <c r="QU7" s="36" t="str">
        <f t="shared" si="188"/>
        <v/>
      </c>
      <c r="QV7" s="36" t="str">
        <f t="shared" si="189"/>
        <v/>
      </c>
      <c r="QW7" s="36" t="str">
        <f t="shared" si="190"/>
        <v/>
      </c>
      <c r="QX7" s="36" t="str">
        <f t="shared" si="191"/>
        <v/>
      </c>
      <c r="QY7" s="36" t="str">
        <f t="shared" si="192"/>
        <v/>
      </c>
      <c r="QZ7" s="36" t="str">
        <f t="shared" si="193"/>
        <v/>
      </c>
      <c r="RA7" s="36" t="str">
        <f t="shared" si="194"/>
        <v/>
      </c>
      <c r="RB7" s="36" t="str">
        <f t="shared" si="195"/>
        <v/>
      </c>
      <c r="RC7" s="36" t="str">
        <f t="shared" si="196"/>
        <v/>
      </c>
      <c r="RD7" s="36" t="str">
        <f t="shared" si="197"/>
        <v/>
      </c>
      <c r="RE7" s="36" t="str">
        <f t="shared" si="198"/>
        <v/>
      </c>
      <c r="RF7" s="36" t="str">
        <f t="shared" si="199"/>
        <v/>
      </c>
      <c r="RG7" s="36" t="str">
        <f t="shared" si="200"/>
        <v/>
      </c>
      <c r="RH7" s="16"/>
      <c r="RI7" s="16"/>
      <c r="RJ7" s="16"/>
      <c r="RK7" s="16"/>
      <c r="RL7" s="16"/>
      <c r="RM7" s="16"/>
      <c r="RN7" s="16"/>
      <c r="RO7" s="16"/>
      <c r="RP7" s="16"/>
      <c r="RQ7" s="16"/>
      <c r="RR7" s="16"/>
      <c r="RS7" s="16"/>
      <c r="RT7" s="16"/>
      <c r="RU7" s="16"/>
      <c r="RV7" s="16"/>
      <c r="RW7" s="16"/>
      <c r="RX7" s="16"/>
      <c r="RY7" s="16"/>
      <c r="RZ7" s="16"/>
      <c r="SA7" s="16"/>
      <c r="SB7" s="11" t="str">
        <f t="shared" si="201"/>
        <v/>
      </c>
      <c r="SC7" s="11" t="str">
        <f t="shared" si="202"/>
        <v/>
      </c>
      <c r="SD7" s="11" t="str">
        <f t="shared" si="203"/>
        <v/>
      </c>
      <c r="SE7" s="11" t="str">
        <f t="shared" si="204"/>
        <v/>
      </c>
      <c r="SF7" s="11" t="str">
        <f t="shared" si="205"/>
        <v/>
      </c>
      <c r="SG7" s="11" t="str">
        <f t="shared" si="206"/>
        <v/>
      </c>
      <c r="SH7" s="11" t="str">
        <f t="shared" si="207"/>
        <v/>
      </c>
      <c r="SI7" s="11" t="str">
        <f t="shared" si="208"/>
        <v/>
      </c>
      <c r="SJ7" s="11" t="str">
        <f t="shared" si="209"/>
        <v/>
      </c>
      <c r="SK7" s="11" t="str">
        <f t="shared" si="210"/>
        <v/>
      </c>
      <c r="SL7" s="11" t="str">
        <f t="shared" si="211"/>
        <v/>
      </c>
      <c r="SM7" s="11" t="str">
        <f t="shared" si="212"/>
        <v/>
      </c>
      <c r="SN7" s="11" t="str">
        <f t="shared" si="213"/>
        <v/>
      </c>
      <c r="SO7" s="11" t="str">
        <f t="shared" si="214"/>
        <v/>
      </c>
      <c r="SP7" s="15"/>
      <c r="SQ7" s="15"/>
      <c r="SR7" s="15"/>
      <c r="SS7" s="15"/>
      <c r="ST7" s="15"/>
      <c r="SU7" s="15"/>
      <c r="SV7" s="15"/>
      <c r="SW7" s="15"/>
      <c r="SX7" s="15"/>
      <c r="SY7" s="15"/>
      <c r="SZ7" s="15"/>
      <c r="TA7" s="15"/>
      <c r="TB7" s="15"/>
      <c r="TC7" s="15"/>
      <c r="TD7" s="15"/>
      <c r="TE7" s="15"/>
      <c r="TF7" s="15"/>
      <c r="TG7" s="15"/>
      <c r="TH7" s="15"/>
      <c r="TI7" s="15"/>
      <c r="TJ7" s="36" t="str">
        <f t="shared" si="215"/>
        <v/>
      </c>
      <c r="TK7" s="36" t="str">
        <f t="shared" si="216"/>
        <v/>
      </c>
      <c r="TL7" s="36" t="str">
        <f t="shared" si="217"/>
        <v/>
      </c>
      <c r="TM7" s="36" t="str">
        <f t="shared" si="218"/>
        <v/>
      </c>
      <c r="TN7" s="36" t="str">
        <f t="shared" si="219"/>
        <v/>
      </c>
      <c r="TO7" s="36" t="str">
        <f t="shared" si="220"/>
        <v/>
      </c>
      <c r="TP7" s="36" t="str">
        <f t="shared" si="221"/>
        <v/>
      </c>
      <c r="TQ7" s="36" t="str">
        <f t="shared" si="222"/>
        <v/>
      </c>
      <c r="TR7" s="36" t="str">
        <f t="shared" si="223"/>
        <v/>
      </c>
      <c r="TS7" s="36" t="str">
        <f t="shared" si="224"/>
        <v/>
      </c>
      <c r="TT7" s="36" t="str">
        <f t="shared" si="225"/>
        <v/>
      </c>
      <c r="TU7" s="36" t="str">
        <f t="shared" si="226"/>
        <v/>
      </c>
      <c r="TV7" s="36" t="str">
        <f t="shared" si="227"/>
        <v/>
      </c>
      <c r="TW7" s="36" t="str">
        <f t="shared" si="228"/>
        <v/>
      </c>
      <c r="TX7" s="16"/>
      <c r="TY7" s="16"/>
      <c r="TZ7" s="16"/>
      <c r="UA7" s="16"/>
      <c r="UB7" s="16"/>
      <c r="UC7" s="16"/>
      <c r="UD7" s="16"/>
      <c r="UE7" s="16"/>
      <c r="UF7" s="16"/>
      <c r="UG7" s="16"/>
      <c r="UH7" s="16"/>
      <c r="UI7" s="16"/>
      <c r="UJ7" s="16"/>
      <c r="UK7" s="16"/>
      <c r="UL7" s="16"/>
      <c r="UM7" s="16"/>
      <c r="UN7" s="16"/>
      <c r="UO7" s="16"/>
      <c r="UP7" s="16"/>
      <c r="UQ7" s="16"/>
      <c r="UR7" s="11" t="str">
        <f t="shared" si="229"/>
        <v/>
      </c>
      <c r="US7" s="11" t="str">
        <f t="shared" si="230"/>
        <v/>
      </c>
      <c r="UT7" s="11" t="str">
        <f t="shared" si="231"/>
        <v/>
      </c>
      <c r="UU7" s="11" t="str">
        <f t="shared" si="232"/>
        <v/>
      </c>
      <c r="UV7" s="11" t="str">
        <f t="shared" si="233"/>
        <v/>
      </c>
      <c r="UW7" s="11" t="str">
        <f t="shared" si="234"/>
        <v/>
      </c>
      <c r="UX7" s="11" t="str">
        <f t="shared" si="235"/>
        <v/>
      </c>
      <c r="UY7" s="11" t="str">
        <f t="shared" si="236"/>
        <v/>
      </c>
      <c r="UZ7" s="11" t="str">
        <f t="shared" si="237"/>
        <v/>
      </c>
      <c r="VA7" s="11" t="str">
        <f t="shared" si="238"/>
        <v/>
      </c>
      <c r="VB7" s="11" t="str">
        <f t="shared" si="239"/>
        <v/>
      </c>
      <c r="VC7" s="11" t="str">
        <f t="shared" si="240"/>
        <v/>
      </c>
      <c r="VD7" s="11" t="str">
        <f t="shared" si="241"/>
        <v/>
      </c>
      <c r="VE7" s="11" t="str">
        <f t="shared" si="242"/>
        <v/>
      </c>
      <c r="VF7" s="15"/>
      <c r="VG7" s="15"/>
      <c r="VH7" s="15"/>
      <c r="VI7" s="15"/>
      <c r="VJ7" s="15"/>
      <c r="VK7" s="15"/>
      <c r="VL7" s="15"/>
      <c r="VM7" s="15"/>
      <c r="VN7" s="15"/>
      <c r="VO7" s="15"/>
      <c r="VP7" s="15"/>
      <c r="VQ7" s="15"/>
      <c r="VR7" s="15"/>
      <c r="VS7" s="15"/>
      <c r="VT7" s="15"/>
      <c r="VU7" s="15"/>
      <c r="VV7" s="15"/>
      <c r="VW7" s="15"/>
      <c r="VX7" s="15"/>
      <c r="VY7" s="15"/>
      <c r="VZ7" s="36" t="str">
        <f t="shared" si="243"/>
        <v/>
      </c>
      <c r="WA7" s="36" t="str">
        <f t="shared" si="244"/>
        <v/>
      </c>
      <c r="WB7" s="36" t="str">
        <f t="shared" si="245"/>
        <v/>
      </c>
      <c r="WC7" s="36" t="str">
        <f t="shared" si="246"/>
        <v/>
      </c>
      <c r="WD7" s="36" t="str">
        <f t="shared" si="247"/>
        <v/>
      </c>
      <c r="WE7" s="36" t="str">
        <f t="shared" si="248"/>
        <v/>
      </c>
      <c r="WF7" s="36" t="str">
        <f t="shared" si="249"/>
        <v/>
      </c>
      <c r="WG7" s="36" t="str">
        <f t="shared" si="250"/>
        <v/>
      </c>
      <c r="WH7" s="36" t="str">
        <f t="shared" si="251"/>
        <v/>
      </c>
      <c r="WI7" s="36" t="str">
        <f t="shared" si="252"/>
        <v/>
      </c>
      <c r="WJ7" s="36" t="str">
        <f t="shared" si="253"/>
        <v/>
      </c>
      <c r="WK7" s="36" t="str">
        <f t="shared" si="254"/>
        <v/>
      </c>
      <c r="WL7" s="36" t="str">
        <f t="shared" si="255"/>
        <v/>
      </c>
      <c r="WM7" s="36" t="str">
        <f t="shared" si="256"/>
        <v/>
      </c>
    </row>
    <row r="8" spans="1:611" x14ac:dyDescent="0.2">
      <c r="A8" s="4" cm="1">
        <f t="array" ref="A8">IF(AND(H8&lt;&gt;"",H8&lt;&gt;"No DD"),SUMPRODUCT((H$4:H$27&lt;&gt;"")*(H$4:H$27&lt;&gt;"No DD")*(E$4:E$27&gt;E8))+1,IF(H8="No DD",SUMPRODUCT((H$4:H$27="No DD")*(E$4:E$27&gt;E8))+1+SUMPRODUCT((H$4:H$27&lt;&gt;"")*(H$4:H$27&lt;&gt;"No DD")),""))</f>
        <v>5</v>
      </c>
      <c r="B8" s="5" t="s">
        <v>116</v>
      </c>
      <c r="C8" s="4" t="s">
        <v>7</v>
      </c>
      <c r="D8" s="4">
        <v>2008</v>
      </c>
      <c r="E8" s="9">
        <f t="shared" si="0"/>
        <v>167.04001670400561</v>
      </c>
      <c r="F8" s="3" t="str">
        <f t="shared" si="1"/>
        <v>P</v>
      </c>
      <c r="G8" s="3" t="str">
        <f t="shared" si="2"/>
        <v>P</v>
      </c>
      <c r="H8" s="32" t="str">
        <f t="shared" si="3"/>
        <v>National Team</v>
      </c>
      <c r="I8" s="3" t="str">
        <f t="shared" si="4"/>
        <v/>
      </c>
      <c r="J8" s="8">
        <f t="shared" si="5"/>
        <v>55.52</v>
      </c>
      <c r="K8" s="8" t="str">
        <f t="shared" si="6"/>
        <v>2025 3rd Domestic Trial</v>
      </c>
      <c r="L8" s="8">
        <f>IFERROR(IF(J8=AR8,LARGE((AK8,AN8,BL8,BO8,BS8,CM8,CP8,CT8),1),IF(J8=BS8,LARGE((AK8,AN8,AR8,BL8,BO8,CM8,CP8,CT8),1),LARGE((AK8,AN8,AR8,BL8,BO8,BS8,CM8,CP8),1))),0)</f>
        <v>55.94</v>
      </c>
      <c r="M8" s="8" t="str">
        <f t="shared" si="7"/>
        <v>2025 3rd Domestic Trial</v>
      </c>
      <c r="N8" s="8">
        <f>IFERROR(IF(J8=AR8,LARGE((AK8,AN8,BL8,BO8,BS8,CM8,CP8,CT8),2),IF(J8=BS8,LARGE((AK8,AN8,AR8,BL8,BO8,CM8,CP8,CT8),2),LARGE((AK8,AN8,AR8,BL8,BO8,BS8,CM8,CP8),2))),0)</f>
        <v>55.58</v>
      </c>
      <c r="O8" s="8" t="str">
        <f t="shared" si="8"/>
        <v>2025 Nationals</v>
      </c>
      <c r="P8" s="8">
        <f t="shared" si="9"/>
        <v>0</v>
      </c>
      <c r="Q8" s="11" t="str">
        <f t="shared" si="10"/>
        <v/>
      </c>
      <c r="R8" s="8" t="str">
        <f t="shared" si="11"/>
        <v/>
      </c>
      <c r="S8" s="18">
        <v>14</v>
      </c>
      <c r="T8" s="18">
        <v>9.1999999999999993</v>
      </c>
      <c r="U8" s="18">
        <v>13.4</v>
      </c>
      <c r="V8" s="18">
        <v>15.21</v>
      </c>
      <c r="W8" s="18">
        <v>1.1000000000000001</v>
      </c>
      <c r="X8" s="18">
        <v>4.7</v>
      </c>
      <c r="Y8" s="18">
        <v>3</v>
      </c>
      <c r="Z8" s="18">
        <v>5</v>
      </c>
      <c r="AA8" s="18">
        <v>5.03</v>
      </c>
      <c r="AB8" s="18">
        <v>0</v>
      </c>
      <c r="AC8" s="18">
        <v>7.6</v>
      </c>
      <c r="AD8" s="18">
        <v>5.3</v>
      </c>
      <c r="AE8" s="18">
        <v>6.9</v>
      </c>
      <c r="AF8" s="18">
        <v>9.18</v>
      </c>
      <c r="AG8" s="18">
        <v>0</v>
      </c>
      <c r="AH8" s="23"/>
      <c r="AI8" s="34">
        <f t="shared" si="12"/>
        <v>13.4</v>
      </c>
      <c r="AJ8" s="34">
        <f t="shared" si="13"/>
        <v>15.21</v>
      </c>
      <c r="AK8" s="36">
        <f t="shared" si="14"/>
        <v>50.71</v>
      </c>
      <c r="AL8" s="36">
        <f t="shared" si="15"/>
        <v>5</v>
      </c>
      <c r="AM8" s="36">
        <f t="shared" si="16"/>
        <v>5.03</v>
      </c>
      <c r="AN8" s="36">
        <f t="shared" si="17"/>
        <v>17.73</v>
      </c>
      <c r="AO8" s="36">
        <f t="shared" si="18"/>
        <v>50.71</v>
      </c>
      <c r="AP8" s="36">
        <f t="shared" si="19"/>
        <v>6.9</v>
      </c>
      <c r="AQ8" s="36">
        <f t="shared" si="20"/>
        <v>9.18</v>
      </c>
      <c r="AR8" s="36">
        <f t="shared" si="21"/>
        <v>28.979999999999997</v>
      </c>
      <c r="AS8" s="36">
        <f t="shared" si="22"/>
        <v>79.69</v>
      </c>
      <c r="AT8" s="22">
        <v>5.7</v>
      </c>
      <c r="AU8" s="22">
        <v>3.7</v>
      </c>
      <c r="AV8" s="22">
        <v>6.9</v>
      </c>
      <c r="AW8" s="22">
        <v>6.48</v>
      </c>
      <c r="AX8" s="22">
        <v>0</v>
      </c>
      <c r="AY8" s="22">
        <v>14.7</v>
      </c>
      <c r="AZ8" s="22">
        <v>9.3000000000000007</v>
      </c>
      <c r="BA8" s="22">
        <v>15.9</v>
      </c>
      <c r="BB8" s="22">
        <v>15.68</v>
      </c>
      <c r="BC8" s="22">
        <v>0</v>
      </c>
      <c r="BD8" s="22">
        <v>15.3</v>
      </c>
      <c r="BE8" s="22">
        <v>9.1999999999999993</v>
      </c>
      <c r="BF8" s="22">
        <v>14.9</v>
      </c>
      <c r="BG8" s="22">
        <v>15.17</v>
      </c>
      <c r="BH8" s="22">
        <v>0</v>
      </c>
      <c r="BI8" s="24"/>
      <c r="BJ8" s="35">
        <f t="shared" si="23"/>
        <v>6.9</v>
      </c>
      <c r="BK8" s="35">
        <f t="shared" si="24"/>
        <v>6.48</v>
      </c>
      <c r="BL8" s="11">
        <f t="shared" si="25"/>
        <v>22.78</v>
      </c>
      <c r="BM8" s="11">
        <f t="shared" si="26"/>
        <v>15.9</v>
      </c>
      <c r="BN8" s="11">
        <f t="shared" si="27"/>
        <v>15.68</v>
      </c>
      <c r="BO8" s="11">
        <f t="shared" si="28"/>
        <v>55.58</v>
      </c>
      <c r="BP8" s="11">
        <f t="shared" si="29"/>
        <v>55.58</v>
      </c>
      <c r="BQ8" s="11">
        <f t="shared" si="30"/>
        <v>14.9</v>
      </c>
      <c r="BR8" s="11">
        <f t="shared" si="31"/>
        <v>15.17</v>
      </c>
      <c r="BS8" s="11">
        <f t="shared" si="32"/>
        <v>54.57</v>
      </c>
      <c r="BT8" s="11">
        <f t="shared" si="33"/>
        <v>110.15</v>
      </c>
      <c r="BU8" s="18">
        <v>1.7</v>
      </c>
      <c r="BV8" s="18">
        <v>0.8</v>
      </c>
      <c r="BW8" s="18">
        <v>2</v>
      </c>
      <c r="BX8" s="18">
        <v>1.75</v>
      </c>
      <c r="BY8" s="18">
        <v>0.2</v>
      </c>
      <c r="BZ8" s="18">
        <v>15.1</v>
      </c>
      <c r="CA8" s="18">
        <v>9.4</v>
      </c>
      <c r="CB8" s="18">
        <v>15.3</v>
      </c>
      <c r="CC8" s="18">
        <v>16.14</v>
      </c>
      <c r="CD8" s="18">
        <v>0</v>
      </c>
      <c r="CE8" s="18">
        <v>15.2</v>
      </c>
      <c r="CF8" s="18">
        <v>8.6999999999999993</v>
      </c>
      <c r="CG8" s="18">
        <v>15.3</v>
      </c>
      <c r="CH8" s="18">
        <v>16.32</v>
      </c>
      <c r="CI8" s="18">
        <v>0</v>
      </c>
      <c r="CJ8" s="23"/>
      <c r="CK8" s="34">
        <f t="shared" si="34"/>
        <v>2</v>
      </c>
      <c r="CL8" s="34">
        <f t="shared" si="35"/>
        <v>1.75</v>
      </c>
      <c r="CM8" s="36">
        <f t="shared" si="36"/>
        <v>6.05</v>
      </c>
      <c r="CN8" s="36">
        <f t="shared" si="37"/>
        <v>15.3</v>
      </c>
      <c r="CO8" s="36">
        <f t="shared" si="38"/>
        <v>16.14</v>
      </c>
      <c r="CP8" s="36">
        <f t="shared" si="39"/>
        <v>55.94</v>
      </c>
      <c r="CQ8" s="36">
        <f t="shared" si="40"/>
        <v>55.94</v>
      </c>
      <c r="CR8" s="36">
        <f t="shared" si="41"/>
        <v>15.3</v>
      </c>
      <c r="CS8" s="36">
        <f t="shared" si="42"/>
        <v>16.32</v>
      </c>
      <c r="CT8" s="36">
        <f t="shared" si="43"/>
        <v>55.52</v>
      </c>
      <c r="CU8" s="36">
        <f t="shared" si="44"/>
        <v>111.46000000000001</v>
      </c>
      <c r="CV8" s="47" t="str">
        <f t="shared" si="45"/>
        <v/>
      </c>
      <c r="CW8" s="47" t="str">
        <f t="shared" si="46"/>
        <v/>
      </c>
      <c r="CX8" s="15"/>
      <c r="CY8" s="15"/>
      <c r="CZ8" s="15"/>
      <c r="DA8" s="15"/>
      <c r="DB8" s="15"/>
      <c r="DC8" s="15"/>
      <c r="DD8" s="15"/>
      <c r="DE8" s="15"/>
      <c r="DF8" s="15"/>
      <c r="DG8" s="15"/>
      <c r="DH8" s="15"/>
      <c r="DI8" s="15"/>
      <c r="DJ8" s="15"/>
      <c r="DK8" s="15"/>
      <c r="DL8" s="15"/>
      <c r="DM8" s="15"/>
      <c r="DN8" s="15"/>
      <c r="DO8" s="15"/>
      <c r="DP8" s="15"/>
      <c r="DQ8" s="15"/>
      <c r="DR8" s="36" t="str">
        <f t="shared" si="47"/>
        <v/>
      </c>
      <c r="DS8" s="36" t="str">
        <f t="shared" si="48"/>
        <v/>
      </c>
      <c r="DT8" s="36" t="str">
        <f t="shared" si="49"/>
        <v/>
      </c>
      <c r="DU8" s="36" t="str">
        <f t="shared" si="50"/>
        <v/>
      </c>
      <c r="DV8" s="36" t="str">
        <f t="shared" si="51"/>
        <v/>
      </c>
      <c r="DW8" s="36" t="str">
        <f t="shared" si="52"/>
        <v/>
      </c>
      <c r="DX8" s="36" t="str">
        <f t="shared" si="53"/>
        <v/>
      </c>
      <c r="DY8" s="36" t="str">
        <f t="shared" si="54"/>
        <v/>
      </c>
      <c r="DZ8" s="36" t="str">
        <f t="shared" si="55"/>
        <v/>
      </c>
      <c r="EA8" s="36" t="str">
        <f t="shared" si="56"/>
        <v/>
      </c>
      <c r="EB8" s="36" t="str">
        <f t="shared" si="57"/>
        <v/>
      </c>
      <c r="EC8" s="36" t="str">
        <f t="shared" si="58"/>
        <v/>
      </c>
      <c r="ED8" s="36" t="str">
        <f t="shared" si="59"/>
        <v/>
      </c>
      <c r="EE8" s="36" t="str">
        <f t="shared" si="60"/>
        <v/>
      </c>
      <c r="EF8" s="16"/>
      <c r="EG8" s="16"/>
      <c r="EH8" s="16"/>
      <c r="EI8" s="16"/>
      <c r="EJ8" s="16"/>
      <c r="EK8" s="16"/>
      <c r="EL8" s="16"/>
      <c r="EM8" s="16"/>
      <c r="EN8" s="16"/>
      <c r="EO8" s="16"/>
      <c r="EP8" s="16"/>
      <c r="EQ8" s="16"/>
      <c r="ER8" s="16"/>
      <c r="ES8" s="16"/>
      <c r="ET8" s="16"/>
      <c r="EU8" s="16"/>
      <c r="EV8" s="16"/>
      <c r="EW8" s="16"/>
      <c r="EX8" s="16"/>
      <c r="EY8" s="16"/>
      <c r="EZ8" s="11" t="str">
        <f t="shared" si="61"/>
        <v/>
      </c>
      <c r="FA8" s="11" t="str">
        <f t="shared" si="62"/>
        <v/>
      </c>
      <c r="FB8" s="11" t="str">
        <f t="shared" si="63"/>
        <v/>
      </c>
      <c r="FC8" s="11" t="str">
        <f t="shared" si="64"/>
        <v/>
      </c>
      <c r="FD8" s="11" t="str">
        <f t="shared" si="65"/>
        <v/>
      </c>
      <c r="FE8" s="11" t="str">
        <f t="shared" si="66"/>
        <v/>
      </c>
      <c r="FF8" s="11" t="str">
        <f t="shared" si="67"/>
        <v/>
      </c>
      <c r="FG8" s="11" t="str">
        <f t="shared" si="68"/>
        <v/>
      </c>
      <c r="FH8" s="11" t="str">
        <f t="shared" si="69"/>
        <v/>
      </c>
      <c r="FI8" s="11" t="str">
        <f t="shared" si="70"/>
        <v/>
      </c>
      <c r="FJ8" s="11" t="str">
        <f t="shared" si="71"/>
        <v/>
      </c>
      <c r="FK8" s="11" t="str">
        <f t="shared" si="72"/>
        <v/>
      </c>
      <c r="FL8" s="11" t="str">
        <f t="shared" si="73"/>
        <v/>
      </c>
      <c r="FM8" s="11" t="str">
        <f t="shared" si="74"/>
        <v/>
      </c>
      <c r="FN8" s="15"/>
      <c r="FO8" s="15"/>
      <c r="FP8" s="15"/>
      <c r="FQ8" s="15"/>
      <c r="FR8" s="15"/>
      <c r="FS8" s="15"/>
      <c r="FT8" s="15"/>
      <c r="FU8" s="15"/>
      <c r="FV8" s="15"/>
      <c r="FW8" s="15"/>
      <c r="FX8" s="15"/>
      <c r="FY8" s="15"/>
      <c r="FZ8" s="15"/>
      <c r="GA8" s="15"/>
      <c r="GB8" s="15"/>
      <c r="GC8" s="15"/>
      <c r="GD8" s="15"/>
      <c r="GE8" s="15"/>
      <c r="GF8" s="15"/>
      <c r="GG8" s="15"/>
      <c r="GH8" s="36" t="str">
        <f t="shared" si="75"/>
        <v/>
      </c>
      <c r="GI8" s="36" t="str">
        <f t="shared" si="76"/>
        <v/>
      </c>
      <c r="GJ8" s="36" t="str">
        <f t="shared" si="77"/>
        <v/>
      </c>
      <c r="GK8" s="36" t="str">
        <f t="shared" si="78"/>
        <v/>
      </c>
      <c r="GL8" s="36" t="str">
        <f t="shared" si="79"/>
        <v/>
      </c>
      <c r="GM8" s="36" t="str">
        <f t="shared" si="80"/>
        <v/>
      </c>
      <c r="GN8" s="36" t="str">
        <f t="shared" si="81"/>
        <v/>
      </c>
      <c r="GO8" s="36" t="str">
        <f t="shared" si="82"/>
        <v/>
      </c>
      <c r="GP8" s="36" t="str">
        <f t="shared" si="83"/>
        <v/>
      </c>
      <c r="GQ8" s="36" t="str">
        <f t="shared" si="84"/>
        <v/>
      </c>
      <c r="GR8" s="36" t="str">
        <f t="shared" si="85"/>
        <v/>
      </c>
      <c r="GS8" s="36" t="str">
        <f t="shared" si="86"/>
        <v/>
      </c>
      <c r="GT8" s="36" t="str">
        <f t="shared" si="87"/>
        <v/>
      </c>
      <c r="GU8" s="36" t="str">
        <f t="shared" si="88"/>
        <v/>
      </c>
      <c r="GV8" s="16"/>
      <c r="GW8" s="16"/>
      <c r="GX8" s="16"/>
      <c r="GY8" s="16"/>
      <c r="GZ8" s="16"/>
      <c r="HA8" s="16"/>
      <c r="HB8" s="16"/>
      <c r="HC8" s="16"/>
      <c r="HD8" s="16"/>
      <c r="HE8" s="16"/>
      <c r="HF8" s="16"/>
      <c r="HG8" s="16"/>
      <c r="HH8" s="16"/>
      <c r="HI8" s="16"/>
      <c r="HJ8" s="16"/>
      <c r="HK8" s="16"/>
      <c r="HL8" s="16"/>
      <c r="HM8" s="16"/>
      <c r="HN8" s="16"/>
      <c r="HO8" s="16"/>
      <c r="HP8" s="11" t="str">
        <f t="shared" si="89"/>
        <v/>
      </c>
      <c r="HQ8" s="11" t="str">
        <f t="shared" si="90"/>
        <v/>
      </c>
      <c r="HR8" s="11" t="str">
        <f t="shared" si="91"/>
        <v/>
      </c>
      <c r="HS8" s="11" t="str">
        <f t="shared" si="92"/>
        <v/>
      </c>
      <c r="HT8" s="11" t="str">
        <f t="shared" si="93"/>
        <v/>
      </c>
      <c r="HU8" s="11" t="str">
        <f t="shared" si="94"/>
        <v/>
      </c>
      <c r="HV8" s="11" t="str">
        <f t="shared" si="95"/>
        <v/>
      </c>
      <c r="HW8" s="11" t="str">
        <f t="shared" si="96"/>
        <v/>
      </c>
      <c r="HX8" s="11" t="str">
        <f t="shared" si="97"/>
        <v/>
      </c>
      <c r="HY8" s="11" t="str">
        <f t="shared" si="98"/>
        <v/>
      </c>
      <c r="HZ8" s="11" t="str">
        <f t="shared" si="99"/>
        <v/>
      </c>
      <c r="IA8" s="11" t="str">
        <f t="shared" si="100"/>
        <v/>
      </c>
      <c r="IB8" s="11" t="str">
        <f t="shared" si="101"/>
        <v/>
      </c>
      <c r="IC8" s="11" t="str">
        <f t="shared" si="102"/>
        <v/>
      </c>
      <c r="ID8" s="15"/>
      <c r="IE8" s="15"/>
      <c r="IF8" s="15"/>
      <c r="IG8" s="15"/>
      <c r="IH8" s="15"/>
      <c r="II8" s="15"/>
      <c r="IJ8" s="15"/>
      <c r="IK8" s="15"/>
      <c r="IL8" s="15"/>
      <c r="IM8" s="15"/>
      <c r="IN8" s="15"/>
      <c r="IO8" s="15"/>
      <c r="IP8" s="15"/>
      <c r="IQ8" s="15"/>
      <c r="IR8" s="15"/>
      <c r="IS8" s="15"/>
      <c r="IT8" s="15"/>
      <c r="IU8" s="15"/>
      <c r="IV8" s="15"/>
      <c r="IW8" s="15"/>
      <c r="IX8" s="36" t="str">
        <f t="shared" si="103"/>
        <v/>
      </c>
      <c r="IY8" s="36" t="str">
        <f t="shared" si="104"/>
        <v/>
      </c>
      <c r="IZ8" s="36" t="str">
        <f t="shared" si="105"/>
        <v/>
      </c>
      <c r="JA8" s="36" t="str">
        <f t="shared" si="106"/>
        <v/>
      </c>
      <c r="JB8" s="36" t="str">
        <f t="shared" si="107"/>
        <v/>
      </c>
      <c r="JC8" s="36" t="str">
        <f t="shared" si="108"/>
        <v/>
      </c>
      <c r="JD8" s="36" t="str">
        <f t="shared" si="109"/>
        <v/>
      </c>
      <c r="JE8" s="36" t="str">
        <f t="shared" si="110"/>
        <v/>
      </c>
      <c r="JF8" s="36" t="str">
        <f t="shared" si="111"/>
        <v/>
      </c>
      <c r="JG8" s="36" t="str">
        <f t="shared" si="112"/>
        <v/>
      </c>
      <c r="JH8" s="36" t="str">
        <f t="shared" si="113"/>
        <v/>
      </c>
      <c r="JI8" s="36" t="str">
        <f t="shared" si="114"/>
        <v/>
      </c>
      <c r="JJ8" s="36" t="str">
        <f t="shared" si="115"/>
        <v/>
      </c>
      <c r="JK8" s="36" t="str">
        <f t="shared" si="116"/>
        <v/>
      </c>
      <c r="JL8" s="16"/>
      <c r="JM8" s="16"/>
      <c r="JN8" s="16"/>
      <c r="JO8" s="16"/>
      <c r="JP8" s="16"/>
      <c r="JQ8" s="16"/>
      <c r="JR8" s="16"/>
      <c r="JS8" s="16"/>
      <c r="JT8" s="16"/>
      <c r="JU8" s="16"/>
      <c r="JV8" s="16"/>
      <c r="JW8" s="16"/>
      <c r="JX8" s="16"/>
      <c r="JY8" s="16"/>
      <c r="JZ8" s="16"/>
      <c r="KA8" s="16"/>
      <c r="KB8" s="16"/>
      <c r="KC8" s="16"/>
      <c r="KD8" s="16"/>
      <c r="KE8" s="16"/>
      <c r="KF8" s="11" t="str">
        <f t="shared" si="117"/>
        <v/>
      </c>
      <c r="KG8" s="11" t="str">
        <f t="shared" si="118"/>
        <v/>
      </c>
      <c r="KH8" s="11" t="str">
        <f t="shared" si="119"/>
        <v/>
      </c>
      <c r="KI8" s="11" t="str">
        <f t="shared" si="120"/>
        <v/>
      </c>
      <c r="KJ8" s="11" t="str">
        <f t="shared" si="121"/>
        <v/>
      </c>
      <c r="KK8" s="11" t="str">
        <f t="shared" si="122"/>
        <v/>
      </c>
      <c r="KL8" s="11" t="str">
        <f t="shared" si="123"/>
        <v/>
      </c>
      <c r="KM8" s="11" t="str">
        <f t="shared" si="124"/>
        <v/>
      </c>
      <c r="KN8" s="11" t="str">
        <f t="shared" si="125"/>
        <v/>
      </c>
      <c r="KO8" s="11" t="str">
        <f t="shared" si="126"/>
        <v/>
      </c>
      <c r="KP8" s="11" t="str">
        <f t="shared" si="127"/>
        <v/>
      </c>
      <c r="KQ8" s="11" t="str">
        <f t="shared" si="128"/>
        <v/>
      </c>
      <c r="KR8" s="11" t="str">
        <f t="shared" si="129"/>
        <v/>
      </c>
      <c r="KS8" s="11" t="str">
        <f t="shared" si="130"/>
        <v/>
      </c>
      <c r="KT8" s="15">
        <v>14.7</v>
      </c>
      <c r="KU8" s="15">
        <v>8.9</v>
      </c>
      <c r="KV8" s="15">
        <v>15.3</v>
      </c>
      <c r="KW8" s="15">
        <v>15.96</v>
      </c>
      <c r="KX8" s="15">
        <v>0</v>
      </c>
      <c r="KY8" s="15">
        <v>9.3000000000000007</v>
      </c>
      <c r="KZ8" s="15">
        <v>6.5</v>
      </c>
      <c r="LA8" s="15">
        <v>9.8000000000000007</v>
      </c>
      <c r="LB8" s="15">
        <v>11.14</v>
      </c>
      <c r="LC8" s="15">
        <v>0</v>
      </c>
      <c r="LD8" s="15"/>
      <c r="LE8" s="15"/>
      <c r="LF8" s="15"/>
      <c r="LG8" s="15"/>
      <c r="LH8" s="15"/>
      <c r="LI8" s="15"/>
      <c r="LJ8" s="15"/>
      <c r="LK8" s="15"/>
      <c r="LL8" s="15"/>
      <c r="LM8" s="15"/>
      <c r="LN8" s="36">
        <f t="shared" si="131"/>
        <v>15.3</v>
      </c>
      <c r="LO8" s="36">
        <f t="shared" si="132"/>
        <v>15.96</v>
      </c>
      <c r="LP8" s="36">
        <f t="shared" si="133"/>
        <v>54.860000000000007</v>
      </c>
      <c r="LQ8" s="36">
        <f t="shared" si="134"/>
        <v>9.8000000000000007</v>
      </c>
      <c r="LR8" s="36">
        <f t="shared" si="135"/>
        <v>11.14</v>
      </c>
      <c r="LS8" s="36">
        <f t="shared" si="136"/>
        <v>36.74</v>
      </c>
      <c r="LT8" s="36">
        <f t="shared" si="137"/>
        <v>54.860000000000007</v>
      </c>
      <c r="LU8" s="36" t="str">
        <f t="shared" si="138"/>
        <v/>
      </c>
      <c r="LV8" s="36" t="str">
        <f t="shared" si="139"/>
        <v/>
      </c>
      <c r="LW8" s="36" t="str">
        <f t="shared" si="140"/>
        <v/>
      </c>
      <c r="LX8" s="36" t="str">
        <f t="shared" si="141"/>
        <v/>
      </c>
      <c r="LY8" s="36" t="str">
        <f t="shared" si="142"/>
        <v/>
      </c>
      <c r="LZ8" s="36" t="str">
        <f t="shared" si="143"/>
        <v/>
      </c>
      <c r="MA8" s="36">
        <f t="shared" si="144"/>
        <v>54.860000000000007</v>
      </c>
      <c r="MB8" s="16"/>
      <c r="MC8" s="16"/>
      <c r="MD8" s="16"/>
      <c r="ME8" s="16"/>
      <c r="MF8" s="16"/>
      <c r="MG8" s="16"/>
      <c r="MH8" s="16"/>
      <c r="MI8" s="16"/>
      <c r="MJ8" s="16"/>
      <c r="MK8" s="16"/>
      <c r="ML8" s="16"/>
      <c r="MM8" s="16"/>
      <c r="MN8" s="16"/>
      <c r="MO8" s="16"/>
      <c r="MP8" s="16"/>
      <c r="MQ8" s="16"/>
      <c r="MR8" s="16"/>
      <c r="MS8" s="16"/>
      <c r="MT8" s="16"/>
      <c r="MU8" s="16"/>
      <c r="MV8" s="11" t="str">
        <f t="shared" si="145"/>
        <v/>
      </c>
      <c r="MW8" s="11" t="str">
        <f t="shared" si="146"/>
        <v/>
      </c>
      <c r="MX8" s="11" t="str">
        <f t="shared" si="147"/>
        <v/>
      </c>
      <c r="MY8" s="11" t="str">
        <f t="shared" si="148"/>
        <v/>
      </c>
      <c r="MZ8" s="11" t="str">
        <f t="shared" si="149"/>
        <v/>
      </c>
      <c r="NA8" s="11" t="str">
        <f t="shared" si="150"/>
        <v/>
      </c>
      <c r="NB8" s="11" t="str">
        <f t="shared" si="151"/>
        <v/>
      </c>
      <c r="NC8" s="11" t="str">
        <f t="shared" si="152"/>
        <v/>
      </c>
      <c r="ND8" s="11" t="str">
        <f t="shared" si="153"/>
        <v/>
      </c>
      <c r="NE8" s="11" t="str">
        <f t="shared" si="154"/>
        <v/>
      </c>
      <c r="NF8" s="11" t="str">
        <f t="shared" si="155"/>
        <v/>
      </c>
      <c r="NG8" s="11" t="str">
        <f t="shared" si="156"/>
        <v/>
      </c>
      <c r="NH8" s="11" t="str">
        <f t="shared" si="157"/>
        <v/>
      </c>
      <c r="NI8" s="11" t="str">
        <f t="shared" si="158"/>
        <v/>
      </c>
      <c r="NJ8" s="15"/>
      <c r="NK8" s="15"/>
      <c r="NL8" s="15"/>
      <c r="NM8" s="15"/>
      <c r="NN8" s="15"/>
      <c r="NO8" s="15"/>
      <c r="NP8" s="15"/>
      <c r="NQ8" s="15"/>
      <c r="NR8" s="15"/>
      <c r="NS8" s="15"/>
      <c r="NT8" s="15"/>
      <c r="NU8" s="15"/>
      <c r="NV8" s="15"/>
      <c r="NW8" s="15"/>
      <c r="NX8" s="15"/>
      <c r="NY8" s="15"/>
      <c r="NZ8" s="15"/>
      <c r="OA8" s="15"/>
      <c r="OB8" s="15"/>
      <c r="OC8" s="15"/>
      <c r="OD8" s="36" t="str">
        <f t="shared" si="159"/>
        <v/>
      </c>
      <c r="OE8" s="36" t="str">
        <f t="shared" si="160"/>
        <v/>
      </c>
      <c r="OF8" s="36" t="str">
        <f t="shared" si="161"/>
        <v/>
      </c>
      <c r="OG8" s="36" t="str">
        <f t="shared" si="162"/>
        <v/>
      </c>
      <c r="OH8" s="36" t="str">
        <f t="shared" si="163"/>
        <v/>
      </c>
      <c r="OI8" s="36" t="str">
        <f t="shared" si="164"/>
        <v/>
      </c>
      <c r="OJ8" s="36" t="str">
        <f t="shared" si="165"/>
        <v/>
      </c>
      <c r="OK8" s="36" t="str">
        <f t="shared" si="166"/>
        <v/>
      </c>
      <c r="OL8" s="36" t="str">
        <f t="shared" si="167"/>
        <v/>
      </c>
      <c r="OM8" s="36" t="str">
        <f t="shared" si="168"/>
        <v/>
      </c>
      <c r="ON8" s="36" t="str">
        <f t="shared" si="169"/>
        <v/>
      </c>
      <c r="OO8" s="36" t="str">
        <f t="shared" si="170"/>
        <v/>
      </c>
      <c r="OP8" s="36" t="str">
        <f t="shared" si="171"/>
        <v/>
      </c>
      <c r="OQ8" s="36" t="str">
        <f t="shared" si="172"/>
        <v/>
      </c>
      <c r="OR8" s="16"/>
      <c r="OS8" s="16"/>
      <c r="OT8" s="16"/>
      <c r="OU8" s="16"/>
      <c r="OV8" s="16"/>
      <c r="OW8" s="16"/>
      <c r="OX8" s="16"/>
      <c r="OY8" s="16"/>
      <c r="OZ8" s="16"/>
      <c r="PA8" s="16"/>
      <c r="PB8" s="16"/>
      <c r="PC8" s="16"/>
      <c r="PD8" s="16"/>
      <c r="PE8" s="16"/>
      <c r="PF8" s="16"/>
      <c r="PG8" s="16"/>
      <c r="PH8" s="16"/>
      <c r="PI8" s="16"/>
      <c r="PJ8" s="16"/>
      <c r="PK8" s="16"/>
      <c r="PL8" s="11" t="str">
        <f t="shared" si="173"/>
        <v/>
      </c>
      <c r="PM8" s="11" t="str">
        <f t="shared" si="174"/>
        <v/>
      </c>
      <c r="PN8" s="11" t="str">
        <f t="shared" si="175"/>
        <v/>
      </c>
      <c r="PO8" s="11" t="str">
        <f t="shared" si="176"/>
        <v/>
      </c>
      <c r="PP8" s="11" t="str">
        <f t="shared" si="177"/>
        <v/>
      </c>
      <c r="PQ8" s="11" t="str">
        <f t="shared" si="178"/>
        <v/>
      </c>
      <c r="PR8" s="11" t="str">
        <f t="shared" si="179"/>
        <v/>
      </c>
      <c r="PS8" s="11" t="str">
        <f t="shared" si="180"/>
        <v/>
      </c>
      <c r="PT8" s="11" t="str">
        <f t="shared" si="181"/>
        <v/>
      </c>
      <c r="PU8" s="11" t="str">
        <f t="shared" si="182"/>
        <v/>
      </c>
      <c r="PV8" s="11" t="str">
        <f t="shared" si="183"/>
        <v/>
      </c>
      <c r="PW8" s="11" t="str">
        <f t="shared" si="184"/>
        <v/>
      </c>
      <c r="PX8" s="11" t="str">
        <f t="shared" si="185"/>
        <v/>
      </c>
      <c r="PY8" s="11" t="str">
        <f t="shared" si="186"/>
        <v/>
      </c>
      <c r="PZ8" s="15"/>
      <c r="QA8" s="15"/>
      <c r="QB8" s="15"/>
      <c r="QC8" s="15"/>
      <c r="QD8" s="15"/>
      <c r="QE8" s="15"/>
      <c r="QF8" s="15"/>
      <c r="QG8" s="15"/>
      <c r="QH8" s="15"/>
      <c r="QI8" s="15"/>
      <c r="QJ8" s="15"/>
      <c r="QK8" s="15"/>
      <c r="QL8" s="15"/>
      <c r="QM8" s="15"/>
      <c r="QN8" s="15"/>
      <c r="QO8" s="15"/>
      <c r="QP8" s="15"/>
      <c r="QQ8" s="15"/>
      <c r="QR8" s="15"/>
      <c r="QS8" s="15"/>
      <c r="QT8" s="36" t="str">
        <f t="shared" si="187"/>
        <v/>
      </c>
      <c r="QU8" s="36" t="str">
        <f t="shared" si="188"/>
        <v/>
      </c>
      <c r="QV8" s="36" t="str">
        <f t="shared" si="189"/>
        <v/>
      </c>
      <c r="QW8" s="36" t="str">
        <f t="shared" si="190"/>
        <v/>
      </c>
      <c r="QX8" s="36" t="str">
        <f t="shared" si="191"/>
        <v/>
      </c>
      <c r="QY8" s="36" t="str">
        <f t="shared" si="192"/>
        <v/>
      </c>
      <c r="QZ8" s="36" t="str">
        <f t="shared" si="193"/>
        <v/>
      </c>
      <c r="RA8" s="36" t="str">
        <f t="shared" si="194"/>
        <v/>
      </c>
      <c r="RB8" s="36" t="str">
        <f t="shared" si="195"/>
        <v/>
      </c>
      <c r="RC8" s="36" t="str">
        <f t="shared" si="196"/>
        <v/>
      </c>
      <c r="RD8" s="36" t="str">
        <f t="shared" si="197"/>
        <v/>
      </c>
      <c r="RE8" s="36" t="str">
        <f t="shared" si="198"/>
        <v/>
      </c>
      <c r="RF8" s="36" t="str">
        <f t="shared" si="199"/>
        <v/>
      </c>
      <c r="RG8" s="36" t="str">
        <f t="shared" si="200"/>
        <v/>
      </c>
      <c r="RH8" s="16"/>
      <c r="RI8" s="16"/>
      <c r="RJ8" s="16"/>
      <c r="RK8" s="16"/>
      <c r="RL8" s="16"/>
      <c r="RM8" s="16"/>
      <c r="RN8" s="16"/>
      <c r="RO8" s="16"/>
      <c r="RP8" s="16"/>
      <c r="RQ8" s="16"/>
      <c r="RR8" s="16"/>
      <c r="RS8" s="16"/>
      <c r="RT8" s="16"/>
      <c r="RU8" s="16"/>
      <c r="RV8" s="16"/>
      <c r="RW8" s="16"/>
      <c r="RX8" s="16"/>
      <c r="RY8" s="16"/>
      <c r="RZ8" s="16"/>
      <c r="SA8" s="16"/>
      <c r="SB8" s="11" t="str">
        <f t="shared" si="201"/>
        <v/>
      </c>
      <c r="SC8" s="11" t="str">
        <f t="shared" si="202"/>
        <v/>
      </c>
      <c r="SD8" s="11" t="str">
        <f t="shared" si="203"/>
        <v/>
      </c>
      <c r="SE8" s="11" t="str">
        <f t="shared" si="204"/>
        <v/>
      </c>
      <c r="SF8" s="11" t="str">
        <f t="shared" si="205"/>
        <v/>
      </c>
      <c r="SG8" s="11" t="str">
        <f t="shared" si="206"/>
        <v/>
      </c>
      <c r="SH8" s="11" t="str">
        <f t="shared" si="207"/>
        <v/>
      </c>
      <c r="SI8" s="11" t="str">
        <f t="shared" si="208"/>
        <v/>
      </c>
      <c r="SJ8" s="11" t="str">
        <f t="shared" si="209"/>
        <v/>
      </c>
      <c r="SK8" s="11" t="str">
        <f t="shared" si="210"/>
        <v/>
      </c>
      <c r="SL8" s="11" t="str">
        <f t="shared" si="211"/>
        <v/>
      </c>
      <c r="SM8" s="11" t="str">
        <f t="shared" si="212"/>
        <v/>
      </c>
      <c r="SN8" s="11" t="str">
        <f t="shared" si="213"/>
        <v/>
      </c>
      <c r="SO8" s="11" t="str">
        <f t="shared" si="214"/>
        <v/>
      </c>
      <c r="SP8" s="15"/>
      <c r="SQ8" s="15"/>
      <c r="SR8" s="15"/>
      <c r="SS8" s="15"/>
      <c r="ST8" s="15"/>
      <c r="SU8" s="15"/>
      <c r="SV8" s="15"/>
      <c r="SW8" s="15"/>
      <c r="SX8" s="15"/>
      <c r="SY8" s="15"/>
      <c r="SZ8" s="15"/>
      <c r="TA8" s="15"/>
      <c r="TB8" s="15"/>
      <c r="TC8" s="15"/>
      <c r="TD8" s="15"/>
      <c r="TE8" s="15"/>
      <c r="TF8" s="15"/>
      <c r="TG8" s="15"/>
      <c r="TH8" s="15"/>
      <c r="TI8" s="15"/>
      <c r="TJ8" s="36" t="str">
        <f t="shared" si="215"/>
        <v/>
      </c>
      <c r="TK8" s="36" t="str">
        <f t="shared" si="216"/>
        <v/>
      </c>
      <c r="TL8" s="36" t="str">
        <f t="shared" si="217"/>
        <v/>
      </c>
      <c r="TM8" s="36" t="str">
        <f t="shared" si="218"/>
        <v/>
      </c>
      <c r="TN8" s="36" t="str">
        <f t="shared" si="219"/>
        <v/>
      </c>
      <c r="TO8" s="36" t="str">
        <f t="shared" si="220"/>
        <v/>
      </c>
      <c r="TP8" s="36" t="str">
        <f t="shared" si="221"/>
        <v/>
      </c>
      <c r="TQ8" s="36" t="str">
        <f t="shared" si="222"/>
        <v/>
      </c>
      <c r="TR8" s="36" t="str">
        <f t="shared" si="223"/>
        <v/>
      </c>
      <c r="TS8" s="36" t="str">
        <f t="shared" si="224"/>
        <v/>
      </c>
      <c r="TT8" s="36" t="str">
        <f t="shared" si="225"/>
        <v/>
      </c>
      <c r="TU8" s="36" t="str">
        <f t="shared" si="226"/>
        <v/>
      </c>
      <c r="TV8" s="36" t="str">
        <f t="shared" si="227"/>
        <v/>
      </c>
      <c r="TW8" s="36" t="str">
        <f t="shared" si="228"/>
        <v/>
      </c>
      <c r="TX8" s="16"/>
      <c r="TY8" s="16"/>
      <c r="TZ8" s="16"/>
      <c r="UA8" s="16"/>
      <c r="UB8" s="16"/>
      <c r="UC8" s="16"/>
      <c r="UD8" s="16"/>
      <c r="UE8" s="16"/>
      <c r="UF8" s="16"/>
      <c r="UG8" s="16"/>
      <c r="UH8" s="16"/>
      <c r="UI8" s="16"/>
      <c r="UJ8" s="16"/>
      <c r="UK8" s="16"/>
      <c r="UL8" s="16"/>
      <c r="UM8" s="16"/>
      <c r="UN8" s="16"/>
      <c r="UO8" s="16"/>
      <c r="UP8" s="16"/>
      <c r="UQ8" s="16"/>
      <c r="UR8" s="11" t="str">
        <f t="shared" si="229"/>
        <v/>
      </c>
      <c r="US8" s="11" t="str">
        <f t="shared" si="230"/>
        <v/>
      </c>
      <c r="UT8" s="11" t="str">
        <f t="shared" si="231"/>
        <v/>
      </c>
      <c r="UU8" s="11" t="str">
        <f t="shared" si="232"/>
        <v/>
      </c>
      <c r="UV8" s="11" t="str">
        <f t="shared" si="233"/>
        <v/>
      </c>
      <c r="UW8" s="11" t="str">
        <f t="shared" si="234"/>
        <v/>
      </c>
      <c r="UX8" s="11" t="str">
        <f t="shared" si="235"/>
        <v/>
      </c>
      <c r="UY8" s="11" t="str">
        <f t="shared" si="236"/>
        <v/>
      </c>
      <c r="UZ8" s="11" t="str">
        <f t="shared" si="237"/>
        <v/>
      </c>
      <c r="VA8" s="11" t="str">
        <f t="shared" si="238"/>
        <v/>
      </c>
      <c r="VB8" s="11" t="str">
        <f t="shared" si="239"/>
        <v/>
      </c>
      <c r="VC8" s="11" t="str">
        <f t="shared" si="240"/>
        <v/>
      </c>
      <c r="VD8" s="11" t="str">
        <f t="shared" si="241"/>
        <v/>
      </c>
      <c r="VE8" s="11" t="str">
        <f t="shared" si="242"/>
        <v/>
      </c>
      <c r="VF8" s="15"/>
      <c r="VG8" s="15"/>
      <c r="VH8" s="15"/>
      <c r="VI8" s="15"/>
      <c r="VJ8" s="15"/>
      <c r="VK8" s="15"/>
      <c r="VL8" s="15"/>
      <c r="VM8" s="15"/>
      <c r="VN8" s="15"/>
      <c r="VO8" s="15"/>
      <c r="VP8" s="15"/>
      <c r="VQ8" s="15"/>
      <c r="VR8" s="15"/>
      <c r="VS8" s="15"/>
      <c r="VT8" s="15"/>
      <c r="VU8" s="15"/>
      <c r="VV8" s="15"/>
      <c r="VW8" s="15"/>
      <c r="VX8" s="15"/>
      <c r="VY8" s="15"/>
      <c r="VZ8" s="36" t="str">
        <f t="shared" si="243"/>
        <v/>
      </c>
      <c r="WA8" s="36" t="str">
        <f t="shared" si="244"/>
        <v/>
      </c>
      <c r="WB8" s="36" t="str">
        <f t="shared" si="245"/>
        <v/>
      </c>
      <c r="WC8" s="36" t="str">
        <f t="shared" si="246"/>
        <v/>
      </c>
      <c r="WD8" s="36" t="str">
        <f t="shared" si="247"/>
        <v/>
      </c>
      <c r="WE8" s="36" t="str">
        <f t="shared" si="248"/>
        <v/>
      </c>
      <c r="WF8" s="36" t="str">
        <f t="shared" si="249"/>
        <v/>
      </c>
      <c r="WG8" s="36" t="str">
        <f t="shared" si="250"/>
        <v/>
      </c>
      <c r="WH8" s="36" t="str">
        <f t="shared" si="251"/>
        <v/>
      </c>
      <c r="WI8" s="36" t="str">
        <f t="shared" si="252"/>
        <v/>
      </c>
      <c r="WJ8" s="36" t="str">
        <f t="shared" si="253"/>
        <v/>
      </c>
      <c r="WK8" s="36" t="str">
        <f t="shared" si="254"/>
        <v/>
      </c>
      <c r="WL8" s="36" t="str">
        <f t="shared" si="255"/>
        <v/>
      </c>
      <c r="WM8" s="36" t="str">
        <f t="shared" si="256"/>
        <v/>
      </c>
    </row>
    <row r="9" spans="1:611" x14ac:dyDescent="0.2">
      <c r="A9" s="4" t="str" cm="1">
        <f t="array" ref="A9">IF(AND(H9&lt;&gt;"",H9&lt;&gt;"No DD"),SUMPRODUCT((H$4:H$27&lt;&gt;"")*(H$4:H$27&lt;&gt;"No DD")*(E$4:E$27&gt;E9))+1,IF(H9="No DD",SUMPRODUCT((H$4:H$27="No DD")*(E$4:E$27&gt;E9))+1+SUMPRODUCT((H$4:H$27&lt;&gt;"")*(H$4:H$27&lt;&gt;"No DD")),""))</f>
        <v/>
      </c>
      <c r="B9" s="5" t="s">
        <v>53</v>
      </c>
      <c r="C9" s="4" t="s">
        <v>7</v>
      </c>
      <c r="D9" s="4">
        <v>2001</v>
      </c>
      <c r="E9" s="9">
        <f t="shared" si="0"/>
        <v>173.09251730925578</v>
      </c>
      <c r="F9" s="3" t="str">
        <f t="shared" si="1"/>
        <v/>
      </c>
      <c r="G9" s="3" t="str">
        <f t="shared" si="2"/>
        <v/>
      </c>
      <c r="H9" s="32" t="str">
        <f t="shared" si="3"/>
        <v/>
      </c>
      <c r="I9" s="3" t="str">
        <f t="shared" si="4"/>
        <v/>
      </c>
      <c r="J9" s="8">
        <f t="shared" si="5"/>
        <v>57.697499999999998</v>
      </c>
      <c r="K9" s="8" t="str">
        <f t="shared" si="6"/>
        <v>2025 3rd Domestic Trial</v>
      </c>
      <c r="L9" s="8">
        <f>IFERROR(IF(J9=AR9,LARGE((AK9,AN9,BL9,BO9,BS9,CM9,CP9,CT9),1),IF(J9=BS9,LARGE((AK9,AN9,AR9,BL9,BO9,CM9,CP9,CT9),1),LARGE((AK9,AN9,AR9,BL9,BO9,BS9,CM9,CP9),1))),0)</f>
        <v>57.697499999999998</v>
      </c>
      <c r="M9" s="8" t="str">
        <f t="shared" si="7"/>
        <v>2025 3rd Domestic Trial</v>
      </c>
      <c r="N9" s="8">
        <f>IFERROR(IF(J9=AR9,LARGE((AK9,AN9,BL9,BO9,BS9,CM9,CP9,CT9),2),IF(J9=BS9,LARGE((AK9,AN9,AR9,BL9,BO9,CM9,CP9,CT9),2),LARGE((AK9,AN9,AR9,BL9,BO9,BS9,CM9,CP9),2))),0)</f>
        <v>57.697499999999998</v>
      </c>
      <c r="O9" s="8" t="str">
        <f t="shared" si="8"/>
        <v>2025 3rd Domestic Trial</v>
      </c>
      <c r="P9" s="8">
        <f t="shared" si="9"/>
        <v>0</v>
      </c>
      <c r="Q9" s="11" t="str">
        <f t="shared" si="10"/>
        <v/>
      </c>
      <c r="R9" s="8" t="str">
        <f t="shared" si="11"/>
        <v/>
      </c>
      <c r="S9" s="18">
        <v>12.475</v>
      </c>
      <c r="T9" s="18">
        <v>7.2</v>
      </c>
      <c r="U9" s="18">
        <v>12.324999999999999</v>
      </c>
      <c r="V9" s="18">
        <v>13.17</v>
      </c>
      <c r="W9" s="18">
        <v>0</v>
      </c>
      <c r="X9" s="18">
        <v>9.2249999999999996</v>
      </c>
      <c r="Y9" s="18">
        <v>5.5750000000000002</v>
      </c>
      <c r="Z9" s="18">
        <v>10.15</v>
      </c>
      <c r="AA9" s="18">
        <v>10.1175</v>
      </c>
      <c r="AB9" s="18">
        <v>0</v>
      </c>
      <c r="AC9" s="18">
        <v>15.85</v>
      </c>
      <c r="AD9" s="18">
        <v>9.2249999999999996</v>
      </c>
      <c r="AE9" s="18">
        <v>15.95</v>
      </c>
      <c r="AF9" s="18">
        <v>16.672499999999999</v>
      </c>
      <c r="AG9" s="18">
        <v>0</v>
      </c>
      <c r="AH9" s="23" t="s">
        <v>42</v>
      </c>
      <c r="AI9" s="34">
        <f t="shared" si="12"/>
        <v>12.324999999999999</v>
      </c>
      <c r="AJ9" s="34">
        <f t="shared" si="13"/>
        <v>13.17</v>
      </c>
      <c r="AK9" s="36">
        <f t="shared" si="14"/>
        <v>45.17</v>
      </c>
      <c r="AL9" s="36">
        <f t="shared" si="15"/>
        <v>10.15</v>
      </c>
      <c r="AM9" s="36">
        <f t="shared" si="16"/>
        <v>10.1175</v>
      </c>
      <c r="AN9" s="36">
        <f t="shared" si="17"/>
        <v>35.067500000000003</v>
      </c>
      <c r="AO9" s="36">
        <f t="shared" si="18"/>
        <v>45.17</v>
      </c>
      <c r="AP9" s="36">
        <f t="shared" si="19"/>
        <v>15.95</v>
      </c>
      <c r="AQ9" s="36">
        <f t="shared" si="20"/>
        <v>16.672499999999999</v>
      </c>
      <c r="AR9" s="36">
        <f t="shared" si="21"/>
        <v>57.697499999999998</v>
      </c>
      <c r="AS9" s="36">
        <f t="shared" si="22"/>
        <v>102.86750000000001</v>
      </c>
      <c r="AT9" s="22">
        <v>12.475</v>
      </c>
      <c r="AU9" s="22">
        <v>7.2</v>
      </c>
      <c r="AV9" s="22">
        <v>12.324999999999999</v>
      </c>
      <c r="AW9" s="22">
        <v>13.17</v>
      </c>
      <c r="AX9" s="22">
        <v>0</v>
      </c>
      <c r="AY9" s="22">
        <v>9.2249999999999996</v>
      </c>
      <c r="AZ9" s="22">
        <v>5.5750000000000002</v>
      </c>
      <c r="BA9" s="22">
        <v>10.15</v>
      </c>
      <c r="BB9" s="22">
        <v>10.1175</v>
      </c>
      <c r="BC9" s="22">
        <v>0</v>
      </c>
      <c r="BD9" s="22">
        <v>15.85</v>
      </c>
      <c r="BE9" s="22">
        <v>9.2249999999999996</v>
      </c>
      <c r="BF9" s="22">
        <v>15.95</v>
      </c>
      <c r="BG9" s="22">
        <v>16.672499999999999</v>
      </c>
      <c r="BH9" s="22">
        <v>0</v>
      </c>
      <c r="BI9" s="24" t="s">
        <v>42</v>
      </c>
      <c r="BJ9" s="35">
        <f t="shared" si="23"/>
        <v>12.324999999999999</v>
      </c>
      <c r="BK9" s="35">
        <f t="shared" si="24"/>
        <v>13.17</v>
      </c>
      <c r="BL9" s="11">
        <f t="shared" si="25"/>
        <v>45.17</v>
      </c>
      <c r="BM9" s="11">
        <f t="shared" si="26"/>
        <v>10.15</v>
      </c>
      <c r="BN9" s="11">
        <f t="shared" si="27"/>
        <v>10.1175</v>
      </c>
      <c r="BO9" s="11">
        <f t="shared" si="28"/>
        <v>35.067500000000003</v>
      </c>
      <c r="BP9" s="11">
        <f t="shared" si="29"/>
        <v>45.17</v>
      </c>
      <c r="BQ9" s="11">
        <f t="shared" si="30"/>
        <v>15.95</v>
      </c>
      <c r="BR9" s="11">
        <f t="shared" si="31"/>
        <v>16.672499999999999</v>
      </c>
      <c r="BS9" s="11">
        <f t="shared" si="32"/>
        <v>57.697499999999998</v>
      </c>
      <c r="BT9" s="11">
        <f t="shared" si="33"/>
        <v>102.86750000000001</v>
      </c>
      <c r="BU9" s="18">
        <v>12.475</v>
      </c>
      <c r="BV9" s="18">
        <v>7.2</v>
      </c>
      <c r="BW9" s="18">
        <v>12.324999999999999</v>
      </c>
      <c r="BX9" s="18">
        <v>13.17</v>
      </c>
      <c r="BY9" s="18">
        <v>0</v>
      </c>
      <c r="BZ9" s="18">
        <v>9.2249999999999996</v>
      </c>
      <c r="CA9" s="18">
        <v>5.5750000000000002</v>
      </c>
      <c r="CB9" s="18">
        <v>10.15</v>
      </c>
      <c r="CC9" s="18">
        <v>10.1175</v>
      </c>
      <c r="CD9" s="18">
        <v>0</v>
      </c>
      <c r="CE9" s="18">
        <v>15.85</v>
      </c>
      <c r="CF9" s="18">
        <v>9.2249999999999996</v>
      </c>
      <c r="CG9" s="18">
        <v>15.95</v>
      </c>
      <c r="CH9" s="18">
        <v>16.672499999999999</v>
      </c>
      <c r="CI9" s="18">
        <v>0</v>
      </c>
      <c r="CJ9" s="23" t="s">
        <v>42</v>
      </c>
      <c r="CK9" s="34">
        <f t="shared" si="34"/>
        <v>12.324999999999999</v>
      </c>
      <c r="CL9" s="34">
        <f t="shared" si="35"/>
        <v>13.17</v>
      </c>
      <c r="CM9" s="36">
        <f t="shared" si="36"/>
        <v>45.17</v>
      </c>
      <c r="CN9" s="36">
        <f t="shared" si="37"/>
        <v>10.15</v>
      </c>
      <c r="CO9" s="36">
        <f t="shared" si="38"/>
        <v>10.1175</v>
      </c>
      <c r="CP9" s="36">
        <f t="shared" si="39"/>
        <v>35.067500000000003</v>
      </c>
      <c r="CQ9" s="36">
        <f t="shared" si="40"/>
        <v>45.17</v>
      </c>
      <c r="CR9" s="36">
        <f t="shared" si="41"/>
        <v>15.95</v>
      </c>
      <c r="CS9" s="36">
        <f t="shared" si="42"/>
        <v>16.672499999999999</v>
      </c>
      <c r="CT9" s="36">
        <f t="shared" si="43"/>
        <v>57.697499999999998</v>
      </c>
      <c r="CU9" s="36">
        <f t="shared" si="44"/>
        <v>102.86750000000001</v>
      </c>
      <c r="CV9" s="47" t="str">
        <f t="shared" si="45"/>
        <v/>
      </c>
      <c r="CW9" s="47" t="str">
        <f t="shared" si="46"/>
        <v/>
      </c>
      <c r="CX9" s="15"/>
      <c r="CY9" s="15"/>
      <c r="CZ9" s="15"/>
      <c r="DA9" s="15"/>
      <c r="DB9" s="15"/>
      <c r="DC9" s="15"/>
      <c r="DD9" s="15"/>
      <c r="DE9" s="15"/>
      <c r="DF9" s="15"/>
      <c r="DG9" s="15"/>
      <c r="DH9" s="15"/>
      <c r="DI9" s="15"/>
      <c r="DJ9" s="15"/>
      <c r="DK9" s="15"/>
      <c r="DL9" s="15"/>
      <c r="DM9" s="15"/>
      <c r="DN9" s="15"/>
      <c r="DO9" s="15"/>
      <c r="DP9" s="15"/>
      <c r="DQ9" s="15"/>
      <c r="DR9" s="36" t="str">
        <f t="shared" si="47"/>
        <v/>
      </c>
      <c r="DS9" s="36" t="str">
        <f t="shared" si="48"/>
        <v/>
      </c>
      <c r="DT9" s="36" t="str">
        <f t="shared" si="49"/>
        <v/>
      </c>
      <c r="DU9" s="36" t="str">
        <f t="shared" si="50"/>
        <v/>
      </c>
      <c r="DV9" s="36" t="str">
        <f t="shared" si="51"/>
        <v/>
      </c>
      <c r="DW9" s="36" t="str">
        <f t="shared" si="52"/>
        <v/>
      </c>
      <c r="DX9" s="36" t="str">
        <f t="shared" si="53"/>
        <v/>
      </c>
      <c r="DY9" s="36" t="str">
        <f t="shared" si="54"/>
        <v/>
      </c>
      <c r="DZ9" s="36" t="str">
        <f t="shared" si="55"/>
        <v/>
      </c>
      <c r="EA9" s="36" t="str">
        <f t="shared" si="56"/>
        <v/>
      </c>
      <c r="EB9" s="36" t="str">
        <f t="shared" si="57"/>
        <v/>
      </c>
      <c r="EC9" s="36" t="str">
        <f t="shared" si="58"/>
        <v/>
      </c>
      <c r="ED9" s="36" t="str">
        <f t="shared" si="59"/>
        <v/>
      </c>
      <c r="EE9" s="36" t="str">
        <f t="shared" si="60"/>
        <v/>
      </c>
      <c r="EF9" s="16"/>
      <c r="EG9" s="16"/>
      <c r="EH9" s="16"/>
      <c r="EI9" s="16"/>
      <c r="EJ9" s="16"/>
      <c r="EK9" s="16"/>
      <c r="EL9" s="16"/>
      <c r="EM9" s="16"/>
      <c r="EN9" s="16"/>
      <c r="EO9" s="16"/>
      <c r="EP9" s="16"/>
      <c r="EQ9" s="16"/>
      <c r="ER9" s="16"/>
      <c r="ES9" s="16"/>
      <c r="ET9" s="16"/>
      <c r="EU9" s="16"/>
      <c r="EV9" s="16"/>
      <c r="EW9" s="16"/>
      <c r="EX9" s="16"/>
      <c r="EY9" s="16"/>
      <c r="EZ9" s="11" t="str">
        <f t="shared" si="61"/>
        <v/>
      </c>
      <c r="FA9" s="11" t="str">
        <f t="shared" si="62"/>
        <v/>
      </c>
      <c r="FB9" s="11" t="str">
        <f t="shared" si="63"/>
        <v/>
      </c>
      <c r="FC9" s="11" t="str">
        <f t="shared" si="64"/>
        <v/>
      </c>
      <c r="FD9" s="11" t="str">
        <f t="shared" si="65"/>
        <v/>
      </c>
      <c r="FE9" s="11" t="str">
        <f t="shared" si="66"/>
        <v/>
      </c>
      <c r="FF9" s="11" t="str">
        <f t="shared" si="67"/>
        <v/>
      </c>
      <c r="FG9" s="11" t="str">
        <f t="shared" si="68"/>
        <v/>
      </c>
      <c r="FH9" s="11" t="str">
        <f t="shared" si="69"/>
        <v/>
      </c>
      <c r="FI9" s="11" t="str">
        <f t="shared" si="70"/>
        <v/>
      </c>
      <c r="FJ9" s="11" t="str">
        <f t="shared" si="71"/>
        <v/>
      </c>
      <c r="FK9" s="11" t="str">
        <f t="shared" si="72"/>
        <v/>
      </c>
      <c r="FL9" s="11" t="str">
        <f t="shared" si="73"/>
        <v/>
      </c>
      <c r="FM9" s="11" t="str">
        <f t="shared" si="74"/>
        <v/>
      </c>
      <c r="FN9" s="15"/>
      <c r="FO9" s="15"/>
      <c r="FP9" s="15"/>
      <c r="FQ9" s="15"/>
      <c r="FR9" s="15"/>
      <c r="FS9" s="15"/>
      <c r="FT9" s="15"/>
      <c r="FU9" s="15"/>
      <c r="FV9" s="15"/>
      <c r="FW9" s="15"/>
      <c r="FX9" s="15"/>
      <c r="FY9" s="15"/>
      <c r="FZ9" s="15"/>
      <c r="GA9" s="15"/>
      <c r="GB9" s="15"/>
      <c r="GC9" s="15"/>
      <c r="GD9" s="15"/>
      <c r="GE9" s="15"/>
      <c r="GF9" s="15"/>
      <c r="GG9" s="15"/>
      <c r="GH9" s="36" t="str">
        <f t="shared" si="75"/>
        <v/>
      </c>
      <c r="GI9" s="36" t="str">
        <f t="shared" si="76"/>
        <v/>
      </c>
      <c r="GJ9" s="36" t="str">
        <f t="shared" si="77"/>
        <v/>
      </c>
      <c r="GK9" s="36" t="str">
        <f t="shared" si="78"/>
        <v/>
      </c>
      <c r="GL9" s="36" t="str">
        <f t="shared" si="79"/>
        <v/>
      </c>
      <c r="GM9" s="36" t="str">
        <f t="shared" si="80"/>
        <v/>
      </c>
      <c r="GN9" s="36" t="str">
        <f t="shared" si="81"/>
        <v/>
      </c>
      <c r="GO9" s="36" t="str">
        <f t="shared" si="82"/>
        <v/>
      </c>
      <c r="GP9" s="36" t="str">
        <f t="shared" si="83"/>
        <v/>
      </c>
      <c r="GQ9" s="36" t="str">
        <f t="shared" si="84"/>
        <v/>
      </c>
      <c r="GR9" s="36" t="str">
        <f t="shared" si="85"/>
        <v/>
      </c>
      <c r="GS9" s="36" t="str">
        <f t="shared" si="86"/>
        <v/>
      </c>
      <c r="GT9" s="36" t="str">
        <f t="shared" si="87"/>
        <v/>
      </c>
      <c r="GU9" s="36" t="str">
        <f t="shared" si="88"/>
        <v/>
      </c>
      <c r="GV9" s="16"/>
      <c r="GW9" s="16"/>
      <c r="GX9" s="16"/>
      <c r="GY9" s="16"/>
      <c r="GZ9" s="16"/>
      <c r="HA9" s="16"/>
      <c r="HB9" s="16"/>
      <c r="HC9" s="16"/>
      <c r="HD9" s="16"/>
      <c r="HE9" s="16"/>
      <c r="HF9" s="16"/>
      <c r="HG9" s="16"/>
      <c r="HH9" s="16"/>
      <c r="HI9" s="16"/>
      <c r="HJ9" s="16"/>
      <c r="HK9" s="16"/>
      <c r="HL9" s="16"/>
      <c r="HM9" s="16"/>
      <c r="HN9" s="16"/>
      <c r="HO9" s="16"/>
      <c r="HP9" s="11" t="str">
        <f t="shared" si="89"/>
        <v/>
      </c>
      <c r="HQ9" s="11" t="str">
        <f t="shared" si="90"/>
        <v/>
      </c>
      <c r="HR9" s="11" t="str">
        <f t="shared" si="91"/>
        <v/>
      </c>
      <c r="HS9" s="11" t="str">
        <f t="shared" si="92"/>
        <v/>
      </c>
      <c r="HT9" s="11" t="str">
        <f t="shared" si="93"/>
        <v/>
      </c>
      <c r="HU9" s="11" t="str">
        <f t="shared" si="94"/>
        <v/>
      </c>
      <c r="HV9" s="11" t="str">
        <f t="shared" si="95"/>
        <v/>
      </c>
      <c r="HW9" s="11" t="str">
        <f t="shared" si="96"/>
        <v/>
      </c>
      <c r="HX9" s="11" t="str">
        <f t="shared" si="97"/>
        <v/>
      </c>
      <c r="HY9" s="11" t="str">
        <f t="shared" si="98"/>
        <v/>
      </c>
      <c r="HZ9" s="11" t="str">
        <f t="shared" si="99"/>
        <v/>
      </c>
      <c r="IA9" s="11" t="str">
        <f t="shared" si="100"/>
        <v/>
      </c>
      <c r="IB9" s="11" t="str">
        <f t="shared" si="101"/>
        <v/>
      </c>
      <c r="IC9" s="11" t="str">
        <f t="shared" si="102"/>
        <v/>
      </c>
      <c r="ID9" s="15"/>
      <c r="IE9" s="15"/>
      <c r="IF9" s="15"/>
      <c r="IG9" s="15"/>
      <c r="IH9" s="15"/>
      <c r="II9" s="15"/>
      <c r="IJ9" s="15"/>
      <c r="IK9" s="15"/>
      <c r="IL9" s="15"/>
      <c r="IM9" s="15"/>
      <c r="IN9" s="15"/>
      <c r="IO9" s="15"/>
      <c r="IP9" s="15"/>
      <c r="IQ9" s="15"/>
      <c r="IR9" s="15"/>
      <c r="IS9" s="15"/>
      <c r="IT9" s="15"/>
      <c r="IU9" s="15"/>
      <c r="IV9" s="15"/>
      <c r="IW9" s="15"/>
      <c r="IX9" s="36" t="str">
        <f t="shared" si="103"/>
        <v/>
      </c>
      <c r="IY9" s="36" t="str">
        <f t="shared" si="104"/>
        <v/>
      </c>
      <c r="IZ9" s="36" t="str">
        <f t="shared" si="105"/>
        <v/>
      </c>
      <c r="JA9" s="36" t="str">
        <f t="shared" si="106"/>
        <v/>
      </c>
      <c r="JB9" s="36" t="str">
        <f t="shared" si="107"/>
        <v/>
      </c>
      <c r="JC9" s="36" t="str">
        <f t="shared" si="108"/>
        <v/>
      </c>
      <c r="JD9" s="36" t="str">
        <f t="shared" si="109"/>
        <v/>
      </c>
      <c r="JE9" s="36" t="str">
        <f t="shared" si="110"/>
        <v/>
      </c>
      <c r="JF9" s="36" t="str">
        <f t="shared" si="111"/>
        <v/>
      </c>
      <c r="JG9" s="36" t="str">
        <f t="shared" si="112"/>
        <v/>
      </c>
      <c r="JH9" s="36" t="str">
        <f t="shared" si="113"/>
        <v/>
      </c>
      <c r="JI9" s="36" t="str">
        <f t="shared" si="114"/>
        <v/>
      </c>
      <c r="JJ9" s="36" t="str">
        <f t="shared" si="115"/>
        <v/>
      </c>
      <c r="JK9" s="36" t="str">
        <f t="shared" si="116"/>
        <v/>
      </c>
      <c r="JL9" s="16"/>
      <c r="JM9" s="16"/>
      <c r="JN9" s="16"/>
      <c r="JO9" s="16"/>
      <c r="JP9" s="16"/>
      <c r="JQ9" s="16"/>
      <c r="JR9" s="16"/>
      <c r="JS9" s="16"/>
      <c r="JT9" s="16"/>
      <c r="JU9" s="16"/>
      <c r="JV9" s="16"/>
      <c r="JW9" s="16"/>
      <c r="JX9" s="16"/>
      <c r="JY9" s="16"/>
      <c r="JZ9" s="16"/>
      <c r="KA9" s="16"/>
      <c r="KB9" s="16"/>
      <c r="KC9" s="16"/>
      <c r="KD9" s="16"/>
      <c r="KE9" s="16"/>
      <c r="KF9" s="11" t="str">
        <f t="shared" si="117"/>
        <v/>
      </c>
      <c r="KG9" s="11" t="str">
        <f t="shared" si="118"/>
        <v/>
      </c>
      <c r="KH9" s="11" t="str">
        <f t="shared" si="119"/>
        <v/>
      </c>
      <c r="KI9" s="11" t="str">
        <f t="shared" si="120"/>
        <v/>
      </c>
      <c r="KJ9" s="11" t="str">
        <f t="shared" si="121"/>
        <v/>
      </c>
      <c r="KK9" s="11" t="str">
        <f t="shared" si="122"/>
        <v/>
      </c>
      <c r="KL9" s="11" t="str">
        <f t="shared" si="123"/>
        <v/>
      </c>
      <c r="KM9" s="11" t="str">
        <f t="shared" si="124"/>
        <v/>
      </c>
      <c r="KN9" s="11" t="str">
        <f t="shared" si="125"/>
        <v/>
      </c>
      <c r="KO9" s="11" t="str">
        <f t="shared" si="126"/>
        <v/>
      </c>
      <c r="KP9" s="11" t="str">
        <f t="shared" si="127"/>
        <v/>
      </c>
      <c r="KQ9" s="11" t="str">
        <f t="shared" si="128"/>
        <v/>
      </c>
      <c r="KR9" s="11" t="str">
        <f t="shared" si="129"/>
        <v/>
      </c>
      <c r="KS9" s="11" t="str">
        <f t="shared" si="130"/>
        <v/>
      </c>
      <c r="KT9" s="15"/>
      <c r="KU9" s="15"/>
      <c r="KV9" s="15"/>
      <c r="KW9" s="15"/>
      <c r="KX9" s="15"/>
      <c r="KY9" s="15"/>
      <c r="KZ9" s="15"/>
      <c r="LA9" s="15"/>
      <c r="LB9" s="15"/>
      <c r="LC9" s="15"/>
      <c r="LD9" s="15"/>
      <c r="LE9" s="15"/>
      <c r="LF9" s="15"/>
      <c r="LG9" s="15"/>
      <c r="LH9" s="15"/>
      <c r="LI9" s="15"/>
      <c r="LJ9" s="15"/>
      <c r="LK9" s="15"/>
      <c r="LL9" s="15"/>
      <c r="LM9" s="15"/>
      <c r="LN9" s="36" t="str">
        <f t="shared" si="131"/>
        <v/>
      </c>
      <c r="LO9" s="36" t="str">
        <f t="shared" si="132"/>
        <v/>
      </c>
      <c r="LP9" s="36" t="str">
        <f t="shared" si="133"/>
        <v/>
      </c>
      <c r="LQ9" s="36" t="str">
        <f t="shared" si="134"/>
        <v/>
      </c>
      <c r="LR9" s="36" t="str">
        <f t="shared" si="135"/>
        <v/>
      </c>
      <c r="LS9" s="36" t="str">
        <f t="shared" si="136"/>
        <v/>
      </c>
      <c r="LT9" s="36" t="str">
        <f t="shared" si="137"/>
        <v/>
      </c>
      <c r="LU9" s="36" t="str">
        <f t="shared" si="138"/>
        <v/>
      </c>
      <c r="LV9" s="36" t="str">
        <f t="shared" si="139"/>
        <v/>
      </c>
      <c r="LW9" s="36" t="str">
        <f t="shared" si="140"/>
        <v/>
      </c>
      <c r="LX9" s="36" t="str">
        <f t="shared" si="141"/>
        <v/>
      </c>
      <c r="LY9" s="36" t="str">
        <f t="shared" si="142"/>
        <v/>
      </c>
      <c r="LZ9" s="36" t="str">
        <f t="shared" si="143"/>
        <v/>
      </c>
      <c r="MA9" s="36" t="str">
        <f t="shared" si="144"/>
        <v/>
      </c>
      <c r="MB9" s="16"/>
      <c r="MC9" s="16"/>
      <c r="MD9" s="16"/>
      <c r="ME9" s="16"/>
      <c r="MF9" s="16"/>
      <c r="MG9" s="16"/>
      <c r="MH9" s="16"/>
      <c r="MI9" s="16"/>
      <c r="MJ9" s="16"/>
      <c r="MK9" s="16"/>
      <c r="ML9" s="16"/>
      <c r="MM9" s="16"/>
      <c r="MN9" s="16"/>
      <c r="MO9" s="16"/>
      <c r="MP9" s="16"/>
      <c r="MQ9" s="16"/>
      <c r="MR9" s="16"/>
      <c r="MS9" s="16"/>
      <c r="MT9" s="16"/>
      <c r="MU9" s="16"/>
      <c r="MV9" s="11" t="str">
        <f t="shared" si="145"/>
        <v/>
      </c>
      <c r="MW9" s="11" t="str">
        <f t="shared" si="146"/>
        <v/>
      </c>
      <c r="MX9" s="11" t="str">
        <f t="shared" si="147"/>
        <v/>
      </c>
      <c r="MY9" s="11" t="str">
        <f t="shared" si="148"/>
        <v/>
      </c>
      <c r="MZ9" s="11" t="str">
        <f t="shared" si="149"/>
        <v/>
      </c>
      <c r="NA9" s="11" t="str">
        <f t="shared" si="150"/>
        <v/>
      </c>
      <c r="NB9" s="11" t="str">
        <f t="shared" si="151"/>
        <v/>
      </c>
      <c r="NC9" s="11" t="str">
        <f t="shared" si="152"/>
        <v/>
      </c>
      <c r="ND9" s="11" t="str">
        <f t="shared" si="153"/>
        <v/>
      </c>
      <c r="NE9" s="11" t="str">
        <f t="shared" si="154"/>
        <v/>
      </c>
      <c r="NF9" s="11" t="str">
        <f t="shared" si="155"/>
        <v/>
      </c>
      <c r="NG9" s="11" t="str">
        <f t="shared" si="156"/>
        <v/>
      </c>
      <c r="NH9" s="11" t="str">
        <f t="shared" si="157"/>
        <v/>
      </c>
      <c r="NI9" s="11" t="str">
        <f t="shared" si="158"/>
        <v/>
      </c>
      <c r="NJ9" s="15"/>
      <c r="NK9" s="15"/>
      <c r="NL9" s="15"/>
      <c r="NM9" s="15"/>
      <c r="NN9" s="15"/>
      <c r="NO9" s="15"/>
      <c r="NP9" s="15"/>
      <c r="NQ9" s="15"/>
      <c r="NR9" s="15"/>
      <c r="NS9" s="15"/>
      <c r="NT9" s="15"/>
      <c r="NU9" s="15"/>
      <c r="NV9" s="15"/>
      <c r="NW9" s="15"/>
      <c r="NX9" s="15"/>
      <c r="NY9" s="15"/>
      <c r="NZ9" s="15"/>
      <c r="OA9" s="15"/>
      <c r="OB9" s="15"/>
      <c r="OC9" s="15"/>
      <c r="OD9" s="36" t="str">
        <f t="shared" si="159"/>
        <v/>
      </c>
      <c r="OE9" s="36" t="str">
        <f t="shared" si="160"/>
        <v/>
      </c>
      <c r="OF9" s="36" t="str">
        <f t="shared" si="161"/>
        <v/>
      </c>
      <c r="OG9" s="36" t="str">
        <f t="shared" si="162"/>
        <v/>
      </c>
      <c r="OH9" s="36" t="str">
        <f t="shared" si="163"/>
        <v/>
      </c>
      <c r="OI9" s="36" t="str">
        <f t="shared" si="164"/>
        <v/>
      </c>
      <c r="OJ9" s="36" t="str">
        <f t="shared" si="165"/>
        <v/>
      </c>
      <c r="OK9" s="36" t="str">
        <f t="shared" si="166"/>
        <v/>
      </c>
      <c r="OL9" s="36" t="str">
        <f t="shared" si="167"/>
        <v/>
      </c>
      <c r="OM9" s="36" t="str">
        <f t="shared" si="168"/>
        <v/>
      </c>
      <c r="ON9" s="36" t="str">
        <f t="shared" si="169"/>
        <v/>
      </c>
      <c r="OO9" s="36" t="str">
        <f t="shared" si="170"/>
        <v/>
      </c>
      <c r="OP9" s="36" t="str">
        <f t="shared" si="171"/>
        <v/>
      </c>
      <c r="OQ9" s="36" t="str">
        <f t="shared" si="172"/>
        <v/>
      </c>
      <c r="OR9" s="16"/>
      <c r="OS9" s="16"/>
      <c r="OT9" s="16"/>
      <c r="OU9" s="16"/>
      <c r="OV9" s="16"/>
      <c r="OW9" s="16"/>
      <c r="OX9" s="16"/>
      <c r="OY9" s="16"/>
      <c r="OZ9" s="16"/>
      <c r="PA9" s="16"/>
      <c r="PB9" s="16"/>
      <c r="PC9" s="16"/>
      <c r="PD9" s="16"/>
      <c r="PE9" s="16"/>
      <c r="PF9" s="16"/>
      <c r="PG9" s="16"/>
      <c r="PH9" s="16"/>
      <c r="PI9" s="16"/>
      <c r="PJ9" s="16"/>
      <c r="PK9" s="16"/>
      <c r="PL9" s="11" t="str">
        <f t="shared" si="173"/>
        <v/>
      </c>
      <c r="PM9" s="11" t="str">
        <f t="shared" si="174"/>
        <v/>
      </c>
      <c r="PN9" s="11" t="str">
        <f t="shared" si="175"/>
        <v/>
      </c>
      <c r="PO9" s="11" t="str">
        <f t="shared" si="176"/>
        <v/>
      </c>
      <c r="PP9" s="11" t="str">
        <f t="shared" si="177"/>
        <v/>
      </c>
      <c r="PQ9" s="11" t="str">
        <f t="shared" si="178"/>
        <v/>
      </c>
      <c r="PR9" s="11" t="str">
        <f t="shared" si="179"/>
        <v/>
      </c>
      <c r="PS9" s="11" t="str">
        <f t="shared" si="180"/>
        <v/>
      </c>
      <c r="PT9" s="11" t="str">
        <f t="shared" si="181"/>
        <v/>
      </c>
      <c r="PU9" s="11" t="str">
        <f t="shared" si="182"/>
        <v/>
      </c>
      <c r="PV9" s="11" t="str">
        <f t="shared" si="183"/>
        <v/>
      </c>
      <c r="PW9" s="11" t="str">
        <f t="shared" si="184"/>
        <v/>
      </c>
      <c r="PX9" s="11" t="str">
        <f t="shared" si="185"/>
        <v/>
      </c>
      <c r="PY9" s="11" t="str">
        <f t="shared" si="186"/>
        <v/>
      </c>
      <c r="PZ9" s="15"/>
      <c r="QA9" s="15"/>
      <c r="QB9" s="15"/>
      <c r="QC9" s="15"/>
      <c r="QD9" s="15"/>
      <c r="QE9" s="15"/>
      <c r="QF9" s="15"/>
      <c r="QG9" s="15"/>
      <c r="QH9" s="15"/>
      <c r="QI9" s="15"/>
      <c r="QJ9" s="15"/>
      <c r="QK9" s="15"/>
      <c r="QL9" s="15"/>
      <c r="QM9" s="15"/>
      <c r="QN9" s="15"/>
      <c r="QO9" s="15"/>
      <c r="QP9" s="15"/>
      <c r="QQ9" s="15"/>
      <c r="QR9" s="15"/>
      <c r="QS9" s="15"/>
      <c r="QT9" s="36" t="str">
        <f t="shared" si="187"/>
        <v/>
      </c>
      <c r="QU9" s="36" t="str">
        <f t="shared" si="188"/>
        <v/>
      </c>
      <c r="QV9" s="36" t="str">
        <f t="shared" si="189"/>
        <v/>
      </c>
      <c r="QW9" s="36" t="str">
        <f t="shared" si="190"/>
        <v/>
      </c>
      <c r="QX9" s="36" t="str">
        <f t="shared" si="191"/>
        <v/>
      </c>
      <c r="QY9" s="36" t="str">
        <f t="shared" si="192"/>
        <v/>
      </c>
      <c r="QZ9" s="36" t="str">
        <f t="shared" si="193"/>
        <v/>
      </c>
      <c r="RA9" s="36" t="str">
        <f t="shared" si="194"/>
        <v/>
      </c>
      <c r="RB9" s="36" t="str">
        <f t="shared" si="195"/>
        <v/>
      </c>
      <c r="RC9" s="36" t="str">
        <f t="shared" si="196"/>
        <v/>
      </c>
      <c r="RD9" s="36" t="str">
        <f t="shared" si="197"/>
        <v/>
      </c>
      <c r="RE9" s="36" t="str">
        <f t="shared" si="198"/>
        <v/>
      </c>
      <c r="RF9" s="36" t="str">
        <f t="shared" si="199"/>
        <v/>
      </c>
      <c r="RG9" s="36" t="str">
        <f t="shared" si="200"/>
        <v/>
      </c>
      <c r="RH9" s="16"/>
      <c r="RI9" s="16"/>
      <c r="RJ9" s="16"/>
      <c r="RK9" s="16"/>
      <c r="RL9" s="16"/>
      <c r="RM9" s="16"/>
      <c r="RN9" s="16"/>
      <c r="RO9" s="16"/>
      <c r="RP9" s="16"/>
      <c r="RQ9" s="16"/>
      <c r="RR9" s="16"/>
      <c r="RS9" s="16"/>
      <c r="RT9" s="16"/>
      <c r="RU9" s="16"/>
      <c r="RV9" s="16"/>
      <c r="RW9" s="16"/>
      <c r="RX9" s="16"/>
      <c r="RY9" s="16"/>
      <c r="RZ9" s="16"/>
      <c r="SA9" s="16"/>
      <c r="SB9" s="11" t="str">
        <f t="shared" si="201"/>
        <v/>
      </c>
      <c r="SC9" s="11" t="str">
        <f t="shared" si="202"/>
        <v/>
      </c>
      <c r="SD9" s="11" t="str">
        <f t="shared" si="203"/>
        <v/>
      </c>
      <c r="SE9" s="11" t="str">
        <f t="shared" si="204"/>
        <v/>
      </c>
      <c r="SF9" s="11" t="str">
        <f t="shared" si="205"/>
        <v/>
      </c>
      <c r="SG9" s="11" t="str">
        <f t="shared" si="206"/>
        <v/>
      </c>
      <c r="SH9" s="11" t="str">
        <f t="shared" si="207"/>
        <v/>
      </c>
      <c r="SI9" s="11" t="str">
        <f t="shared" si="208"/>
        <v/>
      </c>
      <c r="SJ9" s="11" t="str">
        <f t="shared" si="209"/>
        <v/>
      </c>
      <c r="SK9" s="11" t="str">
        <f t="shared" si="210"/>
        <v/>
      </c>
      <c r="SL9" s="11" t="str">
        <f t="shared" si="211"/>
        <v/>
      </c>
      <c r="SM9" s="11" t="str">
        <f t="shared" si="212"/>
        <v/>
      </c>
      <c r="SN9" s="11" t="str">
        <f t="shared" si="213"/>
        <v/>
      </c>
      <c r="SO9" s="11" t="str">
        <f t="shared" si="214"/>
        <v/>
      </c>
      <c r="SP9" s="15"/>
      <c r="SQ9" s="15"/>
      <c r="SR9" s="15"/>
      <c r="SS9" s="15"/>
      <c r="ST9" s="15"/>
      <c r="SU9" s="15"/>
      <c r="SV9" s="15"/>
      <c r="SW9" s="15"/>
      <c r="SX9" s="15"/>
      <c r="SY9" s="15"/>
      <c r="SZ9" s="15"/>
      <c r="TA9" s="15"/>
      <c r="TB9" s="15"/>
      <c r="TC9" s="15"/>
      <c r="TD9" s="15"/>
      <c r="TE9" s="15"/>
      <c r="TF9" s="15"/>
      <c r="TG9" s="15"/>
      <c r="TH9" s="15"/>
      <c r="TI9" s="15"/>
      <c r="TJ9" s="36" t="str">
        <f t="shared" si="215"/>
        <v/>
      </c>
      <c r="TK9" s="36" t="str">
        <f t="shared" si="216"/>
        <v/>
      </c>
      <c r="TL9" s="36" t="str">
        <f t="shared" si="217"/>
        <v/>
      </c>
      <c r="TM9" s="36" t="str">
        <f t="shared" si="218"/>
        <v/>
      </c>
      <c r="TN9" s="36" t="str">
        <f t="shared" si="219"/>
        <v/>
      </c>
      <c r="TO9" s="36" t="str">
        <f t="shared" si="220"/>
        <v/>
      </c>
      <c r="TP9" s="36" t="str">
        <f t="shared" si="221"/>
        <v/>
      </c>
      <c r="TQ9" s="36" t="str">
        <f t="shared" si="222"/>
        <v/>
      </c>
      <c r="TR9" s="36" t="str">
        <f t="shared" si="223"/>
        <v/>
      </c>
      <c r="TS9" s="36" t="str">
        <f t="shared" si="224"/>
        <v/>
      </c>
      <c r="TT9" s="36" t="str">
        <f t="shared" si="225"/>
        <v/>
      </c>
      <c r="TU9" s="36" t="str">
        <f t="shared" si="226"/>
        <v/>
      </c>
      <c r="TV9" s="36" t="str">
        <f t="shared" si="227"/>
        <v/>
      </c>
      <c r="TW9" s="36" t="str">
        <f t="shared" si="228"/>
        <v/>
      </c>
      <c r="TX9" s="16"/>
      <c r="TY9" s="16"/>
      <c r="TZ9" s="16"/>
      <c r="UA9" s="16"/>
      <c r="UB9" s="16"/>
      <c r="UC9" s="16"/>
      <c r="UD9" s="16"/>
      <c r="UE9" s="16"/>
      <c r="UF9" s="16"/>
      <c r="UG9" s="16"/>
      <c r="UH9" s="16"/>
      <c r="UI9" s="16"/>
      <c r="UJ9" s="16"/>
      <c r="UK9" s="16"/>
      <c r="UL9" s="16"/>
      <c r="UM9" s="16"/>
      <c r="UN9" s="16"/>
      <c r="UO9" s="16"/>
      <c r="UP9" s="16"/>
      <c r="UQ9" s="16"/>
      <c r="UR9" s="11" t="str">
        <f t="shared" si="229"/>
        <v/>
      </c>
      <c r="US9" s="11" t="str">
        <f t="shared" si="230"/>
        <v/>
      </c>
      <c r="UT9" s="11" t="str">
        <f t="shared" si="231"/>
        <v/>
      </c>
      <c r="UU9" s="11" t="str">
        <f t="shared" si="232"/>
        <v/>
      </c>
      <c r="UV9" s="11" t="str">
        <f t="shared" si="233"/>
        <v/>
      </c>
      <c r="UW9" s="11" t="str">
        <f t="shared" si="234"/>
        <v/>
      </c>
      <c r="UX9" s="11" t="str">
        <f t="shared" si="235"/>
        <v/>
      </c>
      <c r="UY9" s="11" t="str">
        <f t="shared" si="236"/>
        <v/>
      </c>
      <c r="UZ9" s="11" t="str">
        <f t="shared" si="237"/>
        <v/>
      </c>
      <c r="VA9" s="11" t="str">
        <f t="shared" si="238"/>
        <v/>
      </c>
      <c r="VB9" s="11" t="str">
        <f t="shared" si="239"/>
        <v/>
      </c>
      <c r="VC9" s="11" t="str">
        <f t="shared" si="240"/>
        <v/>
      </c>
      <c r="VD9" s="11" t="str">
        <f t="shared" si="241"/>
        <v/>
      </c>
      <c r="VE9" s="11" t="str">
        <f t="shared" si="242"/>
        <v/>
      </c>
      <c r="VF9" s="15"/>
      <c r="VG9" s="15"/>
      <c r="VH9" s="15"/>
      <c r="VI9" s="15"/>
      <c r="VJ9" s="15"/>
      <c r="VK9" s="15"/>
      <c r="VL9" s="15"/>
      <c r="VM9" s="15"/>
      <c r="VN9" s="15"/>
      <c r="VO9" s="15"/>
      <c r="VP9" s="15"/>
      <c r="VQ9" s="15"/>
      <c r="VR9" s="15"/>
      <c r="VS9" s="15"/>
      <c r="VT9" s="15"/>
      <c r="VU9" s="15"/>
      <c r="VV9" s="15"/>
      <c r="VW9" s="15"/>
      <c r="VX9" s="15"/>
      <c r="VY9" s="15"/>
      <c r="VZ9" s="36" t="str">
        <f t="shared" si="243"/>
        <v/>
      </c>
      <c r="WA9" s="36" t="str">
        <f t="shared" si="244"/>
        <v/>
      </c>
      <c r="WB9" s="36" t="str">
        <f t="shared" si="245"/>
        <v/>
      </c>
      <c r="WC9" s="36" t="str">
        <f t="shared" si="246"/>
        <v/>
      </c>
      <c r="WD9" s="36" t="str">
        <f t="shared" si="247"/>
        <v/>
      </c>
      <c r="WE9" s="36" t="str">
        <f t="shared" si="248"/>
        <v/>
      </c>
      <c r="WF9" s="36" t="str">
        <f t="shared" si="249"/>
        <v/>
      </c>
      <c r="WG9" s="36" t="str">
        <f t="shared" si="250"/>
        <v/>
      </c>
      <c r="WH9" s="36" t="str">
        <f t="shared" si="251"/>
        <v/>
      </c>
      <c r="WI9" s="36" t="str">
        <f t="shared" si="252"/>
        <v/>
      </c>
      <c r="WJ9" s="36" t="str">
        <f t="shared" si="253"/>
        <v/>
      </c>
      <c r="WK9" s="36" t="str">
        <f t="shared" si="254"/>
        <v/>
      </c>
      <c r="WL9" s="36" t="str">
        <f t="shared" si="255"/>
        <v/>
      </c>
      <c r="WM9" s="36" t="str">
        <f t="shared" si="256"/>
        <v/>
      </c>
    </row>
    <row r="10" spans="1:611" x14ac:dyDescent="0.2">
      <c r="A10" s="4" cm="1">
        <f t="array" ref="A10">IF(AND(H10&lt;&gt;"",H10&lt;&gt;"No DD"),SUMPRODUCT((H$4:H$27&lt;&gt;"")*(H$4:H$27&lt;&gt;"No DD")*(E$4:E$27&gt;E10))+1,IF(H10="No DD",SUMPRODUCT((H$4:H$27="No DD")*(E$4:E$27&gt;E10))+1+SUMPRODUCT((H$4:H$27&lt;&gt;"")*(H$4:H$27&lt;&gt;"No DD")),""))</f>
        <v>6</v>
      </c>
      <c r="B10" s="5" t="s">
        <v>98</v>
      </c>
      <c r="C10" s="4" t="s">
        <v>5</v>
      </c>
      <c r="D10" s="4">
        <v>2007</v>
      </c>
      <c r="E10" s="9">
        <f t="shared" si="0"/>
        <v>166.74001385300562</v>
      </c>
      <c r="F10" s="3" t="str">
        <f t="shared" si="1"/>
        <v/>
      </c>
      <c r="G10" s="3" t="str">
        <f t="shared" si="2"/>
        <v>P</v>
      </c>
      <c r="H10" s="32" t="str">
        <f t="shared" si="3"/>
        <v>No DD</v>
      </c>
      <c r="I10" s="3" t="str">
        <f t="shared" si="4"/>
        <v/>
      </c>
      <c r="J10" s="8">
        <f t="shared" si="5"/>
        <v>27.099999999999998</v>
      </c>
      <c r="K10" s="8" t="str">
        <f t="shared" si="6"/>
        <v>2025 Elite Canada</v>
      </c>
      <c r="L10" s="8">
        <f>IFERROR(IF(J10=AR10,LARGE((AK10,AN10,BL10,BO10,BS10,CM10,CP10,CT10),1),IF(J10=BS10,LARGE((AK10,AN10,AR10,BL10,BO10,CM10,CP10,CT10),1),LARGE((AK10,AN10,AR10,BL10,BO10,BS10,CM10,CP10),1))),0)</f>
        <v>56.019999999999996</v>
      </c>
      <c r="M10" s="8" t="str">
        <f t="shared" si="7"/>
        <v>2025 Nationals</v>
      </c>
      <c r="N10" s="8">
        <f>IFERROR(IF(J10=AR10,LARGE((AK10,AN10,BL10,BO10,BS10,CM10,CP10,CT10),2),IF(J10=BS10,LARGE((AK10,AN10,AR10,BL10,BO10,CM10,CP10,CT10),2),LARGE((AK10,AN10,AR10,BL10,BO10,BS10,CM10,CP10),2))),0)</f>
        <v>55.410000000000004</v>
      </c>
      <c r="O10" s="8" t="str">
        <f t="shared" si="8"/>
        <v>2025 Elite Canada</v>
      </c>
      <c r="P10" s="8">
        <f t="shared" si="9"/>
        <v>28.210000000000004</v>
      </c>
      <c r="Q10" s="11" t="str">
        <f t="shared" si="10"/>
        <v>(Final)</v>
      </c>
      <c r="R10" s="8" t="str">
        <f t="shared" si="11"/>
        <v>2025 Junior Pan Am Games (Aug 12)</v>
      </c>
      <c r="S10" s="18">
        <v>16</v>
      </c>
      <c r="T10" s="18">
        <v>9.3000000000000007</v>
      </c>
      <c r="U10" s="18">
        <v>14.4</v>
      </c>
      <c r="V10" s="18">
        <v>15.81</v>
      </c>
      <c r="W10" s="18">
        <v>0.1</v>
      </c>
      <c r="X10" s="18">
        <v>1.6</v>
      </c>
      <c r="Y10" s="18">
        <v>1</v>
      </c>
      <c r="Z10" s="18">
        <v>2</v>
      </c>
      <c r="AA10" s="18">
        <v>1.67</v>
      </c>
      <c r="AB10" s="18">
        <v>0</v>
      </c>
      <c r="AC10" s="18">
        <v>7.3</v>
      </c>
      <c r="AD10" s="18">
        <v>4.4000000000000004</v>
      </c>
      <c r="AE10" s="18">
        <v>7.6</v>
      </c>
      <c r="AF10" s="18">
        <v>7.8</v>
      </c>
      <c r="AG10" s="18">
        <v>0</v>
      </c>
      <c r="AH10" s="23"/>
      <c r="AI10" s="34">
        <f t="shared" si="12"/>
        <v>14.4</v>
      </c>
      <c r="AJ10" s="34">
        <f t="shared" si="13"/>
        <v>15.81</v>
      </c>
      <c r="AK10" s="36">
        <f t="shared" si="14"/>
        <v>55.410000000000004</v>
      </c>
      <c r="AL10" s="36">
        <f t="shared" si="15"/>
        <v>2</v>
      </c>
      <c r="AM10" s="36">
        <f t="shared" si="16"/>
        <v>1.67</v>
      </c>
      <c r="AN10" s="36">
        <f t="shared" si="17"/>
        <v>6.27</v>
      </c>
      <c r="AO10" s="36">
        <f t="shared" si="18"/>
        <v>55.410000000000004</v>
      </c>
      <c r="AP10" s="36">
        <f t="shared" si="19"/>
        <v>7.6</v>
      </c>
      <c r="AQ10" s="36">
        <f t="shared" si="20"/>
        <v>7.8</v>
      </c>
      <c r="AR10" s="36">
        <f t="shared" si="21"/>
        <v>27.099999999999998</v>
      </c>
      <c r="AS10" s="36">
        <f t="shared" si="22"/>
        <v>82.51</v>
      </c>
      <c r="AT10" s="22">
        <v>12.1</v>
      </c>
      <c r="AU10" s="22">
        <v>7.2</v>
      </c>
      <c r="AV10" s="22">
        <v>12.3</v>
      </c>
      <c r="AW10" s="22">
        <v>13.37</v>
      </c>
      <c r="AX10" s="22">
        <v>0</v>
      </c>
      <c r="AY10" s="22">
        <v>14.9</v>
      </c>
      <c r="AZ10" s="22">
        <v>9.1</v>
      </c>
      <c r="BA10" s="22">
        <v>15.5</v>
      </c>
      <c r="BB10" s="22">
        <v>16.52</v>
      </c>
      <c r="BC10" s="22">
        <v>0</v>
      </c>
      <c r="BD10" s="22">
        <v>3.5</v>
      </c>
      <c r="BE10" s="22">
        <v>1.8</v>
      </c>
      <c r="BF10" s="22">
        <v>3.5</v>
      </c>
      <c r="BG10" s="22">
        <v>3.55</v>
      </c>
      <c r="BH10" s="22">
        <v>0</v>
      </c>
      <c r="BI10" s="24"/>
      <c r="BJ10" s="35">
        <f t="shared" si="23"/>
        <v>12.3</v>
      </c>
      <c r="BK10" s="35">
        <f t="shared" si="24"/>
        <v>13.37</v>
      </c>
      <c r="BL10" s="11">
        <f t="shared" si="25"/>
        <v>44.97</v>
      </c>
      <c r="BM10" s="11">
        <f t="shared" si="26"/>
        <v>15.5</v>
      </c>
      <c r="BN10" s="11">
        <f t="shared" si="27"/>
        <v>16.52</v>
      </c>
      <c r="BO10" s="11">
        <f t="shared" si="28"/>
        <v>56.019999999999996</v>
      </c>
      <c r="BP10" s="11">
        <f t="shared" si="29"/>
        <v>56.019999999999996</v>
      </c>
      <c r="BQ10" s="11">
        <f t="shared" si="30"/>
        <v>3.5</v>
      </c>
      <c r="BR10" s="11">
        <f t="shared" si="31"/>
        <v>3.55</v>
      </c>
      <c r="BS10" s="11">
        <f t="shared" si="32"/>
        <v>12.350000000000001</v>
      </c>
      <c r="BT10" s="11">
        <f t="shared" si="33"/>
        <v>68.37</v>
      </c>
      <c r="BU10" s="18">
        <v>7.2</v>
      </c>
      <c r="BV10" s="18">
        <v>4</v>
      </c>
      <c r="BW10" s="18">
        <v>8</v>
      </c>
      <c r="BX10" s="18">
        <v>8.42</v>
      </c>
      <c r="BY10" s="18">
        <v>0</v>
      </c>
      <c r="BZ10" s="18">
        <v>8.1999999999999993</v>
      </c>
      <c r="CA10" s="18">
        <v>4.5999999999999996</v>
      </c>
      <c r="CB10" s="18">
        <v>8.4</v>
      </c>
      <c r="CC10" s="18">
        <v>8.77</v>
      </c>
      <c r="CD10" s="18">
        <v>0</v>
      </c>
      <c r="CE10" s="18"/>
      <c r="CF10" s="18"/>
      <c r="CG10" s="18"/>
      <c r="CH10" s="18"/>
      <c r="CI10" s="18"/>
      <c r="CJ10" s="23"/>
      <c r="CK10" s="34">
        <f t="shared" si="34"/>
        <v>8</v>
      </c>
      <c r="CL10" s="34">
        <f t="shared" si="35"/>
        <v>8.42</v>
      </c>
      <c r="CM10" s="36">
        <f t="shared" si="36"/>
        <v>27.619999999999997</v>
      </c>
      <c r="CN10" s="36">
        <f t="shared" si="37"/>
        <v>8.4</v>
      </c>
      <c r="CO10" s="36">
        <f t="shared" si="38"/>
        <v>8.77</v>
      </c>
      <c r="CP10" s="36">
        <f t="shared" si="39"/>
        <v>29.97</v>
      </c>
      <c r="CQ10" s="36">
        <f t="shared" si="40"/>
        <v>29.97</v>
      </c>
      <c r="CR10" s="36" t="str">
        <f t="shared" si="41"/>
        <v/>
      </c>
      <c r="CS10" s="36" t="str">
        <f t="shared" si="42"/>
        <v/>
      </c>
      <c r="CT10" s="36" t="str">
        <f t="shared" si="43"/>
        <v/>
      </c>
      <c r="CU10" s="36">
        <f t="shared" si="44"/>
        <v>29.97</v>
      </c>
      <c r="CV10" s="47">
        <f t="shared" si="45"/>
        <v>28.210000000000004</v>
      </c>
      <c r="CW10" s="47">
        <f t="shared" si="46"/>
        <v>0.67000000000000171</v>
      </c>
      <c r="CX10" s="15"/>
      <c r="CY10" s="15"/>
      <c r="CZ10" s="15"/>
      <c r="DA10" s="15"/>
      <c r="DB10" s="15"/>
      <c r="DC10" s="15"/>
      <c r="DD10" s="15"/>
      <c r="DE10" s="15"/>
      <c r="DF10" s="15"/>
      <c r="DG10" s="15"/>
      <c r="DH10" s="15"/>
      <c r="DI10" s="15"/>
      <c r="DJ10" s="15"/>
      <c r="DK10" s="15"/>
      <c r="DL10" s="15"/>
      <c r="DM10" s="15"/>
      <c r="DN10" s="15"/>
      <c r="DO10" s="15"/>
      <c r="DP10" s="15"/>
      <c r="DQ10" s="15"/>
      <c r="DR10" s="36" t="str">
        <f t="shared" si="47"/>
        <v/>
      </c>
      <c r="DS10" s="36" t="str">
        <f t="shared" si="48"/>
        <v/>
      </c>
      <c r="DT10" s="36" t="str">
        <f t="shared" si="49"/>
        <v/>
      </c>
      <c r="DU10" s="36" t="str">
        <f t="shared" si="50"/>
        <v/>
      </c>
      <c r="DV10" s="36" t="str">
        <f t="shared" si="51"/>
        <v/>
      </c>
      <c r="DW10" s="36" t="str">
        <f t="shared" si="52"/>
        <v/>
      </c>
      <c r="DX10" s="36" t="str">
        <f t="shared" si="53"/>
        <v/>
      </c>
      <c r="DY10" s="36" t="str">
        <f t="shared" si="54"/>
        <v/>
      </c>
      <c r="DZ10" s="36" t="str">
        <f t="shared" si="55"/>
        <v/>
      </c>
      <c r="EA10" s="36" t="str">
        <f t="shared" si="56"/>
        <v/>
      </c>
      <c r="EB10" s="36" t="str">
        <f t="shared" si="57"/>
        <v/>
      </c>
      <c r="EC10" s="36" t="str">
        <f t="shared" si="58"/>
        <v/>
      </c>
      <c r="ED10" s="36" t="str">
        <f t="shared" si="59"/>
        <v/>
      </c>
      <c r="EE10" s="36" t="str">
        <f t="shared" si="60"/>
        <v/>
      </c>
      <c r="EF10" s="16"/>
      <c r="EG10" s="16"/>
      <c r="EH10" s="16"/>
      <c r="EI10" s="16"/>
      <c r="EJ10" s="16"/>
      <c r="EK10" s="16"/>
      <c r="EL10" s="16"/>
      <c r="EM10" s="16"/>
      <c r="EN10" s="16"/>
      <c r="EO10" s="16"/>
      <c r="EP10" s="16"/>
      <c r="EQ10" s="16"/>
      <c r="ER10" s="16"/>
      <c r="ES10" s="16"/>
      <c r="ET10" s="16"/>
      <c r="EU10" s="16"/>
      <c r="EV10" s="16"/>
      <c r="EW10" s="16"/>
      <c r="EX10" s="16"/>
      <c r="EY10" s="16"/>
      <c r="EZ10" s="11" t="str">
        <f t="shared" si="61"/>
        <v/>
      </c>
      <c r="FA10" s="11" t="str">
        <f t="shared" si="62"/>
        <v/>
      </c>
      <c r="FB10" s="11" t="str">
        <f t="shared" si="63"/>
        <v/>
      </c>
      <c r="FC10" s="11" t="str">
        <f t="shared" si="64"/>
        <v/>
      </c>
      <c r="FD10" s="11" t="str">
        <f t="shared" si="65"/>
        <v/>
      </c>
      <c r="FE10" s="11" t="str">
        <f t="shared" si="66"/>
        <v/>
      </c>
      <c r="FF10" s="11" t="str">
        <f t="shared" si="67"/>
        <v/>
      </c>
      <c r="FG10" s="11" t="str">
        <f t="shared" si="68"/>
        <v/>
      </c>
      <c r="FH10" s="11" t="str">
        <f t="shared" si="69"/>
        <v/>
      </c>
      <c r="FI10" s="11" t="str">
        <f t="shared" si="70"/>
        <v/>
      </c>
      <c r="FJ10" s="11" t="str">
        <f t="shared" si="71"/>
        <v/>
      </c>
      <c r="FK10" s="11" t="str">
        <f t="shared" si="72"/>
        <v/>
      </c>
      <c r="FL10" s="11" t="str">
        <f t="shared" si="73"/>
        <v/>
      </c>
      <c r="FM10" s="11" t="str">
        <f t="shared" si="74"/>
        <v/>
      </c>
      <c r="FN10" s="15"/>
      <c r="FO10" s="15"/>
      <c r="FP10" s="15"/>
      <c r="FQ10" s="15"/>
      <c r="FR10" s="15"/>
      <c r="FS10" s="15"/>
      <c r="FT10" s="15"/>
      <c r="FU10" s="15"/>
      <c r="FV10" s="15"/>
      <c r="FW10" s="15"/>
      <c r="FX10" s="15"/>
      <c r="FY10" s="15"/>
      <c r="FZ10" s="15"/>
      <c r="GA10" s="15"/>
      <c r="GB10" s="15"/>
      <c r="GC10" s="15"/>
      <c r="GD10" s="15"/>
      <c r="GE10" s="15"/>
      <c r="GF10" s="15"/>
      <c r="GG10" s="15"/>
      <c r="GH10" s="36" t="str">
        <f t="shared" si="75"/>
        <v/>
      </c>
      <c r="GI10" s="36" t="str">
        <f t="shared" si="76"/>
        <v/>
      </c>
      <c r="GJ10" s="36" t="str">
        <f t="shared" si="77"/>
        <v/>
      </c>
      <c r="GK10" s="36" t="str">
        <f t="shared" si="78"/>
        <v/>
      </c>
      <c r="GL10" s="36" t="str">
        <f t="shared" si="79"/>
        <v/>
      </c>
      <c r="GM10" s="36" t="str">
        <f t="shared" si="80"/>
        <v/>
      </c>
      <c r="GN10" s="36" t="str">
        <f t="shared" si="81"/>
        <v/>
      </c>
      <c r="GO10" s="36" t="str">
        <f t="shared" si="82"/>
        <v/>
      </c>
      <c r="GP10" s="36" t="str">
        <f t="shared" si="83"/>
        <v/>
      </c>
      <c r="GQ10" s="36" t="str">
        <f t="shared" si="84"/>
        <v/>
      </c>
      <c r="GR10" s="36" t="str">
        <f t="shared" si="85"/>
        <v/>
      </c>
      <c r="GS10" s="36" t="str">
        <f t="shared" si="86"/>
        <v/>
      </c>
      <c r="GT10" s="36" t="str">
        <f t="shared" si="87"/>
        <v/>
      </c>
      <c r="GU10" s="36" t="str">
        <f t="shared" si="88"/>
        <v/>
      </c>
      <c r="GV10" s="16">
        <v>14.8</v>
      </c>
      <c r="GW10" s="16">
        <v>9.3000000000000007</v>
      </c>
      <c r="GX10" s="16">
        <v>15.3</v>
      </c>
      <c r="GY10" s="16">
        <v>16.68</v>
      </c>
      <c r="GZ10" s="16">
        <v>0</v>
      </c>
      <c r="HA10" s="16">
        <v>13.6</v>
      </c>
      <c r="HB10" s="16">
        <v>9.3000000000000007</v>
      </c>
      <c r="HC10" s="16">
        <v>14.5</v>
      </c>
      <c r="HD10" s="16">
        <v>16.47</v>
      </c>
      <c r="HE10" s="16">
        <v>0</v>
      </c>
      <c r="HF10" s="16">
        <v>2.8</v>
      </c>
      <c r="HG10" s="16">
        <v>1.8</v>
      </c>
      <c r="HH10" s="16">
        <v>3.5</v>
      </c>
      <c r="HI10" s="16">
        <v>3.52</v>
      </c>
      <c r="HJ10" s="16">
        <v>0</v>
      </c>
      <c r="HK10" s="16"/>
      <c r="HL10" s="16"/>
      <c r="HM10" s="16"/>
      <c r="HN10" s="16"/>
      <c r="HO10" s="16"/>
      <c r="HP10" s="11">
        <f t="shared" si="89"/>
        <v>15.3</v>
      </c>
      <c r="HQ10" s="11">
        <f t="shared" si="90"/>
        <v>16.68</v>
      </c>
      <c r="HR10" s="11">
        <f t="shared" si="91"/>
        <v>56.080000000000005</v>
      </c>
      <c r="HS10" s="11">
        <f t="shared" si="92"/>
        <v>14.5</v>
      </c>
      <c r="HT10" s="11">
        <f t="shared" si="93"/>
        <v>16.47</v>
      </c>
      <c r="HU10" s="11">
        <f t="shared" si="94"/>
        <v>53.87</v>
      </c>
      <c r="HV10" s="11">
        <f t="shared" si="95"/>
        <v>56.080000000000005</v>
      </c>
      <c r="HW10" s="11">
        <f t="shared" si="96"/>
        <v>3.5</v>
      </c>
      <c r="HX10" s="11">
        <f t="shared" si="97"/>
        <v>3.52</v>
      </c>
      <c r="HY10" s="11">
        <f t="shared" si="98"/>
        <v>11.62</v>
      </c>
      <c r="HZ10" s="11" t="str">
        <f t="shared" si="99"/>
        <v/>
      </c>
      <c r="IA10" s="11" t="str">
        <f t="shared" si="100"/>
        <v/>
      </c>
      <c r="IB10" s="11" t="str">
        <f t="shared" si="101"/>
        <v/>
      </c>
      <c r="IC10" s="11">
        <f t="shared" si="102"/>
        <v>67.7</v>
      </c>
      <c r="ID10" s="15"/>
      <c r="IE10" s="15"/>
      <c r="IF10" s="15"/>
      <c r="IG10" s="15"/>
      <c r="IH10" s="15"/>
      <c r="II10" s="15">
        <v>14.3</v>
      </c>
      <c r="IJ10" s="15">
        <v>9.1</v>
      </c>
      <c r="IK10" s="15">
        <v>15.3</v>
      </c>
      <c r="IL10" s="15">
        <v>16.239999999999998</v>
      </c>
      <c r="IM10" s="15">
        <v>0</v>
      </c>
      <c r="IN10" s="15"/>
      <c r="IO10" s="15"/>
      <c r="IP10" s="15"/>
      <c r="IQ10" s="15"/>
      <c r="IR10" s="15"/>
      <c r="IS10" s="15">
        <v>15.4</v>
      </c>
      <c r="IT10" s="15">
        <v>9.1999999999999993</v>
      </c>
      <c r="IU10" s="15">
        <v>14.4</v>
      </c>
      <c r="IV10" s="15">
        <v>16.309999999999999</v>
      </c>
      <c r="IW10" s="15">
        <v>0</v>
      </c>
      <c r="IX10" s="36" t="str">
        <f t="shared" si="103"/>
        <v/>
      </c>
      <c r="IY10" s="36" t="str">
        <f t="shared" si="104"/>
        <v/>
      </c>
      <c r="IZ10" s="36" t="str">
        <f t="shared" si="105"/>
        <v/>
      </c>
      <c r="JA10" s="36">
        <f t="shared" si="106"/>
        <v>15.3</v>
      </c>
      <c r="JB10" s="36">
        <f t="shared" si="107"/>
        <v>16.239999999999998</v>
      </c>
      <c r="JC10" s="36">
        <f t="shared" si="108"/>
        <v>54.94</v>
      </c>
      <c r="JD10" s="36">
        <f t="shared" si="109"/>
        <v>54.94</v>
      </c>
      <c r="JE10" s="36" t="str">
        <f t="shared" si="110"/>
        <v/>
      </c>
      <c r="JF10" s="36" t="str">
        <f t="shared" si="111"/>
        <v/>
      </c>
      <c r="JG10" s="36" t="str">
        <f t="shared" si="112"/>
        <v/>
      </c>
      <c r="JH10" s="36">
        <f t="shared" si="113"/>
        <v>14.4</v>
      </c>
      <c r="JI10" s="36">
        <f t="shared" si="114"/>
        <v>16.309999999999999</v>
      </c>
      <c r="JJ10" s="36">
        <f t="shared" si="115"/>
        <v>55.31</v>
      </c>
      <c r="JK10" s="36">
        <f t="shared" si="116"/>
        <v>110.25</v>
      </c>
      <c r="JL10" s="16"/>
      <c r="JM10" s="16"/>
      <c r="JN10" s="16"/>
      <c r="JO10" s="16"/>
      <c r="JP10" s="16"/>
      <c r="JQ10" s="16"/>
      <c r="JR10" s="16"/>
      <c r="JS10" s="16"/>
      <c r="JT10" s="16"/>
      <c r="JU10" s="16"/>
      <c r="JV10" s="16"/>
      <c r="JW10" s="16"/>
      <c r="JX10" s="16"/>
      <c r="JY10" s="16"/>
      <c r="JZ10" s="16"/>
      <c r="KA10" s="16"/>
      <c r="KB10" s="16"/>
      <c r="KC10" s="16"/>
      <c r="KD10" s="16"/>
      <c r="KE10" s="16"/>
      <c r="KF10" s="11" t="str">
        <f t="shared" si="117"/>
        <v/>
      </c>
      <c r="KG10" s="11" t="str">
        <f t="shared" si="118"/>
        <v/>
      </c>
      <c r="KH10" s="11" t="str">
        <f t="shared" si="119"/>
        <v/>
      </c>
      <c r="KI10" s="11" t="str">
        <f t="shared" si="120"/>
        <v/>
      </c>
      <c r="KJ10" s="11" t="str">
        <f t="shared" si="121"/>
        <v/>
      </c>
      <c r="KK10" s="11" t="str">
        <f t="shared" si="122"/>
        <v/>
      </c>
      <c r="KL10" s="11" t="str">
        <f t="shared" si="123"/>
        <v/>
      </c>
      <c r="KM10" s="11" t="str">
        <f t="shared" si="124"/>
        <v/>
      </c>
      <c r="KN10" s="11" t="str">
        <f t="shared" si="125"/>
        <v/>
      </c>
      <c r="KO10" s="11" t="str">
        <f t="shared" si="126"/>
        <v/>
      </c>
      <c r="KP10" s="11" t="str">
        <f t="shared" si="127"/>
        <v/>
      </c>
      <c r="KQ10" s="11" t="str">
        <f t="shared" si="128"/>
        <v/>
      </c>
      <c r="KR10" s="11" t="str">
        <f t="shared" si="129"/>
        <v/>
      </c>
      <c r="KS10" s="11" t="str">
        <f t="shared" si="130"/>
        <v/>
      </c>
      <c r="KT10" s="15"/>
      <c r="KU10" s="15"/>
      <c r="KV10" s="15"/>
      <c r="KW10" s="15"/>
      <c r="KX10" s="15"/>
      <c r="KY10" s="15"/>
      <c r="KZ10" s="15"/>
      <c r="LA10" s="15"/>
      <c r="LB10" s="15"/>
      <c r="LC10" s="15"/>
      <c r="LD10" s="15"/>
      <c r="LE10" s="15"/>
      <c r="LF10" s="15"/>
      <c r="LG10" s="15"/>
      <c r="LH10" s="15"/>
      <c r="LI10" s="15"/>
      <c r="LJ10" s="15"/>
      <c r="LK10" s="15"/>
      <c r="LL10" s="15"/>
      <c r="LM10" s="15"/>
      <c r="LN10" s="36" t="str">
        <f t="shared" si="131"/>
        <v/>
      </c>
      <c r="LO10" s="36" t="str">
        <f t="shared" si="132"/>
        <v/>
      </c>
      <c r="LP10" s="36" t="str">
        <f t="shared" si="133"/>
        <v/>
      </c>
      <c r="LQ10" s="36" t="str">
        <f t="shared" si="134"/>
        <v/>
      </c>
      <c r="LR10" s="36" t="str">
        <f t="shared" si="135"/>
        <v/>
      </c>
      <c r="LS10" s="36" t="str">
        <f t="shared" si="136"/>
        <v/>
      </c>
      <c r="LT10" s="36" t="str">
        <f t="shared" si="137"/>
        <v/>
      </c>
      <c r="LU10" s="36" t="str">
        <f t="shared" si="138"/>
        <v/>
      </c>
      <c r="LV10" s="36" t="str">
        <f t="shared" si="139"/>
        <v/>
      </c>
      <c r="LW10" s="36" t="str">
        <f t="shared" si="140"/>
        <v/>
      </c>
      <c r="LX10" s="36" t="str">
        <f t="shared" si="141"/>
        <v/>
      </c>
      <c r="LY10" s="36" t="str">
        <f t="shared" si="142"/>
        <v/>
      </c>
      <c r="LZ10" s="36" t="str">
        <f t="shared" si="143"/>
        <v/>
      </c>
      <c r="MA10" s="36" t="str">
        <f t="shared" si="144"/>
        <v/>
      </c>
      <c r="MB10" s="16"/>
      <c r="MC10" s="16"/>
      <c r="MD10" s="16"/>
      <c r="ME10" s="16"/>
      <c r="MF10" s="16"/>
      <c r="MG10" s="16"/>
      <c r="MH10" s="16"/>
      <c r="MI10" s="16"/>
      <c r="MJ10" s="16"/>
      <c r="MK10" s="16"/>
      <c r="ML10" s="16"/>
      <c r="MM10" s="16"/>
      <c r="MN10" s="16"/>
      <c r="MO10" s="16"/>
      <c r="MP10" s="16"/>
      <c r="MQ10" s="16"/>
      <c r="MR10" s="16"/>
      <c r="MS10" s="16"/>
      <c r="MT10" s="16"/>
      <c r="MU10" s="16"/>
      <c r="MV10" s="11" t="str">
        <f t="shared" si="145"/>
        <v/>
      </c>
      <c r="MW10" s="11" t="str">
        <f t="shared" si="146"/>
        <v/>
      </c>
      <c r="MX10" s="11" t="str">
        <f t="shared" si="147"/>
        <v/>
      </c>
      <c r="MY10" s="11" t="str">
        <f t="shared" si="148"/>
        <v/>
      </c>
      <c r="MZ10" s="11" t="str">
        <f t="shared" si="149"/>
        <v/>
      </c>
      <c r="NA10" s="11" t="str">
        <f t="shared" si="150"/>
        <v/>
      </c>
      <c r="NB10" s="11" t="str">
        <f t="shared" si="151"/>
        <v/>
      </c>
      <c r="NC10" s="11" t="str">
        <f t="shared" si="152"/>
        <v/>
      </c>
      <c r="ND10" s="11" t="str">
        <f t="shared" si="153"/>
        <v/>
      </c>
      <c r="NE10" s="11" t="str">
        <f t="shared" si="154"/>
        <v/>
      </c>
      <c r="NF10" s="11" t="str">
        <f t="shared" si="155"/>
        <v/>
      </c>
      <c r="NG10" s="11" t="str">
        <f t="shared" si="156"/>
        <v/>
      </c>
      <c r="NH10" s="11" t="str">
        <f t="shared" si="157"/>
        <v/>
      </c>
      <c r="NI10" s="11" t="str">
        <f t="shared" si="158"/>
        <v/>
      </c>
      <c r="NJ10" s="15">
        <v>15.1</v>
      </c>
      <c r="NK10" s="15">
        <v>9.3000000000000007</v>
      </c>
      <c r="NL10" s="15">
        <v>2.8</v>
      </c>
      <c r="NM10" s="15">
        <v>17.149999999999999</v>
      </c>
      <c r="NN10" s="15">
        <v>0</v>
      </c>
      <c r="NO10" s="15">
        <v>5.9</v>
      </c>
      <c r="NP10" s="15">
        <v>3.6</v>
      </c>
      <c r="NQ10" s="15">
        <v>6.5</v>
      </c>
      <c r="NR10" s="15">
        <v>6.82</v>
      </c>
      <c r="NS10" s="15">
        <v>0</v>
      </c>
      <c r="NT10" s="15"/>
      <c r="NU10" s="15"/>
      <c r="NV10" s="15"/>
      <c r="NW10" s="15"/>
      <c r="NX10" s="15"/>
      <c r="NY10" s="15"/>
      <c r="NZ10" s="15"/>
      <c r="OA10" s="15"/>
      <c r="OB10" s="15"/>
      <c r="OC10" s="15"/>
      <c r="OD10" s="36">
        <f t="shared" si="159"/>
        <v>2.8</v>
      </c>
      <c r="OE10" s="36">
        <f t="shared" si="160"/>
        <v>17.149999999999999</v>
      </c>
      <c r="OF10" s="36">
        <f t="shared" si="161"/>
        <v>44.349999999999994</v>
      </c>
      <c r="OG10" s="36">
        <f t="shared" si="162"/>
        <v>6.5</v>
      </c>
      <c r="OH10" s="36">
        <f t="shared" si="163"/>
        <v>6.82</v>
      </c>
      <c r="OI10" s="36">
        <f t="shared" si="164"/>
        <v>22.82</v>
      </c>
      <c r="OJ10" s="36">
        <f t="shared" si="165"/>
        <v>44.349999999999994</v>
      </c>
      <c r="OK10" s="36" t="str">
        <f t="shared" si="166"/>
        <v/>
      </c>
      <c r="OL10" s="36" t="str">
        <f t="shared" si="167"/>
        <v/>
      </c>
      <c r="OM10" s="36" t="str">
        <f t="shared" si="168"/>
        <v/>
      </c>
      <c r="ON10" s="36" t="str">
        <f t="shared" si="169"/>
        <v/>
      </c>
      <c r="OO10" s="36" t="str">
        <f t="shared" si="170"/>
        <v/>
      </c>
      <c r="OP10" s="36" t="str">
        <f t="shared" si="171"/>
        <v/>
      </c>
      <c r="OQ10" s="36">
        <f t="shared" si="172"/>
        <v>44.349999999999994</v>
      </c>
      <c r="OR10" s="16"/>
      <c r="OS10" s="16"/>
      <c r="OT10" s="16"/>
      <c r="OU10" s="16"/>
      <c r="OV10" s="16"/>
      <c r="OW10" s="16"/>
      <c r="OX10" s="16"/>
      <c r="OY10" s="16"/>
      <c r="OZ10" s="16"/>
      <c r="PA10" s="16"/>
      <c r="PB10" s="16"/>
      <c r="PC10" s="16"/>
      <c r="PD10" s="16"/>
      <c r="PE10" s="16"/>
      <c r="PF10" s="16"/>
      <c r="PG10" s="16"/>
      <c r="PH10" s="16"/>
      <c r="PI10" s="16"/>
      <c r="PJ10" s="16"/>
      <c r="PK10" s="16"/>
      <c r="PL10" s="11" t="str">
        <f t="shared" si="173"/>
        <v/>
      </c>
      <c r="PM10" s="11" t="str">
        <f t="shared" si="174"/>
        <v/>
      </c>
      <c r="PN10" s="11" t="str">
        <f t="shared" si="175"/>
        <v/>
      </c>
      <c r="PO10" s="11" t="str">
        <f t="shared" si="176"/>
        <v/>
      </c>
      <c r="PP10" s="11" t="str">
        <f t="shared" si="177"/>
        <v/>
      </c>
      <c r="PQ10" s="11" t="str">
        <f t="shared" si="178"/>
        <v/>
      </c>
      <c r="PR10" s="11" t="str">
        <f t="shared" si="179"/>
        <v/>
      </c>
      <c r="PS10" s="11" t="str">
        <f t="shared" si="180"/>
        <v/>
      </c>
      <c r="PT10" s="11" t="str">
        <f t="shared" si="181"/>
        <v/>
      </c>
      <c r="PU10" s="11" t="str">
        <f t="shared" si="182"/>
        <v/>
      </c>
      <c r="PV10" s="11" t="str">
        <f t="shared" si="183"/>
        <v/>
      </c>
      <c r="PW10" s="11" t="str">
        <f t="shared" si="184"/>
        <v/>
      </c>
      <c r="PX10" s="11" t="str">
        <f t="shared" si="185"/>
        <v/>
      </c>
      <c r="PY10" s="11" t="str">
        <f t="shared" si="186"/>
        <v/>
      </c>
      <c r="PZ10" s="15"/>
      <c r="QA10" s="15"/>
      <c r="QB10" s="15"/>
      <c r="QC10" s="15"/>
      <c r="QD10" s="15"/>
      <c r="QE10" s="15"/>
      <c r="QF10" s="15"/>
      <c r="QG10" s="15"/>
      <c r="QH10" s="15"/>
      <c r="QI10" s="15"/>
      <c r="QJ10" s="15"/>
      <c r="QK10" s="15"/>
      <c r="QL10" s="15"/>
      <c r="QM10" s="15"/>
      <c r="QN10" s="15"/>
      <c r="QO10" s="15"/>
      <c r="QP10" s="15"/>
      <c r="QQ10" s="15"/>
      <c r="QR10" s="15"/>
      <c r="QS10" s="15"/>
      <c r="QT10" s="36" t="str">
        <f t="shared" si="187"/>
        <v/>
      </c>
      <c r="QU10" s="36" t="str">
        <f t="shared" si="188"/>
        <v/>
      </c>
      <c r="QV10" s="36" t="str">
        <f t="shared" si="189"/>
        <v/>
      </c>
      <c r="QW10" s="36" t="str">
        <f t="shared" si="190"/>
        <v/>
      </c>
      <c r="QX10" s="36" t="str">
        <f t="shared" si="191"/>
        <v/>
      </c>
      <c r="QY10" s="36" t="str">
        <f t="shared" si="192"/>
        <v/>
      </c>
      <c r="QZ10" s="36" t="str">
        <f t="shared" si="193"/>
        <v/>
      </c>
      <c r="RA10" s="36" t="str">
        <f t="shared" si="194"/>
        <v/>
      </c>
      <c r="RB10" s="36" t="str">
        <f t="shared" si="195"/>
        <v/>
      </c>
      <c r="RC10" s="36" t="str">
        <f t="shared" si="196"/>
        <v/>
      </c>
      <c r="RD10" s="36" t="str">
        <f t="shared" si="197"/>
        <v/>
      </c>
      <c r="RE10" s="36" t="str">
        <f t="shared" si="198"/>
        <v/>
      </c>
      <c r="RF10" s="36" t="str">
        <f t="shared" si="199"/>
        <v/>
      </c>
      <c r="RG10" s="36" t="str">
        <f t="shared" si="200"/>
        <v/>
      </c>
      <c r="RH10" s="16"/>
      <c r="RI10" s="16"/>
      <c r="RJ10" s="16"/>
      <c r="RK10" s="16"/>
      <c r="RL10" s="16"/>
      <c r="RM10" s="16"/>
      <c r="RN10" s="16"/>
      <c r="RO10" s="16"/>
      <c r="RP10" s="16"/>
      <c r="RQ10" s="16"/>
      <c r="RR10" s="16"/>
      <c r="RS10" s="16"/>
      <c r="RT10" s="16"/>
      <c r="RU10" s="16"/>
      <c r="RV10" s="16"/>
      <c r="RW10" s="16"/>
      <c r="RX10" s="16"/>
      <c r="RY10" s="16"/>
      <c r="RZ10" s="16"/>
      <c r="SA10" s="16"/>
      <c r="SB10" s="11" t="str">
        <f t="shared" si="201"/>
        <v/>
      </c>
      <c r="SC10" s="11" t="str">
        <f t="shared" si="202"/>
        <v/>
      </c>
      <c r="SD10" s="11" t="str">
        <f t="shared" si="203"/>
        <v/>
      </c>
      <c r="SE10" s="11" t="str">
        <f t="shared" si="204"/>
        <v/>
      </c>
      <c r="SF10" s="11" t="str">
        <f t="shared" si="205"/>
        <v/>
      </c>
      <c r="SG10" s="11" t="str">
        <f t="shared" si="206"/>
        <v/>
      </c>
      <c r="SH10" s="11" t="str">
        <f t="shared" si="207"/>
        <v/>
      </c>
      <c r="SI10" s="11" t="str">
        <f t="shared" si="208"/>
        <v/>
      </c>
      <c r="SJ10" s="11" t="str">
        <f t="shared" si="209"/>
        <v/>
      </c>
      <c r="SK10" s="11" t="str">
        <f t="shared" si="210"/>
        <v/>
      </c>
      <c r="SL10" s="11" t="str">
        <f t="shared" si="211"/>
        <v/>
      </c>
      <c r="SM10" s="11" t="str">
        <f t="shared" si="212"/>
        <v/>
      </c>
      <c r="SN10" s="11" t="str">
        <f t="shared" si="213"/>
        <v/>
      </c>
      <c r="SO10" s="11" t="str">
        <f t="shared" si="214"/>
        <v/>
      </c>
      <c r="SP10" s="15"/>
      <c r="SQ10" s="15"/>
      <c r="SR10" s="15"/>
      <c r="SS10" s="15"/>
      <c r="ST10" s="15"/>
      <c r="SU10" s="15"/>
      <c r="SV10" s="15"/>
      <c r="SW10" s="15"/>
      <c r="SX10" s="15"/>
      <c r="SY10" s="15"/>
      <c r="SZ10" s="15"/>
      <c r="TA10" s="15"/>
      <c r="TB10" s="15"/>
      <c r="TC10" s="15"/>
      <c r="TD10" s="15"/>
      <c r="TE10" s="15"/>
      <c r="TF10" s="15"/>
      <c r="TG10" s="15"/>
      <c r="TH10" s="15"/>
      <c r="TI10" s="15"/>
      <c r="TJ10" s="36" t="str">
        <f t="shared" si="215"/>
        <v/>
      </c>
      <c r="TK10" s="36" t="str">
        <f t="shared" si="216"/>
        <v/>
      </c>
      <c r="TL10" s="36" t="str">
        <f t="shared" si="217"/>
        <v/>
      </c>
      <c r="TM10" s="36" t="str">
        <f t="shared" si="218"/>
        <v/>
      </c>
      <c r="TN10" s="36" t="str">
        <f t="shared" si="219"/>
        <v/>
      </c>
      <c r="TO10" s="36" t="str">
        <f t="shared" si="220"/>
        <v/>
      </c>
      <c r="TP10" s="36" t="str">
        <f t="shared" si="221"/>
        <v/>
      </c>
      <c r="TQ10" s="36" t="str">
        <f t="shared" si="222"/>
        <v/>
      </c>
      <c r="TR10" s="36" t="str">
        <f t="shared" si="223"/>
        <v/>
      </c>
      <c r="TS10" s="36" t="str">
        <f t="shared" si="224"/>
        <v/>
      </c>
      <c r="TT10" s="36" t="str">
        <f t="shared" si="225"/>
        <v/>
      </c>
      <c r="TU10" s="36" t="str">
        <f t="shared" si="226"/>
        <v/>
      </c>
      <c r="TV10" s="36" t="str">
        <f t="shared" si="227"/>
        <v/>
      </c>
      <c r="TW10" s="36" t="str">
        <f t="shared" si="228"/>
        <v/>
      </c>
      <c r="TX10" s="16"/>
      <c r="TY10" s="16"/>
      <c r="TZ10" s="16"/>
      <c r="UA10" s="16"/>
      <c r="UB10" s="16"/>
      <c r="UC10" s="16"/>
      <c r="UD10" s="16"/>
      <c r="UE10" s="16"/>
      <c r="UF10" s="16"/>
      <c r="UG10" s="16"/>
      <c r="UH10" s="16"/>
      <c r="UI10" s="16"/>
      <c r="UJ10" s="16"/>
      <c r="UK10" s="16"/>
      <c r="UL10" s="16"/>
      <c r="UM10" s="16"/>
      <c r="UN10" s="16"/>
      <c r="UO10" s="16"/>
      <c r="UP10" s="16"/>
      <c r="UQ10" s="16"/>
      <c r="UR10" s="11" t="str">
        <f t="shared" si="229"/>
        <v/>
      </c>
      <c r="US10" s="11" t="str">
        <f t="shared" si="230"/>
        <v/>
      </c>
      <c r="UT10" s="11" t="str">
        <f t="shared" si="231"/>
        <v/>
      </c>
      <c r="UU10" s="11" t="str">
        <f t="shared" si="232"/>
        <v/>
      </c>
      <c r="UV10" s="11" t="str">
        <f t="shared" si="233"/>
        <v/>
      </c>
      <c r="UW10" s="11" t="str">
        <f t="shared" si="234"/>
        <v/>
      </c>
      <c r="UX10" s="11" t="str">
        <f t="shared" si="235"/>
        <v/>
      </c>
      <c r="UY10" s="11" t="str">
        <f t="shared" si="236"/>
        <v/>
      </c>
      <c r="UZ10" s="11" t="str">
        <f t="shared" si="237"/>
        <v/>
      </c>
      <c r="VA10" s="11" t="str">
        <f t="shared" si="238"/>
        <v/>
      </c>
      <c r="VB10" s="11" t="str">
        <f t="shared" si="239"/>
        <v/>
      </c>
      <c r="VC10" s="11" t="str">
        <f t="shared" si="240"/>
        <v/>
      </c>
      <c r="VD10" s="11" t="str">
        <f t="shared" si="241"/>
        <v/>
      </c>
      <c r="VE10" s="11" t="str">
        <f t="shared" si="242"/>
        <v/>
      </c>
      <c r="VF10" s="15"/>
      <c r="VG10" s="15"/>
      <c r="VH10" s="15"/>
      <c r="VI10" s="15"/>
      <c r="VJ10" s="15"/>
      <c r="VK10" s="15"/>
      <c r="VL10" s="15"/>
      <c r="VM10" s="15"/>
      <c r="VN10" s="15"/>
      <c r="VO10" s="15"/>
      <c r="VP10" s="15"/>
      <c r="VQ10" s="15"/>
      <c r="VR10" s="15"/>
      <c r="VS10" s="15"/>
      <c r="VT10" s="15"/>
      <c r="VU10" s="15"/>
      <c r="VV10" s="15"/>
      <c r="VW10" s="15"/>
      <c r="VX10" s="15"/>
      <c r="VY10" s="15"/>
      <c r="VZ10" s="36" t="str">
        <f t="shared" si="243"/>
        <v/>
      </c>
      <c r="WA10" s="36" t="str">
        <f t="shared" si="244"/>
        <v/>
      </c>
      <c r="WB10" s="36" t="str">
        <f t="shared" si="245"/>
        <v/>
      </c>
      <c r="WC10" s="36" t="str">
        <f t="shared" si="246"/>
        <v/>
      </c>
      <c r="WD10" s="36" t="str">
        <f t="shared" si="247"/>
        <v/>
      </c>
      <c r="WE10" s="36" t="str">
        <f t="shared" si="248"/>
        <v/>
      </c>
      <c r="WF10" s="36" t="str">
        <f t="shared" si="249"/>
        <v/>
      </c>
      <c r="WG10" s="36" t="str">
        <f t="shared" si="250"/>
        <v/>
      </c>
      <c r="WH10" s="36" t="str">
        <f t="shared" si="251"/>
        <v/>
      </c>
      <c r="WI10" s="36" t="str">
        <f t="shared" si="252"/>
        <v/>
      </c>
      <c r="WJ10" s="36" t="str">
        <f t="shared" si="253"/>
        <v/>
      </c>
      <c r="WK10" s="36" t="str">
        <f t="shared" si="254"/>
        <v/>
      </c>
      <c r="WL10" s="36" t="str">
        <f t="shared" si="255"/>
        <v/>
      </c>
      <c r="WM10" s="36" t="str">
        <f t="shared" si="256"/>
        <v/>
      </c>
    </row>
    <row r="11" spans="1:611" x14ac:dyDescent="0.2">
      <c r="A11" s="4" cm="1">
        <f t="array" ref="A11">IF(AND(H11&lt;&gt;"",H11&lt;&gt;"No DD"),SUMPRODUCT((H$4:H$27&lt;&gt;"")*(H$4:H$27&lt;&gt;"No DD")*(E$4:E$27&gt;E11))+1,IF(H11="No DD",SUMPRODUCT((H$4:H$27="No DD")*(E$4:E$27&gt;E11))+1+SUMPRODUCT((H$4:H$27&lt;&gt;"")*(H$4:H$27&lt;&gt;"No DD")),""))</f>
        <v>7</v>
      </c>
      <c r="B11" s="5" t="s">
        <v>89</v>
      </c>
      <c r="C11" s="4" t="s">
        <v>7</v>
      </c>
      <c r="D11" s="4">
        <v>2006</v>
      </c>
      <c r="E11" s="9">
        <f t="shared" si="0"/>
        <v>164.3800164380055</v>
      </c>
      <c r="F11" s="3" t="str">
        <f t="shared" si="1"/>
        <v/>
      </c>
      <c r="G11" s="3" t="str">
        <f t="shared" si="2"/>
        <v>P</v>
      </c>
      <c r="H11" s="32" t="str">
        <f t="shared" si="3"/>
        <v>No DD</v>
      </c>
      <c r="I11" s="3" t="str">
        <f t="shared" si="4"/>
        <v/>
      </c>
      <c r="J11" s="8">
        <f t="shared" si="5"/>
        <v>54.41</v>
      </c>
      <c r="K11" s="8" t="str">
        <f t="shared" si="6"/>
        <v>2025 Elite Canada</v>
      </c>
      <c r="L11" s="8">
        <f>IFERROR(IF(J11=AR11,LARGE((AK11,AN11,BL11,BO11,BS11,CM11,CP11,CT11),1),IF(J11=BS11,LARGE((AK11,AN11,AR11,BL11,BO11,CM11,CP11,CT11),1),LARGE((AK11,AN11,AR11,BL11,BO11,BS11,CM11,CP11),1))),0)</f>
        <v>55.05</v>
      </c>
      <c r="M11" s="8" t="str">
        <f t="shared" si="7"/>
        <v>2025 3rd Domestic Trial</v>
      </c>
      <c r="N11" s="8">
        <f>IFERROR(IF(J11=AR11,LARGE((AK11,AN11,BL11,BO11,BS11,CM11,CP11,CT11),2),IF(J11=BS11,LARGE((AK11,AN11,AR11,BL11,BO11,CM11,CP11,CT11),2),LARGE((AK11,AN11,AR11,BL11,BO11,BS11,CM11,CP11),2))),0)</f>
        <v>54.92</v>
      </c>
      <c r="O11" s="8" t="str">
        <f t="shared" si="8"/>
        <v>2025 Elite Canada</v>
      </c>
      <c r="P11" s="8">
        <f t="shared" si="9"/>
        <v>0</v>
      </c>
      <c r="Q11" s="11" t="str">
        <f t="shared" si="10"/>
        <v/>
      </c>
      <c r="R11" s="8" t="str">
        <f t="shared" si="11"/>
        <v/>
      </c>
      <c r="S11" s="18">
        <v>15.5</v>
      </c>
      <c r="T11" s="18">
        <v>9.1999999999999993</v>
      </c>
      <c r="U11" s="18">
        <v>14.9</v>
      </c>
      <c r="V11" s="18">
        <v>15.32</v>
      </c>
      <c r="W11" s="18">
        <v>0</v>
      </c>
      <c r="X11" s="18">
        <v>14.1</v>
      </c>
      <c r="Y11" s="18">
        <v>9.1999999999999993</v>
      </c>
      <c r="Z11" s="18">
        <v>13.7</v>
      </c>
      <c r="AA11" s="18">
        <v>15.55</v>
      </c>
      <c r="AB11" s="18">
        <v>0.8</v>
      </c>
      <c r="AC11" s="18">
        <v>14.8</v>
      </c>
      <c r="AD11" s="18">
        <v>9.3000000000000007</v>
      </c>
      <c r="AE11" s="18">
        <v>14.9</v>
      </c>
      <c r="AF11" s="18">
        <v>15.41</v>
      </c>
      <c r="AG11" s="18">
        <v>0</v>
      </c>
      <c r="AH11" s="23"/>
      <c r="AI11" s="34">
        <f t="shared" si="12"/>
        <v>14.9</v>
      </c>
      <c r="AJ11" s="34">
        <f t="shared" si="13"/>
        <v>15.32</v>
      </c>
      <c r="AK11" s="36">
        <f t="shared" si="14"/>
        <v>54.92</v>
      </c>
      <c r="AL11" s="36">
        <f t="shared" si="15"/>
        <v>13.7</v>
      </c>
      <c r="AM11" s="36">
        <f t="shared" si="16"/>
        <v>15.55</v>
      </c>
      <c r="AN11" s="36">
        <f t="shared" si="17"/>
        <v>51.75</v>
      </c>
      <c r="AO11" s="36">
        <f t="shared" si="18"/>
        <v>54.92</v>
      </c>
      <c r="AP11" s="36">
        <f t="shared" si="19"/>
        <v>14.9</v>
      </c>
      <c r="AQ11" s="36">
        <f t="shared" si="20"/>
        <v>15.41</v>
      </c>
      <c r="AR11" s="36">
        <f t="shared" si="21"/>
        <v>54.41</v>
      </c>
      <c r="AS11" s="36">
        <f t="shared" si="22"/>
        <v>109.33</v>
      </c>
      <c r="AT11" s="22">
        <v>2.7</v>
      </c>
      <c r="AU11" s="22">
        <v>1.9</v>
      </c>
      <c r="AV11" s="22">
        <v>3.5</v>
      </c>
      <c r="AW11" s="22">
        <v>3.26</v>
      </c>
      <c r="AX11" s="22">
        <v>0</v>
      </c>
      <c r="AY11" s="22">
        <v>10.9</v>
      </c>
      <c r="AZ11" s="22">
        <v>9.1999999999999993</v>
      </c>
      <c r="BA11" s="22">
        <v>15.1</v>
      </c>
      <c r="BB11" s="22">
        <v>15.1</v>
      </c>
      <c r="BC11" s="22">
        <v>0</v>
      </c>
      <c r="BD11" s="22"/>
      <c r="BE11" s="22"/>
      <c r="BF11" s="22"/>
      <c r="BG11" s="22"/>
      <c r="BH11" s="22"/>
      <c r="BI11" s="24"/>
      <c r="BJ11" s="35">
        <f t="shared" si="23"/>
        <v>3.5</v>
      </c>
      <c r="BK11" s="35">
        <f t="shared" si="24"/>
        <v>3.26</v>
      </c>
      <c r="BL11" s="11">
        <f t="shared" si="25"/>
        <v>11.36</v>
      </c>
      <c r="BM11" s="11">
        <f t="shared" si="26"/>
        <v>15.1</v>
      </c>
      <c r="BN11" s="11">
        <f t="shared" si="27"/>
        <v>15.1</v>
      </c>
      <c r="BO11" s="11">
        <f t="shared" si="28"/>
        <v>50.300000000000004</v>
      </c>
      <c r="BP11" s="11">
        <f t="shared" si="29"/>
        <v>50.300000000000004</v>
      </c>
      <c r="BQ11" s="11" t="str">
        <f t="shared" si="30"/>
        <v/>
      </c>
      <c r="BR11" s="11" t="str">
        <f t="shared" si="31"/>
        <v/>
      </c>
      <c r="BS11" s="11" t="str">
        <f t="shared" si="32"/>
        <v/>
      </c>
      <c r="BT11" s="11">
        <f t="shared" si="33"/>
        <v>50.300000000000004</v>
      </c>
      <c r="BU11" s="18">
        <v>14.4</v>
      </c>
      <c r="BV11" s="18">
        <v>9.3000000000000007</v>
      </c>
      <c r="BW11" s="18">
        <v>15.3</v>
      </c>
      <c r="BX11" s="18">
        <v>16.05</v>
      </c>
      <c r="BY11" s="18">
        <v>0</v>
      </c>
      <c r="BZ11" s="18">
        <v>13</v>
      </c>
      <c r="CA11" s="18">
        <v>9.1999999999999993</v>
      </c>
      <c r="CB11" s="18">
        <v>16</v>
      </c>
      <c r="CC11" s="18">
        <v>16.21</v>
      </c>
      <c r="CD11" s="18">
        <v>0</v>
      </c>
      <c r="CE11" s="18">
        <v>10.199999999999999</v>
      </c>
      <c r="CF11" s="18">
        <v>6.6</v>
      </c>
      <c r="CG11" s="18">
        <v>11.7</v>
      </c>
      <c r="CH11" s="18">
        <v>12.39</v>
      </c>
      <c r="CI11" s="18">
        <v>0</v>
      </c>
      <c r="CJ11" s="23"/>
      <c r="CK11" s="34">
        <f t="shared" si="34"/>
        <v>15.3</v>
      </c>
      <c r="CL11" s="34">
        <f t="shared" si="35"/>
        <v>16.05</v>
      </c>
      <c r="CM11" s="36">
        <f t="shared" si="36"/>
        <v>55.05</v>
      </c>
      <c r="CN11" s="36">
        <f t="shared" si="37"/>
        <v>16</v>
      </c>
      <c r="CO11" s="36">
        <f t="shared" si="38"/>
        <v>16.21</v>
      </c>
      <c r="CP11" s="36">
        <f t="shared" si="39"/>
        <v>54.410000000000004</v>
      </c>
      <c r="CQ11" s="36">
        <f t="shared" si="40"/>
        <v>55.05</v>
      </c>
      <c r="CR11" s="36">
        <f t="shared" si="41"/>
        <v>11.7</v>
      </c>
      <c r="CS11" s="36">
        <f t="shared" si="42"/>
        <v>12.39</v>
      </c>
      <c r="CT11" s="36">
        <f t="shared" si="43"/>
        <v>40.89</v>
      </c>
      <c r="CU11" s="36">
        <f t="shared" si="44"/>
        <v>95.94</v>
      </c>
      <c r="CV11" s="47" t="str">
        <f t="shared" si="45"/>
        <v/>
      </c>
      <c r="CW11" s="47" t="str">
        <f t="shared" si="46"/>
        <v/>
      </c>
      <c r="CX11" s="15"/>
      <c r="CY11" s="15"/>
      <c r="CZ11" s="15"/>
      <c r="DA11" s="15"/>
      <c r="DB11" s="15"/>
      <c r="DC11" s="15"/>
      <c r="DD11" s="15"/>
      <c r="DE11" s="15"/>
      <c r="DF11" s="15"/>
      <c r="DG11" s="15"/>
      <c r="DH11" s="15"/>
      <c r="DI11" s="15"/>
      <c r="DJ11" s="15"/>
      <c r="DK11" s="15"/>
      <c r="DL11" s="15"/>
      <c r="DM11" s="15"/>
      <c r="DN11" s="15"/>
      <c r="DO11" s="15"/>
      <c r="DP11" s="15"/>
      <c r="DQ11" s="15"/>
      <c r="DR11" s="36" t="str">
        <f t="shared" si="47"/>
        <v/>
      </c>
      <c r="DS11" s="36" t="str">
        <f t="shared" si="48"/>
        <v/>
      </c>
      <c r="DT11" s="36" t="str">
        <f t="shared" si="49"/>
        <v/>
      </c>
      <c r="DU11" s="36" t="str">
        <f t="shared" si="50"/>
        <v/>
      </c>
      <c r="DV11" s="36" t="str">
        <f t="shared" si="51"/>
        <v/>
      </c>
      <c r="DW11" s="36" t="str">
        <f t="shared" si="52"/>
        <v/>
      </c>
      <c r="DX11" s="36" t="str">
        <f t="shared" si="53"/>
        <v/>
      </c>
      <c r="DY11" s="36" t="str">
        <f t="shared" si="54"/>
        <v/>
      </c>
      <c r="DZ11" s="36" t="str">
        <f t="shared" si="55"/>
        <v/>
      </c>
      <c r="EA11" s="36" t="str">
        <f t="shared" si="56"/>
        <v/>
      </c>
      <c r="EB11" s="36" t="str">
        <f t="shared" si="57"/>
        <v/>
      </c>
      <c r="EC11" s="36" t="str">
        <f t="shared" si="58"/>
        <v/>
      </c>
      <c r="ED11" s="36" t="str">
        <f t="shared" si="59"/>
        <v/>
      </c>
      <c r="EE11" s="36" t="str">
        <f t="shared" si="60"/>
        <v/>
      </c>
      <c r="EF11" s="16"/>
      <c r="EG11" s="16"/>
      <c r="EH11" s="16"/>
      <c r="EI11" s="16"/>
      <c r="EJ11" s="16"/>
      <c r="EK11" s="16"/>
      <c r="EL11" s="16"/>
      <c r="EM11" s="16"/>
      <c r="EN11" s="16"/>
      <c r="EO11" s="16"/>
      <c r="EP11" s="16"/>
      <c r="EQ11" s="16"/>
      <c r="ER11" s="16"/>
      <c r="ES11" s="16"/>
      <c r="ET11" s="16"/>
      <c r="EU11" s="16"/>
      <c r="EV11" s="16"/>
      <c r="EW11" s="16"/>
      <c r="EX11" s="16"/>
      <c r="EY11" s="16"/>
      <c r="EZ11" s="11" t="str">
        <f t="shared" si="61"/>
        <v/>
      </c>
      <c r="FA11" s="11" t="str">
        <f t="shared" si="62"/>
        <v/>
      </c>
      <c r="FB11" s="11" t="str">
        <f t="shared" si="63"/>
        <v/>
      </c>
      <c r="FC11" s="11" t="str">
        <f t="shared" si="64"/>
        <v/>
      </c>
      <c r="FD11" s="11" t="str">
        <f t="shared" si="65"/>
        <v/>
      </c>
      <c r="FE11" s="11" t="str">
        <f t="shared" si="66"/>
        <v/>
      </c>
      <c r="FF11" s="11" t="str">
        <f t="shared" si="67"/>
        <v/>
      </c>
      <c r="FG11" s="11" t="str">
        <f t="shared" si="68"/>
        <v/>
      </c>
      <c r="FH11" s="11" t="str">
        <f t="shared" si="69"/>
        <v/>
      </c>
      <c r="FI11" s="11" t="str">
        <f t="shared" si="70"/>
        <v/>
      </c>
      <c r="FJ11" s="11" t="str">
        <f t="shared" si="71"/>
        <v/>
      </c>
      <c r="FK11" s="11" t="str">
        <f t="shared" si="72"/>
        <v/>
      </c>
      <c r="FL11" s="11" t="str">
        <f t="shared" si="73"/>
        <v/>
      </c>
      <c r="FM11" s="11" t="str">
        <f t="shared" si="74"/>
        <v/>
      </c>
      <c r="FN11" s="15"/>
      <c r="FO11" s="15"/>
      <c r="FP11" s="15"/>
      <c r="FQ11" s="15"/>
      <c r="FR11" s="15"/>
      <c r="FS11" s="15"/>
      <c r="FT11" s="15"/>
      <c r="FU11" s="15"/>
      <c r="FV11" s="15"/>
      <c r="FW11" s="15"/>
      <c r="FX11" s="15"/>
      <c r="FY11" s="15"/>
      <c r="FZ11" s="15"/>
      <c r="GA11" s="15"/>
      <c r="GB11" s="15"/>
      <c r="GC11" s="15"/>
      <c r="GD11" s="15"/>
      <c r="GE11" s="15"/>
      <c r="GF11" s="15"/>
      <c r="GG11" s="15"/>
      <c r="GH11" s="36" t="str">
        <f t="shared" si="75"/>
        <v/>
      </c>
      <c r="GI11" s="36" t="str">
        <f t="shared" si="76"/>
        <v/>
      </c>
      <c r="GJ11" s="36" t="str">
        <f t="shared" si="77"/>
        <v/>
      </c>
      <c r="GK11" s="36" t="str">
        <f t="shared" si="78"/>
        <v/>
      </c>
      <c r="GL11" s="36" t="str">
        <f t="shared" si="79"/>
        <v/>
      </c>
      <c r="GM11" s="36" t="str">
        <f t="shared" si="80"/>
        <v/>
      </c>
      <c r="GN11" s="36" t="str">
        <f t="shared" si="81"/>
        <v/>
      </c>
      <c r="GO11" s="36" t="str">
        <f t="shared" si="82"/>
        <v/>
      </c>
      <c r="GP11" s="36" t="str">
        <f t="shared" si="83"/>
        <v/>
      </c>
      <c r="GQ11" s="36" t="str">
        <f t="shared" si="84"/>
        <v/>
      </c>
      <c r="GR11" s="36" t="str">
        <f t="shared" si="85"/>
        <v/>
      </c>
      <c r="GS11" s="36" t="str">
        <f t="shared" si="86"/>
        <v/>
      </c>
      <c r="GT11" s="36" t="str">
        <f t="shared" si="87"/>
        <v/>
      </c>
      <c r="GU11" s="36" t="str">
        <f t="shared" si="88"/>
        <v/>
      </c>
      <c r="GV11" s="16">
        <v>11.7</v>
      </c>
      <c r="GW11" s="16">
        <v>9.3000000000000007</v>
      </c>
      <c r="GX11" s="16">
        <v>14.7</v>
      </c>
      <c r="GY11" s="16">
        <v>15.66</v>
      </c>
      <c r="GZ11" s="16">
        <v>0</v>
      </c>
      <c r="HA11" s="16">
        <v>12.2</v>
      </c>
      <c r="HB11" s="16">
        <v>9</v>
      </c>
      <c r="HC11" s="16">
        <v>14.9</v>
      </c>
      <c r="HD11" s="16">
        <v>15.38</v>
      </c>
      <c r="HE11" s="16">
        <v>0</v>
      </c>
      <c r="HF11" s="16">
        <v>1.4</v>
      </c>
      <c r="HG11" s="16">
        <v>0.9</v>
      </c>
      <c r="HH11" s="16">
        <v>2</v>
      </c>
      <c r="HI11" s="16">
        <v>1.75</v>
      </c>
      <c r="HJ11" s="16">
        <v>0</v>
      </c>
      <c r="HK11" s="16"/>
      <c r="HL11" s="16"/>
      <c r="HM11" s="16"/>
      <c r="HN11" s="16"/>
      <c r="HO11" s="16"/>
      <c r="HP11" s="11">
        <f t="shared" si="89"/>
        <v>14.7</v>
      </c>
      <c r="HQ11" s="11">
        <f t="shared" si="90"/>
        <v>15.66</v>
      </c>
      <c r="HR11" s="11">
        <f t="shared" si="91"/>
        <v>51.36</v>
      </c>
      <c r="HS11" s="11">
        <f t="shared" si="92"/>
        <v>14.9</v>
      </c>
      <c r="HT11" s="11">
        <f t="shared" si="93"/>
        <v>15.38</v>
      </c>
      <c r="HU11" s="11">
        <f t="shared" si="94"/>
        <v>51.480000000000004</v>
      </c>
      <c r="HV11" s="11">
        <f t="shared" si="95"/>
        <v>51.480000000000004</v>
      </c>
      <c r="HW11" s="11">
        <f t="shared" si="96"/>
        <v>2</v>
      </c>
      <c r="HX11" s="11">
        <f t="shared" si="97"/>
        <v>1.75</v>
      </c>
      <c r="HY11" s="11">
        <f t="shared" si="98"/>
        <v>6.05</v>
      </c>
      <c r="HZ11" s="11" t="str">
        <f t="shared" si="99"/>
        <v/>
      </c>
      <c r="IA11" s="11" t="str">
        <f t="shared" si="100"/>
        <v/>
      </c>
      <c r="IB11" s="11" t="str">
        <f t="shared" si="101"/>
        <v/>
      </c>
      <c r="IC11" s="11">
        <f t="shared" si="102"/>
        <v>57.53</v>
      </c>
      <c r="ID11" s="15"/>
      <c r="IE11" s="15"/>
      <c r="IF11" s="15"/>
      <c r="IG11" s="15"/>
      <c r="IH11" s="15"/>
      <c r="II11" s="15"/>
      <c r="IJ11" s="15"/>
      <c r="IK11" s="15"/>
      <c r="IL11" s="15"/>
      <c r="IM11" s="15"/>
      <c r="IN11" s="15"/>
      <c r="IO11" s="15"/>
      <c r="IP11" s="15"/>
      <c r="IQ11" s="15"/>
      <c r="IR11" s="15"/>
      <c r="IS11" s="15"/>
      <c r="IT11" s="15"/>
      <c r="IU11" s="15"/>
      <c r="IV11" s="15"/>
      <c r="IW11" s="15"/>
      <c r="IX11" s="36" t="str">
        <f t="shared" si="103"/>
        <v/>
      </c>
      <c r="IY11" s="36" t="str">
        <f t="shared" si="104"/>
        <v/>
      </c>
      <c r="IZ11" s="36" t="str">
        <f t="shared" si="105"/>
        <v/>
      </c>
      <c r="JA11" s="36" t="str">
        <f t="shared" si="106"/>
        <v/>
      </c>
      <c r="JB11" s="36" t="str">
        <f t="shared" si="107"/>
        <v/>
      </c>
      <c r="JC11" s="36" t="str">
        <f t="shared" si="108"/>
        <v/>
      </c>
      <c r="JD11" s="36" t="str">
        <f t="shared" si="109"/>
        <v/>
      </c>
      <c r="JE11" s="36" t="str">
        <f t="shared" si="110"/>
        <v/>
      </c>
      <c r="JF11" s="36" t="str">
        <f t="shared" si="111"/>
        <v/>
      </c>
      <c r="JG11" s="36" t="str">
        <f t="shared" si="112"/>
        <v/>
      </c>
      <c r="JH11" s="36" t="str">
        <f t="shared" si="113"/>
        <v/>
      </c>
      <c r="JI11" s="36" t="str">
        <f t="shared" si="114"/>
        <v/>
      </c>
      <c r="JJ11" s="36" t="str">
        <f t="shared" si="115"/>
        <v/>
      </c>
      <c r="JK11" s="36" t="str">
        <f t="shared" si="116"/>
        <v/>
      </c>
      <c r="JL11" s="16"/>
      <c r="JM11" s="16"/>
      <c r="JN11" s="16"/>
      <c r="JO11" s="16"/>
      <c r="JP11" s="16"/>
      <c r="JQ11" s="16"/>
      <c r="JR11" s="16"/>
      <c r="JS11" s="16"/>
      <c r="JT11" s="16"/>
      <c r="JU11" s="16"/>
      <c r="JV11" s="16"/>
      <c r="JW11" s="16"/>
      <c r="JX11" s="16"/>
      <c r="JY11" s="16"/>
      <c r="JZ11" s="16"/>
      <c r="KA11" s="16"/>
      <c r="KB11" s="16"/>
      <c r="KC11" s="16"/>
      <c r="KD11" s="16"/>
      <c r="KE11" s="16"/>
      <c r="KF11" s="11" t="str">
        <f t="shared" si="117"/>
        <v/>
      </c>
      <c r="KG11" s="11" t="str">
        <f t="shared" si="118"/>
        <v/>
      </c>
      <c r="KH11" s="11" t="str">
        <f t="shared" si="119"/>
        <v/>
      </c>
      <c r="KI11" s="11" t="str">
        <f t="shared" si="120"/>
        <v/>
      </c>
      <c r="KJ11" s="11" t="str">
        <f t="shared" si="121"/>
        <v/>
      </c>
      <c r="KK11" s="11" t="str">
        <f t="shared" si="122"/>
        <v/>
      </c>
      <c r="KL11" s="11" t="str">
        <f t="shared" si="123"/>
        <v/>
      </c>
      <c r="KM11" s="11" t="str">
        <f t="shared" si="124"/>
        <v/>
      </c>
      <c r="KN11" s="11" t="str">
        <f t="shared" si="125"/>
        <v/>
      </c>
      <c r="KO11" s="11" t="str">
        <f t="shared" si="126"/>
        <v/>
      </c>
      <c r="KP11" s="11" t="str">
        <f t="shared" si="127"/>
        <v/>
      </c>
      <c r="KQ11" s="11" t="str">
        <f t="shared" si="128"/>
        <v/>
      </c>
      <c r="KR11" s="11" t="str">
        <f t="shared" si="129"/>
        <v/>
      </c>
      <c r="KS11" s="11" t="str">
        <f t="shared" si="130"/>
        <v/>
      </c>
      <c r="KT11" s="15"/>
      <c r="KU11" s="15"/>
      <c r="KV11" s="15"/>
      <c r="KW11" s="15"/>
      <c r="KX11" s="15"/>
      <c r="KY11" s="15"/>
      <c r="KZ11" s="15"/>
      <c r="LA11" s="15"/>
      <c r="LB11" s="15"/>
      <c r="LC11" s="15"/>
      <c r="LD11" s="15"/>
      <c r="LE11" s="15"/>
      <c r="LF11" s="15"/>
      <c r="LG11" s="15"/>
      <c r="LH11" s="15"/>
      <c r="LI11" s="15"/>
      <c r="LJ11" s="15"/>
      <c r="LK11" s="15"/>
      <c r="LL11" s="15"/>
      <c r="LM11" s="15"/>
      <c r="LN11" s="36" t="str">
        <f t="shared" si="131"/>
        <v/>
      </c>
      <c r="LO11" s="36" t="str">
        <f t="shared" si="132"/>
        <v/>
      </c>
      <c r="LP11" s="36" t="str">
        <f t="shared" si="133"/>
        <v/>
      </c>
      <c r="LQ11" s="36" t="str">
        <f t="shared" si="134"/>
        <v/>
      </c>
      <c r="LR11" s="36" t="str">
        <f t="shared" si="135"/>
        <v/>
      </c>
      <c r="LS11" s="36" t="str">
        <f t="shared" si="136"/>
        <v/>
      </c>
      <c r="LT11" s="36" t="str">
        <f t="shared" si="137"/>
        <v/>
      </c>
      <c r="LU11" s="36" t="str">
        <f t="shared" si="138"/>
        <v/>
      </c>
      <c r="LV11" s="36" t="str">
        <f t="shared" si="139"/>
        <v/>
      </c>
      <c r="LW11" s="36" t="str">
        <f t="shared" si="140"/>
        <v/>
      </c>
      <c r="LX11" s="36" t="str">
        <f t="shared" si="141"/>
        <v/>
      </c>
      <c r="LY11" s="36" t="str">
        <f t="shared" si="142"/>
        <v/>
      </c>
      <c r="LZ11" s="36" t="str">
        <f t="shared" si="143"/>
        <v/>
      </c>
      <c r="MA11" s="36" t="str">
        <f t="shared" si="144"/>
        <v/>
      </c>
      <c r="MB11" s="16"/>
      <c r="MC11" s="16"/>
      <c r="MD11" s="16"/>
      <c r="ME11" s="16"/>
      <c r="MF11" s="16"/>
      <c r="MG11" s="16"/>
      <c r="MH11" s="16"/>
      <c r="MI11" s="16"/>
      <c r="MJ11" s="16"/>
      <c r="MK11" s="16"/>
      <c r="ML11" s="16"/>
      <c r="MM11" s="16"/>
      <c r="MN11" s="16"/>
      <c r="MO11" s="16"/>
      <c r="MP11" s="16"/>
      <c r="MQ11" s="16"/>
      <c r="MR11" s="16"/>
      <c r="MS11" s="16"/>
      <c r="MT11" s="16"/>
      <c r="MU11" s="16"/>
      <c r="MV11" s="11" t="str">
        <f t="shared" si="145"/>
        <v/>
      </c>
      <c r="MW11" s="11" t="str">
        <f t="shared" si="146"/>
        <v/>
      </c>
      <c r="MX11" s="11" t="str">
        <f t="shared" si="147"/>
        <v/>
      </c>
      <c r="MY11" s="11" t="str">
        <f t="shared" si="148"/>
        <v/>
      </c>
      <c r="MZ11" s="11" t="str">
        <f t="shared" si="149"/>
        <v/>
      </c>
      <c r="NA11" s="11" t="str">
        <f t="shared" si="150"/>
        <v/>
      </c>
      <c r="NB11" s="11" t="str">
        <f t="shared" si="151"/>
        <v/>
      </c>
      <c r="NC11" s="11" t="str">
        <f t="shared" si="152"/>
        <v/>
      </c>
      <c r="ND11" s="11" t="str">
        <f t="shared" si="153"/>
        <v/>
      </c>
      <c r="NE11" s="11" t="str">
        <f t="shared" si="154"/>
        <v/>
      </c>
      <c r="NF11" s="11" t="str">
        <f t="shared" si="155"/>
        <v/>
      </c>
      <c r="NG11" s="11" t="str">
        <f t="shared" si="156"/>
        <v/>
      </c>
      <c r="NH11" s="11" t="str">
        <f t="shared" si="157"/>
        <v/>
      </c>
      <c r="NI11" s="11" t="str">
        <f t="shared" si="158"/>
        <v/>
      </c>
      <c r="NJ11" s="15">
        <v>15.3</v>
      </c>
      <c r="NK11" s="15">
        <v>9.6</v>
      </c>
      <c r="NL11" s="15">
        <v>3</v>
      </c>
      <c r="NM11" s="15">
        <v>15.83</v>
      </c>
      <c r="NN11" s="15">
        <v>0</v>
      </c>
      <c r="NO11" s="15">
        <v>12.7</v>
      </c>
      <c r="NP11" s="15">
        <v>9.1</v>
      </c>
      <c r="NQ11" s="15">
        <v>12.2</v>
      </c>
      <c r="NR11" s="15">
        <v>15.36</v>
      </c>
      <c r="NS11" s="15">
        <v>0</v>
      </c>
      <c r="NT11" s="15"/>
      <c r="NU11" s="15"/>
      <c r="NV11" s="15"/>
      <c r="NW11" s="15"/>
      <c r="NX11" s="15"/>
      <c r="NY11" s="15"/>
      <c r="NZ11" s="15"/>
      <c r="OA11" s="15"/>
      <c r="OB11" s="15"/>
      <c r="OC11" s="15"/>
      <c r="OD11" s="36">
        <f t="shared" si="159"/>
        <v>3</v>
      </c>
      <c r="OE11" s="36">
        <f t="shared" si="160"/>
        <v>15.83</v>
      </c>
      <c r="OF11" s="36">
        <f t="shared" si="161"/>
        <v>43.73</v>
      </c>
      <c r="OG11" s="36">
        <f t="shared" si="162"/>
        <v>12.2</v>
      </c>
      <c r="OH11" s="36">
        <f t="shared" si="163"/>
        <v>15.36</v>
      </c>
      <c r="OI11" s="36">
        <f t="shared" si="164"/>
        <v>49.36</v>
      </c>
      <c r="OJ11" s="36">
        <f t="shared" si="165"/>
        <v>49.36</v>
      </c>
      <c r="OK11" s="36" t="str">
        <f t="shared" si="166"/>
        <v/>
      </c>
      <c r="OL11" s="36" t="str">
        <f t="shared" si="167"/>
        <v/>
      </c>
      <c r="OM11" s="36" t="str">
        <f t="shared" si="168"/>
        <v/>
      </c>
      <c r="ON11" s="36" t="str">
        <f t="shared" si="169"/>
        <v/>
      </c>
      <c r="OO11" s="36" t="str">
        <f t="shared" si="170"/>
        <v/>
      </c>
      <c r="OP11" s="36" t="str">
        <f t="shared" si="171"/>
        <v/>
      </c>
      <c r="OQ11" s="36">
        <f t="shared" si="172"/>
        <v>49.36</v>
      </c>
      <c r="OR11" s="16"/>
      <c r="OS11" s="16"/>
      <c r="OT11" s="16"/>
      <c r="OU11" s="16"/>
      <c r="OV11" s="16"/>
      <c r="OW11" s="16"/>
      <c r="OX11" s="16"/>
      <c r="OY11" s="16"/>
      <c r="OZ11" s="16"/>
      <c r="PA11" s="16"/>
      <c r="PB11" s="16"/>
      <c r="PC11" s="16"/>
      <c r="PD11" s="16"/>
      <c r="PE11" s="16"/>
      <c r="PF11" s="16"/>
      <c r="PG11" s="16"/>
      <c r="PH11" s="16"/>
      <c r="PI11" s="16"/>
      <c r="PJ11" s="16"/>
      <c r="PK11" s="16"/>
      <c r="PL11" s="11" t="str">
        <f t="shared" si="173"/>
        <v/>
      </c>
      <c r="PM11" s="11" t="str">
        <f t="shared" si="174"/>
        <v/>
      </c>
      <c r="PN11" s="11" t="str">
        <f t="shared" si="175"/>
        <v/>
      </c>
      <c r="PO11" s="11" t="str">
        <f t="shared" si="176"/>
        <v/>
      </c>
      <c r="PP11" s="11" t="str">
        <f t="shared" si="177"/>
        <v/>
      </c>
      <c r="PQ11" s="11" t="str">
        <f t="shared" si="178"/>
        <v/>
      </c>
      <c r="PR11" s="11" t="str">
        <f t="shared" si="179"/>
        <v/>
      </c>
      <c r="PS11" s="11" t="str">
        <f t="shared" si="180"/>
        <v/>
      </c>
      <c r="PT11" s="11" t="str">
        <f t="shared" si="181"/>
        <v/>
      </c>
      <c r="PU11" s="11" t="str">
        <f t="shared" si="182"/>
        <v/>
      </c>
      <c r="PV11" s="11" t="str">
        <f t="shared" si="183"/>
        <v/>
      </c>
      <c r="PW11" s="11" t="str">
        <f t="shared" si="184"/>
        <v/>
      </c>
      <c r="PX11" s="11" t="str">
        <f t="shared" si="185"/>
        <v/>
      </c>
      <c r="PY11" s="11" t="str">
        <f t="shared" si="186"/>
        <v/>
      </c>
      <c r="PZ11" s="15"/>
      <c r="QA11" s="15"/>
      <c r="QB11" s="15"/>
      <c r="QC11" s="15"/>
      <c r="QD11" s="15"/>
      <c r="QE11" s="15"/>
      <c r="QF11" s="15"/>
      <c r="QG11" s="15"/>
      <c r="QH11" s="15"/>
      <c r="QI11" s="15"/>
      <c r="QJ11" s="15"/>
      <c r="QK11" s="15"/>
      <c r="QL11" s="15"/>
      <c r="QM11" s="15"/>
      <c r="QN11" s="15"/>
      <c r="QO11" s="15"/>
      <c r="QP11" s="15"/>
      <c r="QQ11" s="15"/>
      <c r="QR11" s="15"/>
      <c r="QS11" s="15"/>
      <c r="QT11" s="36" t="str">
        <f t="shared" si="187"/>
        <v/>
      </c>
      <c r="QU11" s="36" t="str">
        <f t="shared" si="188"/>
        <v/>
      </c>
      <c r="QV11" s="36" t="str">
        <f t="shared" si="189"/>
        <v/>
      </c>
      <c r="QW11" s="36" t="str">
        <f t="shared" si="190"/>
        <v/>
      </c>
      <c r="QX11" s="36" t="str">
        <f t="shared" si="191"/>
        <v/>
      </c>
      <c r="QY11" s="36" t="str">
        <f t="shared" si="192"/>
        <v/>
      </c>
      <c r="QZ11" s="36" t="str">
        <f t="shared" si="193"/>
        <v/>
      </c>
      <c r="RA11" s="36" t="str">
        <f t="shared" si="194"/>
        <v/>
      </c>
      <c r="RB11" s="36" t="str">
        <f t="shared" si="195"/>
        <v/>
      </c>
      <c r="RC11" s="36" t="str">
        <f t="shared" si="196"/>
        <v/>
      </c>
      <c r="RD11" s="36" t="str">
        <f t="shared" si="197"/>
        <v/>
      </c>
      <c r="RE11" s="36" t="str">
        <f t="shared" si="198"/>
        <v/>
      </c>
      <c r="RF11" s="36" t="str">
        <f t="shared" si="199"/>
        <v/>
      </c>
      <c r="RG11" s="36" t="str">
        <f t="shared" si="200"/>
        <v/>
      </c>
      <c r="RH11" s="16"/>
      <c r="RI11" s="16"/>
      <c r="RJ11" s="16"/>
      <c r="RK11" s="16"/>
      <c r="RL11" s="16"/>
      <c r="RM11" s="16"/>
      <c r="RN11" s="16"/>
      <c r="RO11" s="16"/>
      <c r="RP11" s="16"/>
      <c r="RQ11" s="16"/>
      <c r="RR11" s="16"/>
      <c r="RS11" s="16"/>
      <c r="RT11" s="16"/>
      <c r="RU11" s="16"/>
      <c r="RV11" s="16"/>
      <c r="RW11" s="16"/>
      <c r="RX11" s="16"/>
      <c r="RY11" s="16"/>
      <c r="RZ11" s="16"/>
      <c r="SA11" s="16"/>
      <c r="SB11" s="11" t="str">
        <f t="shared" si="201"/>
        <v/>
      </c>
      <c r="SC11" s="11" t="str">
        <f t="shared" si="202"/>
        <v/>
      </c>
      <c r="SD11" s="11" t="str">
        <f t="shared" si="203"/>
        <v/>
      </c>
      <c r="SE11" s="11" t="str">
        <f t="shared" si="204"/>
        <v/>
      </c>
      <c r="SF11" s="11" t="str">
        <f t="shared" si="205"/>
        <v/>
      </c>
      <c r="SG11" s="11" t="str">
        <f t="shared" si="206"/>
        <v/>
      </c>
      <c r="SH11" s="11" t="str">
        <f t="shared" si="207"/>
        <v/>
      </c>
      <c r="SI11" s="11" t="str">
        <f t="shared" si="208"/>
        <v/>
      </c>
      <c r="SJ11" s="11" t="str">
        <f t="shared" si="209"/>
        <v/>
      </c>
      <c r="SK11" s="11" t="str">
        <f t="shared" si="210"/>
        <v/>
      </c>
      <c r="SL11" s="11" t="str">
        <f t="shared" si="211"/>
        <v/>
      </c>
      <c r="SM11" s="11" t="str">
        <f t="shared" si="212"/>
        <v/>
      </c>
      <c r="SN11" s="11" t="str">
        <f t="shared" si="213"/>
        <v/>
      </c>
      <c r="SO11" s="11" t="str">
        <f t="shared" si="214"/>
        <v/>
      </c>
      <c r="SP11" s="15"/>
      <c r="SQ11" s="15"/>
      <c r="SR11" s="15"/>
      <c r="SS11" s="15"/>
      <c r="ST11" s="15"/>
      <c r="SU11" s="15"/>
      <c r="SV11" s="15"/>
      <c r="SW11" s="15"/>
      <c r="SX11" s="15"/>
      <c r="SY11" s="15"/>
      <c r="SZ11" s="15"/>
      <c r="TA11" s="15"/>
      <c r="TB11" s="15"/>
      <c r="TC11" s="15"/>
      <c r="TD11" s="15"/>
      <c r="TE11" s="15"/>
      <c r="TF11" s="15"/>
      <c r="TG11" s="15"/>
      <c r="TH11" s="15"/>
      <c r="TI11" s="15"/>
      <c r="TJ11" s="36" t="str">
        <f t="shared" si="215"/>
        <v/>
      </c>
      <c r="TK11" s="36" t="str">
        <f t="shared" si="216"/>
        <v/>
      </c>
      <c r="TL11" s="36" t="str">
        <f t="shared" si="217"/>
        <v/>
      </c>
      <c r="TM11" s="36" t="str">
        <f t="shared" si="218"/>
        <v/>
      </c>
      <c r="TN11" s="36" t="str">
        <f t="shared" si="219"/>
        <v/>
      </c>
      <c r="TO11" s="36" t="str">
        <f t="shared" si="220"/>
        <v/>
      </c>
      <c r="TP11" s="36" t="str">
        <f t="shared" si="221"/>
        <v/>
      </c>
      <c r="TQ11" s="36" t="str">
        <f t="shared" si="222"/>
        <v/>
      </c>
      <c r="TR11" s="36" t="str">
        <f t="shared" si="223"/>
        <v/>
      </c>
      <c r="TS11" s="36" t="str">
        <f t="shared" si="224"/>
        <v/>
      </c>
      <c r="TT11" s="36" t="str">
        <f t="shared" si="225"/>
        <v/>
      </c>
      <c r="TU11" s="36" t="str">
        <f t="shared" si="226"/>
        <v/>
      </c>
      <c r="TV11" s="36" t="str">
        <f t="shared" si="227"/>
        <v/>
      </c>
      <c r="TW11" s="36" t="str">
        <f t="shared" si="228"/>
        <v/>
      </c>
      <c r="TX11" s="16"/>
      <c r="TY11" s="16"/>
      <c r="TZ11" s="16"/>
      <c r="UA11" s="16"/>
      <c r="UB11" s="16"/>
      <c r="UC11" s="16"/>
      <c r="UD11" s="16"/>
      <c r="UE11" s="16"/>
      <c r="UF11" s="16"/>
      <c r="UG11" s="16"/>
      <c r="UH11" s="16"/>
      <c r="UI11" s="16"/>
      <c r="UJ11" s="16"/>
      <c r="UK11" s="16"/>
      <c r="UL11" s="16"/>
      <c r="UM11" s="16"/>
      <c r="UN11" s="16"/>
      <c r="UO11" s="16"/>
      <c r="UP11" s="16"/>
      <c r="UQ11" s="16"/>
      <c r="UR11" s="11" t="str">
        <f t="shared" si="229"/>
        <v/>
      </c>
      <c r="US11" s="11" t="str">
        <f t="shared" si="230"/>
        <v/>
      </c>
      <c r="UT11" s="11" t="str">
        <f t="shared" si="231"/>
        <v/>
      </c>
      <c r="UU11" s="11" t="str">
        <f t="shared" si="232"/>
        <v/>
      </c>
      <c r="UV11" s="11" t="str">
        <f t="shared" si="233"/>
        <v/>
      </c>
      <c r="UW11" s="11" t="str">
        <f t="shared" si="234"/>
        <v/>
      </c>
      <c r="UX11" s="11" t="str">
        <f t="shared" si="235"/>
        <v/>
      </c>
      <c r="UY11" s="11" t="str">
        <f t="shared" si="236"/>
        <v/>
      </c>
      <c r="UZ11" s="11" t="str">
        <f t="shared" si="237"/>
        <v/>
      </c>
      <c r="VA11" s="11" t="str">
        <f t="shared" si="238"/>
        <v/>
      </c>
      <c r="VB11" s="11" t="str">
        <f t="shared" si="239"/>
        <v/>
      </c>
      <c r="VC11" s="11" t="str">
        <f t="shared" si="240"/>
        <v/>
      </c>
      <c r="VD11" s="11" t="str">
        <f t="shared" si="241"/>
        <v/>
      </c>
      <c r="VE11" s="11" t="str">
        <f t="shared" si="242"/>
        <v/>
      </c>
      <c r="VF11" s="15"/>
      <c r="VG11" s="15"/>
      <c r="VH11" s="15"/>
      <c r="VI11" s="15"/>
      <c r="VJ11" s="15"/>
      <c r="VK11" s="15"/>
      <c r="VL11" s="15"/>
      <c r="VM11" s="15"/>
      <c r="VN11" s="15"/>
      <c r="VO11" s="15"/>
      <c r="VP11" s="15"/>
      <c r="VQ11" s="15"/>
      <c r="VR11" s="15"/>
      <c r="VS11" s="15"/>
      <c r="VT11" s="15"/>
      <c r="VU11" s="15"/>
      <c r="VV11" s="15"/>
      <c r="VW11" s="15"/>
      <c r="VX11" s="15"/>
      <c r="VY11" s="15"/>
      <c r="VZ11" s="36" t="str">
        <f t="shared" si="243"/>
        <v/>
      </c>
      <c r="WA11" s="36" t="str">
        <f t="shared" si="244"/>
        <v/>
      </c>
      <c r="WB11" s="36" t="str">
        <f t="shared" si="245"/>
        <v/>
      </c>
      <c r="WC11" s="36" t="str">
        <f t="shared" si="246"/>
        <v/>
      </c>
      <c r="WD11" s="36" t="str">
        <f t="shared" si="247"/>
        <v/>
      </c>
      <c r="WE11" s="36" t="str">
        <f t="shared" si="248"/>
        <v/>
      </c>
      <c r="WF11" s="36" t="str">
        <f t="shared" si="249"/>
        <v/>
      </c>
      <c r="WG11" s="36" t="str">
        <f t="shared" si="250"/>
        <v/>
      </c>
      <c r="WH11" s="36" t="str">
        <f t="shared" si="251"/>
        <v/>
      </c>
      <c r="WI11" s="36" t="str">
        <f t="shared" si="252"/>
        <v/>
      </c>
      <c r="WJ11" s="36" t="str">
        <f t="shared" si="253"/>
        <v/>
      </c>
      <c r="WK11" s="36" t="str">
        <f t="shared" si="254"/>
        <v/>
      </c>
      <c r="WL11" s="36" t="str">
        <f t="shared" si="255"/>
        <v/>
      </c>
      <c r="WM11" s="36" t="str">
        <f t="shared" si="256"/>
        <v/>
      </c>
    </row>
    <row r="12" spans="1:611" x14ac:dyDescent="0.2">
      <c r="A12" s="4" t="str" cm="1">
        <f t="array" ref="A12">IF(AND(H12&lt;&gt;"",H12&lt;&gt;"No DD"),SUMPRODUCT((H$4:H$27&lt;&gt;"")*(H$4:H$27&lt;&gt;"No DD")*(E$4:E$27&gt;E12))+1,IF(H12="No DD",SUMPRODUCT((H$4:H$27="No DD")*(E$4:E$27&gt;E12))+1+SUMPRODUCT((H$4:H$27&lt;&gt;"")*(H$4:H$27&lt;&gt;"No DD")),""))</f>
        <v/>
      </c>
      <c r="B12" s="5" t="s">
        <v>90</v>
      </c>
      <c r="C12" s="4" t="s">
        <v>6</v>
      </c>
      <c r="D12" s="4">
        <v>2005</v>
      </c>
      <c r="E12" s="9">
        <f t="shared" si="0"/>
        <v>157.92001579200536</v>
      </c>
      <c r="F12" s="3" t="str">
        <f t="shared" si="1"/>
        <v/>
      </c>
      <c r="G12" s="3" t="str">
        <f t="shared" si="2"/>
        <v/>
      </c>
      <c r="H12" s="32" t="str">
        <f t="shared" si="3"/>
        <v/>
      </c>
      <c r="I12" s="3" t="str">
        <f t="shared" si="4"/>
        <v/>
      </c>
      <c r="J12" s="8">
        <f t="shared" si="5"/>
        <v>53.38000000000001</v>
      </c>
      <c r="K12" s="8" t="str">
        <f t="shared" si="6"/>
        <v>2025 Nationals</v>
      </c>
      <c r="L12" s="8">
        <f>IFERROR(IF(J12=AR12,LARGE((AK12,AN12,BL12,BO12,BS12,CM12,CP12,CT12),1),IF(J12=BS12,LARGE((AK12,AN12,AR12,BL12,BO12,CM12,CP12,CT12),1),LARGE((AK12,AN12,AR12,BL12,BO12,BS12,CM12,CP12),1))),0)</f>
        <v>52.489999999999995</v>
      </c>
      <c r="M12" s="8" t="str">
        <f t="shared" si="7"/>
        <v>2025 Nationals</v>
      </c>
      <c r="N12" s="8">
        <f>IFERROR(IF(J12=AR12,LARGE((AK12,AN12,BL12,BO12,BS12,CM12,CP12,CT12),2),IF(J12=BS12,LARGE((AK12,AN12,AR12,BL12,BO12,CM12,CP12,CT12),2),LARGE((AK12,AN12,AR12,BL12,BO12,BS12,CM12,CP12),2))),0)</f>
        <v>52.05</v>
      </c>
      <c r="O12" s="8" t="str">
        <f t="shared" si="8"/>
        <v>2025 Elite Canada</v>
      </c>
      <c r="P12" s="8">
        <f t="shared" si="9"/>
        <v>0</v>
      </c>
      <c r="Q12" s="11" t="str">
        <f t="shared" si="10"/>
        <v/>
      </c>
      <c r="R12" s="8" t="str">
        <f t="shared" si="11"/>
        <v/>
      </c>
      <c r="S12" s="18">
        <v>11.8</v>
      </c>
      <c r="T12" s="18">
        <v>9.6</v>
      </c>
      <c r="U12" s="18">
        <v>14.9</v>
      </c>
      <c r="V12" s="18">
        <v>15.75</v>
      </c>
      <c r="W12" s="18">
        <v>0</v>
      </c>
      <c r="X12" s="18">
        <v>2.7</v>
      </c>
      <c r="Y12" s="18">
        <v>1.8</v>
      </c>
      <c r="Z12" s="18">
        <v>3.3</v>
      </c>
      <c r="AA12" s="18">
        <v>3.33</v>
      </c>
      <c r="AB12" s="18">
        <v>0</v>
      </c>
      <c r="AC12" s="18">
        <v>12.3</v>
      </c>
      <c r="AD12" s="18">
        <v>8.4</v>
      </c>
      <c r="AE12" s="18">
        <v>13.2</v>
      </c>
      <c r="AF12" s="18">
        <v>14.33</v>
      </c>
      <c r="AG12" s="18">
        <v>0</v>
      </c>
      <c r="AH12" s="23"/>
      <c r="AI12" s="34">
        <f t="shared" si="12"/>
        <v>14.9</v>
      </c>
      <c r="AJ12" s="34">
        <f t="shared" si="13"/>
        <v>15.75</v>
      </c>
      <c r="AK12" s="36">
        <f t="shared" si="14"/>
        <v>52.05</v>
      </c>
      <c r="AL12" s="36">
        <f t="shared" si="15"/>
        <v>3.3</v>
      </c>
      <c r="AM12" s="36">
        <f t="shared" si="16"/>
        <v>3.33</v>
      </c>
      <c r="AN12" s="36">
        <f t="shared" si="17"/>
        <v>11.129999999999999</v>
      </c>
      <c r="AO12" s="36">
        <f t="shared" si="18"/>
        <v>52.05</v>
      </c>
      <c r="AP12" s="36">
        <f t="shared" si="19"/>
        <v>13.2</v>
      </c>
      <c r="AQ12" s="36">
        <f t="shared" si="20"/>
        <v>14.33</v>
      </c>
      <c r="AR12" s="36">
        <f t="shared" si="21"/>
        <v>48.230000000000004</v>
      </c>
      <c r="AS12" s="36">
        <f t="shared" si="22"/>
        <v>100.28</v>
      </c>
      <c r="AT12" s="22">
        <v>10.1</v>
      </c>
      <c r="AU12" s="22">
        <v>7.7</v>
      </c>
      <c r="AV12" s="22">
        <v>12.6</v>
      </c>
      <c r="AW12" s="22">
        <v>13.81</v>
      </c>
      <c r="AX12" s="22">
        <v>0</v>
      </c>
      <c r="AY12" s="22">
        <v>13.1</v>
      </c>
      <c r="AZ12" s="22">
        <v>9</v>
      </c>
      <c r="BA12" s="22">
        <v>14.7</v>
      </c>
      <c r="BB12" s="22">
        <v>15.69</v>
      </c>
      <c r="BC12" s="22">
        <v>0</v>
      </c>
      <c r="BD12" s="22">
        <v>14.4</v>
      </c>
      <c r="BE12" s="22">
        <v>8.8000000000000007</v>
      </c>
      <c r="BF12" s="22">
        <v>14.7</v>
      </c>
      <c r="BG12" s="22">
        <v>15.48</v>
      </c>
      <c r="BH12" s="22">
        <v>0</v>
      </c>
      <c r="BI12" s="24"/>
      <c r="BJ12" s="35">
        <f t="shared" si="23"/>
        <v>12.6</v>
      </c>
      <c r="BK12" s="35">
        <f t="shared" si="24"/>
        <v>13.81</v>
      </c>
      <c r="BL12" s="11">
        <f t="shared" si="25"/>
        <v>44.21</v>
      </c>
      <c r="BM12" s="11">
        <f t="shared" si="26"/>
        <v>14.7</v>
      </c>
      <c r="BN12" s="11">
        <f t="shared" si="27"/>
        <v>15.69</v>
      </c>
      <c r="BO12" s="11">
        <f t="shared" si="28"/>
        <v>52.489999999999995</v>
      </c>
      <c r="BP12" s="11">
        <f t="shared" si="29"/>
        <v>52.489999999999995</v>
      </c>
      <c r="BQ12" s="11">
        <f t="shared" si="30"/>
        <v>14.7</v>
      </c>
      <c r="BR12" s="11">
        <f t="shared" si="31"/>
        <v>15.48</v>
      </c>
      <c r="BS12" s="11">
        <f t="shared" si="32"/>
        <v>53.38000000000001</v>
      </c>
      <c r="BT12" s="11">
        <f t="shared" si="33"/>
        <v>105.87</v>
      </c>
      <c r="BU12" s="18">
        <v>11.3</v>
      </c>
      <c r="BV12" s="18">
        <v>9.4</v>
      </c>
      <c r="BW12" s="18">
        <v>14.4</v>
      </c>
      <c r="BX12" s="18">
        <v>15.17</v>
      </c>
      <c r="BY12" s="18">
        <v>0.1</v>
      </c>
      <c r="BZ12" s="18">
        <v>1.4</v>
      </c>
      <c r="CA12" s="18">
        <v>1</v>
      </c>
      <c r="CB12" s="18">
        <v>2</v>
      </c>
      <c r="CC12" s="18">
        <v>1.67</v>
      </c>
      <c r="CD12" s="18">
        <v>0</v>
      </c>
      <c r="CE12" s="18">
        <v>13</v>
      </c>
      <c r="CF12" s="18">
        <v>9</v>
      </c>
      <c r="CG12" s="18">
        <v>14.3</v>
      </c>
      <c r="CH12" s="18">
        <v>14.86</v>
      </c>
      <c r="CI12" s="18">
        <v>0.2</v>
      </c>
      <c r="CJ12" s="23"/>
      <c r="CK12" s="34">
        <f t="shared" si="34"/>
        <v>14.4</v>
      </c>
      <c r="CL12" s="34">
        <f t="shared" si="35"/>
        <v>15.17</v>
      </c>
      <c r="CM12" s="36">
        <f t="shared" si="36"/>
        <v>50.17</v>
      </c>
      <c r="CN12" s="36">
        <f t="shared" si="37"/>
        <v>2</v>
      </c>
      <c r="CO12" s="36">
        <f t="shared" si="38"/>
        <v>1.67</v>
      </c>
      <c r="CP12" s="36">
        <f t="shared" si="39"/>
        <v>6.07</v>
      </c>
      <c r="CQ12" s="36">
        <f t="shared" si="40"/>
        <v>50.17</v>
      </c>
      <c r="CR12" s="36">
        <f t="shared" si="41"/>
        <v>14.3</v>
      </c>
      <c r="CS12" s="36">
        <f t="shared" si="42"/>
        <v>14.86</v>
      </c>
      <c r="CT12" s="36">
        <f t="shared" si="43"/>
        <v>50.959999999999994</v>
      </c>
      <c r="CU12" s="36">
        <f t="shared" si="44"/>
        <v>101.13</v>
      </c>
      <c r="CV12" s="47" t="str">
        <f t="shared" si="45"/>
        <v/>
      </c>
      <c r="CW12" s="47" t="str">
        <f t="shared" si="46"/>
        <v/>
      </c>
      <c r="CX12" s="15"/>
      <c r="CY12" s="15"/>
      <c r="CZ12" s="15"/>
      <c r="DA12" s="15"/>
      <c r="DB12" s="15"/>
      <c r="DC12" s="15"/>
      <c r="DD12" s="15"/>
      <c r="DE12" s="15"/>
      <c r="DF12" s="15"/>
      <c r="DG12" s="15"/>
      <c r="DH12" s="15"/>
      <c r="DI12" s="15"/>
      <c r="DJ12" s="15"/>
      <c r="DK12" s="15"/>
      <c r="DL12" s="15"/>
      <c r="DM12" s="15"/>
      <c r="DN12" s="15"/>
      <c r="DO12" s="15"/>
      <c r="DP12" s="15"/>
      <c r="DQ12" s="15"/>
      <c r="DR12" s="36" t="str">
        <f t="shared" si="47"/>
        <v/>
      </c>
      <c r="DS12" s="36" t="str">
        <f t="shared" si="48"/>
        <v/>
      </c>
      <c r="DT12" s="36" t="str">
        <f t="shared" si="49"/>
        <v/>
      </c>
      <c r="DU12" s="36" t="str">
        <f t="shared" si="50"/>
        <v/>
      </c>
      <c r="DV12" s="36" t="str">
        <f t="shared" si="51"/>
        <v/>
      </c>
      <c r="DW12" s="36" t="str">
        <f t="shared" si="52"/>
        <v/>
      </c>
      <c r="DX12" s="36" t="str">
        <f t="shared" si="53"/>
        <v/>
      </c>
      <c r="DY12" s="36" t="str">
        <f t="shared" si="54"/>
        <v/>
      </c>
      <c r="DZ12" s="36" t="str">
        <f t="shared" si="55"/>
        <v/>
      </c>
      <c r="EA12" s="36" t="str">
        <f t="shared" si="56"/>
        <v/>
      </c>
      <c r="EB12" s="36" t="str">
        <f t="shared" si="57"/>
        <v/>
      </c>
      <c r="EC12" s="36" t="str">
        <f t="shared" si="58"/>
        <v/>
      </c>
      <c r="ED12" s="36" t="str">
        <f t="shared" si="59"/>
        <v/>
      </c>
      <c r="EE12" s="36" t="str">
        <f t="shared" si="60"/>
        <v/>
      </c>
      <c r="EF12" s="16"/>
      <c r="EG12" s="16"/>
      <c r="EH12" s="16"/>
      <c r="EI12" s="16"/>
      <c r="EJ12" s="16"/>
      <c r="EK12" s="16"/>
      <c r="EL12" s="16"/>
      <c r="EM12" s="16"/>
      <c r="EN12" s="16"/>
      <c r="EO12" s="16"/>
      <c r="EP12" s="16"/>
      <c r="EQ12" s="16"/>
      <c r="ER12" s="16"/>
      <c r="ES12" s="16"/>
      <c r="ET12" s="16"/>
      <c r="EU12" s="16"/>
      <c r="EV12" s="16"/>
      <c r="EW12" s="16"/>
      <c r="EX12" s="16"/>
      <c r="EY12" s="16"/>
      <c r="EZ12" s="11" t="str">
        <f t="shared" si="61"/>
        <v/>
      </c>
      <c r="FA12" s="11" t="str">
        <f t="shared" si="62"/>
        <v/>
      </c>
      <c r="FB12" s="11" t="str">
        <f t="shared" si="63"/>
        <v/>
      </c>
      <c r="FC12" s="11" t="str">
        <f t="shared" si="64"/>
        <v/>
      </c>
      <c r="FD12" s="11" t="str">
        <f t="shared" si="65"/>
        <v/>
      </c>
      <c r="FE12" s="11" t="str">
        <f t="shared" si="66"/>
        <v/>
      </c>
      <c r="FF12" s="11" t="str">
        <f t="shared" si="67"/>
        <v/>
      </c>
      <c r="FG12" s="11" t="str">
        <f t="shared" si="68"/>
        <v/>
      </c>
      <c r="FH12" s="11" t="str">
        <f t="shared" si="69"/>
        <v/>
      </c>
      <c r="FI12" s="11" t="str">
        <f t="shared" si="70"/>
        <v/>
      </c>
      <c r="FJ12" s="11" t="str">
        <f t="shared" si="71"/>
        <v/>
      </c>
      <c r="FK12" s="11" t="str">
        <f t="shared" si="72"/>
        <v/>
      </c>
      <c r="FL12" s="11" t="str">
        <f t="shared" si="73"/>
        <v/>
      </c>
      <c r="FM12" s="11" t="str">
        <f t="shared" si="74"/>
        <v/>
      </c>
      <c r="FN12" s="15"/>
      <c r="FO12" s="15"/>
      <c r="FP12" s="15"/>
      <c r="FQ12" s="15"/>
      <c r="FR12" s="15"/>
      <c r="FS12" s="15"/>
      <c r="FT12" s="15"/>
      <c r="FU12" s="15"/>
      <c r="FV12" s="15"/>
      <c r="FW12" s="15"/>
      <c r="FX12" s="15"/>
      <c r="FY12" s="15"/>
      <c r="FZ12" s="15"/>
      <c r="GA12" s="15"/>
      <c r="GB12" s="15"/>
      <c r="GC12" s="15"/>
      <c r="GD12" s="15"/>
      <c r="GE12" s="15"/>
      <c r="GF12" s="15"/>
      <c r="GG12" s="15"/>
      <c r="GH12" s="36" t="str">
        <f t="shared" si="75"/>
        <v/>
      </c>
      <c r="GI12" s="36" t="str">
        <f t="shared" si="76"/>
        <v/>
      </c>
      <c r="GJ12" s="36" t="str">
        <f t="shared" si="77"/>
        <v/>
      </c>
      <c r="GK12" s="36" t="str">
        <f t="shared" si="78"/>
        <v/>
      </c>
      <c r="GL12" s="36" t="str">
        <f t="shared" si="79"/>
        <v/>
      </c>
      <c r="GM12" s="36" t="str">
        <f t="shared" si="80"/>
        <v/>
      </c>
      <c r="GN12" s="36" t="str">
        <f t="shared" si="81"/>
        <v/>
      </c>
      <c r="GO12" s="36" t="str">
        <f t="shared" si="82"/>
        <v/>
      </c>
      <c r="GP12" s="36" t="str">
        <f t="shared" si="83"/>
        <v/>
      </c>
      <c r="GQ12" s="36" t="str">
        <f t="shared" si="84"/>
        <v/>
      </c>
      <c r="GR12" s="36" t="str">
        <f t="shared" si="85"/>
        <v/>
      </c>
      <c r="GS12" s="36" t="str">
        <f t="shared" si="86"/>
        <v/>
      </c>
      <c r="GT12" s="36" t="str">
        <f t="shared" si="87"/>
        <v/>
      </c>
      <c r="GU12" s="36" t="str">
        <f t="shared" si="88"/>
        <v/>
      </c>
      <c r="GV12" s="16">
        <v>11.3</v>
      </c>
      <c r="GW12" s="16">
        <v>8.8000000000000007</v>
      </c>
      <c r="GX12" s="16">
        <v>14.7</v>
      </c>
      <c r="GY12" s="16">
        <v>15.45</v>
      </c>
      <c r="GZ12" s="16">
        <v>0</v>
      </c>
      <c r="HA12" s="16">
        <v>11.9</v>
      </c>
      <c r="HB12" s="16">
        <v>9.1999999999999993</v>
      </c>
      <c r="HC12" s="16">
        <v>15.3</v>
      </c>
      <c r="HD12" s="16">
        <v>15.51</v>
      </c>
      <c r="HE12" s="16">
        <v>0</v>
      </c>
      <c r="HF12" s="16">
        <v>6.4</v>
      </c>
      <c r="HG12" s="16">
        <v>4.4000000000000004</v>
      </c>
      <c r="HH12" s="16">
        <v>8</v>
      </c>
      <c r="HI12" s="16">
        <v>8.09</v>
      </c>
      <c r="HJ12" s="16">
        <v>0.2</v>
      </c>
      <c r="HK12" s="16"/>
      <c r="HL12" s="16"/>
      <c r="HM12" s="16"/>
      <c r="HN12" s="16"/>
      <c r="HO12" s="16"/>
      <c r="HP12" s="11">
        <f t="shared" si="89"/>
        <v>14.7</v>
      </c>
      <c r="HQ12" s="11">
        <f t="shared" si="90"/>
        <v>15.45</v>
      </c>
      <c r="HR12" s="11">
        <f t="shared" si="91"/>
        <v>50.25</v>
      </c>
      <c r="HS12" s="11">
        <f t="shared" si="92"/>
        <v>15.3</v>
      </c>
      <c r="HT12" s="11">
        <f t="shared" si="93"/>
        <v>15.51</v>
      </c>
      <c r="HU12" s="11">
        <f t="shared" si="94"/>
        <v>51.910000000000004</v>
      </c>
      <c r="HV12" s="11">
        <f t="shared" si="95"/>
        <v>51.910000000000004</v>
      </c>
      <c r="HW12" s="11">
        <f t="shared" si="96"/>
        <v>8</v>
      </c>
      <c r="HX12" s="11">
        <f t="shared" si="97"/>
        <v>8.09</v>
      </c>
      <c r="HY12" s="11">
        <f t="shared" si="98"/>
        <v>26.69</v>
      </c>
      <c r="HZ12" s="11" t="str">
        <f t="shared" si="99"/>
        <v/>
      </c>
      <c r="IA12" s="11" t="str">
        <f t="shared" si="100"/>
        <v/>
      </c>
      <c r="IB12" s="11" t="str">
        <f t="shared" si="101"/>
        <v/>
      </c>
      <c r="IC12" s="11">
        <f t="shared" si="102"/>
        <v>78.600000000000009</v>
      </c>
      <c r="ID12" s="15"/>
      <c r="IE12" s="15"/>
      <c r="IF12" s="15"/>
      <c r="IG12" s="15"/>
      <c r="IH12" s="15"/>
      <c r="II12" s="15"/>
      <c r="IJ12" s="15"/>
      <c r="IK12" s="15"/>
      <c r="IL12" s="15"/>
      <c r="IM12" s="15"/>
      <c r="IN12" s="15"/>
      <c r="IO12" s="15"/>
      <c r="IP12" s="15"/>
      <c r="IQ12" s="15"/>
      <c r="IR12" s="15"/>
      <c r="IS12" s="15"/>
      <c r="IT12" s="15"/>
      <c r="IU12" s="15"/>
      <c r="IV12" s="15"/>
      <c r="IW12" s="15"/>
      <c r="IX12" s="36" t="str">
        <f t="shared" si="103"/>
        <v/>
      </c>
      <c r="IY12" s="36" t="str">
        <f t="shared" si="104"/>
        <v/>
      </c>
      <c r="IZ12" s="36" t="str">
        <f t="shared" si="105"/>
        <v/>
      </c>
      <c r="JA12" s="36" t="str">
        <f t="shared" si="106"/>
        <v/>
      </c>
      <c r="JB12" s="36" t="str">
        <f t="shared" si="107"/>
        <v/>
      </c>
      <c r="JC12" s="36" t="str">
        <f t="shared" si="108"/>
        <v/>
      </c>
      <c r="JD12" s="36" t="str">
        <f t="shared" si="109"/>
        <v/>
      </c>
      <c r="JE12" s="36" t="str">
        <f t="shared" si="110"/>
        <v/>
      </c>
      <c r="JF12" s="36" t="str">
        <f t="shared" si="111"/>
        <v/>
      </c>
      <c r="JG12" s="36" t="str">
        <f t="shared" si="112"/>
        <v/>
      </c>
      <c r="JH12" s="36" t="str">
        <f t="shared" si="113"/>
        <v/>
      </c>
      <c r="JI12" s="36" t="str">
        <f t="shared" si="114"/>
        <v/>
      </c>
      <c r="JJ12" s="36" t="str">
        <f t="shared" si="115"/>
        <v/>
      </c>
      <c r="JK12" s="36" t="str">
        <f t="shared" si="116"/>
        <v/>
      </c>
      <c r="JL12" s="16"/>
      <c r="JM12" s="16"/>
      <c r="JN12" s="16"/>
      <c r="JO12" s="16"/>
      <c r="JP12" s="16"/>
      <c r="JQ12" s="16"/>
      <c r="JR12" s="16"/>
      <c r="JS12" s="16"/>
      <c r="JT12" s="16"/>
      <c r="JU12" s="16"/>
      <c r="JV12" s="16"/>
      <c r="JW12" s="16"/>
      <c r="JX12" s="16"/>
      <c r="JY12" s="16"/>
      <c r="JZ12" s="16"/>
      <c r="KA12" s="16"/>
      <c r="KB12" s="16"/>
      <c r="KC12" s="16"/>
      <c r="KD12" s="16"/>
      <c r="KE12" s="16"/>
      <c r="KF12" s="11" t="str">
        <f t="shared" si="117"/>
        <v/>
      </c>
      <c r="KG12" s="11" t="str">
        <f t="shared" si="118"/>
        <v/>
      </c>
      <c r="KH12" s="11" t="str">
        <f t="shared" si="119"/>
        <v/>
      </c>
      <c r="KI12" s="11" t="str">
        <f t="shared" si="120"/>
        <v/>
      </c>
      <c r="KJ12" s="11" t="str">
        <f t="shared" si="121"/>
        <v/>
      </c>
      <c r="KK12" s="11" t="str">
        <f t="shared" si="122"/>
        <v/>
      </c>
      <c r="KL12" s="11" t="str">
        <f t="shared" si="123"/>
        <v/>
      </c>
      <c r="KM12" s="11" t="str">
        <f t="shared" si="124"/>
        <v/>
      </c>
      <c r="KN12" s="11" t="str">
        <f t="shared" si="125"/>
        <v/>
      </c>
      <c r="KO12" s="11" t="str">
        <f t="shared" si="126"/>
        <v/>
      </c>
      <c r="KP12" s="11" t="str">
        <f t="shared" si="127"/>
        <v/>
      </c>
      <c r="KQ12" s="11" t="str">
        <f t="shared" si="128"/>
        <v/>
      </c>
      <c r="KR12" s="11" t="str">
        <f t="shared" si="129"/>
        <v/>
      </c>
      <c r="KS12" s="11" t="str">
        <f t="shared" si="130"/>
        <v/>
      </c>
      <c r="KT12" s="15"/>
      <c r="KU12" s="15"/>
      <c r="KV12" s="15"/>
      <c r="KW12" s="15"/>
      <c r="KX12" s="15"/>
      <c r="KY12" s="15"/>
      <c r="KZ12" s="15"/>
      <c r="LA12" s="15"/>
      <c r="LB12" s="15"/>
      <c r="LC12" s="15"/>
      <c r="LD12" s="15"/>
      <c r="LE12" s="15"/>
      <c r="LF12" s="15"/>
      <c r="LG12" s="15"/>
      <c r="LH12" s="15"/>
      <c r="LI12" s="15"/>
      <c r="LJ12" s="15"/>
      <c r="LK12" s="15"/>
      <c r="LL12" s="15"/>
      <c r="LM12" s="15"/>
      <c r="LN12" s="36" t="str">
        <f t="shared" si="131"/>
        <v/>
      </c>
      <c r="LO12" s="36" t="str">
        <f t="shared" si="132"/>
        <v/>
      </c>
      <c r="LP12" s="36" t="str">
        <f t="shared" si="133"/>
        <v/>
      </c>
      <c r="LQ12" s="36" t="str">
        <f t="shared" si="134"/>
        <v/>
      </c>
      <c r="LR12" s="36" t="str">
        <f t="shared" si="135"/>
        <v/>
      </c>
      <c r="LS12" s="36" t="str">
        <f t="shared" si="136"/>
        <v/>
      </c>
      <c r="LT12" s="36" t="str">
        <f t="shared" si="137"/>
        <v/>
      </c>
      <c r="LU12" s="36" t="str">
        <f t="shared" si="138"/>
        <v/>
      </c>
      <c r="LV12" s="36" t="str">
        <f t="shared" si="139"/>
        <v/>
      </c>
      <c r="LW12" s="36" t="str">
        <f t="shared" si="140"/>
        <v/>
      </c>
      <c r="LX12" s="36" t="str">
        <f t="shared" si="141"/>
        <v/>
      </c>
      <c r="LY12" s="36" t="str">
        <f t="shared" si="142"/>
        <v/>
      </c>
      <c r="LZ12" s="36" t="str">
        <f t="shared" si="143"/>
        <v/>
      </c>
      <c r="MA12" s="36" t="str">
        <f t="shared" si="144"/>
        <v/>
      </c>
      <c r="MB12" s="16"/>
      <c r="MC12" s="16"/>
      <c r="MD12" s="16"/>
      <c r="ME12" s="16"/>
      <c r="MF12" s="16"/>
      <c r="MG12" s="16"/>
      <c r="MH12" s="16"/>
      <c r="MI12" s="16"/>
      <c r="MJ12" s="16"/>
      <c r="MK12" s="16"/>
      <c r="ML12" s="16"/>
      <c r="MM12" s="16"/>
      <c r="MN12" s="16"/>
      <c r="MO12" s="16"/>
      <c r="MP12" s="16"/>
      <c r="MQ12" s="16"/>
      <c r="MR12" s="16"/>
      <c r="MS12" s="16"/>
      <c r="MT12" s="16"/>
      <c r="MU12" s="16"/>
      <c r="MV12" s="11" t="str">
        <f t="shared" si="145"/>
        <v/>
      </c>
      <c r="MW12" s="11" t="str">
        <f t="shared" si="146"/>
        <v/>
      </c>
      <c r="MX12" s="11" t="str">
        <f t="shared" si="147"/>
        <v/>
      </c>
      <c r="MY12" s="11" t="str">
        <f t="shared" si="148"/>
        <v/>
      </c>
      <c r="MZ12" s="11" t="str">
        <f t="shared" si="149"/>
        <v/>
      </c>
      <c r="NA12" s="11" t="str">
        <f t="shared" si="150"/>
        <v/>
      </c>
      <c r="NB12" s="11" t="str">
        <f t="shared" si="151"/>
        <v/>
      </c>
      <c r="NC12" s="11" t="str">
        <f t="shared" si="152"/>
        <v/>
      </c>
      <c r="ND12" s="11" t="str">
        <f t="shared" si="153"/>
        <v/>
      </c>
      <c r="NE12" s="11" t="str">
        <f t="shared" si="154"/>
        <v/>
      </c>
      <c r="NF12" s="11" t="str">
        <f t="shared" si="155"/>
        <v/>
      </c>
      <c r="NG12" s="11" t="str">
        <f t="shared" si="156"/>
        <v/>
      </c>
      <c r="NH12" s="11" t="str">
        <f t="shared" si="157"/>
        <v/>
      </c>
      <c r="NI12" s="11" t="str">
        <f t="shared" si="158"/>
        <v/>
      </c>
      <c r="NJ12" s="15"/>
      <c r="NK12" s="15"/>
      <c r="NL12" s="15"/>
      <c r="NM12" s="15"/>
      <c r="NN12" s="15"/>
      <c r="NO12" s="15"/>
      <c r="NP12" s="15"/>
      <c r="NQ12" s="15"/>
      <c r="NR12" s="15"/>
      <c r="NS12" s="15"/>
      <c r="NT12" s="15"/>
      <c r="NU12" s="15"/>
      <c r="NV12" s="15"/>
      <c r="NW12" s="15"/>
      <c r="NX12" s="15"/>
      <c r="NY12" s="15"/>
      <c r="NZ12" s="15"/>
      <c r="OA12" s="15"/>
      <c r="OB12" s="15"/>
      <c r="OC12" s="15"/>
      <c r="OD12" s="36" t="str">
        <f t="shared" si="159"/>
        <v/>
      </c>
      <c r="OE12" s="36" t="str">
        <f t="shared" si="160"/>
        <v/>
      </c>
      <c r="OF12" s="36" t="str">
        <f t="shared" si="161"/>
        <v/>
      </c>
      <c r="OG12" s="36" t="str">
        <f t="shared" si="162"/>
        <v/>
      </c>
      <c r="OH12" s="36" t="str">
        <f t="shared" si="163"/>
        <v/>
      </c>
      <c r="OI12" s="36" t="str">
        <f t="shared" si="164"/>
        <v/>
      </c>
      <c r="OJ12" s="36" t="str">
        <f t="shared" si="165"/>
        <v/>
      </c>
      <c r="OK12" s="36" t="str">
        <f t="shared" si="166"/>
        <v/>
      </c>
      <c r="OL12" s="36" t="str">
        <f t="shared" si="167"/>
        <v/>
      </c>
      <c r="OM12" s="36" t="str">
        <f t="shared" si="168"/>
        <v/>
      </c>
      <c r="ON12" s="36" t="str">
        <f t="shared" si="169"/>
        <v/>
      </c>
      <c r="OO12" s="36" t="str">
        <f t="shared" si="170"/>
        <v/>
      </c>
      <c r="OP12" s="36" t="str">
        <f t="shared" si="171"/>
        <v/>
      </c>
      <c r="OQ12" s="36" t="str">
        <f t="shared" si="172"/>
        <v/>
      </c>
      <c r="OR12" s="16"/>
      <c r="OS12" s="16"/>
      <c r="OT12" s="16"/>
      <c r="OU12" s="16"/>
      <c r="OV12" s="16"/>
      <c r="OW12" s="16"/>
      <c r="OX12" s="16"/>
      <c r="OY12" s="16"/>
      <c r="OZ12" s="16"/>
      <c r="PA12" s="16"/>
      <c r="PB12" s="16"/>
      <c r="PC12" s="16"/>
      <c r="PD12" s="16"/>
      <c r="PE12" s="16"/>
      <c r="PF12" s="16"/>
      <c r="PG12" s="16"/>
      <c r="PH12" s="16"/>
      <c r="PI12" s="16"/>
      <c r="PJ12" s="16"/>
      <c r="PK12" s="16"/>
      <c r="PL12" s="11" t="str">
        <f t="shared" si="173"/>
        <v/>
      </c>
      <c r="PM12" s="11" t="str">
        <f t="shared" si="174"/>
        <v/>
      </c>
      <c r="PN12" s="11" t="str">
        <f t="shared" si="175"/>
        <v/>
      </c>
      <c r="PO12" s="11" t="str">
        <f t="shared" si="176"/>
        <v/>
      </c>
      <c r="PP12" s="11" t="str">
        <f t="shared" si="177"/>
        <v/>
      </c>
      <c r="PQ12" s="11" t="str">
        <f t="shared" si="178"/>
        <v/>
      </c>
      <c r="PR12" s="11" t="str">
        <f t="shared" si="179"/>
        <v/>
      </c>
      <c r="PS12" s="11" t="str">
        <f t="shared" si="180"/>
        <v/>
      </c>
      <c r="PT12" s="11" t="str">
        <f t="shared" si="181"/>
        <v/>
      </c>
      <c r="PU12" s="11" t="str">
        <f t="shared" si="182"/>
        <v/>
      </c>
      <c r="PV12" s="11" t="str">
        <f t="shared" si="183"/>
        <v/>
      </c>
      <c r="PW12" s="11" t="str">
        <f t="shared" si="184"/>
        <v/>
      </c>
      <c r="PX12" s="11" t="str">
        <f t="shared" si="185"/>
        <v/>
      </c>
      <c r="PY12" s="11" t="str">
        <f t="shared" si="186"/>
        <v/>
      </c>
      <c r="PZ12" s="15"/>
      <c r="QA12" s="15"/>
      <c r="QB12" s="15"/>
      <c r="QC12" s="15"/>
      <c r="QD12" s="15"/>
      <c r="QE12" s="15"/>
      <c r="QF12" s="15"/>
      <c r="QG12" s="15"/>
      <c r="QH12" s="15"/>
      <c r="QI12" s="15"/>
      <c r="QJ12" s="15"/>
      <c r="QK12" s="15"/>
      <c r="QL12" s="15"/>
      <c r="QM12" s="15"/>
      <c r="QN12" s="15"/>
      <c r="QO12" s="15"/>
      <c r="QP12" s="15"/>
      <c r="QQ12" s="15"/>
      <c r="QR12" s="15"/>
      <c r="QS12" s="15"/>
      <c r="QT12" s="36" t="str">
        <f t="shared" si="187"/>
        <v/>
      </c>
      <c r="QU12" s="36" t="str">
        <f t="shared" si="188"/>
        <v/>
      </c>
      <c r="QV12" s="36" t="str">
        <f t="shared" si="189"/>
        <v/>
      </c>
      <c r="QW12" s="36" t="str">
        <f t="shared" si="190"/>
        <v/>
      </c>
      <c r="QX12" s="36" t="str">
        <f t="shared" si="191"/>
        <v/>
      </c>
      <c r="QY12" s="36" t="str">
        <f t="shared" si="192"/>
        <v/>
      </c>
      <c r="QZ12" s="36" t="str">
        <f t="shared" si="193"/>
        <v/>
      </c>
      <c r="RA12" s="36" t="str">
        <f t="shared" si="194"/>
        <v/>
      </c>
      <c r="RB12" s="36" t="str">
        <f t="shared" si="195"/>
        <v/>
      </c>
      <c r="RC12" s="36" t="str">
        <f t="shared" si="196"/>
        <v/>
      </c>
      <c r="RD12" s="36" t="str">
        <f t="shared" si="197"/>
        <v/>
      </c>
      <c r="RE12" s="36" t="str">
        <f t="shared" si="198"/>
        <v/>
      </c>
      <c r="RF12" s="36" t="str">
        <f t="shared" si="199"/>
        <v/>
      </c>
      <c r="RG12" s="36" t="str">
        <f t="shared" si="200"/>
        <v/>
      </c>
      <c r="RH12" s="16"/>
      <c r="RI12" s="16"/>
      <c r="RJ12" s="16"/>
      <c r="RK12" s="16"/>
      <c r="RL12" s="16"/>
      <c r="RM12" s="16"/>
      <c r="RN12" s="16"/>
      <c r="RO12" s="16"/>
      <c r="RP12" s="16"/>
      <c r="RQ12" s="16"/>
      <c r="RR12" s="16"/>
      <c r="RS12" s="16"/>
      <c r="RT12" s="16"/>
      <c r="RU12" s="16"/>
      <c r="RV12" s="16"/>
      <c r="RW12" s="16"/>
      <c r="RX12" s="16"/>
      <c r="RY12" s="16"/>
      <c r="RZ12" s="16"/>
      <c r="SA12" s="16"/>
      <c r="SB12" s="11" t="str">
        <f t="shared" si="201"/>
        <v/>
      </c>
      <c r="SC12" s="11" t="str">
        <f t="shared" si="202"/>
        <v/>
      </c>
      <c r="SD12" s="11" t="str">
        <f t="shared" si="203"/>
        <v/>
      </c>
      <c r="SE12" s="11" t="str">
        <f t="shared" si="204"/>
        <v/>
      </c>
      <c r="SF12" s="11" t="str">
        <f t="shared" si="205"/>
        <v/>
      </c>
      <c r="SG12" s="11" t="str">
        <f t="shared" si="206"/>
        <v/>
      </c>
      <c r="SH12" s="11" t="str">
        <f t="shared" si="207"/>
        <v/>
      </c>
      <c r="SI12" s="11" t="str">
        <f t="shared" si="208"/>
        <v/>
      </c>
      <c r="SJ12" s="11" t="str">
        <f t="shared" si="209"/>
        <v/>
      </c>
      <c r="SK12" s="11" t="str">
        <f t="shared" si="210"/>
        <v/>
      </c>
      <c r="SL12" s="11" t="str">
        <f t="shared" si="211"/>
        <v/>
      </c>
      <c r="SM12" s="11" t="str">
        <f t="shared" si="212"/>
        <v/>
      </c>
      <c r="SN12" s="11" t="str">
        <f t="shared" si="213"/>
        <v/>
      </c>
      <c r="SO12" s="11" t="str">
        <f t="shared" si="214"/>
        <v/>
      </c>
      <c r="SP12" s="15"/>
      <c r="SQ12" s="15"/>
      <c r="SR12" s="15"/>
      <c r="SS12" s="15"/>
      <c r="ST12" s="15"/>
      <c r="SU12" s="15"/>
      <c r="SV12" s="15"/>
      <c r="SW12" s="15"/>
      <c r="SX12" s="15"/>
      <c r="SY12" s="15"/>
      <c r="SZ12" s="15"/>
      <c r="TA12" s="15"/>
      <c r="TB12" s="15"/>
      <c r="TC12" s="15"/>
      <c r="TD12" s="15"/>
      <c r="TE12" s="15"/>
      <c r="TF12" s="15"/>
      <c r="TG12" s="15"/>
      <c r="TH12" s="15"/>
      <c r="TI12" s="15"/>
      <c r="TJ12" s="36" t="str">
        <f t="shared" si="215"/>
        <v/>
      </c>
      <c r="TK12" s="36" t="str">
        <f t="shared" si="216"/>
        <v/>
      </c>
      <c r="TL12" s="36" t="str">
        <f t="shared" si="217"/>
        <v/>
      </c>
      <c r="TM12" s="36" t="str">
        <f t="shared" si="218"/>
        <v/>
      </c>
      <c r="TN12" s="36" t="str">
        <f t="shared" si="219"/>
        <v/>
      </c>
      <c r="TO12" s="36" t="str">
        <f t="shared" si="220"/>
        <v/>
      </c>
      <c r="TP12" s="36" t="str">
        <f t="shared" si="221"/>
        <v/>
      </c>
      <c r="TQ12" s="36" t="str">
        <f t="shared" si="222"/>
        <v/>
      </c>
      <c r="TR12" s="36" t="str">
        <f t="shared" si="223"/>
        <v/>
      </c>
      <c r="TS12" s="36" t="str">
        <f t="shared" si="224"/>
        <v/>
      </c>
      <c r="TT12" s="36" t="str">
        <f t="shared" si="225"/>
        <v/>
      </c>
      <c r="TU12" s="36" t="str">
        <f t="shared" si="226"/>
        <v/>
      </c>
      <c r="TV12" s="36" t="str">
        <f t="shared" si="227"/>
        <v/>
      </c>
      <c r="TW12" s="36" t="str">
        <f t="shared" si="228"/>
        <v/>
      </c>
      <c r="TX12" s="16"/>
      <c r="TY12" s="16"/>
      <c r="TZ12" s="16"/>
      <c r="UA12" s="16"/>
      <c r="UB12" s="16"/>
      <c r="UC12" s="16"/>
      <c r="UD12" s="16"/>
      <c r="UE12" s="16"/>
      <c r="UF12" s="16"/>
      <c r="UG12" s="16"/>
      <c r="UH12" s="16"/>
      <c r="UI12" s="16"/>
      <c r="UJ12" s="16"/>
      <c r="UK12" s="16"/>
      <c r="UL12" s="16"/>
      <c r="UM12" s="16"/>
      <c r="UN12" s="16"/>
      <c r="UO12" s="16"/>
      <c r="UP12" s="16"/>
      <c r="UQ12" s="16"/>
      <c r="UR12" s="11" t="str">
        <f t="shared" si="229"/>
        <v/>
      </c>
      <c r="US12" s="11" t="str">
        <f t="shared" si="230"/>
        <v/>
      </c>
      <c r="UT12" s="11" t="str">
        <f t="shared" si="231"/>
        <v/>
      </c>
      <c r="UU12" s="11" t="str">
        <f t="shared" si="232"/>
        <v/>
      </c>
      <c r="UV12" s="11" t="str">
        <f t="shared" si="233"/>
        <v/>
      </c>
      <c r="UW12" s="11" t="str">
        <f t="shared" si="234"/>
        <v/>
      </c>
      <c r="UX12" s="11" t="str">
        <f t="shared" si="235"/>
        <v/>
      </c>
      <c r="UY12" s="11" t="str">
        <f t="shared" si="236"/>
        <v/>
      </c>
      <c r="UZ12" s="11" t="str">
        <f t="shared" si="237"/>
        <v/>
      </c>
      <c r="VA12" s="11" t="str">
        <f t="shared" si="238"/>
        <v/>
      </c>
      <c r="VB12" s="11" t="str">
        <f t="shared" si="239"/>
        <v/>
      </c>
      <c r="VC12" s="11" t="str">
        <f t="shared" si="240"/>
        <v/>
      </c>
      <c r="VD12" s="11" t="str">
        <f t="shared" si="241"/>
        <v/>
      </c>
      <c r="VE12" s="11" t="str">
        <f t="shared" si="242"/>
        <v/>
      </c>
      <c r="VF12" s="15"/>
      <c r="VG12" s="15"/>
      <c r="VH12" s="15"/>
      <c r="VI12" s="15"/>
      <c r="VJ12" s="15"/>
      <c r="VK12" s="15"/>
      <c r="VL12" s="15"/>
      <c r="VM12" s="15"/>
      <c r="VN12" s="15"/>
      <c r="VO12" s="15"/>
      <c r="VP12" s="15"/>
      <c r="VQ12" s="15"/>
      <c r="VR12" s="15"/>
      <c r="VS12" s="15"/>
      <c r="VT12" s="15"/>
      <c r="VU12" s="15"/>
      <c r="VV12" s="15"/>
      <c r="VW12" s="15"/>
      <c r="VX12" s="15"/>
      <c r="VY12" s="15"/>
      <c r="VZ12" s="36" t="str">
        <f t="shared" si="243"/>
        <v/>
      </c>
      <c r="WA12" s="36" t="str">
        <f t="shared" si="244"/>
        <v/>
      </c>
      <c r="WB12" s="36" t="str">
        <f t="shared" si="245"/>
        <v/>
      </c>
      <c r="WC12" s="36" t="str">
        <f t="shared" si="246"/>
        <v/>
      </c>
      <c r="WD12" s="36" t="str">
        <f t="shared" si="247"/>
        <v/>
      </c>
      <c r="WE12" s="36" t="str">
        <f t="shared" si="248"/>
        <v/>
      </c>
      <c r="WF12" s="36" t="str">
        <f t="shared" si="249"/>
        <v/>
      </c>
      <c r="WG12" s="36" t="str">
        <f t="shared" si="250"/>
        <v/>
      </c>
      <c r="WH12" s="36" t="str">
        <f t="shared" si="251"/>
        <v/>
      </c>
      <c r="WI12" s="36" t="str">
        <f t="shared" si="252"/>
        <v/>
      </c>
      <c r="WJ12" s="36" t="str">
        <f t="shared" si="253"/>
        <v/>
      </c>
      <c r="WK12" s="36" t="str">
        <f t="shared" si="254"/>
        <v/>
      </c>
      <c r="WL12" s="36" t="str">
        <f t="shared" si="255"/>
        <v/>
      </c>
      <c r="WM12" s="36" t="str">
        <f t="shared" si="256"/>
        <v/>
      </c>
    </row>
    <row r="13" spans="1:611" x14ac:dyDescent="0.2">
      <c r="A13" s="4" t="str" cm="1">
        <f t="array" ref="A13">IF(AND(H13&lt;&gt;"",H13&lt;&gt;"No DD"),SUMPRODUCT((H$4:H$27&lt;&gt;"")*(H$4:H$27&lt;&gt;"No DD")*(E$4:E$27&gt;E13))+1,IF(H13="No DD",SUMPRODUCT((H$4:H$27="No DD")*(E$4:E$27&gt;E13))+1+SUMPRODUCT((H$4:H$27&lt;&gt;"")*(H$4:H$27&lt;&gt;"No DD")),""))</f>
        <v/>
      </c>
      <c r="B13" s="5" t="s">
        <v>119</v>
      </c>
      <c r="C13" s="4" t="s">
        <v>3</v>
      </c>
      <c r="D13" s="4">
        <v>2007</v>
      </c>
      <c r="E13" s="9">
        <f t="shared" si="0"/>
        <v>157.42001574200549</v>
      </c>
      <c r="F13" s="3" t="str">
        <f t="shared" si="1"/>
        <v/>
      </c>
      <c r="G13" s="3" t="str">
        <f t="shared" si="2"/>
        <v/>
      </c>
      <c r="H13" s="32" t="str">
        <f t="shared" si="3"/>
        <v/>
      </c>
      <c r="I13" s="3" t="str">
        <f t="shared" si="4"/>
        <v/>
      </c>
      <c r="J13" s="8">
        <f t="shared" si="5"/>
        <v>54.74</v>
      </c>
      <c r="K13" s="8" t="str">
        <f t="shared" si="6"/>
        <v>2025 Elite Canada</v>
      </c>
      <c r="L13" s="8">
        <f>IFERROR(IF(J13=AR13,LARGE((AK13,AN13,BL13,BO13,BS13,CM13,CP13,CT13),1),IF(J13=BS13,LARGE((AK13,AN13,AR13,BL13,BO13,CM13,CP13,CT13),1),LARGE((AK13,AN13,AR13,BL13,BO13,BS13,CM13,CP13),1))),0)</f>
        <v>52.31</v>
      </c>
      <c r="M13" s="8" t="str">
        <f t="shared" si="7"/>
        <v>2025 3rd Domestic Trial</v>
      </c>
      <c r="N13" s="8">
        <f>IFERROR(IF(J13=AR13,LARGE((AK13,AN13,BL13,BO13,BS13,CM13,CP13,CT13),2),IF(J13=BS13,LARGE((AK13,AN13,AR13,BL13,BO13,CM13,CP13,CT13),2),LARGE((AK13,AN13,AR13,BL13,BO13,BS13,CM13,CP13),2))),0)</f>
        <v>50.37</v>
      </c>
      <c r="O13" s="8" t="str">
        <f t="shared" si="8"/>
        <v>2025 Elite Canada</v>
      </c>
      <c r="P13" s="8">
        <f t="shared" si="9"/>
        <v>0</v>
      </c>
      <c r="Q13" s="11" t="str">
        <f t="shared" si="10"/>
        <v/>
      </c>
      <c r="R13" s="8" t="str">
        <f t="shared" si="11"/>
        <v/>
      </c>
      <c r="S13" s="18">
        <v>12.2</v>
      </c>
      <c r="T13" s="18">
        <v>8.4</v>
      </c>
      <c r="U13" s="18">
        <v>12.8</v>
      </c>
      <c r="V13" s="18">
        <v>13.33</v>
      </c>
      <c r="W13" s="18">
        <v>0.2</v>
      </c>
      <c r="X13" s="18">
        <v>15.2</v>
      </c>
      <c r="Y13" s="18">
        <v>9.1999999999999993</v>
      </c>
      <c r="Z13" s="18">
        <v>12.6</v>
      </c>
      <c r="AA13" s="18">
        <v>15.27</v>
      </c>
      <c r="AB13" s="18">
        <v>1.9</v>
      </c>
      <c r="AC13" s="18">
        <v>15.3</v>
      </c>
      <c r="AD13" s="18">
        <v>9.1</v>
      </c>
      <c r="AE13" s="18">
        <v>15.1</v>
      </c>
      <c r="AF13" s="18">
        <v>15.24</v>
      </c>
      <c r="AG13" s="18">
        <v>0</v>
      </c>
      <c r="AH13" s="23"/>
      <c r="AI13" s="34">
        <f t="shared" si="12"/>
        <v>12.8</v>
      </c>
      <c r="AJ13" s="34">
        <f t="shared" si="13"/>
        <v>13.33</v>
      </c>
      <c r="AK13" s="36">
        <f t="shared" si="14"/>
        <v>46.53</v>
      </c>
      <c r="AL13" s="36">
        <f t="shared" si="15"/>
        <v>12.6</v>
      </c>
      <c r="AM13" s="36">
        <f t="shared" si="16"/>
        <v>15.27</v>
      </c>
      <c r="AN13" s="36">
        <f t="shared" si="17"/>
        <v>50.37</v>
      </c>
      <c r="AO13" s="36">
        <f t="shared" si="18"/>
        <v>50.37</v>
      </c>
      <c r="AP13" s="36">
        <f t="shared" si="19"/>
        <v>15.1</v>
      </c>
      <c r="AQ13" s="36">
        <f t="shared" si="20"/>
        <v>15.24</v>
      </c>
      <c r="AR13" s="36">
        <f t="shared" si="21"/>
        <v>54.74</v>
      </c>
      <c r="AS13" s="36">
        <f t="shared" si="22"/>
        <v>105.11</v>
      </c>
      <c r="AT13" s="22">
        <v>11.8</v>
      </c>
      <c r="AU13" s="22">
        <v>8.6999999999999993</v>
      </c>
      <c r="AV13" s="22">
        <v>10.5</v>
      </c>
      <c r="AW13" s="22">
        <v>15.53</v>
      </c>
      <c r="AX13" s="22">
        <v>4</v>
      </c>
      <c r="AY13" s="22">
        <v>10.4</v>
      </c>
      <c r="AZ13" s="22">
        <v>8.4</v>
      </c>
      <c r="BA13" s="22">
        <v>9.6999999999999993</v>
      </c>
      <c r="BB13" s="22">
        <v>13.32</v>
      </c>
      <c r="BC13" s="22">
        <v>0</v>
      </c>
      <c r="BD13" s="22"/>
      <c r="BE13" s="22"/>
      <c r="BF13" s="22"/>
      <c r="BG13" s="22"/>
      <c r="BH13" s="22"/>
      <c r="BI13" s="24"/>
      <c r="BJ13" s="35">
        <f t="shared" si="23"/>
        <v>10.5</v>
      </c>
      <c r="BK13" s="35">
        <f t="shared" si="24"/>
        <v>15.53</v>
      </c>
      <c r="BL13" s="11">
        <f t="shared" si="25"/>
        <v>42.53</v>
      </c>
      <c r="BM13" s="11">
        <f t="shared" si="26"/>
        <v>9.6999999999999993</v>
      </c>
      <c r="BN13" s="11">
        <f t="shared" si="27"/>
        <v>13.32</v>
      </c>
      <c r="BO13" s="11">
        <f t="shared" si="28"/>
        <v>41.82</v>
      </c>
      <c r="BP13" s="11">
        <f t="shared" si="29"/>
        <v>42.53</v>
      </c>
      <c r="BQ13" s="11" t="str">
        <f t="shared" si="30"/>
        <v/>
      </c>
      <c r="BR13" s="11" t="str">
        <f t="shared" si="31"/>
        <v/>
      </c>
      <c r="BS13" s="11" t="str">
        <f t="shared" si="32"/>
        <v/>
      </c>
      <c r="BT13" s="11">
        <f t="shared" si="33"/>
        <v>42.53</v>
      </c>
      <c r="BU13" s="18">
        <v>15.4</v>
      </c>
      <c r="BV13" s="18">
        <v>9</v>
      </c>
      <c r="BW13" s="18">
        <v>13.1</v>
      </c>
      <c r="BX13" s="18">
        <v>16.21</v>
      </c>
      <c r="BY13" s="18">
        <v>1.4</v>
      </c>
      <c r="BZ13" s="18">
        <v>1.5</v>
      </c>
      <c r="CA13" s="18">
        <v>1</v>
      </c>
      <c r="CB13" s="18">
        <v>1.7</v>
      </c>
      <c r="CC13" s="18">
        <v>0</v>
      </c>
      <c r="CD13" s="18">
        <v>0</v>
      </c>
      <c r="CE13" s="18">
        <v>2.7</v>
      </c>
      <c r="CF13" s="18">
        <v>1.7</v>
      </c>
      <c r="CG13" s="18">
        <v>4</v>
      </c>
      <c r="CH13" s="18">
        <v>3.48</v>
      </c>
      <c r="CI13" s="18">
        <v>0</v>
      </c>
      <c r="CJ13" s="23"/>
      <c r="CK13" s="34">
        <f t="shared" si="34"/>
        <v>13.1</v>
      </c>
      <c r="CL13" s="34">
        <f t="shared" si="35"/>
        <v>16.21</v>
      </c>
      <c r="CM13" s="36">
        <f t="shared" si="36"/>
        <v>52.31</v>
      </c>
      <c r="CN13" s="36">
        <f t="shared" si="37"/>
        <v>1.7</v>
      </c>
      <c r="CO13" s="36" t="str">
        <f t="shared" si="38"/>
        <v/>
      </c>
      <c r="CP13" s="36">
        <f t="shared" si="39"/>
        <v>4.2</v>
      </c>
      <c r="CQ13" s="36">
        <f t="shared" si="40"/>
        <v>52.31</v>
      </c>
      <c r="CR13" s="36">
        <f t="shared" si="41"/>
        <v>4</v>
      </c>
      <c r="CS13" s="36">
        <f t="shared" si="42"/>
        <v>3.48</v>
      </c>
      <c r="CT13" s="36">
        <f t="shared" si="43"/>
        <v>11.88</v>
      </c>
      <c r="CU13" s="36">
        <f t="shared" si="44"/>
        <v>64.19</v>
      </c>
      <c r="CV13" s="47" t="str">
        <f t="shared" si="45"/>
        <v/>
      </c>
      <c r="CW13" s="47" t="str">
        <f t="shared" si="46"/>
        <v/>
      </c>
      <c r="CX13" s="15"/>
      <c r="CY13" s="15"/>
      <c r="CZ13" s="15"/>
      <c r="DA13" s="15"/>
      <c r="DB13" s="15"/>
      <c r="DC13" s="15"/>
      <c r="DD13" s="15"/>
      <c r="DE13" s="15"/>
      <c r="DF13" s="15"/>
      <c r="DG13" s="15"/>
      <c r="DH13" s="15"/>
      <c r="DI13" s="15"/>
      <c r="DJ13" s="15"/>
      <c r="DK13" s="15"/>
      <c r="DL13" s="15"/>
      <c r="DM13" s="15"/>
      <c r="DN13" s="15"/>
      <c r="DO13" s="15"/>
      <c r="DP13" s="15"/>
      <c r="DQ13" s="15"/>
      <c r="DR13" s="36" t="str">
        <f t="shared" si="47"/>
        <v/>
      </c>
      <c r="DS13" s="36" t="str">
        <f t="shared" si="48"/>
        <v/>
      </c>
      <c r="DT13" s="36" t="str">
        <f t="shared" si="49"/>
        <v/>
      </c>
      <c r="DU13" s="36" t="str">
        <f t="shared" si="50"/>
        <v/>
      </c>
      <c r="DV13" s="36" t="str">
        <f t="shared" si="51"/>
        <v/>
      </c>
      <c r="DW13" s="36" t="str">
        <f t="shared" si="52"/>
        <v/>
      </c>
      <c r="DX13" s="36" t="str">
        <f t="shared" si="53"/>
        <v/>
      </c>
      <c r="DY13" s="36" t="str">
        <f t="shared" si="54"/>
        <v/>
      </c>
      <c r="DZ13" s="36" t="str">
        <f t="shared" si="55"/>
        <v/>
      </c>
      <c r="EA13" s="36" t="str">
        <f t="shared" si="56"/>
        <v/>
      </c>
      <c r="EB13" s="36" t="str">
        <f t="shared" si="57"/>
        <v/>
      </c>
      <c r="EC13" s="36" t="str">
        <f t="shared" si="58"/>
        <v/>
      </c>
      <c r="ED13" s="36" t="str">
        <f t="shared" si="59"/>
        <v/>
      </c>
      <c r="EE13" s="36" t="str">
        <f t="shared" si="60"/>
        <v/>
      </c>
      <c r="EF13" s="16"/>
      <c r="EG13" s="16"/>
      <c r="EH13" s="16"/>
      <c r="EI13" s="16"/>
      <c r="EJ13" s="16"/>
      <c r="EK13" s="16"/>
      <c r="EL13" s="16"/>
      <c r="EM13" s="16"/>
      <c r="EN13" s="16"/>
      <c r="EO13" s="16"/>
      <c r="EP13" s="16"/>
      <c r="EQ13" s="16"/>
      <c r="ER13" s="16"/>
      <c r="ES13" s="16"/>
      <c r="ET13" s="16"/>
      <c r="EU13" s="16"/>
      <c r="EV13" s="16"/>
      <c r="EW13" s="16"/>
      <c r="EX13" s="16"/>
      <c r="EY13" s="16"/>
      <c r="EZ13" s="11" t="str">
        <f t="shared" si="61"/>
        <v/>
      </c>
      <c r="FA13" s="11" t="str">
        <f t="shared" si="62"/>
        <v/>
      </c>
      <c r="FB13" s="11" t="str">
        <f t="shared" si="63"/>
        <v/>
      </c>
      <c r="FC13" s="11" t="str">
        <f t="shared" si="64"/>
        <v/>
      </c>
      <c r="FD13" s="11" t="str">
        <f t="shared" si="65"/>
        <v/>
      </c>
      <c r="FE13" s="11" t="str">
        <f t="shared" si="66"/>
        <v/>
      </c>
      <c r="FF13" s="11" t="str">
        <f t="shared" si="67"/>
        <v/>
      </c>
      <c r="FG13" s="11" t="str">
        <f t="shared" si="68"/>
        <v/>
      </c>
      <c r="FH13" s="11" t="str">
        <f t="shared" si="69"/>
        <v/>
      </c>
      <c r="FI13" s="11" t="str">
        <f t="shared" si="70"/>
        <v/>
      </c>
      <c r="FJ13" s="11" t="str">
        <f t="shared" si="71"/>
        <v/>
      </c>
      <c r="FK13" s="11" t="str">
        <f t="shared" si="72"/>
        <v/>
      </c>
      <c r="FL13" s="11" t="str">
        <f t="shared" si="73"/>
        <v/>
      </c>
      <c r="FM13" s="11" t="str">
        <f t="shared" si="74"/>
        <v/>
      </c>
      <c r="FN13" s="15"/>
      <c r="FO13" s="15"/>
      <c r="FP13" s="15"/>
      <c r="FQ13" s="15"/>
      <c r="FR13" s="15"/>
      <c r="FS13" s="15"/>
      <c r="FT13" s="15"/>
      <c r="FU13" s="15"/>
      <c r="FV13" s="15"/>
      <c r="FW13" s="15"/>
      <c r="FX13" s="15"/>
      <c r="FY13" s="15"/>
      <c r="FZ13" s="15"/>
      <c r="GA13" s="15"/>
      <c r="GB13" s="15"/>
      <c r="GC13" s="15"/>
      <c r="GD13" s="15"/>
      <c r="GE13" s="15"/>
      <c r="GF13" s="15"/>
      <c r="GG13" s="15"/>
      <c r="GH13" s="36" t="str">
        <f t="shared" si="75"/>
        <v/>
      </c>
      <c r="GI13" s="36" t="str">
        <f t="shared" si="76"/>
        <v/>
      </c>
      <c r="GJ13" s="36" t="str">
        <f t="shared" si="77"/>
        <v/>
      </c>
      <c r="GK13" s="36" t="str">
        <f t="shared" si="78"/>
        <v/>
      </c>
      <c r="GL13" s="36" t="str">
        <f t="shared" si="79"/>
        <v/>
      </c>
      <c r="GM13" s="36" t="str">
        <f t="shared" si="80"/>
        <v/>
      </c>
      <c r="GN13" s="36" t="str">
        <f t="shared" si="81"/>
        <v/>
      </c>
      <c r="GO13" s="36" t="str">
        <f t="shared" si="82"/>
        <v/>
      </c>
      <c r="GP13" s="36" t="str">
        <f t="shared" si="83"/>
        <v/>
      </c>
      <c r="GQ13" s="36" t="str">
        <f t="shared" si="84"/>
        <v/>
      </c>
      <c r="GR13" s="36" t="str">
        <f t="shared" si="85"/>
        <v/>
      </c>
      <c r="GS13" s="36" t="str">
        <f t="shared" si="86"/>
        <v/>
      </c>
      <c r="GT13" s="36" t="str">
        <f t="shared" si="87"/>
        <v/>
      </c>
      <c r="GU13" s="36" t="str">
        <f t="shared" si="88"/>
        <v/>
      </c>
      <c r="GV13" s="16">
        <v>1.5</v>
      </c>
      <c r="GW13" s="16">
        <v>1</v>
      </c>
      <c r="GX13" s="16">
        <v>2</v>
      </c>
      <c r="GY13" s="16">
        <v>1.65</v>
      </c>
      <c r="GZ13" s="16">
        <v>0</v>
      </c>
      <c r="HA13" s="16">
        <v>2.4</v>
      </c>
      <c r="HB13" s="16">
        <v>1.6</v>
      </c>
      <c r="HC13" s="16">
        <v>3.5</v>
      </c>
      <c r="HD13" s="16">
        <v>3.19</v>
      </c>
      <c r="HE13" s="16">
        <v>0</v>
      </c>
      <c r="HF13" s="16"/>
      <c r="HG13" s="16"/>
      <c r="HH13" s="16"/>
      <c r="HI13" s="16"/>
      <c r="HJ13" s="16"/>
      <c r="HK13" s="16"/>
      <c r="HL13" s="16"/>
      <c r="HM13" s="16"/>
      <c r="HN13" s="16"/>
      <c r="HO13" s="16"/>
      <c r="HP13" s="11">
        <f t="shared" si="89"/>
        <v>2</v>
      </c>
      <c r="HQ13" s="11">
        <f t="shared" si="90"/>
        <v>1.65</v>
      </c>
      <c r="HR13" s="11">
        <f t="shared" si="91"/>
        <v>6.15</v>
      </c>
      <c r="HS13" s="11">
        <f t="shared" si="92"/>
        <v>3.5</v>
      </c>
      <c r="HT13" s="11">
        <f t="shared" si="93"/>
        <v>3.19</v>
      </c>
      <c r="HU13" s="11">
        <f t="shared" si="94"/>
        <v>10.69</v>
      </c>
      <c r="HV13" s="11">
        <f t="shared" si="95"/>
        <v>10.69</v>
      </c>
      <c r="HW13" s="11" t="str">
        <f t="shared" si="96"/>
        <v/>
      </c>
      <c r="HX13" s="11" t="str">
        <f t="shared" si="97"/>
        <v/>
      </c>
      <c r="HY13" s="11" t="str">
        <f t="shared" si="98"/>
        <v/>
      </c>
      <c r="HZ13" s="11" t="str">
        <f t="shared" si="99"/>
        <v/>
      </c>
      <c r="IA13" s="11" t="str">
        <f t="shared" si="100"/>
        <v/>
      </c>
      <c r="IB13" s="11" t="str">
        <f t="shared" si="101"/>
        <v/>
      </c>
      <c r="IC13" s="11">
        <f t="shared" si="102"/>
        <v>10.69</v>
      </c>
      <c r="ID13" s="15"/>
      <c r="IE13" s="15"/>
      <c r="IF13" s="15"/>
      <c r="IG13" s="15"/>
      <c r="IH13" s="15"/>
      <c r="II13" s="15"/>
      <c r="IJ13" s="15"/>
      <c r="IK13" s="15"/>
      <c r="IL13" s="15"/>
      <c r="IM13" s="15"/>
      <c r="IN13" s="15"/>
      <c r="IO13" s="15"/>
      <c r="IP13" s="15"/>
      <c r="IQ13" s="15"/>
      <c r="IR13" s="15"/>
      <c r="IS13" s="15"/>
      <c r="IT13" s="15"/>
      <c r="IU13" s="15"/>
      <c r="IV13" s="15"/>
      <c r="IW13" s="15"/>
      <c r="IX13" s="36" t="str">
        <f t="shared" si="103"/>
        <v/>
      </c>
      <c r="IY13" s="36" t="str">
        <f t="shared" si="104"/>
        <v/>
      </c>
      <c r="IZ13" s="36" t="str">
        <f t="shared" si="105"/>
        <v/>
      </c>
      <c r="JA13" s="36" t="str">
        <f t="shared" si="106"/>
        <v/>
      </c>
      <c r="JB13" s="36" t="str">
        <f t="shared" si="107"/>
        <v/>
      </c>
      <c r="JC13" s="36" t="str">
        <f t="shared" si="108"/>
        <v/>
      </c>
      <c r="JD13" s="36" t="str">
        <f t="shared" si="109"/>
        <v/>
      </c>
      <c r="JE13" s="36" t="str">
        <f t="shared" si="110"/>
        <v/>
      </c>
      <c r="JF13" s="36" t="str">
        <f t="shared" si="111"/>
        <v/>
      </c>
      <c r="JG13" s="36" t="str">
        <f t="shared" si="112"/>
        <v/>
      </c>
      <c r="JH13" s="36" t="str">
        <f t="shared" si="113"/>
        <v/>
      </c>
      <c r="JI13" s="36" t="str">
        <f t="shared" si="114"/>
        <v/>
      </c>
      <c r="JJ13" s="36" t="str">
        <f t="shared" si="115"/>
        <v/>
      </c>
      <c r="JK13" s="36" t="str">
        <f t="shared" si="116"/>
        <v/>
      </c>
      <c r="JL13" s="16"/>
      <c r="JM13" s="16"/>
      <c r="JN13" s="16"/>
      <c r="JO13" s="16"/>
      <c r="JP13" s="16"/>
      <c r="JQ13" s="16"/>
      <c r="JR13" s="16"/>
      <c r="JS13" s="16"/>
      <c r="JT13" s="16"/>
      <c r="JU13" s="16"/>
      <c r="JV13" s="16"/>
      <c r="JW13" s="16"/>
      <c r="JX13" s="16"/>
      <c r="JY13" s="16"/>
      <c r="JZ13" s="16"/>
      <c r="KA13" s="16"/>
      <c r="KB13" s="16"/>
      <c r="KC13" s="16"/>
      <c r="KD13" s="16"/>
      <c r="KE13" s="16"/>
      <c r="KF13" s="11" t="str">
        <f t="shared" si="117"/>
        <v/>
      </c>
      <c r="KG13" s="11" t="str">
        <f t="shared" si="118"/>
        <v/>
      </c>
      <c r="KH13" s="11" t="str">
        <f t="shared" si="119"/>
        <v/>
      </c>
      <c r="KI13" s="11" t="str">
        <f t="shared" si="120"/>
        <v/>
      </c>
      <c r="KJ13" s="11" t="str">
        <f t="shared" si="121"/>
        <v/>
      </c>
      <c r="KK13" s="11" t="str">
        <f t="shared" si="122"/>
        <v/>
      </c>
      <c r="KL13" s="11" t="str">
        <f t="shared" si="123"/>
        <v/>
      </c>
      <c r="KM13" s="11" t="str">
        <f t="shared" si="124"/>
        <v/>
      </c>
      <c r="KN13" s="11" t="str">
        <f t="shared" si="125"/>
        <v/>
      </c>
      <c r="KO13" s="11" t="str">
        <f t="shared" si="126"/>
        <v/>
      </c>
      <c r="KP13" s="11" t="str">
        <f t="shared" si="127"/>
        <v/>
      </c>
      <c r="KQ13" s="11" t="str">
        <f t="shared" si="128"/>
        <v/>
      </c>
      <c r="KR13" s="11" t="str">
        <f t="shared" si="129"/>
        <v/>
      </c>
      <c r="KS13" s="11" t="str">
        <f t="shared" si="130"/>
        <v/>
      </c>
      <c r="KT13" s="15"/>
      <c r="KU13" s="15"/>
      <c r="KV13" s="15"/>
      <c r="KW13" s="15"/>
      <c r="KX13" s="15"/>
      <c r="KY13" s="15"/>
      <c r="KZ13" s="15"/>
      <c r="LA13" s="15"/>
      <c r="LB13" s="15"/>
      <c r="LC13" s="15"/>
      <c r="LD13" s="15"/>
      <c r="LE13" s="15"/>
      <c r="LF13" s="15"/>
      <c r="LG13" s="15"/>
      <c r="LH13" s="15"/>
      <c r="LI13" s="15"/>
      <c r="LJ13" s="15"/>
      <c r="LK13" s="15"/>
      <c r="LL13" s="15"/>
      <c r="LM13" s="15"/>
      <c r="LN13" s="36" t="str">
        <f t="shared" si="131"/>
        <v/>
      </c>
      <c r="LO13" s="36" t="str">
        <f t="shared" si="132"/>
        <v/>
      </c>
      <c r="LP13" s="36" t="str">
        <f t="shared" si="133"/>
        <v/>
      </c>
      <c r="LQ13" s="36" t="str">
        <f t="shared" si="134"/>
        <v/>
      </c>
      <c r="LR13" s="36" t="str">
        <f t="shared" si="135"/>
        <v/>
      </c>
      <c r="LS13" s="36" t="str">
        <f t="shared" si="136"/>
        <v/>
      </c>
      <c r="LT13" s="36" t="str">
        <f t="shared" si="137"/>
        <v/>
      </c>
      <c r="LU13" s="36" t="str">
        <f t="shared" si="138"/>
        <v/>
      </c>
      <c r="LV13" s="36" t="str">
        <f t="shared" si="139"/>
        <v/>
      </c>
      <c r="LW13" s="36" t="str">
        <f t="shared" si="140"/>
        <v/>
      </c>
      <c r="LX13" s="36" t="str">
        <f t="shared" si="141"/>
        <v/>
      </c>
      <c r="LY13" s="36" t="str">
        <f t="shared" si="142"/>
        <v/>
      </c>
      <c r="LZ13" s="36" t="str">
        <f t="shared" si="143"/>
        <v/>
      </c>
      <c r="MA13" s="36" t="str">
        <f t="shared" si="144"/>
        <v/>
      </c>
      <c r="MB13" s="16"/>
      <c r="MC13" s="16"/>
      <c r="MD13" s="16"/>
      <c r="ME13" s="16"/>
      <c r="MF13" s="16"/>
      <c r="MG13" s="16"/>
      <c r="MH13" s="16"/>
      <c r="MI13" s="16"/>
      <c r="MJ13" s="16"/>
      <c r="MK13" s="16"/>
      <c r="ML13" s="16"/>
      <c r="MM13" s="16"/>
      <c r="MN13" s="16"/>
      <c r="MO13" s="16"/>
      <c r="MP13" s="16"/>
      <c r="MQ13" s="16"/>
      <c r="MR13" s="16"/>
      <c r="MS13" s="16"/>
      <c r="MT13" s="16"/>
      <c r="MU13" s="16"/>
      <c r="MV13" s="11" t="str">
        <f t="shared" si="145"/>
        <v/>
      </c>
      <c r="MW13" s="11" t="str">
        <f t="shared" si="146"/>
        <v/>
      </c>
      <c r="MX13" s="11" t="str">
        <f t="shared" si="147"/>
        <v/>
      </c>
      <c r="MY13" s="11" t="str">
        <f t="shared" si="148"/>
        <v/>
      </c>
      <c r="MZ13" s="11" t="str">
        <f t="shared" si="149"/>
        <v/>
      </c>
      <c r="NA13" s="11" t="str">
        <f t="shared" si="150"/>
        <v/>
      </c>
      <c r="NB13" s="11" t="str">
        <f t="shared" si="151"/>
        <v/>
      </c>
      <c r="NC13" s="11" t="str">
        <f t="shared" si="152"/>
        <v/>
      </c>
      <c r="ND13" s="11" t="str">
        <f t="shared" si="153"/>
        <v/>
      </c>
      <c r="NE13" s="11" t="str">
        <f t="shared" si="154"/>
        <v/>
      </c>
      <c r="NF13" s="11" t="str">
        <f t="shared" si="155"/>
        <v/>
      </c>
      <c r="NG13" s="11" t="str">
        <f t="shared" si="156"/>
        <v/>
      </c>
      <c r="NH13" s="11" t="str">
        <f t="shared" si="157"/>
        <v/>
      </c>
      <c r="NI13" s="11" t="str">
        <f t="shared" si="158"/>
        <v/>
      </c>
      <c r="NJ13" s="15"/>
      <c r="NK13" s="15"/>
      <c r="NL13" s="15"/>
      <c r="NM13" s="15"/>
      <c r="NN13" s="15"/>
      <c r="NO13" s="15"/>
      <c r="NP13" s="15"/>
      <c r="NQ13" s="15"/>
      <c r="NR13" s="15"/>
      <c r="NS13" s="15"/>
      <c r="NT13" s="15"/>
      <c r="NU13" s="15"/>
      <c r="NV13" s="15"/>
      <c r="NW13" s="15"/>
      <c r="NX13" s="15"/>
      <c r="NY13" s="15"/>
      <c r="NZ13" s="15"/>
      <c r="OA13" s="15"/>
      <c r="OB13" s="15"/>
      <c r="OC13" s="15"/>
      <c r="OD13" s="36" t="str">
        <f t="shared" si="159"/>
        <v/>
      </c>
      <c r="OE13" s="36" t="str">
        <f t="shared" si="160"/>
        <v/>
      </c>
      <c r="OF13" s="36" t="str">
        <f t="shared" si="161"/>
        <v/>
      </c>
      <c r="OG13" s="36" t="str">
        <f t="shared" si="162"/>
        <v/>
      </c>
      <c r="OH13" s="36" t="str">
        <f t="shared" si="163"/>
        <v/>
      </c>
      <c r="OI13" s="36" t="str">
        <f t="shared" si="164"/>
        <v/>
      </c>
      <c r="OJ13" s="36" t="str">
        <f t="shared" si="165"/>
        <v/>
      </c>
      <c r="OK13" s="36" t="str">
        <f t="shared" si="166"/>
        <v/>
      </c>
      <c r="OL13" s="36" t="str">
        <f t="shared" si="167"/>
        <v/>
      </c>
      <c r="OM13" s="36" t="str">
        <f t="shared" si="168"/>
        <v/>
      </c>
      <c r="ON13" s="36" t="str">
        <f t="shared" si="169"/>
        <v/>
      </c>
      <c r="OO13" s="36" t="str">
        <f t="shared" si="170"/>
        <v/>
      </c>
      <c r="OP13" s="36" t="str">
        <f t="shared" si="171"/>
        <v/>
      </c>
      <c r="OQ13" s="36" t="str">
        <f t="shared" si="172"/>
        <v/>
      </c>
      <c r="OR13" s="16"/>
      <c r="OS13" s="16"/>
      <c r="OT13" s="16"/>
      <c r="OU13" s="16"/>
      <c r="OV13" s="16"/>
      <c r="OW13" s="16"/>
      <c r="OX13" s="16"/>
      <c r="OY13" s="16"/>
      <c r="OZ13" s="16"/>
      <c r="PA13" s="16"/>
      <c r="PB13" s="16"/>
      <c r="PC13" s="16"/>
      <c r="PD13" s="16"/>
      <c r="PE13" s="16"/>
      <c r="PF13" s="16"/>
      <c r="PG13" s="16"/>
      <c r="PH13" s="16"/>
      <c r="PI13" s="16"/>
      <c r="PJ13" s="16"/>
      <c r="PK13" s="16"/>
      <c r="PL13" s="11" t="str">
        <f t="shared" si="173"/>
        <v/>
      </c>
      <c r="PM13" s="11" t="str">
        <f t="shared" si="174"/>
        <v/>
      </c>
      <c r="PN13" s="11" t="str">
        <f t="shared" si="175"/>
        <v/>
      </c>
      <c r="PO13" s="11" t="str">
        <f t="shared" si="176"/>
        <v/>
      </c>
      <c r="PP13" s="11" t="str">
        <f t="shared" si="177"/>
        <v/>
      </c>
      <c r="PQ13" s="11" t="str">
        <f t="shared" si="178"/>
        <v/>
      </c>
      <c r="PR13" s="11" t="str">
        <f t="shared" si="179"/>
        <v/>
      </c>
      <c r="PS13" s="11" t="str">
        <f t="shared" si="180"/>
        <v/>
      </c>
      <c r="PT13" s="11" t="str">
        <f t="shared" si="181"/>
        <v/>
      </c>
      <c r="PU13" s="11" t="str">
        <f t="shared" si="182"/>
        <v/>
      </c>
      <c r="PV13" s="11" t="str">
        <f t="shared" si="183"/>
        <v/>
      </c>
      <c r="PW13" s="11" t="str">
        <f t="shared" si="184"/>
        <v/>
      </c>
      <c r="PX13" s="11" t="str">
        <f t="shared" si="185"/>
        <v/>
      </c>
      <c r="PY13" s="11" t="str">
        <f t="shared" si="186"/>
        <v/>
      </c>
      <c r="PZ13" s="15"/>
      <c r="QA13" s="15"/>
      <c r="QB13" s="15"/>
      <c r="QC13" s="15"/>
      <c r="QD13" s="15"/>
      <c r="QE13" s="15"/>
      <c r="QF13" s="15"/>
      <c r="QG13" s="15"/>
      <c r="QH13" s="15"/>
      <c r="QI13" s="15"/>
      <c r="QJ13" s="15"/>
      <c r="QK13" s="15"/>
      <c r="QL13" s="15"/>
      <c r="QM13" s="15"/>
      <c r="QN13" s="15"/>
      <c r="QO13" s="15"/>
      <c r="QP13" s="15"/>
      <c r="QQ13" s="15"/>
      <c r="QR13" s="15"/>
      <c r="QS13" s="15"/>
      <c r="QT13" s="36" t="str">
        <f t="shared" si="187"/>
        <v/>
      </c>
      <c r="QU13" s="36" t="str">
        <f t="shared" si="188"/>
        <v/>
      </c>
      <c r="QV13" s="36" t="str">
        <f t="shared" si="189"/>
        <v/>
      </c>
      <c r="QW13" s="36" t="str">
        <f t="shared" si="190"/>
        <v/>
      </c>
      <c r="QX13" s="36" t="str">
        <f t="shared" si="191"/>
        <v/>
      </c>
      <c r="QY13" s="36" t="str">
        <f t="shared" si="192"/>
        <v/>
      </c>
      <c r="QZ13" s="36" t="str">
        <f t="shared" si="193"/>
        <v/>
      </c>
      <c r="RA13" s="36" t="str">
        <f t="shared" si="194"/>
        <v/>
      </c>
      <c r="RB13" s="36" t="str">
        <f t="shared" si="195"/>
        <v/>
      </c>
      <c r="RC13" s="36" t="str">
        <f t="shared" si="196"/>
        <v/>
      </c>
      <c r="RD13" s="36" t="str">
        <f t="shared" si="197"/>
        <v/>
      </c>
      <c r="RE13" s="36" t="str">
        <f t="shared" si="198"/>
        <v/>
      </c>
      <c r="RF13" s="36" t="str">
        <f t="shared" si="199"/>
        <v/>
      </c>
      <c r="RG13" s="36" t="str">
        <f t="shared" si="200"/>
        <v/>
      </c>
      <c r="RH13" s="16"/>
      <c r="RI13" s="16"/>
      <c r="RJ13" s="16"/>
      <c r="RK13" s="16"/>
      <c r="RL13" s="16"/>
      <c r="RM13" s="16"/>
      <c r="RN13" s="16"/>
      <c r="RO13" s="16"/>
      <c r="RP13" s="16"/>
      <c r="RQ13" s="16"/>
      <c r="RR13" s="16"/>
      <c r="RS13" s="16"/>
      <c r="RT13" s="16"/>
      <c r="RU13" s="16"/>
      <c r="RV13" s="16"/>
      <c r="RW13" s="16"/>
      <c r="RX13" s="16"/>
      <c r="RY13" s="16"/>
      <c r="RZ13" s="16"/>
      <c r="SA13" s="16"/>
      <c r="SB13" s="11" t="str">
        <f t="shared" si="201"/>
        <v/>
      </c>
      <c r="SC13" s="11" t="str">
        <f t="shared" si="202"/>
        <v/>
      </c>
      <c r="SD13" s="11" t="str">
        <f t="shared" si="203"/>
        <v/>
      </c>
      <c r="SE13" s="11" t="str">
        <f t="shared" si="204"/>
        <v/>
      </c>
      <c r="SF13" s="11" t="str">
        <f t="shared" si="205"/>
        <v/>
      </c>
      <c r="SG13" s="11" t="str">
        <f t="shared" si="206"/>
        <v/>
      </c>
      <c r="SH13" s="11" t="str">
        <f t="shared" si="207"/>
        <v/>
      </c>
      <c r="SI13" s="11" t="str">
        <f t="shared" si="208"/>
        <v/>
      </c>
      <c r="SJ13" s="11" t="str">
        <f t="shared" si="209"/>
        <v/>
      </c>
      <c r="SK13" s="11" t="str">
        <f t="shared" si="210"/>
        <v/>
      </c>
      <c r="SL13" s="11" t="str">
        <f t="shared" si="211"/>
        <v/>
      </c>
      <c r="SM13" s="11" t="str">
        <f t="shared" si="212"/>
        <v/>
      </c>
      <c r="SN13" s="11" t="str">
        <f t="shared" si="213"/>
        <v/>
      </c>
      <c r="SO13" s="11" t="str">
        <f t="shared" si="214"/>
        <v/>
      </c>
      <c r="SP13" s="15"/>
      <c r="SQ13" s="15"/>
      <c r="SR13" s="15"/>
      <c r="SS13" s="15"/>
      <c r="ST13" s="15"/>
      <c r="SU13" s="15"/>
      <c r="SV13" s="15"/>
      <c r="SW13" s="15"/>
      <c r="SX13" s="15"/>
      <c r="SY13" s="15"/>
      <c r="SZ13" s="15"/>
      <c r="TA13" s="15"/>
      <c r="TB13" s="15"/>
      <c r="TC13" s="15"/>
      <c r="TD13" s="15"/>
      <c r="TE13" s="15"/>
      <c r="TF13" s="15"/>
      <c r="TG13" s="15"/>
      <c r="TH13" s="15"/>
      <c r="TI13" s="15"/>
      <c r="TJ13" s="36" t="str">
        <f t="shared" si="215"/>
        <v/>
      </c>
      <c r="TK13" s="36" t="str">
        <f t="shared" si="216"/>
        <v/>
      </c>
      <c r="TL13" s="36" t="str">
        <f t="shared" si="217"/>
        <v/>
      </c>
      <c r="TM13" s="36" t="str">
        <f t="shared" si="218"/>
        <v/>
      </c>
      <c r="TN13" s="36" t="str">
        <f t="shared" si="219"/>
        <v/>
      </c>
      <c r="TO13" s="36" t="str">
        <f t="shared" si="220"/>
        <v/>
      </c>
      <c r="TP13" s="36" t="str">
        <f t="shared" si="221"/>
        <v/>
      </c>
      <c r="TQ13" s="36" t="str">
        <f t="shared" si="222"/>
        <v/>
      </c>
      <c r="TR13" s="36" t="str">
        <f t="shared" si="223"/>
        <v/>
      </c>
      <c r="TS13" s="36" t="str">
        <f t="shared" si="224"/>
        <v/>
      </c>
      <c r="TT13" s="36" t="str">
        <f t="shared" si="225"/>
        <v/>
      </c>
      <c r="TU13" s="36" t="str">
        <f t="shared" si="226"/>
        <v/>
      </c>
      <c r="TV13" s="36" t="str">
        <f t="shared" si="227"/>
        <v/>
      </c>
      <c r="TW13" s="36" t="str">
        <f t="shared" si="228"/>
        <v/>
      </c>
      <c r="TX13" s="16"/>
      <c r="TY13" s="16"/>
      <c r="TZ13" s="16"/>
      <c r="UA13" s="16"/>
      <c r="UB13" s="16"/>
      <c r="UC13" s="16"/>
      <c r="UD13" s="16"/>
      <c r="UE13" s="16"/>
      <c r="UF13" s="16"/>
      <c r="UG13" s="16"/>
      <c r="UH13" s="16"/>
      <c r="UI13" s="16"/>
      <c r="UJ13" s="16"/>
      <c r="UK13" s="16"/>
      <c r="UL13" s="16"/>
      <c r="UM13" s="16"/>
      <c r="UN13" s="16"/>
      <c r="UO13" s="16"/>
      <c r="UP13" s="16"/>
      <c r="UQ13" s="16"/>
      <c r="UR13" s="11" t="str">
        <f t="shared" si="229"/>
        <v/>
      </c>
      <c r="US13" s="11" t="str">
        <f t="shared" si="230"/>
        <v/>
      </c>
      <c r="UT13" s="11" t="str">
        <f t="shared" si="231"/>
        <v/>
      </c>
      <c r="UU13" s="11" t="str">
        <f t="shared" si="232"/>
        <v/>
      </c>
      <c r="UV13" s="11" t="str">
        <f t="shared" si="233"/>
        <v/>
      </c>
      <c r="UW13" s="11" t="str">
        <f t="shared" si="234"/>
        <v/>
      </c>
      <c r="UX13" s="11" t="str">
        <f t="shared" si="235"/>
        <v/>
      </c>
      <c r="UY13" s="11" t="str">
        <f t="shared" si="236"/>
        <v/>
      </c>
      <c r="UZ13" s="11" t="str">
        <f t="shared" si="237"/>
        <v/>
      </c>
      <c r="VA13" s="11" t="str">
        <f t="shared" si="238"/>
        <v/>
      </c>
      <c r="VB13" s="11" t="str">
        <f t="shared" si="239"/>
        <v/>
      </c>
      <c r="VC13" s="11" t="str">
        <f t="shared" si="240"/>
        <v/>
      </c>
      <c r="VD13" s="11" t="str">
        <f t="shared" si="241"/>
        <v/>
      </c>
      <c r="VE13" s="11" t="str">
        <f t="shared" si="242"/>
        <v/>
      </c>
      <c r="VF13" s="15"/>
      <c r="VG13" s="15"/>
      <c r="VH13" s="15"/>
      <c r="VI13" s="15"/>
      <c r="VJ13" s="15"/>
      <c r="VK13" s="15"/>
      <c r="VL13" s="15"/>
      <c r="VM13" s="15"/>
      <c r="VN13" s="15"/>
      <c r="VO13" s="15"/>
      <c r="VP13" s="15"/>
      <c r="VQ13" s="15"/>
      <c r="VR13" s="15"/>
      <c r="VS13" s="15"/>
      <c r="VT13" s="15"/>
      <c r="VU13" s="15"/>
      <c r="VV13" s="15"/>
      <c r="VW13" s="15"/>
      <c r="VX13" s="15"/>
      <c r="VY13" s="15"/>
      <c r="VZ13" s="36" t="str">
        <f t="shared" si="243"/>
        <v/>
      </c>
      <c r="WA13" s="36" t="str">
        <f t="shared" si="244"/>
        <v/>
      </c>
      <c r="WB13" s="36" t="str">
        <f t="shared" si="245"/>
        <v/>
      </c>
      <c r="WC13" s="36" t="str">
        <f t="shared" si="246"/>
        <v/>
      </c>
      <c r="WD13" s="36" t="str">
        <f t="shared" si="247"/>
        <v/>
      </c>
      <c r="WE13" s="36" t="str">
        <f t="shared" si="248"/>
        <v/>
      </c>
      <c r="WF13" s="36" t="str">
        <f t="shared" si="249"/>
        <v/>
      </c>
      <c r="WG13" s="36" t="str">
        <f t="shared" si="250"/>
        <v/>
      </c>
      <c r="WH13" s="36" t="str">
        <f t="shared" si="251"/>
        <v/>
      </c>
      <c r="WI13" s="36" t="str">
        <f t="shared" si="252"/>
        <v/>
      </c>
      <c r="WJ13" s="36" t="str">
        <f t="shared" si="253"/>
        <v/>
      </c>
      <c r="WK13" s="36" t="str">
        <f t="shared" si="254"/>
        <v/>
      </c>
      <c r="WL13" s="36" t="str">
        <f t="shared" si="255"/>
        <v/>
      </c>
      <c r="WM13" s="36" t="str">
        <f t="shared" si="256"/>
        <v/>
      </c>
    </row>
    <row r="14" spans="1:611" x14ac:dyDescent="0.2">
      <c r="A14" s="4" t="str" cm="1">
        <f t="array" ref="A14">IF(AND(H14&lt;&gt;"",H14&lt;&gt;"No DD"),SUMPRODUCT((H$4:H$27&lt;&gt;"")*(H$4:H$27&lt;&gt;"No DD")*(E$4:E$27&gt;E14))+1,IF(H14="No DD",SUMPRODUCT((H$4:H$27="No DD")*(E$4:E$27&gt;E14))+1+SUMPRODUCT((H$4:H$27&lt;&gt;"")*(H$4:H$27&lt;&gt;"No DD")),""))</f>
        <v/>
      </c>
      <c r="B14" s="5" t="s">
        <v>88</v>
      </c>
      <c r="C14" s="4" t="s">
        <v>3</v>
      </c>
      <c r="D14" s="4">
        <v>2005</v>
      </c>
      <c r="E14" s="9">
        <f t="shared" si="0"/>
        <v>154.97001533400515</v>
      </c>
      <c r="F14" s="3" t="str">
        <f t="shared" si="1"/>
        <v/>
      </c>
      <c r="G14" s="3" t="str">
        <f t="shared" si="2"/>
        <v/>
      </c>
      <c r="H14" s="32" t="str">
        <f t="shared" si="3"/>
        <v/>
      </c>
      <c r="I14" s="3" t="str">
        <f t="shared" si="4"/>
        <v/>
      </c>
      <c r="J14" s="8">
        <f t="shared" si="5"/>
        <v>50.58</v>
      </c>
      <c r="K14" s="8" t="str">
        <f t="shared" si="6"/>
        <v>2025 Nationals</v>
      </c>
      <c r="L14" s="8">
        <f>IFERROR(IF(J14=AR14,LARGE((AK14,AN14,BL14,BO14,BS14,CM14,CP14,CT14),1),IF(J14=BS14,LARGE((AK14,AN14,AR14,BL14,BO14,CM14,CP14,CT14),1),LARGE((AK14,AN14,AR14,BL14,BO14,BS14,CM14,CP14),1))),0)</f>
        <v>51.749999999999993</v>
      </c>
      <c r="M14" s="8" t="str">
        <f t="shared" si="7"/>
        <v>2025 Elite Canada</v>
      </c>
      <c r="N14" s="8">
        <f>IFERROR(IF(J14=AR14,LARGE((AK14,AN14,BL14,BO14,BS14,CM14,CP14,CT14),2),IF(J14=BS14,LARGE((AK14,AN14,AR14,BL14,BO14,CM14,CP14,CT14),2),LARGE((AK14,AN14,AR14,BL14,BO14,BS14,CM14,CP14),2))),0)</f>
        <v>51.01</v>
      </c>
      <c r="O14" s="8" t="str">
        <f t="shared" si="8"/>
        <v>2025 Nationals</v>
      </c>
      <c r="P14" s="8">
        <f t="shared" si="9"/>
        <v>1.6299999999999955</v>
      </c>
      <c r="Q14" s="11" t="str">
        <f t="shared" si="10"/>
        <v>(Final)</v>
      </c>
      <c r="R14" s="8" t="str">
        <f t="shared" si="11"/>
        <v>2025 Coimbra Gym Fest (July 6)</v>
      </c>
      <c r="S14" s="18">
        <v>13.1</v>
      </c>
      <c r="T14" s="18">
        <v>9</v>
      </c>
      <c r="U14" s="18">
        <v>12.5</v>
      </c>
      <c r="V14" s="18">
        <v>15.37</v>
      </c>
      <c r="W14" s="18">
        <v>2.4</v>
      </c>
      <c r="X14" s="18">
        <v>14</v>
      </c>
      <c r="Y14" s="18">
        <v>8.9</v>
      </c>
      <c r="Z14" s="18">
        <v>13.9</v>
      </c>
      <c r="AA14" s="18">
        <v>15.55</v>
      </c>
      <c r="AB14" s="18">
        <v>0.6</v>
      </c>
      <c r="AC14" s="18">
        <v>1.6</v>
      </c>
      <c r="AD14" s="18">
        <v>1</v>
      </c>
      <c r="AE14" s="18">
        <v>2</v>
      </c>
      <c r="AF14" s="18">
        <v>1.72</v>
      </c>
      <c r="AG14" s="18">
        <v>0</v>
      </c>
      <c r="AH14" s="23"/>
      <c r="AI14" s="34">
        <f t="shared" si="12"/>
        <v>12.5</v>
      </c>
      <c r="AJ14" s="34">
        <f t="shared" si="13"/>
        <v>15.37</v>
      </c>
      <c r="AK14" s="36">
        <f t="shared" si="14"/>
        <v>47.57</v>
      </c>
      <c r="AL14" s="36">
        <f t="shared" si="15"/>
        <v>13.9</v>
      </c>
      <c r="AM14" s="36">
        <f t="shared" si="16"/>
        <v>15.55</v>
      </c>
      <c r="AN14" s="36">
        <f t="shared" si="17"/>
        <v>51.749999999999993</v>
      </c>
      <c r="AO14" s="36">
        <f t="shared" si="18"/>
        <v>51.749999999999993</v>
      </c>
      <c r="AP14" s="36">
        <f t="shared" si="19"/>
        <v>2</v>
      </c>
      <c r="AQ14" s="36">
        <f t="shared" si="20"/>
        <v>1.72</v>
      </c>
      <c r="AR14" s="36">
        <f t="shared" si="21"/>
        <v>6.3199999999999994</v>
      </c>
      <c r="AS14" s="36">
        <f t="shared" si="22"/>
        <v>58.069999999999993</v>
      </c>
      <c r="AT14" s="22">
        <v>12.8</v>
      </c>
      <c r="AU14" s="22">
        <v>9.1</v>
      </c>
      <c r="AV14" s="22">
        <v>14.1</v>
      </c>
      <c r="AW14" s="22">
        <v>15.41</v>
      </c>
      <c r="AX14" s="22">
        <v>0.4</v>
      </c>
      <c r="AY14" s="22">
        <v>12.3</v>
      </c>
      <c r="AZ14" s="22">
        <v>9.5</v>
      </c>
      <c r="BA14" s="22">
        <v>11.1</v>
      </c>
      <c r="BB14" s="22">
        <v>15.73</v>
      </c>
      <c r="BC14" s="22">
        <v>3.4</v>
      </c>
      <c r="BD14" s="22">
        <v>14.3</v>
      </c>
      <c r="BE14" s="22">
        <v>9</v>
      </c>
      <c r="BF14" s="22">
        <v>13.1</v>
      </c>
      <c r="BG14" s="22">
        <v>15.58</v>
      </c>
      <c r="BH14" s="22">
        <v>1.4</v>
      </c>
      <c r="BI14" s="24"/>
      <c r="BJ14" s="35">
        <f t="shared" si="23"/>
        <v>14.1</v>
      </c>
      <c r="BK14" s="35">
        <f t="shared" si="24"/>
        <v>15.41</v>
      </c>
      <c r="BL14" s="11">
        <f t="shared" si="25"/>
        <v>51.01</v>
      </c>
      <c r="BM14" s="11">
        <f t="shared" si="26"/>
        <v>11.1</v>
      </c>
      <c r="BN14" s="11">
        <f t="shared" si="27"/>
        <v>15.73</v>
      </c>
      <c r="BO14" s="11">
        <f t="shared" si="28"/>
        <v>45.23</v>
      </c>
      <c r="BP14" s="11">
        <f t="shared" si="29"/>
        <v>51.01</v>
      </c>
      <c r="BQ14" s="11">
        <f t="shared" si="30"/>
        <v>13.1</v>
      </c>
      <c r="BR14" s="11">
        <f t="shared" si="31"/>
        <v>15.58</v>
      </c>
      <c r="BS14" s="11">
        <f t="shared" si="32"/>
        <v>50.58</v>
      </c>
      <c r="BT14" s="11">
        <f t="shared" si="33"/>
        <v>101.59</v>
      </c>
      <c r="BU14" s="18">
        <v>12</v>
      </c>
      <c r="BV14" s="18">
        <v>9.4</v>
      </c>
      <c r="BW14" s="18">
        <v>11.7</v>
      </c>
      <c r="BX14" s="18">
        <v>16.170000000000002</v>
      </c>
      <c r="BY14" s="18">
        <v>4</v>
      </c>
      <c r="BZ14" s="18">
        <v>5.6</v>
      </c>
      <c r="CA14" s="18">
        <v>3.8</v>
      </c>
      <c r="CB14" s="18">
        <v>6.3</v>
      </c>
      <c r="CC14" s="18">
        <v>6.78</v>
      </c>
      <c r="CD14" s="18">
        <v>0</v>
      </c>
      <c r="CE14" s="18"/>
      <c r="CF14" s="18"/>
      <c r="CG14" s="18"/>
      <c r="CH14" s="18"/>
      <c r="CI14" s="18"/>
      <c r="CJ14" s="23"/>
      <c r="CK14" s="34">
        <f t="shared" si="34"/>
        <v>11.7</v>
      </c>
      <c r="CL14" s="34">
        <f t="shared" si="35"/>
        <v>16.170000000000002</v>
      </c>
      <c r="CM14" s="36">
        <f t="shared" si="36"/>
        <v>45.269999999999996</v>
      </c>
      <c r="CN14" s="36">
        <f t="shared" si="37"/>
        <v>6.3</v>
      </c>
      <c r="CO14" s="36">
        <f t="shared" si="38"/>
        <v>6.78</v>
      </c>
      <c r="CP14" s="36">
        <f t="shared" si="39"/>
        <v>22.48</v>
      </c>
      <c r="CQ14" s="36">
        <f t="shared" si="40"/>
        <v>45.269999999999996</v>
      </c>
      <c r="CR14" s="36" t="str">
        <f t="shared" si="41"/>
        <v/>
      </c>
      <c r="CS14" s="36" t="str">
        <f t="shared" si="42"/>
        <v/>
      </c>
      <c r="CT14" s="36" t="str">
        <f t="shared" si="43"/>
        <v/>
      </c>
      <c r="CU14" s="36">
        <f t="shared" si="44"/>
        <v>45.269999999999996</v>
      </c>
      <c r="CV14" s="47">
        <f t="shared" si="45"/>
        <v>1.6299999999999955</v>
      </c>
      <c r="CW14" s="47">
        <f t="shared" si="46"/>
        <v>1.3000000000000043</v>
      </c>
      <c r="CX14" s="15"/>
      <c r="CY14" s="15"/>
      <c r="CZ14" s="15"/>
      <c r="DA14" s="15"/>
      <c r="DB14" s="15"/>
      <c r="DC14" s="15"/>
      <c r="DD14" s="15"/>
      <c r="DE14" s="15"/>
      <c r="DF14" s="15"/>
      <c r="DG14" s="15"/>
      <c r="DH14" s="15"/>
      <c r="DI14" s="15"/>
      <c r="DJ14" s="15"/>
      <c r="DK14" s="15"/>
      <c r="DL14" s="15"/>
      <c r="DM14" s="15"/>
      <c r="DN14" s="15"/>
      <c r="DO14" s="15"/>
      <c r="DP14" s="15"/>
      <c r="DQ14" s="15"/>
      <c r="DR14" s="36" t="str">
        <f t="shared" si="47"/>
        <v/>
      </c>
      <c r="DS14" s="36" t="str">
        <f t="shared" si="48"/>
        <v/>
      </c>
      <c r="DT14" s="36" t="str">
        <f t="shared" si="49"/>
        <v/>
      </c>
      <c r="DU14" s="36" t="str">
        <f t="shared" si="50"/>
        <v/>
      </c>
      <c r="DV14" s="36" t="str">
        <f t="shared" si="51"/>
        <v/>
      </c>
      <c r="DW14" s="36" t="str">
        <f t="shared" si="52"/>
        <v/>
      </c>
      <c r="DX14" s="36" t="str">
        <f t="shared" si="53"/>
        <v/>
      </c>
      <c r="DY14" s="36" t="str">
        <f t="shared" si="54"/>
        <v/>
      </c>
      <c r="DZ14" s="36" t="str">
        <f t="shared" si="55"/>
        <v/>
      </c>
      <c r="EA14" s="36" t="str">
        <f t="shared" si="56"/>
        <v/>
      </c>
      <c r="EB14" s="36" t="str">
        <f t="shared" si="57"/>
        <v/>
      </c>
      <c r="EC14" s="36" t="str">
        <f t="shared" si="58"/>
        <v/>
      </c>
      <c r="ED14" s="36" t="str">
        <f t="shared" si="59"/>
        <v/>
      </c>
      <c r="EE14" s="36" t="str">
        <f t="shared" si="60"/>
        <v/>
      </c>
      <c r="EF14" s="16"/>
      <c r="EG14" s="16"/>
      <c r="EH14" s="16"/>
      <c r="EI14" s="16"/>
      <c r="EJ14" s="16"/>
      <c r="EK14" s="16"/>
      <c r="EL14" s="16"/>
      <c r="EM14" s="16"/>
      <c r="EN14" s="16"/>
      <c r="EO14" s="16"/>
      <c r="EP14" s="16"/>
      <c r="EQ14" s="16"/>
      <c r="ER14" s="16"/>
      <c r="ES14" s="16"/>
      <c r="ET14" s="16"/>
      <c r="EU14" s="16"/>
      <c r="EV14" s="16"/>
      <c r="EW14" s="16"/>
      <c r="EX14" s="16"/>
      <c r="EY14" s="16"/>
      <c r="EZ14" s="11" t="str">
        <f t="shared" si="61"/>
        <v/>
      </c>
      <c r="FA14" s="11" t="str">
        <f t="shared" si="62"/>
        <v/>
      </c>
      <c r="FB14" s="11" t="str">
        <f t="shared" si="63"/>
        <v/>
      </c>
      <c r="FC14" s="11" t="str">
        <f t="shared" si="64"/>
        <v/>
      </c>
      <c r="FD14" s="11" t="str">
        <f t="shared" si="65"/>
        <v/>
      </c>
      <c r="FE14" s="11" t="str">
        <f t="shared" si="66"/>
        <v/>
      </c>
      <c r="FF14" s="11" t="str">
        <f t="shared" si="67"/>
        <v/>
      </c>
      <c r="FG14" s="11" t="str">
        <f t="shared" si="68"/>
        <v/>
      </c>
      <c r="FH14" s="11" t="str">
        <f t="shared" si="69"/>
        <v/>
      </c>
      <c r="FI14" s="11" t="str">
        <f t="shared" si="70"/>
        <v/>
      </c>
      <c r="FJ14" s="11" t="str">
        <f t="shared" si="71"/>
        <v/>
      </c>
      <c r="FK14" s="11" t="str">
        <f t="shared" si="72"/>
        <v/>
      </c>
      <c r="FL14" s="11" t="str">
        <f t="shared" si="73"/>
        <v/>
      </c>
      <c r="FM14" s="11" t="str">
        <f t="shared" si="74"/>
        <v/>
      </c>
      <c r="FN14" s="15"/>
      <c r="FO14" s="15"/>
      <c r="FP14" s="15"/>
      <c r="FQ14" s="15"/>
      <c r="FR14" s="15"/>
      <c r="FS14" s="15"/>
      <c r="FT14" s="15"/>
      <c r="FU14" s="15"/>
      <c r="FV14" s="15"/>
      <c r="FW14" s="15"/>
      <c r="FX14" s="15"/>
      <c r="FY14" s="15"/>
      <c r="FZ14" s="15"/>
      <c r="GA14" s="15"/>
      <c r="GB14" s="15"/>
      <c r="GC14" s="15"/>
      <c r="GD14" s="15"/>
      <c r="GE14" s="15"/>
      <c r="GF14" s="15"/>
      <c r="GG14" s="15"/>
      <c r="GH14" s="36" t="str">
        <f t="shared" si="75"/>
        <v/>
      </c>
      <c r="GI14" s="36" t="str">
        <f t="shared" si="76"/>
        <v/>
      </c>
      <c r="GJ14" s="36" t="str">
        <f t="shared" si="77"/>
        <v/>
      </c>
      <c r="GK14" s="36" t="str">
        <f t="shared" si="78"/>
        <v/>
      </c>
      <c r="GL14" s="36" t="str">
        <f t="shared" si="79"/>
        <v/>
      </c>
      <c r="GM14" s="36" t="str">
        <f t="shared" si="80"/>
        <v/>
      </c>
      <c r="GN14" s="36" t="str">
        <f t="shared" si="81"/>
        <v/>
      </c>
      <c r="GO14" s="36" t="str">
        <f t="shared" si="82"/>
        <v/>
      </c>
      <c r="GP14" s="36" t="str">
        <f t="shared" si="83"/>
        <v/>
      </c>
      <c r="GQ14" s="36" t="str">
        <f t="shared" si="84"/>
        <v/>
      </c>
      <c r="GR14" s="36" t="str">
        <f t="shared" si="85"/>
        <v/>
      </c>
      <c r="GS14" s="36" t="str">
        <f t="shared" si="86"/>
        <v/>
      </c>
      <c r="GT14" s="36" t="str">
        <f t="shared" si="87"/>
        <v/>
      </c>
      <c r="GU14" s="36" t="str">
        <f t="shared" si="88"/>
        <v/>
      </c>
      <c r="GV14" s="16">
        <v>14</v>
      </c>
      <c r="GW14" s="16">
        <v>9.5</v>
      </c>
      <c r="GX14" s="16">
        <v>12.9</v>
      </c>
      <c r="GY14" s="16">
        <v>15.91</v>
      </c>
      <c r="GZ14" s="16">
        <v>0</v>
      </c>
      <c r="HA14" s="16">
        <v>12.7</v>
      </c>
      <c r="HB14" s="16">
        <v>9.4</v>
      </c>
      <c r="HC14" s="16">
        <v>12.9</v>
      </c>
      <c r="HD14" s="16">
        <v>15.75</v>
      </c>
      <c r="HE14" s="16">
        <v>0</v>
      </c>
      <c r="HF14" s="16">
        <v>13.6</v>
      </c>
      <c r="HG14" s="16">
        <v>9.6999999999999993</v>
      </c>
      <c r="HH14" s="16">
        <v>12.9</v>
      </c>
      <c r="HI14" s="16">
        <v>16.010000000000002</v>
      </c>
      <c r="HJ14" s="16">
        <v>0</v>
      </c>
      <c r="HK14" s="16"/>
      <c r="HL14" s="16"/>
      <c r="HM14" s="16"/>
      <c r="HN14" s="16"/>
      <c r="HO14" s="16"/>
      <c r="HP14" s="11">
        <f t="shared" si="89"/>
        <v>12.9</v>
      </c>
      <c r="HQ14" s="11">
        <f t="shared" si="90"/>
        <v>15.91</v>
      </c>
      <c r="HR14" s="11">
        <f t="shared" si="91"/>
        <v>52.31</v>
      </c>
      <c r="HS14" s="11">
        <f t="shared" si="92"/>
        <v>12.9</v>
      </c>
      <c r="HT14" s="11">
        <f t="shared" si="93"/>
        <v>15.75</v>
      </c>
      <c r="HU14" s="11">
        <f t="shared" si="94"/>
        <v>50.75</v>
      </c>
      <c r="HV14" s="11">
        <f t="shared" si="95"/>
        <v>52.31</v>
      </c>
      <c r="HW14" s="11">
        <f t="shared" si="96"/>
        <v>12.9</v>
      </c>
      <c r="HX14" s="11">
        <f t="shared" si="97"/>
        <v>16.010000000000002</v>
      </c>
      <c r="HY14" s="11">
        <f t="shared" si="98"/>
        <v>52.209999999999994</v>
      </c>
      <c r="HZ14" s="11" t="str">
        <f t="shared" si="99"/>
        <v/>
      </c>
      <c r="IA14" s="11" t="str">
        <f t="shared" si="100"/>
        <v/>
      </c>
      <c r="IB14" s="11" t="str">
        <f t="shared" si="101"/>
        <v/>
      </c>
      <c r="IC14" s="11">
        <f t="shared" si="102"/>
        <v>104.52</v>
      </c>
      <c r="ID14" s="15"/>
      <c r="IE14" s="15"/>
      <c r="IF14" s="15"/>
      <c r="IG14" s="15"/>
      <c r="IH14" s="15"/>
      <c r="II14" s="15"/>
      <c r="IJ14" s="15"/>
      <c r="IK14" s="15"/>
      <c r="IL14" s="15"/>
      <c r="IM14" s="15"/>
      <c r="IN14" s="15"/>
      <c r="IO14" s="15"/>
      <c r="IP14" s="15"/>
      <c r="IQ14" s="15"/>
      <c r="IR14" s="15"/>
      <c r="IS14" s="15"/>
      <c r="IT14" s="15"/>
      <c r="IU14" s="15"/>
      <c r="IV14" s="15"/>
      <c r="IW14" s="15"/>
      <c r="IX14" s="36" t="str">
        <f t="shared" si="103"/>
        <v/>
      </c>
      <c r="IY14" s="36" t="str">
        <f t="shared" si="104"/>
        <v/>
      </c>
      <c r="IZ14" s="36" t="str">
        <f t="shared" si="105"/>
        <v/>
      </c>
      <c r="JA14" s="36" t="str">
        <f t="shared" si="106"/>
        <v/>
      </c>
      <c r="JB14" s="36" t="str">
        <f t="shared" si="107"/>
        <v/>
      </c>
      <c r="JC14" s="36" t="str">
        <f t="shared" si="108"/>
        <v/>
      </c>
      <c r="JD14" s="36" t="str">
        <f t="shared" si="109"/>
        <v/>
      </c>
      <c r="JE14" s="36" t="str">
        <f t="shared" si="110"/>
        <v/>
      </c>
      <c r="JF14" s="36" t="str">
        <f t="shared" si="111"/>
        <v/>
      </c>
      <c r="JG14" s="36" t="str">
        <f t="shared" si="112"/>
        <v/>
      </c>
      <c r="JH14" s="36" t="str">
        <f t="shared" si="113"/>
        <v/>
      </c>
      <c r="JI14" s="36" t="str">
        <f t="shared" si="114"/>
        <v/>
      </c>
      <c r="JJ14" s="36" t="str">
        <f t="shared" si="115"/>
        <v/>
      </c>
      <c r="JK14" s="36" t="str">
        <f t="shared" si="116"/>
        <v/>
      </c>
      <c r="JL14" s="16"/>
      <c r="JM14" s="16"/>
      <c r="JN14" s="16"/>
      <c r="JO14" s="16"/>
      <c r="JP14" s="16"/>
      <c r="JQ14" s="16"/>
      <c r="JR14" s="16"/>
      <c r="JS14" s="16"/>
      <c r="JT14" s="16"/>
      <c r="JU14" s="16"/>
      <c r="JV14" s="16"/>
      <c r="JW14" s="16"/>
      <c r="JX14" s="16"/>
      <c r="JY14" s="16"/>
      <c r="JZ14" s="16"/>
      <c r="KA14" s="16"/>
      <c r="KB14" s="16"/>
      <c r="KC14" s="16"/>
      <c r="KD14" s="16"/>
      <c r="KE14" s="16"/>
      <c r="KF14" s="11" t="str">
        <f t="shared" si="117"/>
        <v/>
      </c>
      <c r="KG14" s="11" t="str">
        <f t="shared" si="118"/>
        <v/>
      </c>
      <c r="KH14" s="11" t="str">
        <f t="shared" si="119"/>
        <v/>
      </c>
      <c r="KI14" s="11" t="str">
        <f t="shared" si="120"/>
        <v/>
      </c>
      <c r="KJ14" s="11" t="str">
        <f t="shared" si="121"/>
        <v/>
      </c>
      <c r="KK14" s="11" t="str">
        <f t="shared" si="122"/>
        <v/>
      </c>
      <c r="KL14" s="11" t="str">
        <f t="shared" si="123"/>
        <v/>
      </c>
      <c r="KM14" s="11" t="str">
        <f t="shared" si="124"/>
        <v/>
      </c>
      <c r="KN14" s="11" t="str">
        <f t="shared" si="125"/>
        <v/>
      </c>
      <c r="KO14" s="11" t="str">
        <f t="shared" si="126"/>
        <v/>
      </c>
      <c r="KP14" s="11" t="str">
        <f t="shared" si="127"/>
        <v/>
      </c>
      <c r="KQ14" s="11" t="str">
        <f t="shared" si="128"/>
        <v/>
      </c>
      <c r="KR14" s="11" t="str">
        <f t="shared" si="129"/>
        <v/>
      </c>
      <c r="KS14" s="11" t="str">
        <f t="shared" si="130"/>
        <v/>
      </c>
      <c r="KT14" s="15"/>
      <c r="KU14" s="15"/>
      <c r="KV14" s="15"/>
      <c r="KW14" s="15"/>
      <c r="KX14" s="15"/>
      <c r="KY14" s="15"/>
      <c r="KZ14" s="15"/>
      <c r="LA14" s="15"/>
      <c r="LB14" s="15"/>
      <c r="LC14" s="15"/>
      <c r="LD14" s="15"/>
      <c r="LE14" s="15"/>
      <c r="LF14" s="15"/>
      <c r="LG14" s="15"/>
      <c r="LH14" s="15"/>
      <c r="LI14" s="15"/>
      <c r="LJ14" s="15"/>
      <c r="LK14" s="15"/>
      <c r="LL14" s="15"/>
      <c r="LM14" s="15"/>
      <c r="LN14" s="36" t="str">
        <f t="shared" si="131"/>
        <v/>
      </c>
      <c r="LO14" s="36" t="str">
        <f t="shared" si="132"/>
        <v/>
      </c>
      <c r="LP14" s="36" t="str">
        <f t="shared" si="133"/>
        <v/>
      </c>
      <c r="LQ14" s="36" t="str">
        <f t="shared" si="134"/>
        <v/>
      </c>
      <c r="LR14" s="36" t="str">
        <f t="shared" si="135"/>
        <v/>
      </c>
      <c r="LS14" s="36" t="str">
        <f t="shared" si="136"/>
        <v/>
      </c>
      <c r="LT14" s="36" t="str">
        <f t="shared" si="137"/>
        <v/>
      </c>
      <c r="LU14" s="36" t="str">
        <f t="shared" si="138"/>
        <v/>
      </c>
      <c r="LV14" s="36" t="str">
        <f t="shared" si="139"/>
        <v/>
      </c>
      <c r="LW14" s="36" t="str">
        <f t="shared" si="140"/>
        <v/>
      </c>
      <c r="LX14" s="36" t="str">
        <f t="shared" si="141"/>
        <v/>
      </c>
      <c r="LY14" s="36" t="str">
        <f t="shared" si="142"/>
        <v/>
      </c>
      <c r="LZ14" s="36" t="str">
        <f t="shared" si="143"/>
        <v/>
      </c>
      <c r="MA14" s="36" t="str">
        <f t="shared" si="144"/>
        <v/>
      </c>
      <c r="MB14" s="16"/>
      <c r="MC14" s="16"/>
      <c r="MD14" s="16"/>
      <c r="ME14" s="16"/>
      <c r="MF14" s="16"/>
      <c r="MG14" s="16"/>
      <c r="MH14" s="16"/>
      <c r="MI14" s="16"/>
      <c r="MJ14" s="16"/>
      <c r="MK14" s="16"/>
      <c r="ML14" s="16"/>
      <c r="MM14" s="16"/>
      <c r="MN14" s="16"/>
      <c r="MO14" s="16"/>
      <c r="MP14" s="16"/>
      <c r="MQ14" s="16"/>
      <c r="MR14" s="16"/>
      <c r="MS14" s="16"/>
      <c r="MT14" s="16"/>
      <c r="MU14" s="16"/>
      <c r="MV14" s="11" t="str">
        <f t="shared" si="145"/>
        <v/>
      </c>
      <c r="MW14" s="11" t="str">
        <f t="shared" si="146"/>
        <v/>
      </c>
      <c r="MX14" s="11" t="str">
        <f t="shared" si="147"/>
        <v/>
      </c>
      <c r="MY14" s="11" t="str">
        <f t="shared" si="148"/>
        <v/>
      </c>
      <c r="MZ14" s="11" t="str">
        <f t="shared" si="149"/>
        <v/>
      </c>
      <c r="NA14" s="11" t="str">
        <f t="shared" si="150"/>
        <v/>
      </c>
      <c r="NB14" s="11" t="str">
        <f t="shared" si="151"/>
        <v/>
      </c>
      <c r="NC14" s="11" t="str">
        <f t="shared" si="152"/>
        <v/>
      </c>
      <c r="ND14" s="11" t="str">
        <f t="shared" si="153"/>
        <v/>
      </c>
      <c r="NE14" s="11" t="str">
        <f t="shared" si="154"/>
        <v/>
      </c>
      <c r="NF14" s="11" t="str">
        <f t="shared" si="155"/>
        <v/>
      </c>
      <c r="NG14" s="11" t="str">
        <f t="shared" si="156"/>
        <v/>
      </c>
      <c r="NH14" s="11" t="str">
        <f t="shared" si="157"/>
        <v/>
      </c>
      <c r="NI14" s="11" t="str">
        <f t="shared" si="158"/>
        <v/>
      </c>
      <c r="NJ14" s="15">
        <v>15.1</v>
      </c>
      <c r="NK14" s="15">
        <v>9.4</v>
      </c>
      <c r="NL14" s="15">
        <v>3.3</v>
      </c>
      <c r="NM14" s="15">
        <v>16.18</v>
      </c>
      <c r="NN14" s="15">
        <v>0</v>
      </c>
      <c r="NO14" s="15">
        <v>2.8</v>
      </c>
      <c r="NP14" s="15">
        <v>1.8</v>
      </c>
      <c r="NQ14" s="15">
        <v>3.3</v>
      </c>
      <c r="NR14" s="15">
        <v>3.38</v>
      </c>
      <c r="NS14" s="15">
        <v>0</v>
      </c>
      <c r="NT14" s="15"/>
      <c r="NU14" s="15"/>
      <c r="NV14" s="15"/>
      <c r="NW14" s="15"/>
      <c r="NX14" s="15"/>
      <c r="NY14" s="15"/>
      <c r="NZ14" s="15"/>
      <c r="OA14" s="15"/>
      <c r="OB14" s="15"/>
      <c r="OC14" s="15"/>
      <c r="OD14" s="36">
        <f t="shared" si="159"/>
        <v>3.3</v>
      </c>
      <c r="OE14" s="36">
        <f t="shared" si="160"/>
        <v>16.18</v>
      </c>
      <c r="OF14" s="36">
        <f t="shared" si="161"/>
        <v>43.980000000000004</v>
      </c>
      <c r="OG14" s="36">
        <f t="shared" si="162"/>
        <v>3.3</v>
      </c>
      <c r="OH14" s="36">
        <f t="shared" si="163"/>
        <v>3.38</v>
      </c>
      <c r="OI14" s="36">
        <f t="shared" si="164"/>
        <v>11.28</v>
      </c>
      <c r="OJ14" s="36">
        <f t="shared" si="165"/>
        <v>43.980000000000004</v>
      </c>
      <c r="OK14" s="36" t="str">
        <f t="shared" si="166"/>
        <v/>
      </c>
      <c r="OL14" s="36" t="str">
        <f t="shared" si="167"/>
        <v/>
      </c>
      <c r="OM14" s="36" t="str">
        <f t="shared" si="168"/>
        <v/>
      </c>
      <c r="ON14" s="36" t="str">
        <f t="shared" si="169"/>
        <v/>
      </c>
      <c r="OO14" s="36" t="str">
        <f t="shared" si="170"/>
        <v/>
      </c>
      <c r="OP14" s="36" t="str">
        <f t="shared" si="171"/>
        <v/>
      </c>
      <c r="OQ14" s="36">
        <f t="shared" si="172"/>
        <v>43.980000000000004</v>
      </c>
      <c r="OR14" s="16"/>
      <c r="OS14" s="16"/>
      <c r="OT14" s="16"/>
      <c r="OU14" s="16"/>
      <c r="OV14" s="16"/>
      <c r="OW14" s="16"/>
      <c r="OX14" s="16"/>
      <c r="OY14" s="16"/>
      <c r="OZ14" s="16"/>
      <c r="PA14" s="16"/>
      <c r="PB14" s="16"/>
      <c r="PC14" s="16"/>
      <c r="PD14" s="16"/>
      <c r="PE14" s="16"/>
      <c r="PF14" s="16"/>
      <c r="PG14" s="16"/>
      <c r="PH14" s="16"/>
      <c r="PI14" s="16"/>
      <c r="PJ14" s="16"/>
      <c r="PK14" s="16"/>
      <c r="PL14" s="11" t="str">
        <f t="shared" si="173"/>
        <v/>
      </c>
      <c r="PM14" s="11" t="str">
        <f t="shared" si="174"/>
        <v/>
      </c>
      <c r="PN14" s="11" t="str">
        <f t="shared" si="175"/>
        <v/>
      </c>
      <c r="PO14" s="11" t="str">
        <f t="shared" si="176"/>
        <v/>
      </c>
      <c r="PP14" s="11" t="str">
        <f t="shared" si="177"/>
        <v/>
      </c>
      <c r="PQ14" s="11" t="str">
        <f t="shared" si="178"/>
        <v/>
      </c>
      <c r="PR14" s="11" t="str">
        <f t="shared" si="179"/>
        <v/>
      </c>
      <c r="PS14" s="11" t="str">
        <f t="shared" si="180"/>
        <v/>
      </c>
      <c r="PT14" s="11" t="str">
        <f t="shared" si="181"/>
        <v/>
      </c>
      <c r="PU14" s="11" t="str">
        <f t="shared" si="182"/>
        <v/>
      </c>
      <c r="PV14" s="11" t="str">
        <f t="shared" si="183"/>
        <v/>
      </c>
      <c r="PW14" s="11" t="str">
        <f t="shared" si="184"/>
        <v/>
      </c>
      <c r="PX14" s="11" t="str">
        <f t="shared" si="185"/>
        <v/>
      </c>
      <c r="PY14" s="11" t="str">
        <f t="shared" si="186"/>
        <v/>
      </c>
      <c r="PZ14" s="15"/>
      <c r="QA14" s="15"/>
      <c r="QB14" s="15"/>
      <c r="QC14" s="15"/>
      <c r="QD14" s="15"/>
      <c r="QE14" s="15"/>
      <c r="QF14" s="15"/>
      <c r="QG14" s="15"/>
      <c r="QH14" s="15"/>
      <c r="QI14" s="15"/>
      <c r="QJ14" s="15"/>
      <c r="QK14" s="15"/>
      <c r="QL14" s="15"/>
      <c r="QM14" s="15"/>
      <c r="QN14" s="15"/>
      <c r="QO14" s="15"/>
      <c r="QP14" s="15"/>
      <c r="QQ14" s="15"/>
      <c r="QR14" s="15"/>
      <c r="QS14" s="15"/>
      <c r="QT14" s="36" t="str">
        <f t="shared" si="187"/>
        <v/>
      </c>
      <c r="QU14" s="36" t="str">
        <f t="shared" si="188"/>
        <v/>
      </c>
      <c r="QV14" s="36" t="str">
        <f t="shared" si="189"/>
        <v/>
      </c>
      <c r="QW14" s="36" t="str">
        <f t="shared" si="190"/>
        <v/>
      </c>
      <c r="QX14" s="36" t="str">
        <f t="shared" si="191"/>
        <v/>
      </c>
      <c r="QY14" s="36" t="str">
        <f t="shared" si="192"/>
        <v/>
      </c>
      <c r="QZ14" s="36" t="str">
        <f t="shared" si="193"/>
        <v/>
      </c>
      <c r="RA14" s="36" t="str">
        <f t="shared" si="194"/>
        <v/>
      </c>
      <c r="RB14" s="36" t="str">
        <f t="shared" si="195"/>
        <v/>
      </c>
      <c r="RC14" s="36" t="str">
        <f t="shared" si="196"/>
        <v/>
      </c>
      <c r="RD14" s="36" t="str">
        <f t="shared" si="197"/>
        <v/>
      </c>
      <c r="RE14" s="36" t="str">
        <f t="shared" si="198"/>
        <v/>
      </c>
      <c r="RF14" s="36" t="str">
        <f t="shared" si="199"/>
        <v/>
      </c>
      <c r="RG14" s="36" t="str">
        <f t="shared" si="200"/>
        <v/>
      </c>
      <c r="RH14" s="16"/>
      <c r="RI14" s="16"/>
      <c r="RJ14" s="16"/>
      <c r="RK14" s="16"/>
      <c r="RL14" s="16"/>
      <c r="RM14" s="16"/>
      <c r="RN14" s="16"/>
      <c r="RO14" s="16"/>
      <c r="RP14" s="16"/>
      <c r="RQ14" s="16"/>
      <c r="RR14" s="16"/>
      <c r="RS14" s="16"/>
      <c r="RT14" s="16"/>
      <c r="RU14" s="16"/>
      <c r="RV14" s="16"/>
      <c r="RW14" s="16"/>
      <c r="RX14" s="16"/>
      <c r="RY14" s="16"/>
      <c r="RZ14" s="16"/>
      <c r="SA14" s="16"/>
      <c r="SB14" s="11" t="str">
        <f t="shared" si="201"/>
        <v/>
      </c>
      <c r="SC14" s="11" t="str">
        <f t="shared" si="202"/>
        <v/>
      </c>
      <c r="SD14" s="11" t="str">
        <f t="shared" si="203"/>
        <v/>
      </c>
      <c r="SE14" s="11" t="str">
        <f t="shared" si="204"/>
        <v/>
      </c>
      <c r="SF14" s="11" t="str">
        <f t="shared" si="205"/>
        <v/>
      </c>
      <c r="SG14" s="11" t="str">
        <f t="shared" si="206"/>
        <v/>
      </c>
      <c r="SH14" s="11" t="str">
        <f t="shared" si="207"/>
        <v/>
      </c>
      <c r="SI14" s="11" t="str">
        <f t="shared" si="208"/>
        <v/>
      </c>
      <c r="SJ14" s="11" t="str">
        <f t="shared" si="209"/>
        <v/>
      </c>
      <c r="SK14" s="11" t="str">
        <f t="shared" si="210"/>
        <v/>
      </c>
      <c r="SL14" s="11" t="str">
        <f t="shared" si="211"/>
        <v/>
      </c>
      <c r="SM14" s="11" t="str">
        <f t="shared" si="212"/>
        <v/>
      </c>
      <c r="SN14" s="11" t="str">
        <f t="shared" si="213"/>
        <v/>
      </c>
      <c r="SO14" s="11" t="str">
        <f t="shared" si="214"/>
        <v/>
      </c>
      <c r="SP14" s="15"/>
      <c r="SQ14" s="15"/>
      <c r="SR14" s="15"/>
      <c r="SS14" s="15"/>
      <c r="ST14" s="15"/>
      <c r="SU14" s="15"/>
      <c r="SV14" s="15"/>
      <c r="SW14" s="15"/>
      <c r="SX14" s="15"/>
      <c r="SY14" s="15"/>
      <c r="SZ14" s="15"/>
      <c r="TA14" s="15"/>
      <c r="TB14" s="15"/>
      <c r="TC14" s="15"/>
      <c r="TD14" s="15"/>
      <c r="TE14" s="15"/>
      <c r="TF14" s="15"/>
      <c r="TG14" s="15"/>
      <c r="TH14" s="15"/>
      <c r="TI14" s="15"/>
      <c r="TJ14" s="36" t="str">
        <f t="shared" si="215"/>
        <v/>
      </c>
      <c r="TK14" s="36" t="str">
        <f t="shared" si="216"/>
        <v/>
      </c>
      <c r="TL14" s="36" t="str">
        <f t="shared" si="217"/>
        <v/>
      </c>
      <c r="TM14" s="36" t="str">
        <f t="shared" si="218"/>
        <v/>
      </c>
      <c r="TN14" s="36" t="str">
        <f t="shared" si="219"/>
        <v/>
      </c>
      <c r="TO14" s="36" t="str">
        <f t="shared" si="220"/>
        <v/>
      </c>
      <c r="TP14" s="36" t="str">
        <f t="shared" si="221"/>
        <v/>
      </c>
      <c r="TQ14" s="36" t="str">
        <f t="shared" si="222"/>
        <v/>
      </c>
      <c r="TR14" s="36" t="str">
        <f t="shared" si="223"/>
        <v/>
      </c>
      <c r="TS14" s="36" t="str">
        <f t="shared" si="224"/>
        <v/>
      </c>
      <c r="TT14" s="36" t="str">
        <f t="shared" si="225"/>
        <v/>
      </c>
      <c r="TU14" s="36" t="str">
        <f t="shared" si="226"/>
        <v/>
      </c>
      <c r="TV14" s="36" t="str">
        <f t="shared" si="227"/>
        <v/>
      </c>
      <c r="TW14" s="36" t="str">
        <f t="shared" si="228"/>
        <v/>
      </c>
      <c r="TX14" s="16"/>
      <c r="TY14" s="16"/>
      <c r="TZ14" s="16"/>
      <c r="UA14" s="16"/>
      <c r="UB14" s="16"/>
      <c r="UC14" s="16"/>
      <c r="UD14" s="16"/>
      <c r="UE14" s="16"/>
      <c r="UF14" s="16"/>
      <c r="UG14" s="16"/>
      <c r="UH14" s="16"/>
      <c r="UI14" s="16"/>
      <c r="UJ14" s="16"/>
      <c r="UK14" s="16"/>
      <c r="UL14" s="16"/>
      <c r="UM14" s="16"/>
      <c r="UN14" s="16"/>
      <c r="UO14" s="16"/>
      <c r="UP14" s="16"/>
      <c r="UQ14" s="16"/>
      <c r="UR14" s="11" t="str">
        <f t="shared" si="229"/>
        <v/>
      </c>
      <c r="US14" s="11" t="str">
        <f t="shared" si="230"/>
        <v/>
      </c>
      <c r="UT14" s="11" t="str">
        <f t="shared" si="231"/>
        <v/>
      </c>
      <c r="UU14" s="11" t="str">
        <f t="shared" si="232"/>
        <v/>
      </c>
      <c r="UV14" s="11" t="str">
        <f t="shared" si="233"/>
        <v/>
      </c>
      <c r="UW14" s="11" t="str">
        <f t="shared" si="234"/>
        <v/>
      </c>
      <c r="UX14" s="11" t="str">
        <f t="shared" si="235"/>
        <v/>
      </c>
      <c r="UY14" s="11" t="str">
        <f t="shared" si="236"/>
        <v/>
      </c>
      <c r="UZ14" s="11" t="str">
        <f t="shared" si="237"/>
        <v/>
      </c>
      <c r="VA14" s="11" t="str">
        <f t="shared" si="238"/>
        <v/>
      </c>
      <c r="VB14" s="11" t="str">
        <f t="shared" si="239"/>
        <v/>
      </c>
      <c r="VC14" s="11" t="str">
        <f t="shared" si="240"/>
        <v/>
      </c>
      <c r="VD14" s="11" t="str">
        <f t="shared" si="241"/>
        <v/>
      </c>
      <c r="VE14" s="11" t="str">
        <f t="shared" si="242"/>
        <v/>
      </c>
      <c r="VF14" s="15"/>
      <c r="VG14" s="15"/>
      <c r="VH14" s="15"/>
      <c r="VI14" s="15"/>
      <c r="VJ14" s="15"/>
      <c r="VK14" s="15"/>
      <c r="VL14" s="15"/>
      <c r="VM14" s="15"/>
      <c r="VN14" s="15"/>
      <c r="VO14" s="15"/>
      <c r="VP14" s="15"/>
      <c r="VQ14" s="15"/>
      <c r="VR14" s="15"/>
      <c r="VS14" s="15"/>
      <c r="VT14" s="15"/>
      <c r="VU14" s="15"/>
      <c r="VV14" s="15"/>
      <c r="VW14" s="15"/>
      <c r="VX14" s="15"/>
      <c r="VY14" s="15"/>
      <c r="VZ14" s="36" t="str">
        <f t="shared" si="243"/>
        <v/>
      </c>
      <c r="WA14" s="36" t="str">
        <f t="shared" si="244"/>
        <v/>
      </c>
      <c r="WB14" s="36" t="str">
        <f t="shared" si="245"/>
        <v/>
      </c>
      <c r="WC14" s="36" t="str">
        <f t="shared" si="246"/>
        <v/>
      </c>
      <c r="WD14" s="36" t="str">
        <f t="shared" si="247"/>
        <v/>
      </c>
      <c r="WE14" s="36" t="str">
        <f t="shared" si="248"/>
        <v/>
      </c>
      <c r="WF14" s="36" t="str">
        <f t="shared" si="249"/>
        <v/>
      </c>
      <c r="WG14" s="36" t="str">
        <f t="shared" si="250"/>
        <v/>
      </c>
      <c r="WH14" s="36" t="str">
        <f t="shared" si="251"/>
        <v/>
      </c>
      <c r="WI14" s="36" t="str">
        <f t="shared" si="252"/>
        <v/>
      </c>
      <c r="WJ14" s="36" t="str">
        <f t="shared" si="253"/>
        <v/>
      </c>
      <c r="WK14" s="36" t="str">
        <f t="shared" si="254"/>
        <v/>
      </c>
      <c r="WL14" s="36" t="str">
        <f t="shared" si="255"/>
        <v/>
      </c>
      <c r="WM14" s="36" t="str">
        <f t="shared" si="256"/>
        <v/>
      </c>
    </row>
    <row r="15" spans="1:611" x14ac:dyDescent="0.2">
      <c r="A15" s="4" t="str" cm="1">
        <f t="array" ref="A15">IF(AND(H15&lt;&gt;"",H15&lt;&gt;"No DD"),SUMPRODUCT((H$4:H$27&lt;&gt;"")*(H$4:H$27&lt;&gt;"No DD")*(E$4:E$27&gt;E15))+1,IF(H15="No DD",SUMPRODUCT((H$4:H$27="No DD")*(E$4:E$27&gt;E15))+1+SUMPRODUCT((H$4:H$27&lt;&gt;"")*(H$4:H$27&lt;&gt;"No DD")),""))</f>
        <v/>
      </c>
      <c r="B15" s="5" t="s">
        <v>79</v>
      </c>
      <c r="C15" s="4" t="s">
        <v>5</v>
      </c>
      <c r="D15" s="4">
        <v>2004</v>
      </c>
      <c r="E15" s="9">
        <f t="shared" si="0"/>
        <v>153.85001538500541</v>
      </c>
      <c r="F15" s="3" t="str">
        <f t="shared" si="1"/>
        <v/>
      </c>
      <c r="G15" s="3" t="str">
        <f t="shared" si="2"/>
        <v/>
      </c>
      <c r="H15" s="32" t="str">
        <f t="shared" si="3"/>
        <v/>
      </c>
      <c r="I15" s="3" t="str">
        <f t="shared" si="4"/>
        <v/>
      </c>
      <c r="J15" s="8">
        <f t="shared" si="5"/>
        <v>53.91</v>
      </c>
      <c r="K15" s="8" t="str">
        <f t="shared" si="6"/>
        <v>2025 Elite Canada</v>
      </c>
      <c r="L15" s="8">
        <f>IFERROR(IF(J15=AR15,LARGE((AK15,AN15,BL15,BO15,BS15,CM15,CP15,CT15),1),IF(J15=BS15,LARGE((AK15,AN15,AR15,BL15,BO15,CM15,CP15,CT15),1),LARGE((AK15,AN15,AR15,BL15,BO15,BS15,CM15,CP15),1))),0)</f>
        <v>50.97</v>
      </c>
      <c r="M15" s="8" t="str">
        <f t="shared" si="7"/>
        <v>2025 Elite Canada</v>
      </c>
      <c r="N15" s="8">
        <f>IFERROR(IF(J15=AR15,LARGE((AK15,AN15,BL15,BO15,BS15,CM15,CP15,CT15),2),IF(J15=BS15,LARGE((AK15,AN15,AR15,BL15,BO15,CM15,CP15,CT15),2),LARGE((AK15,AN15,AR15,BL15,BO15,BS15,CM15,CP15),2))),0)</f>
        <v>48.97</v>
      </c>
      <c r="O15" s="8" t="str">
        <f t="shared" si="8"/>
        <v>2025 3rd Domestic Trial</v>
      </c>
      <c r="P15" s="8">
        <f t="shared" si="9"/>
        <v>0</v>
      </c>
      <c r="Q15" s="11" t="str">
        <f t="shared" si="10"/>
        <v/>
      </c>
      <c r="R15" s="8" t="str">
        <f t="shared" si="11"/>
        <v/>
      </c>
      <c r="S15" s="18">
        <v>11.3</v>
      </c>
      <c r="T15" s="18">
        <v>9.5</v>
      </c>
      <c r="U15" s="18">
        <v>14.5</v>
      </c>
      <c r="V15" s="18">
        <v>15.67</v>
      </c>
      <c r="W15" s="18">
        <v>0</v>
      </c>
      <c r="X15" s="18">
        <v>8.3000000000000007</v>
      </c>
      <c r="Y15" s="18">
        <v>6.2</v>
      </c>
      <c r="Z15" s="18">
        <v>10.4</v>
      </c>
      <c r="AA15" s="18">
        <v>11.31</v>
      </c>
      <c r="AB15" s="18">
        <v>0</v>
      </c>
      <c r="AC15" s="18">
        <v>12.9</v>
      </c>
      <c r="AD15" s="18">
        <v>9.6999999999999993</v>
      </c>
      <c r="AE15" s="18">
        <v>14.9</v>
      </c>
      <c r="AF15" s="18">
        <v>16.41</v>
      </c>
      <c r="AG15" s="18">
        <v>0</v>
      </c>
      <c r="AH15" s="23"/>
      <c r="AI15" s="34">
        <f t="shared" si="12"/>
        <v>14.5</v>
      </c>
      <c r="AJ15" s="34">
        <f t="shared" si="13"/>
        <v>15.67</v>
      </c>
      <c r="AK15" s="36">
        <f t="shared" si="14"/>
        <v>50.97</v>
      </c>
      <c r="AL15" s="36">
        <f t="shared" si="15"/>
        <v>10.4</v>
      </c>
      <c r="AM15" s="36">
        <f t="shared" si="16"/>
        <v>11.31</v>
      </c>
      <c r="AN15" s="36">
        <f t="shared" si="17"/>
        <v>36.21</v>
      </c>
      <c r="AO15" s="36">
        <f t="shared" si="18"/>
        <v>50.97</v>
      </c>
      <c r="AP15" s="36">
        <f t="shared" si="19"/>
        <v>14.9</v>
      </c>
      <c r="AQ15" s="36">
        <f t="shared" si="20"/>
        <v>16.41</v>
      </c>
      <c r="AR15" s="36">
        <f t="shared" si="21"/>
        <v>53.91</v>
      </c>
      <c r="AS15" s="36">
        <f t="shared" si="22"/>
        <v>104.88</v>
      </c>
      <c r="AT15" s="22">
        <v>2.6</v>
      </c>
      <c r="AU15" s="22">
        <v>1.8</v>
      </c>
      <c r="AV15" s="22">
        <v>3.3</v>
      </c>
      <c r="AW15" s="22">
        <v>3.4</v>
      </c>
      <c r="AX15" s="22">
        <v>0</v>
      </c>
      <c r="AY15" s="22">
        <v>7.9</v>
      </c>
      <c r="AZ15" s="22">
        <v>6.5</v>
      </c>
      <c r="BA15" s="22">
        <v>10.6</v>
      </c>
      <c r="BB15" s="22">
        <v>11.15</v>
      </c>
      <c r="BC15" s="22">
        <v>0</v>
      </c>
      <c r="BD15" s="22"/>
      <c r="BE15" s="22"/>
      <c r="BF15" s="22"/>
      <c r="BG15" s="22"/>
      <c r="BH15" s="22"/>
      <c r="BI15" s="24"/>
      <c r="BJ15" s="35">
        <f t="shared" si="23"/>
        <v>3.3</v>
      </c>
      <c r="BK15" s="35">
        <f t="shared" si="24"/>
        <v>3.4</v>
      </c>
      <c r="BL15" s="11">
        <f t="shared" si="25"/>
        <v>11.1</v>
      </c>
      <c r="BM15" s="11">
        <f t="shared" si="26"/>
        <v>10.6</v>
      </c>
      <c r="BN15" s="11">
        <f t="shared" si="27"/>
        <v>11.15</v>
      </c>
      <c r="BO15" s="11">
        <f t="shared" si="28"/>
        <v>36.15</v>
      </c>
      <c r="BP15" s="11">
        <f t="shared" si="29"/>
        <v>36.15</v>
      </c>
      <c r="BQ15" s="11" t="str">
        <f t="shared" si="30"/>
        <v/>
      </c>
      <c r="BR15" s="11" t="str">
        <f t="shared" si="31"/>
        <v/>
      </c>
      <c r="BS15" s="11" t="str">
        <f t="shared" si="32"/>
        <v/>
      </c>
      <c r="BT15" s="11">
        <f t="shared" si="33"/>
        <v>36.15</v>
      </c>
      <c r="BU15" s="18">
        <v>11.4</v>
      </c>
      <c r="BV15" s="18">
        <v>8.8000000000000007</v>
      </c>
      <c r="BW15" s="18">
        <v>13.4</v>
      </c>
      <c r="BX15" s="18">
        <v>16.47</v>
      </c>
      <c r="BY15" s="18">
        <v>1.1000000000000001</v>
      </c>
      <c r="BZ15" s="18">
        <v>2.2000000000000002</v>
      </c>
      <c r="CA15" s="18">
        <v>1.7</v>
      </c>
      <c r="CB15" s="18">
        <v>4</v>
      </c>
      <c r="CC15" s="18">
        <v>3.57</v>
      </c>
      <c r="CD15" s="18">
        <v>0.2</v>
      </c>
      <c r="CE15" s="18">
        <v>9.9</v>
      </c>
      <c r="CF15" s="18">
        <v>7.9</v>
      </c>
      <c r="CG15" s="18">
        <v>11.9</v>
      </c>
      <c r="CH15" s="18">
        <v>15.03</v>
      </c>
      <c r="CI15" s="18">
        <v>0</v>
      </c>
      <c r="CJ15" s="23"/>
      <c r="CK15" s="34">
        <f t="shared" si="34"/>
        <v>13.4</v>
      </c>
      <c r="CL15" s="34">
        <f t="shared" si="35"/>
        <v>16.47</v>
      </c>
      <c r="CM15" s="36">
        <f t="shared" si="36"/>
        <v>48.97</v>
      </c>
      <c r="CN15" s="36">
        <f t="shared" si="37"/>
        <v>4</v>
      </c>
      <c r="CO15" s="36">
        <f t="shared" si="38"/>
        <v>3.57</v>
      </c>
      <c r="CP15" s="36">
        <f t="shared" si="39"/>
        <v>11.270000000000001</v>
      </c>
      <c r="CQ15" s="36">
        <f t="shared" si="40"/>
        <v>48.97</v>
      </c>
      <c r="CR15" s="36">
        <f t="shared" si="41"/>
        <v>11.9</v>
      </c>
      <c r="CS15" s="36">
        <f t="shared" si="42"/>
        <v>15.03</v>
      </c>
      <c r="CT15" s="36">
        <f t="shared" si="43"/>
        <v>44.730000000000004</v>
      </c>
      <c r="CU15" s="36">
        <f t="shared" si="44"/>
        <v>93.7</v>
      </c>
      <c r="CV15" s="47" t="str">
        <f t="shared" si="45"/>
        <v/>
      </c>
      <c r="CW15" s="47" t="str">
        <f t="shared" si="46"/>
        <v/>
      </c>
      <c r="CX15" s="15"/>
      <c r="CY15" s="15"/>
      <c r="CZ15" s="15"/>
      <c r="DA15" s="15"/>
      <c r="DB15" s="15"/>
      <c r="DC15" s="15"/>
      <c r="DD15" s="15"/>
      <c r="DE15" s="15"/>
      <c r="DF15" s="15"/>
      <c r="DG15" s="15"/>
      <c r="DH15" s="15"/>
      <c r="DI15" s="15"/>
      <c r="DJ15" s="15"/>
      <c r="DK15" s="15"/>
      <c r="DL15" s="15"/>
      <c r="DM15" s="15"/>
      <c r="DN15" s="15"/>
      <c r="DO15" s="15"/>
      <c r="DP15" s="15"/>
      <c r="DQ15" s="15"/>
      <c r="DR15" s="36" t="str">
        <f t="shared" si="47"/>
        <v/>
      </c>
      <c r="DS15" s="36" t="str">
        <f t="shared" si="48"/>
        <v/>
      </c>
      <c r="DT15" s="36" t="str">
        <f t="shared" si="49"/>
        <v/>
      </c>
      <c r="DU15" s="36" t="str">
        <f t="shared" si="50"/>
        <v/>
      </c>
      <c r="DV15" s="36" t="str">
        <f t="shared" si="51"/>
        <v/>
      </c>
      <c r="DW15" s="36" t="str">
        <f t="shared" si="52"/>
        <v/>
      </c>
      <c r="DX15" s="36" t="str">
        <f t="shared" si="53"/>
        <v/>
      </c>
      <c r="DY15" s="36" t="str">
        <f t="shared" si="54"/>
        <v/>
      </c>
      <c r="DZ15" s="36" t="str">
        <f t="shared" si="55"/>
        <v/>
      </c>
      <c r="EA15" s="36" t="str">
        <f t="shared" si="56"/>
        <v/>
      </c>
      <c r="EB15" s="36" t="str">
        <f t="shared" si="57"/>
        <v/>
      </c>
      <c r="EC15" s="36" t="str">
        <f t="shared" si="58"/>
        <v/>
      </c>
      <c r="ED15" s="36" t="str">
        <f t="shared" si="59"/>
        <v/>
      </c>
      <c r="EE15" s="36" t="str">
        <f t="shared" si="60"/>
        <v/>
      </c>
      <c r="EF15" s="16"/>
      <c r="EG15" s="16"/>
      <c r="EH15" s="16"/>
      <c r="EI15" s="16"/>
      <c r="EJ15" s="16"/>
      <c r="EK15" s="16"/>
      <c r="EL15" s="16"/>
      <c r="EM15" s="16"/>
      <c r="EN15" s="16"/>
      <c r="EO15" s="16"/>
      <c r="EP15" s="16"/>
      <c r="EQ15" s="16"/>
      <c r="ER15" s="16"/>
      <c r="ES15" s="16"/>
      <c r="ET15" s="16"/>
      <c r="EU15" s="16"/>
      <c r="EV15" s="16"/>
      <c r="EW15" s="16"/>
      <c r="EX15" s="16"/>
      <c r="EY15" s="16"/>
      <c r="EZ15" s="11" t="str">
        <f t="shared" si="61"/>
        <v/>
      </c>
      <c r="FA15" s="11" t="str">
        <f t="shared" si="62"/>
        <v/>
      </c>
      <c r="FB15" s="11" t="str">
        <f t="shared" si="63"/>
        <v/>
      </c>
      <c r="FC15" s="11" t="str">
        <f t="shared" si="64"/>
        <v/>
      </c>
      <c r="FD15" s="11" t="str">
        <f t="shared" si="65"/>
        <v/>
      </c>
      <c r="FE15" s="11" t="str">
        <f t="shared" si="66"/>
        <v/>
      </c>
      <c r="FF15" s="11" t="str">
        <f t="shared" si="67"/>
        <v/>
      </c>
      <c r="FG15" s="11" t="str">
        <f t="shared" si="68"/>
        <v/>
      </c>
      <c r="FH15" s="11" t="str">
        <f t="shared" si="69"/>
        <v/>
      </c>
      <c r="FI15" s="11" t="str">
        <f t="shared" si="70"/>
        <v/>
      </c>
      <c r="FJ15" s="11" t="str">
        <f t="shared" si="71"/>
        <v/>
      </c>
      <c r="FK15" s="11" t="str">
        <f t="shared" si="72"/>
        <v/>
      </c>
      <c r="FL15" s="11" t="str">
        <f t="shared" si="73"/>
        <v/>
      </c>
      <c r="FM15" s="11" t="str">
        <f t="shared" si="74"/>
        <v/>
      </c>
      <c r="FN15" s="15"/>
      <c r="FO15" s="15"/>
      <c r="FP15" s="15"/>
      <c r="FQ15" s="15"/>
      <c r="FR15" s="15"/>
      <c r="FS15" s="15"/>
      <c r="FT15" s="15"/>
      <c r="FU15" s="15"/>
      <c r="FV15" s="15"/>
      <c r="FW15" s="15"/>
      <c r="FX15" s="15"/>
      <c r="FY15" s="15"/>
      <c r="FZ15" s="15"/>
      <c r="GA15" s="15"/>
      <c r="GB15" s="15"/>
      <c r="GC15" s="15"/>
      <c r="GD15" s="15"/>
      <c r="GE15" s="15"/>
      <c r="GF15" s="15"/>
      <c r="GG15" s="15"/>
      <c r="GH15" s="36" t="str">
        <f t="shared" si="75"/>
        <v/>
      </c>
      <c r="GI15" s="36" t="str">
        <f t="shared" si="76"/>
        <v/>
      </c>
      <c r="GJ15" s="36" t="str">
        <f t="shared" si="77"/>
        <v/>
      </c>
      <c r="GK15" s="36" t="str">
        <f t="shared" si="78"/>
        <v/>
      </c>
      <c r="GL15" s="36" t="str">
        <f t="shared" si="79"/>
        <v/>
      </c>
      <c r="GM15" s="36" t="str">
        <f t="shared" si="80"/>
        <v/>
      </c>
      <c r="GN15" s="36" t="str">
        <f t="shared" si="81"/>
        <v/>
      </c>
      <c r="GO15" s="36" t="str">
        <f t="shared" si="82"/>
        <v/>
      </c>
      <c r="GP15" s="36" t="str">
        <f t="shared" si="83"/>
        <v/>
      </c>
      <c r="GQ15" s="36" t="str">
        <f t="shared" si="84"/>
        <v/>
      </c>
      <c r="GR15" s="36" t="str">
        <f t="shared" si="85"/>
        <v/>
      </c>
      <c r="GS15" s="36" t="str">
        <f t="shared" si="86"/>
        <v/>
      </c>
      <c r="GT15" s="36" t="str">
        <f t="shared" si="87"/>
        <v/>
      </c>
      <c r="GU15" s="36" t="str">
        <f t="shared" si="88"/>
        <v/>
      </c>
      <c r="GV15" s="16"/>
      <c r="GW15" s="16"/>
      <c r="GX15" s="16"/>
      <c r="GY15" s="16"/>
      <c r="GZ15" s="16"/>
      <c r="HA15" s="16"/>
      <c r="HB15" s="16"/>
      <c r="HC15" s="16"/>
      <c r="HD15" s="16"/>
      <c r="HE15" s="16"/>
      <c r="HF15" s="16"/>
      <c r="HG15" s="16"/>
      <c r="HH15" s="16"/>
      <c r="HI15" s="16"/>
      <c r="HJ15" s="16"/>
      <c r="HK15" s="16"/>
      <c r="HL15" s="16"/>
      <c r="HM15" s="16"/>
      <c r="HN15" s="16"/>
      <c r="HO15" s="16"/>
      <c r="HP15" s="11" t="str">
        <f t="shared" si="89"/>
        <v/>
      </c>
      <c r="HQ15" s="11" t="str">
        <f t="shared" si="90"/>
        <v/>
      </c>
      <c r="HR15" s="11" t="str">
        <f t="shared" si="91"/>
        <v/>
      </c>
      <c r="HS15" s="11" t="str">
        <f t="shared" si="92"/>
        <v/>
      </c>
      <c r="HT15" s="11" t="str">
        <f t="shared" si="93"/>
        <v/>
      </c>
      <c r="HU15" s="11" t="str">
        <f t="shared" si="94"/>
        <v/>
      </c>
      <c r="HV15" s="11" t="str">
        <f t="shared" si="95"/>
        <v/>
      </c>
      <c r="HW15" s="11" t="str">
        <f t="shared" si="96"/>
        <v/>
      </c>
      <c r="HX15" s="11" t="str">
        <f t="shared" si="97"/>
        <v/>
      </c>
      <c r="HY15" s="11" t="str">
        <f t="shared" si="98"/>
        <v/>
      </c>
      <c r="HZ15" s="11" t="str">
        <f t="shared" si="99"/>
        <v/>
      </c>
      <c r="IA15" s="11" t="str">
        <f t="shared" si="100"/>
        <v/>
      </c>
      <c r="IB15" s="11" t="str">
        <f t="shared" si="101"/>
        <v/>
      </c>
      <c r="IC15" s="11" t="str">
        <f t="shared" si="102"/>
        <v/>
      </c>
      <c r="ID15" s="15"/>
      <c r="IE15" s="15"/>
      <c r="IF15" s="15"/>
      <c r="IG15" s="15"/>
      <c r="IH15" s="15"/>
      <c r="II15" s="15"/>
      <c r="IJ15" s="15"/>
      <c r="IK15" s="15"/>
      <c r="IL15" s="15"/>
      <c r="IM15" s="15"/>
      <c r="IN15" s="15"/>
      <c r="IO15" s="15"/>
      <c r="IP15" s="15"/>
      <c r="IQ15" s="15"/>
      <c r="IR15" s="15"/>
      <c r="IS15" s="15"/>
      <c r="IT15" s="15"/>
      <c r="IU15" s="15"/>
      <c r="IV15" s="15"/>
      <c r="IW15" s="15"/>
      <c r="IX15" s="36" t="str">
        <f t="shared" si="103"/>
        <v/>
      </c>
      <c r="IY15" s="36" t="str">
        <f t="shared" si="104"/>
        <v/>
      </c>
      <c r="IZ15" s="36" t="str">
        <f t="shared" si="105"/>
        <v/>
      </c>
      <c r="JA15" s="36" t="str">
        <f t="shared" si="106"/>
        <v/>
      </c>
      <c r="JB15" s="36" t="str">
        <f t="shared" si="107"/>
        <v/>
      </c>
      <c r="JC15" s="36" t="str">
        <f t="shared" si="108"/>
        <v/>
      </c>
      <c r="JD15" s="36" t="str">
        <f t="shared" si="109"/>
        <v/>
      </c>
      <c r="JE15" s="36" t="str">
        <f t="shared" si="110"/>
        <v/>
      </c>
      <c r="JF15" s="36" t="str">
        <f t="shared" si="111"/>
        <v/>
      </c>
      <c r="JG15" s="36" t="str">
        <f t="shared" si="112"/>
        <v/>
      </c>
      <c r="JH15" s="36" t="str">
        <f t="shared" si="113"/>
        <v/>
      </c>
      <c r="JI15" s="36" t="str">
        <f t="shared" si="114"/>
        <v/>
      </c>
      <c r="JJ15" s="36" t="str">
        <f t="shared" si="115"/>
        <v/>
      </c>
      <c r="JK15" s="36" t="str">
        <f t="shared" si="116"/>
        <v/>
      </c>
      <c r="JL15" s="16"/>
      <c r="JM15" s="16"/>
      <c r="JN15" s="16"/>
      <c r="JO15" s="16"/>
      <c r="JP15" s="16"/>
      <c r="JQ15" s="16"/>
      <c r="JR15" s="16"/>
      <c r="JS15" s="16"/>
      <c r="JT15" s="16"/>
      <c r="JU15" s="16"/>
      <c r="JV15" s="16"/>
      <c r="JW15" s="16"/>
      <c r="JX15" s="16"/>
      <c r="JY15" s="16"/>
      <c r="JZ15" s="16"/>
      <c r="KA15" s="16"/>
      <c r="KB15" s="16"/>
      <c r="KC15" s="16"/>
      <c r="KD15" s="16"/>
      <c r="KE15" s="16"/>
      <c r="KF15" s="11" t="str">
        <f t="shared" si="117"/>
        <v/>
      </c>
      <c r="KG15" s="11" t="str">
        <f t="shared" si="118"/>
        <v/>
      </c>
      <c r="KH15" s="11" t="str">
        <f t="shared" si="119"/>
        <v/>
      </c>
      <c r="KI15" s="11" t="str">
        <f t="shared" si="120"/>
        <v/>
      </c>
      <c r="KJ15" s="11" t="str">
        <f t="shared" si="121"/>
        <v/>
      </c>
      <c r="KK15" s="11" t="str">
        <f t="shared" si="122"/>
        <v/>
      </c>
      <c r="KL15" s="11" t="str">
        <f t="shared" si="123"/>
        <v/>
      </c>
      <c r="KM15" s="11" t="str">
        <f t="shared" si="124"/>
        <v/>
      </c>
      <c r="KN15" s="11" t="str">
        <f t="shared" si="125"/>
        <v/>
      </c>
      <c r="KO15" s="11" t="str">
        <f t="shared" si="126"/>
        <v/>
      </c>
      <c r="KP15" s="11" t="str">
        <f t="shared" si="127"/>
        <v/>
      </c>
      <c r="KQ15" s="11" t="str">
        <f t="shared" si="128"/>
        <v/>
      </c>
      <c r="KR15" s="11" t="str">
        <f t="shared" si="129"/>
        <v/>
      </c>
      <c r="KS15" s="11" t="str">
        <f t="shared" si="130"/>
        <v/>
      </c>
      <c r="KT15" s="15"/>
      <c r="KU15" s="15"/>
      <c r="KV15" s="15"/>
      <c r="KW15" s="15"/>
      <c r="KX15" s="15"/>
      <c r="KY15" s="15"/>
      <c r="KZ15" s="15"/>
      <c r="LA15" s="15"/>
      <c r="LB15" s="15"/>
      <c r="LC15" s="15"/>
      <c r="LD15" s="15"/>
      <c r="LE15" s="15"/>
      <c r="LF15" s="15"/>
      <c r="LG15" s="15"/>
      <c r="LH15" s="15"/>
      <c r="LI15" s="15"/>
      <c r="LJ15" s="15"/>
      <c r="LK15" s="15"/>
      <c r="LL15" s="15"/>
      <c r="LM15" s="15"/>
      <c r="LN15" s="36" t="str">
        <f t="shared" si="131"/>
        <v/>
      </c>
      <c r="LO15" s="36" t="str">
        <f t="shared" si="132"/>
        <v/>
      </c>
      <c r="LP15" s="36" t="str">
        <f t="shared" si="133"/>
        <v/>
      </c>
      <c r="LQ15" s="36" t="str">
        <f t="shared" si="134"/>
        <v/>
      </c>
      <c r="LR15" s="36" t="str">
        <f t="shared" si="135"/>
        <v/>
      </c>
      <c r="LS15" s="36" t="str">
        <f t="shared" si="136"/>
        <v/>
      </c>
      <c r="LT15" s="36" t="str">
        <f t="shared" si="137"/>
        <v/>
      </c>
      <c r="LU15" s="36" t="str">
        <f t="shared" si="138"/>
        <v/>
      </c>
      <c r="LV15" s="36" t="str">
        <f t="shared" si="139"/>
        <v/>
      </c>
      <c r="LW15" s="36" t="str">
        <f t="shared" si="140"/>
        <v/>
      </c>
      <c r="LX15" s="36" t="str">
        <f t="shared" si="141"/>
        <v/>
      </c>
      <c r="LY15" s="36" t="str">
        <f t="shared" si="142"/>
        <v/>
      </c>
      <c r="LZ15" s="36" t="str">
        <f t="shared" si="143"/>
        <v/>
      </c>
      <c r="MA15" s="36" t="str">
        <f t="shared" si="144"/>
        <v/>
      </c>
      <c r="MB15" s="16"/>
      <c r="MC15" s="16"/>
      <c r="MD15" s="16"/>
      <c r="ME15" s="16"/>
      <c r="MF15" s="16"/>
      <c r="MG15" s="16"/>
      <c r="MH15" s="16"/>
      <c r="MI15" s="16"/>
      <c r="MJ15" s="16"/>
      <c r="MK15" s="16"/>
      <c r="ML15" s="16"/>
      <c r="MM15" s="16"/>
      <c r="MN15" s="16"/>
      <c r="MO15" s="16"/>
      <c r="MP15" s="16"/>
      <c r="MQ15" s="16"/>
      <c r="MR15" s="16"/>
      <c r="MS15" s="16"/>
      <c r="MT15" s="16"/>
      <c r="MU15" s="16"/>
      <c r="MV15" s="11" t="str">
        <f t="shared" si="145"/>
        <v/>
      </c>
      <c r="MW15" s="11" t="str">
        <f t="shared" si="146"/>
        <v/>
      </c>
      <c r="MX15" s="11" t="str">
        <f t="shared" si="147"/>
        <v/>
      </c>
      <c r="MY15" s="11" t="str">
        <f t="shared" si="148"/>
        <v/>
      </c>
      <c r="MZ15" s="11" t="str">
        <f t="shared" si="149"/>
        <v/>
      </c>
      <c r="NA15" s="11" t="str">
        <f t="shared" si="150"/>
        <v/>
      </c>
      <c r="NB15" s="11" t="str">
        <f t="shared" si="151"/>
        <v/>
      </c>
      <c r="NC15" s="11" t="str">
        <f t="shared" si="152"/>
        <v/>
      </c>
      <c r="ND15" s="11" t="str">
        <f t="shared" si="153"/>
        <v/>
      </c>
      <c r="NE15" s="11" t="str">
        <f t="shared" si="154"/>
        <v/>
      </c>
      <c r="NF15" s="11" t="str">
        <f t="shared" si="155"/>
        <v/>
      </c>
      <c r="NG15" s="11" t="str">
        <f t="shared" si="156"/>
        <v/>
      </c>
      <c r="NH15" s="11" t="str">
        <f t="shared" si="157"/>
        <v/>
      </c>
      <c r="NI15" s="11" t="str">
        <f t="shared" si="158"/>
        <v/>
      </c>
      <c r="NJ15" s="15"/>
      <c r="NK15" s="15"/>
      <c r="NL15" s="15"/>
      <c r="NM15" s="15"/>
      <c r="NN15" s="15"/>
      <c r="NO15" s="15"/>
      <c r="NP15" s="15"/>
      <c r="NQ15" s="15"/>
      <c r="NR15" s="15"/>
      <c r="NS15" s="15"/>
      <c r="NT15" s="15"/>
      <c r="NU15" s="15"/>
      <c r="NV15" s="15"/>
      <c r="NW15" s="15"/>
      <c r="NX15" s="15"/>
      <c r="NY15" s="15"/>
      <c r="NZ15" s="15"/>
      <c r="OA15" s="15"/>
      <c r="OB15" s="15"/>
      <c r="OC15" s="15"/>
      <c r="OD15" s="36" t="str">
        <f t="shared" si="159"/>
        <v/>
      </c>
      <c r="OE15" s="36" t="str">
        <f t="shared" si="160"/>
        <v/>
      </c>
      <c r="OF15" s="36" t="str">
        <f t="shared" si="161"/>
        <v/>
      </c>
      <c r="OG15" s="36" t="str">
        <f t="shared" si="162"/>
        <v/>
      </c>
      <c r="OH15" s="36" t="str">
        <f t="shared" si="163"/>
        <v/>
      </c>
      <c r="OI15" s="36" t="str">
        <f t="shared" si="164"/>
        <v/>
      </c>
      <c r="OJ15" s="36" t="str">
        <f t="shared" si="165"/>
        <v/>
      </c>
      <c r="OK15" s="36" t="str">
        <f t="shared" si="166"/>
        <v/>
      </c>
      <c r="OL15" s="36" t="str">
        <f t="shared" si="167"/>
        <v/>
      </c>
      <c r="OM15" s="36" t="str">
        <f t="shared" si="168"/>
        <v/>
      </c>
      <c r="ON15" s="36" t="str">
        <f t="shared" si="169"/>
        <v/>
      </c>
      <c r="OO15" s="36" t="str">
        <f t="shared" si="170"/>
        <v/>
      </c>
      <c r="OP15" s="36" t="str">
        <f t="shared" si="171"/>
        <v/>
      </c>
      <c r="OQ15" s="36" t="str">
        <f t="shared" si="172"/>
        <v/>
      </c>
      <c r="OR15" s="16"/>
      <c r="OS15" s="16"/>
      <c r="OT15" s="16"/>
      <c r="OU15" s="16"/>
      <c r="OV15" s="16"/>
      <c r="OW15" s="16"/>
      <c r="OX15" s="16"/>
      <c r="OY15" s="16"/>
      <c r="OZ15" s="16"/>
      <c r="PA15" s="16"/>
      <c r="PB15" s="16"/>
      <c r="PC15" s="16"/>
      <c r="PD15" s="16"/>
      <c r="PE15" s="16"/>
      <c r="PF15" s="16"/>
      <c r="PG15" s="16"/>
      <c r="PH15" s="16"/>
      <c r="PI15" s="16"/>
      <c r="PJ15" s="16"/>
      <c r="PK15" s="16"/>
      <c r="PL15" s="11" t="str">
        <f t="shared" si="173"/>
        <v/>
      </c>
      <c r="PM15" s="11" t="str">
        <f t="shared" si="174"/>
        <v/>
      </c>
      <c r="PN15" s="11" t="str">
        <f t="shared" si="175"/>
        <v/>
      </c>
      <c r="PO15" s="11" t="str">
        <f t="shared" si="176"/>
        <v/>
      </c>
      <c r="PP15" s="11" t="str">
        <f t="shared" si="177"/>
        <v/>
      </c>
      <c r="PQ15" s="11" t="str">
        <f t="shared" si="178"/>
        <v/>
      </c>
      <c r="PR15" s="11" t="str">
        <f t="shared" si="179"/>
        <v/>
      </c>
      <c r="PS15" s="11" t="str">
        <f t="shared" si="180"/>
        <v/>
      </c>
      <c r="PT15" s="11" t="str">
        <f t="shared" si="181"/>
        <v/>
      </c>
      <c r="PU15" s="11" t="str">
        <f t="shared" si="182"/>
        <v/>
      </c>
      <c r="PV15" s="11" t="str">
        <f t="shared" si="183"/>
        <v/>
      </c>
      <c r="PW15" s="11" t="str">
        <f t="shared" si="184"/>
        <v/>
      </c>
      <c r="PX15" s="11" t="str">
        <f t="shared" si="185"/>
        <v/>
      </c>
      <c r="PY15" s="11" t="str">
        <f t="shared" si="186"/>
        <v/>
      </c>
      <c r="PZ15" s="15"/>
      <c r="QA15" s="15"/>
      <c r="QB15" s="15"/>
      <c r="QC15" s="15"/>
      <c r="QD15" s="15"/>
      <c r="QE15" s="15"/>
      <c r="QF15" s="15"/>
      <c r="QG15" s="15"/>
      <c r="QH15" s="15"/>
      <c r="QI15" s="15"/>
      <c r="QJ15" s="15"/>
      <c r="QK15" s="15"/>
      <c r="QL15" s="15"/>
      <c r="QM15" s="15"/>
      <c r="QN15" s="15"/>
      <c r="QO15" s="15"/>
      <c r="QP15" s="15"/>
      <c r="QQ15" s="15"/>
      <c r="QR15" s="15"/>
      <c r="QS15" s="15"/>
      <c r="QT15" s="36" t="str">
        <f t="shared" si="187"/>
        <v/>
      </c>
      <c r="QU15" s="36" t="str">
        <f t="shared" si="188"/>
        <v/>
      </c>
      <c r="QV15" s="36" t="str">
        <f t="shared" si="189"/>
        <v/>
      </c>
      <c r="QW15" s="36" t="str">
        <f t="shared" si="190"/>
        <v/>
      </c>
      <c r="QX15" s="36" t="str">
        <f t="shared" si="191"/>
        <v/>
      </c>
      <c r="QY15" s="36" t="str">
        <f t="shared" si="192"/>
        <v/>
      </c>
      <c r="QZ15" s="36" t="str">
        <f t="shared" si="193"/>
        <v/>
      </c>
      <c r="RA15" s="36" t="str">
        <f t="shared" si="194"/>
        <v/>
      </c>
      <c r="RB15" s="36" t="str">
        <f t="shared" si="195"/>
        <v/>
      </c>
      <c r="RC15" s="36" t="str">
        <f t="shared" si="196"/>
        <v/>
      </c>
      <c r="RD15" s="36" t="str">
        <f t="shared" si="197"/>
        <v/>
      </c>
      <c r="RE15" s="36" t="str">
        <f t="shared" si="198"/>
        <v/>
      </c>
      <c r="RF15" s="36" t="str">
        <f t="shared" si="199"/>
        <v/>
      </c>
      <c r="RG15" s="36" t="str">
        <f t="shared" si="200"/>
        <v/>
      </c>
      <c r="RH15" s="16"/>
      <c r="RI15" s="16"/>
      <c r="RJ15" s="16"/>
      <c r="RK15" s="16"/>
      <c r="RL15" s="16"/>
      <c r="RM15" s="16"/>
      <c r="RN15" s="16"/>
      <c r="RO15" s="16"/>
      <c r="RP15" s="16"/>
      <c r="RQ15" s="16"/>
      <c r="RR15" s="16"/>
      <c r="RS15" s="16"/>
      <c r="RT15" s="16"/>
      <c r="RU15" s="16"/>
      <c r="RV15" s="16"/>
      <c r="RW15" s="16"/>
      <c r="RX15" s="16"/>
      <c r="RY15" s="16"/>
      <c r="RZ15" s="16"/>
      <c r="SA15" s="16"/>
      <c r="SB15" s="11" t="str">
        <f t="shared" si="201"/>
        <v/>
      </c>
      <c r="SC15" s="11" t="str">
        <f t="shared" si="202"/>
        <v/>
      </c>
      <c r="SD15" s="11" t="str">
        <f t="shared" si="203"/>
        <v/>
      </c>
      <c r="SE15" s="11" t="str">
        <f t="shared" si="204"/>
        <v/>
      </c>
      <c r="SF15" s="11" t="str">
        <f t="shared" si="205"/>
        <v/>
      </c>
      <c r="SG15" s="11" t="str">
        <f t="shared" si="206"/>
        <v/>
      </c>
      <c r="SH15" s="11" t="str">
        <f t="shared" si="207"/>
        <v/>
      </c>
      <c r="SI15" s="11" t="str">
        <f t="shared" si="208"/>
        <v/>
      </c>
      <c r="SJ15" s="11" t="str">
        <f t="shared" si="209"/>
        <v/>
      </c>
      <c r="SK15" s="11" t="str">
        <f t="shared" si="210"/>
        <v/>
      </c>
      <c r="SL15" s="11" t="str">
        <f t="shared" si="211"/>
        <v/>
      </c>
      <c r="SM15" s="11" t="str">
        <f t="shared" si="212"/>
        <v/>
      </c>
      <c r="SN15" s="11" t="str">
        <f t="shared" si="213"/>
        <v/>
      </c>
      <c r="SO15" s="11" t="str">
        <f t="shared" si="214"/>
        <v/>
      </c>
      <c r="SP15" s="15"/>
      <c r="SQ15" s="15"/>
      <c r="SR15" s="15"/>
      <c r="SS15" s="15"/>
      <c r="ST15" s="15"/>
      <c r="SU15" s="15"/>
      <c r="SV15" s="15"/>
      <c r="SW15" s="15"/>
      <c r="SX15" s="15"/>
      <c r="SY15" s="15"/>
      <c r="SZ15" s="15"/>
      <c r="TA15" s="15"/>
      <c r="TB15" s="15"/>
      <c r="TC15" s="15"/>
      <c r="TD15" s="15"/>
      <c r="TE15" s="15"/>
      <c r="TF15" s="15"/>
      <c r="TG15" s="15"/>
      <c r="TH15" s="15"/>
      <c r="TI15" s="15"/>
      <c r="TJ15" s="36" t="str">
        <f t="shared" si="215"/>
        <v/>
      </c>
      <c r="TK15" s="36" t="str">
        <f t="shared" si="216"/>
        <v/>
      </c>
      <c r="TL15" s="36" t="str">
        <f t="shared" si="217"/>
        <v/>
      </c>
      <c r="TM15" s="36" t="str">
        <f t="shared" si="218"/>
        <v/>
      </c>
      <c r="TN15" s="36" t="str">
        <f t="shared" si="219"/>
        <v/>
      </c>
      <c r="TO15" s="36" t="str">
        <f t="shared" si="220"/>
        <v/>
      </c>
      <c r="TP15" s="36" t="str">
        <f t="shared" si="221"/>
        <v/>
      </c>
      <c r="TQ15" s="36" t="str">
        <f t="shared" si="222"/>
        <v/>
      </c>
      <c r="TR15" s="36" t="str">
        <f t="shared" si="223"/>
        <v/>
      </c>
      <c r="TS15" s="36" t="str">
        <f t="shared" si="224"/>
        <v/>
      </c>
      <c r="TT15" s="36" t="str">
        <f t="shared" si="225"/>
        <v/>
      </c>
      <c r="TU15" s="36" t="str">
        <f t="shared" si="226"/>
        <v/>
      </c>
      <c r="TV15" s="36" t="str">
        <f t="shared" si="227"/>
        <v/>
      </c>
      <c r="TW15" s="36" t="str">
        <f t="shared" si="228"/>
        <v/>
      </c>
      <c r="TX15" s="16"/>
      <c r="TY15" s="16"/>
      <c r="TZ15" s="16"/>
      <c r="UA15" s="16"/>
      <c r="UB15" s="16"/>
      <c r="UC15" s="16"/>
      <c r="UD15" s="16"/>
      <c r="UE15" s="16"/>
      <c r="UF15" s="16"/>
      <c r="UG15" s="16"/>
      <c r="UH15" s="16"/>
      <c r="UI15" s="16"/>
      <c r="UJ15" s="16"/>
      <c r="UK15" s="16"/>
      <c r="UL15" s="16"/>
      <c r="UM15" s="16"/>
      <c r="UN15" s="16"/>
      <c r="UO15" s="16"/>
      <c r="UP15" s="16"/>
      <c r="UQ15" s="16"/>
      <c r="UR15" s="11" t="str">
        <f t="shared" si="229"/>
        <v/>
      </c>
      <c r="US15" s="11" t="str">
        <f t="shared" si="230"/>
        <v/>
      </c>
      <c r="UT15" s="11" t="str">
        <f t="shared" si="231"/>
        <v/>
      </c>
      <c r="UU15" s="11" t="str">
        <f t="shared" si="232"/>
        <v/>
      </c>
      <c r="UV15" s="11" t="str">
        <f t="shared" si="233"/>
        <v/>
      </c>
      <c r="UW15" s="11" t="str">
        <f t="shared" si="234"/>
        <v/>
      </c>
      <c r="UX15" s="11" t="str">
        <f t="shared" si="235"/>
        <v/>
      </c>
      <c r="UY15" s="11" t="str">
        <f t="shared" si="236"/>
        <v/>
      </c>
      <c r="UZ15" s="11" t="str">
        <f t="shared" si="237"/>
        <v/>
      </c>
      <c r="VA15" s="11" t="str">
        <f t="shared" si="238"/>
        <v/>
      </c>
      <c r="VB15" s="11" t="str">
        <f t="shared" si="239"/>
        <v/>
      </c>
      <c r="VC15" s="11" t="str">
        <f t="shared" si="240"/>
        <v/>
      </c>
      <c r="VD15" s="11" t="str">
        <f t="shared" si="241"/>
        <v/>
      </c>
      <c r="VE15" s="11" t="str">
        <f t="shared" si="242"/>
        <v/>
      </c>
      <c r="VF15" s="15"/>
      <c r="VG15" s="15"/>
      <c r="VH15" s="15"/>
      <c r="VI15" s="15"/>
      <c r="VJ15" s="15"/>
      <c r="VK15" s="15"/>
      <c r="VL15" s="15"/>
      <c r="VM15" s="15"/>
      <c r="VN15" s="15"/>
      <c r="VO15" s="15"/>
      <c r="VP15" s="15"/>
      <c r="VQ15" s="15"/>
      <c r="VR15" s="15"/>
      <c r="VS15" s="15"/>
      <c r="VT15" s="15"/>
      <c r="VU15" s="15"/>
      <c r="VV15" s="15"/>
      <c r="VW15" s="15"/>
      <c r="VX15" s="15"/>
      <c r="VY15" s="15"/>
      <c r="VZ15" s="36" t="str">
        <f t="shared" si="243"/>
        <v/>
      </c>
      <c r="WA15" s="36" t="str">
        <f t="shared" si="244"/>
        <v/>
      </c>
      <c r="WB15" s="36" t="str">
        <f t="shared" si="245"/>
        <v/>
      </c>
      <c r="WC15" s="36" t="str">
        <f t="shared" si="246"/>
        <v/>
      </c>
      <c r="WD15" s="36" t="str">
        <f t="shared" si="247"/>
        <v/>
      </c>
      <c r="WE15" s="36" t="str">
        <f t="shared" si="248"/>
        <v/>
      </c>
      <c r="WF15" s="36" t="str">
        <f t="shared" si="249"/>
        <v/>
      </c>
      <c r="WG15" s="36" t="str">
        <f t="shared" si="250"/>
        <v/>
      </c>
      <c r="WH15" s="36" t="str">
        <f t="shared" si="251"/>
        <v/>
      </c>
      <c r="WI15" s="36" t="str">
        <f t="shared" si="252"/>
        <v/>
      </c>
      <c r="WJ15" s="36" t="str">
        <f t="shared" si="253"/>
        <v/>
      </c>
      <c r="WK15" s="36" t="str">
        <f t="shared" si="254"/>
        <v/>
      </c>
      <c r="WL15" s="36" t="str">
        <f t="shared" si="255"/>
        <v/>
      </c>
      <c r="WM15" s="36" t="str">
        <f t="shared" si="256"/>
        <v/>
      </c>
    </row>
    <row r="16" spans="1:611" x14ac:dyDescent="0.2">
      <c r="A16" s="4" t="str" cm="1">
        <f t="array" ref="A16">IF(AND(H16&lt;&gt;"",H16&lt;&gt;"No DD"),SUMPRODUCT((H$4:H$27&lt;&gt;"")*(H$4:H$27&lt;&gt;"No DD")*(E$4:E$27&gt;E16))+1,IF(H16="No DD",SUMPRODUCT((H$4:H$27="No DD")*(E$4:E$27&gt;E16))+1+SUMPRODUCT((H$4:H$27&lt;&gt;"")*(H$4:H$27&lt;&gt;"No DD")),""))</f>
        <v/>
      </c>
      <c r="B16" s="5" t="s">
        <v>99</v>
      </c>
      <c r="C16" s="4" t="s">
        <v>5</v>
      </c>
      <c r="D16" s="4">
        <v>2002</v>
      </c>
      <c r="E16" s="9">
        <f t="shared" si="0"/>
        <v>139.53001395300493</v>
      </c>
      <c r="F16" s="3" t="str">
        <f t="shared" si="1"/>
        <v/>
      </c>
      <c r="G16" s="3" t="str">
        <f t="shared" si="2"/>
        <v/>
      </c>
      <c r="H16" s="32" t="str">
        <f t="shared" si="3"/>
        <v/>
      </c>
      <c r="I16" s="3" t="str">
        <f t="shared" si="4"/>
        <v/>
      </c>
      <c r="J16" s="8">
        <f t="shared" si="5"/>
        <v>42.769999999999996</v>
      </c>
      <c r="K16" s="8" t="str">
        <f t="shared" si="6"/>
        <v>2025 Elite Canada</v>
      </c>
      <c r="L16" s="8">
        <f>IFERROR(IF(J16=AR16,LARGE((AK16,AN16,BL16,BO16,BS16,CM16,CP16,CT16),1),IF(J16=BS16,LARGE((AK16,AN16,AR16,BL16,BO16,CM16,CP16,CT16),1),LARGE((AK16,AN16,AR16,BL16,BO16,BS16,CM16,CP16),1))),0)</f>
        <v>49.419999999999987</v>
      </c>
      <c r="M16" s="8" t="str">
        <f t="shared" si="7"/>
        <v>2025 Elite Canada</v>
      </c>
      <c r="N16" s="8">
        <f>IFERROR(IF(J16=AR16,LARGE((AK16,AN16,BL16,BO16,BS16,CM16,CP16,CT16),2),IF(J16=BS16,LARGE((AK16,AN16,AR16,BL16,BO16,CM16,CP16,CT16),2),LARGE((AK16,AN16,AR16,BL16,BO16,BS16,CM16,CP16),2))),0)</f>
        <v>47.339999999999996</v>
      </c>
      <c r="O16" s="8" t="str">
        <f t="shared" si="8"/>
        <v>2025 3rd Domestic Trial</v>
      </c>
      <c r="P16" s="8">
        <f t="shared" si="9"/>
        <v>0</v>
      </c>
      <c r="Q16" s="11" t="str">
        <f t="shared" si="10"/>
        <v/>
      </c>
      <c r="R16" s="8" t="str">
        <f t="shared" si="11"/>
        <v/>
      </c>
      <c r="S16" s="18">
        <v>6.7</v>
      </c>
      <c r="T16" s="18">
        <v>4.5999999999999996</v>
      </c>
      <c r="U16" s="18">
        <v>7.6</v>
      </c>
      <c r="V16" s="18">
        <v>7.67</v>
      </c>
      <c r="W16" s="18">
        <v>0</v>
      </c>
      <c r="X16" s="18">
        <v>10.7</v>
      </c>
      <c r="Y16" s="18">
        <v>9.1999999999999993</v>
      </c>
      <c r="Z16" s="18">
        <v>14.7</v>
      </c>
      <c r="AA16" s="18">
        <v>15.02</v>
      </c>
      <c r="AB16" s="18">
        <v>0.2</v>
      </c>
      <c r="AC16" s="18">
        <v>12.2</v>
      </c>
      <c r="AD16" s="18">
        <v>8.8000000000000007</v>
      </c>
      <c r="AE16" s="18">
        <v>10.8</v>
      </c>
      <c r="AF16" s="18">
        <v>14.67</v>
      </c>
      <c r="AG16" s="18">
        <v>3.7</v>
      </c>
      <c r="AH16" s="23"/>
      <c r="AI16" s="34">
        <f t="shared" si="12"/>
        <v>7.6</v>
      </c>
      <c r="AJ16" s="34">
        <f t="shared" si="13"/>
        <v>7.67</v>
      </c>
      <c r="AK16" s="36">
        <f t="shared" si="14"/>
        <v>26.57</v>
      </c>
      <c r="AL16" s="36">
        <f t="shared" si="15"/>
        <v>14.7</v>
      </c>
      <c r="AM16" s="36">
        <f t="shared" si="16"/>
        <v>15.02</v>
      </c>
      <c r="AN16" s="36">
        <f t="shared" si="17"/>
        <v>49.419999999999987</v>
      </c>
      <c r="AO16" s="36">
        <f t="shared" si="18"/>
        <v>49.419999999999987</v>
      </c>
      <c r="AP16" s="36">
        <f t="shared" si="19"/>
        <v>10.8</v>
      </c>
      <c r="AQ16" s="36">
        <f t="shared" si="20"/>
        <v>14.67</v>
      </c>
      <c r="AR16" s="36">
        <f t="shared" si="21"/>
        <v>42.769999999999996</v>
      </c>
      <c r="AS16" s="36">
        <f t="shared" si="22"/>
        <v>92.189999999999984</v>
      </c>
      <c r="AT16" s="22">
        <v>10.9</v>
      </c>
      <c r="AU16" s="22">
        <v>9.4</v>
      </c>
      <c r="AV16" s="22">
        <v>13.2</v>
      </c>
      <c r="AW16" s="22">
        <v>14.62</v>
      </c>
      <c r="AX16" s="22">
        <v>1.3</v>
      </c>
      <c r="AY16" s="22">
        <v>10.1</v>
      </c>
      <c r="AZ16" s="22">
        <v>8</v>
      </c>
      <c r="BA16" s="22">
        <v>10.8</v>
      </c>
      <c r="BB16" s="22">
        <v>12.93</v>
      </c>
      <c r="BC16" s="22">
        <v>0</v>
      </c>
      <c r="BD16" s="22"/>
      <c r="BE16" s="22"/>
      <c r="BF16" s="22"/>
      <c r="BG16" s="22"/>
      <c r="BH16" s="22"/>
      <c r="BI16" s="24"/>
      <c r="BJ16" s="35">
        <f t="shared" si="23"/>
        <v>13.2</v>
      </c>
      <c r="BK16" s="35">
        <f t="shared" si="24"/>
        <v>14.62</v>
      </c>
      <c r="BL16" s="11">
        <f t="shared" si="25"/>
        <v>46.82</v>
      </c>
      <c r="BM16" s="11">
        <f t="shared" si="26"/>
        <v>10.8</v>
      </c>
      <c r="BN16" s="11">
        <f t="shared" si="27"/>
        <v>12.93</v>
      </c>
      <c r="BO16" s="11">
        <f t="shared" si="28"/>
        <v>41.83</v>
      </c>
      <c r="BP16" s="11">
        <f t="shared" si="29"/>
        <v>46.82</v>
      </c>
      <c r="BQ16" s="11" t="str">
        <f t="shared" si="30"/>
        <v/>
      </c>
      <c r="BR16" s="11" t="str">
        <f t="shared" si="31"/>
        <v/>
      </c>
      <c r="BS16" s="11" t="str">
        <f t="shared" si="32"/>
        <v/>
      </c>
      <c r="BT16" s="11">
        <f t="shared" si="33"/>
        <v>46.82</v>
      </c>
      <c r="BU16" s="18">
        <v>12.4</v>
      </c>
      <c r="BV16" s="18">
        <v>7.9</v>
      </c>
      <c r="BW16" s="18">
        <v>12.5</v>
      </c>
      <c r="BX16" s="18">
        <v>14.54</v>
      </c>
      <c r="BY16" s="18">
        <v>0</v>
      </c>
      <c r="BZ16" s="18">
        <v>8.6</v>
      </c>
      <c r="CA16" s="18">
        <v>5.7</v>
      </c>
      <c r="CB16" s="18">
        <v>8.6999999999999993</v>
      </c>
      <c r="CC16" s="18">
        <v>11.81</v>
      </c>
      <c r="CD16" s="18">
        <v>0</v>
      </c>
      <c r="CE16" s="18"/>
      <c r="CF16" s="18"/>
      <c r="CG16" s="18"/>
      <c r="CH16" s="18"/>
      <c r="CI16" s="18"/>
      <c r="CJ16" s="23"/>
      <c r="CK16" s="34">
        <f t="shared" si="34"/>
        <v>12.5</v>
      </c>
      <c r="CL16" s="34">
        <f t="shared" si="35"/>
        <v>14.54</v>
      </c>
      <c r="CM16" s="36">
        <f t="shared" si="36"/>
        <v>47.339999999999996</v>
      </c>
      <c r="CN16" s="36">
        <f t="shared" si="37"/>
        <v>8.6999999999999993</v>
      </c>
      <c r="CO16" s="36">
        <f t="shared" si="38"/>
        <v>11.81</v>
      </c>
      <c r="CP16" s="36">
        <f t="shared" si="39"/>
        <v>34.81</v>
      </c>
      <c r="CQ16" s="36">
        <f t="shared" si="40"/>
        <v>47.339999999999996</v>
      </c>
      <c r="CR16" s="36" t="str">
        <f t="shared" si="41"/>
        <v/>
      </c>
      <c r="CS16" s="36" t="str">
        <f t="shared" si="42"/>
        <v/>
      </c>
      <c r="CT16" s="36" t="str">
        <f t="shared" si="43"/>
        <v/>
      </c>
      <c r="CU16" s="36">
        <f t="shared" si="44"/>
        <v>47.339999999999996</v>
      </c>
      <c r="CV16" s="47" t="str">
        <f t="shared" si="45"/>
        <v/>
      </c>
      <c r="CW16" s="47" t="str">
        <f t="shared" si="46"/>
        <v/>
      </c>
      <c r="CX16" s="15"/>
      <c r="CY16" s="15"/>
      <c r="CZ16" s="15"/>
      <c r="DA16" s="15"/>
      <c r="DB16" s="15"/>
      <c r="DC16" s="15"/>
      <c r="DD16" s="15"/>
      <c r="DE16" s="15"/>
      <c r="DF16" s="15"/>
      <c r="DG16" s="15"/>
      <c r="DH16" s="15"/>
      <c r="DI16" s="15"/>
      <c r="DJ16" s="15"/>
      <c r="DK16" s="15"/>
      <c r="DL16" s="15"/>
      <c r="DM16" s="15"/>
      <c r="DN16" s="15"/>
      <c r="DO16" s="15"/>
      <c r="DP16" s="15"/>
      <c r="DQ16" s="15"/>
      <c r="DR16" s="36" t="str">
        <f t="shared" si="47"/>
        <v/>
      </c>
      <c r="DS16" s="36" t="str">
        <f t="shared" si="48"/>
        <v/>
      </c>
      <c r="DT16" s="36" t="str">
        <f t="shared" si="49"/>
        <v/>
      </c>
      <c r="DU16" s="36" t="str">
        <f t="shared" si="50"/>
        <v/>
      </c>
      <c r="DV16" s="36" t="str">
        <f t="shared" si="51"/>
        <v/>
      </c>
      <c r="DW16" s="36" t="str">
        <f t="shared" si="52"/>
        <v/>
      </c>
      <c r="DX16" s="36" t="str">
        <f t="shared" si="53"/>
        <v/>
      </c>
      <c r="DY16" s="36" t="str">
        <f t="shared" si="54"/>
        <v/>
      </c>
      <c r="DZ16" s="36" t="str">
        <f t="shared" si="55"/>
        <v/>
      </c>
      <c r="EA16" s="36" t="str">
        <f t="shared" si="56"/>
        <v/>
      </c>
      <c r="EB16" s="36" t="str">
        <f t="shared" si="57"/>
        <v/>
      </c>
      <c r="EC16" s="36" t="str">
        <f t="shared" si="58"/>
        <v/>
      </c>
      <c r="ED16" s="36" t="str">
        <f t="shared" si="59"/>
        <v/>
      </c>
      <c r="EE16" s="36" t="str">
        <f t="shared" si="60"/>
        <v/>
      </c>
      <c r="EF16" s="16"/>
      <c r="EG16" s="16"/>
      <c r="EH16" s="16"/>
      <c r="EI16" s="16"/>
      <c r="EJ16" s="16"/>
      <c r="EK16" s="16"/>
      <c r="EL16" s="16"/>
      <c r="EM16" s="16"/>
      <c r="EN16" s="16"/>
      <c r="EO16" s="16"/>
      <c r="EP16" s="16"/>
      <c r="EQ16" s="16"/>
      <c r="ER16" s="16"/>
      <c r="ES16" s="16"/>
      <c r="ET16" s="16"/>
      <c r="EU16" s="16"/>
      <c r="EV16" s="16"/>
      <c r="EW16" s="16"/>
      <c r="EX16" s="16"/>
      <c r="EY16" s="16"/>
      <c r="EZ16" s="11" t="str">
        <f t="shared" si="61"/>
        <v/>
      </c>
      <c r="FA16" s="11" t="str">
        <f t="shared" si="62"/>
        <v/>
      </c>
      <c r="FB16" s="11" t="str">
        <f t="shared" si="63"/>
        <v/>
      </c>
      <c r="FC16" s="11" t="str">
        <f t="shared" si="64"/>
        <v/>
      </c>
      <c r="FD16" s="11" t="str">
        <f t="shared" si="65"/>
        <v/>
      </c>
      <c r="FE16" s="11" t="str">
        <f t="shared" si="66"/>
        <v/>
      </c>
      <c r="FF16" s="11" t="str">
        <f t="shared" si="67"/>
        <v/>
      </c>
      <c r="FG16" s="11" t="str">
        <f t="shared" si="68"/>
        <v/>
      </c>
      <c r="FH16" s="11" t="str">
        <f t="shared" si="69"/>
        <v/>
      </c>
      <c r="FI16" s="11" t="str">
        <f t="shared" si="70"/>
        <v/>
      </c>
      <c r="FJ16" s="11" t="str">
        <f t="shared" si="71"/>
        <v/>
      </c>
      <c r="FK16" s="11" t="str">
        <f t="shared" si="72"/>
        <v/>
      </c>
      <c r="FL16" s="11" t="str">
        <f t="shared" si="73"/>
        <v/>
      </c>
      <c r="FM16" s="11" t="str">
        <f t="shared" si="74"/>
        <v/>
      </c>
      <c r="FN16" s="15"/>
      <c r="FO16" s="15"/>
      <c r="FP16" s="15"/>
      <c r="FQ16" s="15"/>
      <c r="FR16" s="15"/>
      <c r="FS16" s="15"/>
      <c r="FT16" s="15"/>
      <c r="FU16" s="15"/>
      <c r="FV16" s="15"/>
      <c r="FW16" s="15"/>
      <c r="FX16" s="15"/>
      <c r="FY16" s="15"/>
      <c r="FZ16" s="15"/>
      <c r="GA16" s="15"/>
      <c r="GB16" s="15"/>
      <c r="GC16" s="15"/>
      <c r="GD16" s="15"/>
      <c r="GE16" s="15"/>
      <c r="GF16" s="15"/>
      <c r="GG16" s="15"/>
      <c r="GH16" s="36" t="str">
        <f t="shared" si="75"/>
        <v/>
      </c>
      <c r="GI16" s="36" t="str">
        <f t="shared" si="76"/>
        <v/>
      </c>
      <c r="GJ16" s="36" t="str">
        <f t="shared" si="77"/>
        <v/>
      </c>
      <c r="GK16" s="36" t="str">
        <f t="shared" si="78"/>
        <v/>
      </c>
      <c r="GL16" s="36" t="str">
        <f t="shared" si="79"/>
        <v/>
      </c>
      <c r="GM16" s="36" t="str">
        <f t="shared" si="80"/>
        <v/>
      </c>
      <c r="GN16" s="36" t="str">
        <f t="shared" si="81"/>
        <v/>
      </c>
      <c r="GO16" s="36" t="str">
        <f t="shared" si="82"/>
        <v/>
      </c>
      <c r="GP16" s="36" t="str">
        <f t="shared" si="83"/>
        <v/>
      </c>
      <c r="GQ16" s="36" t="str">
        <f t="shared" si="84"/>
        <v/>
      </c>
      <c r="GR16" s="36" t="str">
        <f t="shared" si="85"/>
        <v/>
      </c>
      <c r="GS16" s="36" t="str">
        <f t="shared" si="86"/>
        <v/>
      </c>
      <c r="GT16" s="36" t="str">
        <f t="shared" si="87"/>
        <v/>
      </c>
      <c r="GU16" s="36" t="str">
        <f t="shared" si="88"/>
        <v/>
      </c>
      <c r="GV16" s="16"/>
      <c r="GW16" s="16"/>
      <c r="GX16" s="16"/>
      <c r="GY16" s="16"/>
      <c r="GZ16" s="16"/>
      <c r="HA16" s="16"/>
      <c r="HB16" s="16"/>
      <c r="HC16" s="16"/>
      <c r="HD16" s="16"/>
      <c r="HE16" s="16"/>
      <c r="HF16" s="16"/>
      <c r="HG16" s="16"/>
      <c r="HH16" s="16"/>
      <c r="HI16" s="16"/>
      <c r="HJ16" s="16"/>
      <c r="HK16" s="16"/>
      <c r="HL16" s="16"/>
      <c r="HM16" s="16"/>
      <c r="HN16" s="16"/>
      <c r="HO16" s="16"/>
      <c r="HP16" s="11" t="str">
        <f t="shared" si="89"/>
        <v/>
      </c>
      <c r="HQ16" s="11" t="str">
        <f t="shared" si="90"/>
        <v/>
      </c>
      <c r="HR16" s="11" t="str">
        <f t="shared" si="91"/>
        <v/>
      </c>
      <c r="HS16" s="11" t="str">
        <f t="shared" si="92"/>
        <v/>
      </c>
      <c r="HT16" s="11" t="str">
        <f t="shared" si="93"/>
        <v/>
      </c>
      <c r="HU16" s="11" t="str">
        <f t="shared" si="94"/>
        <v/>
      </c>
      <c r="HV16" s="11" t="str">
        <f t="shared" si="95"/>
        <v/>
      </c>
      <c r="HW16" s="11" t="str">
        <f t="shared" si="96"/>
        <v/>
      </c>
      <c r="HX16" s="11" t="str">
        <f t="shared" si="97"/>
        <v/>
      </c>
      <c r="HY16" s="11" t="str">
        <f t="shared" si="98"/>
        <v/>
      </c>
      <c r="HZ16" s="11" t="str">
        <f t="shared" si="99"/>
        <v/>
      </c>
      <c r="IA16" s="11" t="str">
        <f t="shared" si="100"/>
        <v/>
      </c>
      <c r="IB16" s="11" t="str">
        <f t="shared" si="101"/>
        <v/>
      </c>
      <c r="IC16" s="11" t="str">
        <f t="shared" si="102"/>
        <v/>
      </c>
      <c r="ID16" s="15"/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5"/>
      <c r="IQ16" s="15"/>
      <c r="IR16" s="15"/>
      <c r="IS16" s="15"/>
      <c r="IT16" s="15"/>
      <c r="IU16" s="15"/>
      <c r="IV16" s="15"/>
      <c r="IW16" s="15"/>
      <c r="IX16" s="36" t="str">
        <f t="shared" si="103"/>
        <v/>
      </c>
      <c r="IY16" s="36" t="str">
        <f t="shared" si="104"/>
        <v/>
      </c>
      <c r="IZ16" s="36" t="str">
        <f t="shared" si="105"/>
        <v/>
      </c>
      <c r="JA16" s="36" t="str">
        <f t="shared" si="106"/>
        <v/>
      </c>
      <c r="JB16" s="36" t="str">
        <f t="shared" si="107"/>
        <v/>
      </c>
      <c r="JC16" s="36" t="str">
        <f t="shared" si="108"/>
        <v/>
      </c>
      <c r="JD16" s="36" t="str">
        <f t="shared" si="109"/>
        <v/>
      </c>
      <c r="JE16" s="36" t="str">
        <f t="shared" si="110"/>
        <v/>
      </c>
      <c r="JF16" s="36" t="str">
        <f t="shared" si="111"/>
        <v/>
      </c>
      <c r="JG16" s="36" t="str">
        <f t="shared" si="112"/>
        <v/>
      </c>
      <c r="JH16" s="36" t="str">
        <f t="shared" si="113"/>
        <v/>
      </c>
      <c r="JI16" s="36" t="str">
        <f t="shared" si="114"/>
        <v/>
      </c>
      <c r="JJ16" s="36" t="str">
        <f t="shared" si="115"/>
        <v/>
      </c>
      <c r="JK16" s="36" t="str">
        <f t="shared" si="116"/>
        <v/>
      </c>
      <c r="JL16" s="16"/>
      <c r="JM16" s="16"/>
      <c r="JN16" s="16"/>
      <c r="JO16" s="16"/>
      <c r="JP16" s="16"/>
      <c r="JQ16" s="16"/>
      <c r="JR16" s="16"/>
      <c r="JS16" s="16"/>
      <c r="JT16" s="16"/>
      <c r="JU16" s="16"/>
      <c r="JV16" s="16"/>
      <c r="JW16" s="16"/>
      <c r="JX16" s="16"/>
      <c r="JY16" s="16"/>
      <c r="JZ16" s="16"/>
      <c r="KA16" s="16"/>
      <c r="KB16" s="16"/>
      <c r="KC16" s="16"/>
      <c r="KD16" s="16"/>
      <c r="KE16" s="16"/>
      <c r="KF16" s="11" t="str">
        <f t="shared" si="117"/>
        <v/>
      </c>
      <c r="KG16" s="11" t="str">
        <f t="shared" si="118"/>
        <v/>
      </c>
      <c r="KH16" s="11" t="str">
        <f t="shared" si="119"/>
        <v/>
      </c>
      <c r="KI16" s="11" t="str">
        <f t="shared" si="120"/>
        <v/>
      </c>
      <c r="KJ16" s="11" t="str">
        <f t="shared" si="121"/>
        <v/>
      </c>
      <c r="KK16" s="11" t="str">
        <f t="shared" si="122"/>
        <v/>
      </c>
      <c r="KL16" s="11" t="str">
        <f t="shared" si="123"/>
        <v/>
      </c>
      <c r="KM16" s="11" t="str">
        <f t="shared" si="124"/>
        <v/>
      </c>
      <c r="KN16" s="11" t="str">
        <f t="shared" si="125"/>
        <v/>
      </c>
      <c r="KO16" s="11" t="str">
        <f t="shared" si="126"/>
        <v/>
      </c>
      <c r="KP16" s="11" t="str">
        <f t="shared" si="127"/>
        <v/>
      </c>
      <c r="KQ16" s="11" t="str">
        <f t="shared" si="128"/>
        <v/>
      </c>
      <c r="KR16" s="11" t="str">
        <f t="shared" si="129"/>
        <v/>
      </c>
      <c r="KS16" s="11" t="str">
        <f t="shared" si="130"/>
        <v/>
      </c>
      <c r="KT16" s="15"/>
      <c r="KU16" s="15"/>
      <c r="KV16" s="15"/>
      <c r="KW16" s="15"/>
      <c r="KX16" s="15"/>
      <c r="KY16" s="15"/>
      <c r="KZ16" s="15"/>
      <c r="LA16" s="15"/>
      <c r="LB16" s="15"/>
      <c r="LC16" s="15"/>
      <c r="LD16" s="15"/>
      <c r="LE16" s="15"/>
      <c r="LF16" s="15"/>
      <c r="LG16" s="15"/>
      <c r="LH16" s="15"/>
      <c r="LI16" s="15"/>
      <c r="LJ16" s="15"/>
      <c r="LK16" s="15"/>
      <c r="LL16" s="15"/>
      <c r="LM16" s="15"/>
      <c r="LN16" s="36" t="str">
        <f t="shared" si="131"/>
        <v/>
      </c>
      <c r="LO16" s="36" t="str">
        <f t="shared" si="132"/>
        <v/>
      </c>
      <c r="LP16" s="36" t="str">
        <f t="shared" si="133"/>
        <v/>
      </c>
      <c r="LQ16" s="36" t="str">
        <f t="shared" si="134"/>
        <v/>
      </c>
      <c r="LR16" s="36" t="str">
        <f t="shared" si="135"/>
        <v/>
      </c>
      <c r="LS16" s="36" t="str">
        <f t="shared" si="136"/>
        <v/>
      </c>
      <c r="LT16" s="36" t="str">
        <f t="shared" si="137"/>
        <v/>
      </c>
      <c r="LU16" s="36" t="str">
        <f t="shared" si="138"/>
        <v/>
      </c>
      <c r="LV16" s="36" t="str">
        <f t="shared" si="139"/>
        <v/>
      </c>
      <c r="LW16" s="36" t="str">
        <f t="shared" si="140"/>
        <v/>
      </c>
      <c r="LX16" s="36" t="str">
        <f t="shared" si="141"/>
        <v/>
      </c>
      <c r="LY16" s="36" t="str">
        <f t="shared" si="142"/>
        <v/>
      </c>
      <c r="LZ16" s="36" t="str">
        <f t="shared" si="143"/>
        <v/>
      </c>
      <c r="MA16" s="36" t="str">
        <f t="shared" si="144"/>
        <v/>
      </c>
      <c r="MB16" s="16"/>
      <c r="MC16" s="16"/>
      <c r="MD16" s="16"/>
      <c r="ME16" s="16"/>
      <c r="MF16" s="16"/>
      <c r="MG16" s="16"/>
      <c r="MH16" s="16"/>
      <c r="MI16" s="16"/>
      <c r="MJ16" s="16"/>
      <c r="MK16" s="16"/>
      <c r="ML16" s="16"/>
      <c r="MM16" s="16"/>
      <c r="MN16" s="16"/>
      <c r="MO16" s="16"/>
      <c r="MP16" s="16"/>
      <c r="MQ16" s="16"/>
      <c r="MR16" s="16"/>
      <c r="MS16" s="16"/>
      <c r="MT16" s="16"/>
      <c r="MU16" s="16"/>
      <c r="MV16" s="11" t="str">
        <f t="shared" si="145"/>
        <v/>
      </c>
      <c r="MW16" s="11" t="str">
        <f t="shared" si="146"/>
        <v/>
      </c>
      <c r="MX16" s="11" t="str">
        <f t="shared" si="147"/>
        <v/>
      </c>
      <c r="MY16" s="11" t="str">
        <f t="shared" si="148"/>
        <v/>
      </c>
      <c r="MZ16" s="11" t="str">
        <f t="shared" si="149"/>
        <v/>
      </c>
      <c r="NA16" s="11" t="str">
        <f t="shared" si="150"/>
        <v/>
      </c>
      <c r="NB16" s="11" t="str">
        <f t="shared" si="151"/>
        <v/>
      </c>
      <c r="NC16" s="11" t="str">
        <f t="shared" si="152"/>
        <v/>
      </c>
      <c r="ND16" s="11" t="str">
        <f t="shared" si="153"/>
        <v/>
      </c>
      <c r="NE16" s="11" t="str">
        <f t="shared" si="154"/>
        <v/>
      </c>
      <c r="NF16" s="11" t="str">
        <f t="shared" si="155"/>
        <v/>
      </c>
      <c r="NG16" s="11" t="str">
        <f t="shared" si="156"/>
        <v/>
      </c>
      <c r="NH16" s="11" t="str">
        <f t="shared" si="157"/>
        <v/>
      </c>
      <c r="NI16" s="11" t="str">
        <f t="shared" si="158"/>
        <v/>
      </c>
      <c r="NJ16" s="15"/>
      <c r="NK16" s="15"/>
      <c r="NL16" s="15"/>
      <c r="NM16" s="15"/>
      <c r="NN16" s="15"/>
      <c r="NO16" s="15"/>
      <c r="NP16" s="15"/>
      <c r="NQ16" s="15"/>
      <c r="NR16" s="15"/>
      <c r="NS16" s="15"/>
      <c r="NT16" s="15"/>
      <c r="NU16" s="15"/>
      <c r="NV16" s="15"/>
      <c r="NW16" s="15"/>
      <c r="NX16" s="15"/>
      <c r="NY16" s="15"/>
      <c r="NZ16" s="15"/>
      <c r="OA16" s="15"/>
      <c r="OB16" s="15"/>
      <c r="OC16" s="15"/>
      <c r="OD16" s="36" t="str">
        <f t="shared" si="159"/>
        <v/>
      </c>
      <c r="OE16" s="36" t="str">
        <f t="shared" si="160"/>
        <v/>
      </c>
      <c r="OF16" s="36" t="str">
        <f t="shared" si="161"/>
        <v/>
      </c>
      <c r="OG16" s="36" t="str">
        <f t="shared" si="162"/>
        <v/>
      </c>
      <c r="OH16" s="36" t="str">
        <f t="shared" si="163"/>
        <v/>
      </c>
      <c r="OI16" s="36" t="str">
        <f t="shared" si="164"/>
        <v/>
      </c>
      <c r="OJ16" s="36" t="str">
        <f t="shared" si="165"/>
        <v/>
      </c>
      <c r="OK16" s="36" t="str">
        <f t="shared" si="166"/>
        <v/>
      </c>
      <c r="OL16" s="36" t="str">
        <f t="shared" si="167"/>
        <v/>
      </c>
      <c r="OM16" s="36" t="str">
        <f t="shared" si="168"/>
        <v/>
      </c>
      <c r="ON16" s="36" t="str">
        <f t="shared" si="169"/>
        <v/>
      </c>
      <c r="OO16" s="36" t="str">
        <f t="shared" si="170"/>
        <v/>
      </c>
      <c r="OP16" s="36" t="str">
        <f t="shared" si="171"/>
        <v/>
      </c>
      <c r="OQ16" s="36" t="str">
        <f t="shared" si="172"/>
        <v/>
      </c>
      <c r="OR16" s="16"/>
      <c r="OS16" s="16"/>
      <c r="OT16" s="16"/>
      <c r="OU16" s="16"/>
      <c r="OV16" s="16"/>
      <c r="OW16" s="16"/>
      <c r="OX16" s="16"/>
      <c r="OY16" s="16"/>
      <c r="OZ16" s="16"/>
      <c r="PA16" s="16"/>
      <c r="PB16" s="16"/>
      <c r="PC16" s="16"/>
      <c r="PD16" s="16"/>
      <c r="PE16" s="16"/>
      <c r="PF16" s="16"/>
      <c r="PG16" s="16"/>
      <c r="PH16" s="16"/>
      <c r="PI16" s="16"/>
      <c r="PJ16" s="16"/>
      <c r="PK16" s="16"/>
      <c r="PL16" s="11" t="str">
        <f t="shared" si="173"/>
        <v/>
      </c>
      <c r="PM16" s="11" t="str">
        <f t="shared" si="174"/>
        <v/>
      </c>
      <c r="PN16" s="11" t="str">
        <f t="shared" si="175"/>
        <v/>
      </c>
      <c r="PO16" s="11" t="str">
        <f t="shared" si="176"/>
        <v/>
      </c>
      <c r="PP16" s="11" t="str">
        <f t="shared" si="177"/>
        <v/>
      </c>
      <c r="PQ16" s="11" t="str">
        <f t="shared" si="178"/>
        <v/>
      </c>
      <c r="PR16" s="11" t="str">
        <f t="shared" si="179"/>
        <v/>
      </c>
      <c r="PS16" s="11" t="str">
        <f t="shared" si="180"/>
        <v/>
      </c>
      <c r="PT16" s="11" t="str">
        <f t="shared" si="181"/>
        <v/>
      </c>
      <c r="PU16" s="11" t="str">
        <f t="shared" si="182"/>
        <v/>
      </c>
      <c r="PV16" s="11" t="str">
        <f t="shared" si="183"/>
        <v/>
      </c>
      <c r="PW16" s="11" t="str">
        <f t="shared" si="184"/>
        <v/>
      </c>
      <c r="PX16" s="11" t="str">
        <f t="shared" si="185"/>
        <v/>
      </c>
      <c r="PY16" s="11" t="str">
        <f t="shared" si="186"/>
        <v/>
      </c>
      <c r="PZ16" s="15"/>
      <c r="QA16" s="15"/>
      <c r="QB16" s="15"/>
      <c r="QC16" s="15"/>
      <c r="QD16" s="15"/>
      <c r="QE16" s="15"/>
      <c r="QF16" s="15"/>
      <c r="QG16" s="15"/>
      <c r="QH16" s="15"/>
      <c r="QI16" s="15"/>
      <c r="QJ16" s="15"/>
      <c r="QK16" s="15"/>
      <c r="QL16" s="15"/>
      <c r="QM16" s="15"/>
      <c r="QN16" s="15"/>
      <c r="QO16" s="15"/>
      <c r="QP16" s="15"/>
      <c r="QQ16" s="15"/>
      <c r="QR16" s="15"/>
      <c r="QS16" s="15"/>
      <c r="QT16" s="36" t="str">
        <f t="shared" si="187"/>
        <v/>
      </c>
      <c r="QU16" s="36" t="str">
        <f t="shared" si="188"/>
        <v/>
      </c>
      <c r="QV16" s="36" t="str">
        <f t="shared" si="189"/>
        <v/>
      </c>
      <c r="QW16" s="36" t="str">
        <f t="shared" si="190"/>
        <v/>
      </c>
      <c r="QX16" s="36" t="str">
        <f t="shared" si="191"/>
        <v/>
      </c>
      <c r="QY16" s="36" t="str">
        <f t="shared" si="192"/>
        <v/>
      </c>
      <c r="QZ16" s="36" t="str">
        <f t="shared" si="193"/>
        <v/>
      </c>
      <c r="RA16" s="36" t="str">
        <f t="shared" si="194"/>
        <v/>
      </c>
      <c r="RB16" s="36" t="str">
        <f t="shared" si="195"/>
        <v/>
      </c>
      <c r="RC16" s="36" t="str">
        <f t="shared" si="196"/>
        <v/>
      </c>
      <c r="RD16" s="36" t="str">
        <f t="shared" si="197"/>
        <v/>
      </c>
      <c r="RE16" s="36" t="str">
        <f t="shared" si="198"/>
        <v/>
      </c>
      <c r="RF16" s="36" t="str">
        <f t="shared" si="199"/>
        <v/>
      </c>
      <c r="RG16" s="36" t="str">
        <f t="shared" si="200"/>
        <v/>
      </c>
      <c r="RH16" s="16"/>
      <c r="RI16" s="16"/>
      <c r="RJ16" s="16"/>
      <c r="RK16" s="16"/>
      <c r="RL16" s="16"/>
      <c r="RM16" s="16"/>
      <c r="RN16" s="16"/>
      <c r="RO16" s="16"/>
      <c r="RP16" s="16"/>
      <c r="RQ16" s="16"/>
      <c r="RR16" s="16"/>
      <c r="RS16" s="16"/>
      <c r="RT16" s="16"/>
      <c r="RU16" s="16"/>
      <c r="RV16" s="16"/>
      <c r="RW16" s="16"/>
      <c r="RX16" s="16"/>
      <c r="RY16" s="16"/>
      <c r="RZ16" s="16"/>
      <c r="SA16" s="16"/>
      <c r="SB16" s="11" t="str">
        <f t="shared" si="201"/>
        <v/>
      </c>
      <c r="SC16" s="11" t="str">
        <f t="shared" si="202"/>
        <v/>
      </c>
      <c r="SD16" s="11" t="str">
        <f t="shared" si="203"/>
        <v/>
      </c>
      <c r="SE16" s="11" t="str">
        <f t="shared" si="204"/>
        <v/>
      </c>
      <c r="SF16" s="11" t="str">
        <f t="shared" si="205"/>
        <v/>
      </c>
      <c r="SG16" s="11" t="str">
        <f t="shared" si="206"/>
        <v/>
      </c>
      <c r="SH16" s="11" t="str">
        <f t="shared" si="207"/>
        <v/>
      </c>
      <c r="SI16" s="11" t="str">
        <f t="shared" si="208"/>
        <v/>
      </c>
      <c r="SJ16" s="11" t="str">
        <f t="shared" si="209"/>
        <v/>
      </c>
      <c r="SK16" s="11" t="str">
        <f t="shared" si="210"/>
        <v/>
      </c>
      <c r="SL16" s="11" t="str">
        <f t="shared" si="211"/>
        <v/>
      </c>
      <c r="SM16" s="11" t="str">
        <f t="shared" si="212"/>
        <v/>
      </c>
      <c r="SN16" s="11" t="str">
        <f t="shared" si="213"/>
        <v/>
      </c>
      <c r="SO16" s="11" t="str">
        <f t="shared" si="214"/>
        <v/>
      </c>
      <c r="SP16" s="15"/>
      <c r="SQ16" s="15"/>
      <c r="SR16" s="15"/>
      <c r="SS16" s="15"/>
      <c r="ST16" s="15"/>
      <c r="SU16" s="15"/>
      <c r="SV16" s="15"/>
      <c r="SW16" s="15"/>
      <c r="SX16" s="15"/>
      <c r="SY16" s="15"/>
      <c r="SZ16" s="15"/>
      <c r="TA16" s="15"/>
      <c r="TB16" s="15"/>
      <c r="TC16" s="15"/>
      <c r="TD16" s="15"/>
      <c r="TE16" s="15"/>
      <c r="TF16" s="15"/>
      <c r="TG16" s="15"/>
      <c r="TH16" s="15"/>
      <c r="TI16" s="15"/>
      <c r="TJ16" s="36" t="str">
        <f t="shared" si="215"/>
        <v/>
      </c>
      <c r="TK16" s="36" t="str">
        <f t="shared" si="216"/>
        <v/>
      </c>
      <c r="TL16" s="36" t="str">
        <f t="shared" si="217"/>
        <v/>
      </c>
      <c r="TM16" s="36" t="str">
        <f t="shared" si="218"/>
        <v/>
      </c>
      <c r="TN16" s="36" t="str">
        <f t="shared" si="219"/>
        <v/>
      </c>
      <c r="TO16" s="36" t="str">
        <f t="shared" si="220"/>
        <v/>
      </c>
      <c r="TP16" s="36" t="str">
        <f t="shared" si="221"/>
        <v/>
      </c>
      <c r="TQ16" s="36" t="str">
        <f t="shared" si="222"/>
        <v/>
      </c>
      <c r="TR16" s="36" t="str">
        <f t="shared" si="223"/>
        <v/>
      </c>
      <c r="TS16" s="36" t="str">
        <f t="shared" si="224"/>
        <v/>
      </c>
      <c r="TT16" s="36" t="str">
        <f t="shared" si="225"/>
        <v/>
      </c>
      <c r="TU16" s="36" t="str">
        <f t="shared" si="226"/>
        <v/>
      </c>
      <c r="TV16" s="36" t="str">
        <f t="shared" si="227"/>
        <v/>
      </c>
      <c r="TW16" s="36" t="str">
        <f t="shared" si="228"/>
        <v/>
      </c>
      <c r="TX16" s="16"/>
      <c r="TY16" s="16"/>
      <c r="TZ16" s="16"/>
      <c r="UA16" s="16"/>
      <c r="UB16" s="16"/>
      <c r="UC16" s="16"/>
      <c r="UD16" s="16"/>
      <c r="UE16" s="16"/>
      <c r="UF16" s="16"/>
      <c r="UG16" s="16"/>
      <c r="UH16" s="16"/>
      <c r="UI16" s="16"/>
      <c r="UJ16" s="16"/>
      <c r="UK16" s="16"/>
      <c r="UL16" s="16"/>
      <c r="UM16" s="16"/>
      <c r="UN16" s="16"/>
      <c r="UO16" s="16"/>
      <c r="UP16" s="16"/>
      <c r="UQ16" s="16"/>
      <c r="UR16" s="11" t="str">
        <f t="shared" si="229"/>
        <v/>
      </c>
      <c r="US16" s="11" t="str">
        <f t="shared" si="230"/>
        <v/>
      </c>
      <c r="UT16" s="11" t="str">
        <f t="shared" si="231"/>
        <v/>
      </c>
      <c r="UU16" s="11" t="str">
        <f t="shared" si="232"/>
        <v/>
      </c>
      <c r="UV16" s="11" t="str">
        <f t="shared" si="233"/>
        <v/>
      </c>
      <c r="UW16" s="11" t="str">
        <f t="shared" si="234"/>
        <v/>
      </c>
      <c r="UX16" s="11" t="str">
        <f t="shared" si="235"/>
        <v/>
      </c>
      <c r="UY16" s="11" t="str">
        <f t="shared" si="236"/>
        <v/>
      </c>
      <c r="UZ16" s="11" t="str">
        <f t="shared" si="237"/>
        <v/>
      </c>
      <c r="VA16" s="11" t="str">
        <f t="shared" si="238"/>
        <v/>
      </c>
      <c r="VB16" s="11" t="str">
        <f t="shared" si="239"/>
        <v/>
      </c>
      <c r="VC16" s="11" t="str">
        <f t="shared" si="240"/>
        <v/>
      </c>
      <c r="VD16" s="11" t="str">
        <f t="shared" si="241"/>
        <v/>
      </c>
      <c r="VE16" s="11" t="str">
        <f t="shared" si="242"/>
        <v/>
      </c>
      <c r="VF16" s="15"/>
      <c r="VG16" s="15"/>
      <c r="VH16" s="15"/>
      <c r="VI16" s="15"/>
      <c r="VJ16" s="15"/>
      <c r="VK16" s="15"/>
      <c r="VL16" s="15"/>
      <c r="VM16" s="15"/>
      <c r="VN16" s="15"/>
      <c r="VO16" s="15"/>
      <c r="VP16" s="15"/>
      <c r="VQ16" s="15"/>
      <c r="VR16" s="15"/>
      <c r="VS16" s="15"/>
      <c r="VT16" s="15"/>
      <c r="VU16" s="15"/>
      <c r="VV16" s="15"/>
      <c r="VW16" s="15"/>
      <c r="VX16" s="15"/>
      <c r="VY16" s="15"/>
      <c r="VZ16" s="36" t="str">
        <f t="shared" si="243"/>
        <v/>
      </c>
      <c r="WA16" s="36" t="str">
        <f t="shared" si="244"/>
        <v/>
      </c>
      <c r="WB16" s="36" t="str">
        <f t="shared" si="245"/>
        <v/>
      </c>
      <c r="WC16" s="36" t="str">
        <f t="shared" si="246"/>
        <v/>
      </c>
      <c r="WD16" s="36" t="str">
        <f t="shared" si="247"/>
        <v/>
      </c>
      <c r="WE16" s="36" t="str">
        <f t="shared" si="248"/>
        <v/>
      </c>
      <c r="WF16" s="36" t="str">
        <f t="shared" si="249"/>
        <v/>
      </c>
      <c r="WG16" s="36" t="str">
        <f t="shared" si="250"/>
        <v/>
      </c>
      <c r="WH16" s="36" t="str">
        <f t="shared" si="251"/>
        <v/>
      </c>
      <c r="WI16" s="36" t="str">
        <f t="shared" si="252"/>
        <v/>
      </c>
      <c r="WJ16" s="36" t="str">
        <f t="shared" si="253"/>
        <v/>
      </c>
      <c r="WK16" s="36" t="str">
        <f t="shared" si="254"/>
        <v/>
      </c>
      <c r="WL16" s="36" t="str">
        <f t="shared" si="255"/>
        <v/>
      </c>
      <c r="WM16" s="36" t="str">
        <f t="shared" si="256"/>
        <v/>
      </c>
    </row>
    <row r="17" spans="1:611" x14ac:dyDescent="0.2">
      <c r="A17" s="4" t="str" cm="1">
        <f t="array" ref="A17">IF(AND(H17&lt;&gt;"",H17&lt;&gt;"No DD"),SUMPRODUCT((H$4:H$27&lt;&gt;"")*(H$4:H$27&lt;&gt;"No DD")*(E$4:E$27&gt;E17))+1,IF(H17="No DD",SUMPRODUCT((H$4:H$27="No DD")*(E$4:E$27&gt;E17))+1+SUMPRODUCT((H$4:H$27&lt;&gt;"")*(H$4:H$27&lt;&gt;"No DD")),""))</f>
        <v/>
      </c>
      <c r="B17" s="5" t="s">
        <v>56</v>
      </c>
      <c r="C17" s="4" t="s">
        <v>55</v>
      </c>
      <c r="D17" s="4">
        <v>2001</v>
      </c>
      <c r="E17" s="9">
        <f t="shared" si="0"/>
        <v>134.33001343300546</v>
      </c>
      <c r="F17" s="3" t="str">
        <f t="shared" si="1"/>
        <v/>
      </c>
      <c r="G17" s="3" t="str">
        <f t="shared" si="2"/>
        <v/>
      </c>
      <c r="H17" s="32" t="str">
        <f t="shared" si="3"/>
        <v/>
      </c>
      <c r="I17" s="3" t="str">
        <f t="shared" si="4"/>
        <v/>
      </c>
      <c r="J17" s="8">
        <f t="shared" si="5"/>
        <v>28.74</v>
      </c>
      <c r="K17" s="8" t="str">
        <f t="shared" si="6"/>
        <v>2025 3rd Domestic Trial</v>
      </c>
      <c r="L17" s="8">
        <f>IFERROR(IF(J17=AR17,LARGE((AK17,AN17,BL17,BO17,BS17,CM17,CP17,CT17),1),IF(J17=BS17,LARGE((AK17,AN17,AR17,BL17,BO17,CM17,CP17,CT17),1),LARGE((AK17,AN17,AR17,BL17,BO17,BS17,CM17,CP17),1))),0)</f>
        <v>54.72</v>
      </c>
      <c r="M17" s="8" t="str">
        <f t="shared" si="7"/>
        <v>2025 3rd Domestic Trial</v>
      </c>
      <c r="N17" s="8">
        <f>IFERROR(IF(J17=AR17,LARGE((AK17,AN17,BL17,BO17,BS17,CM17,CP17,CT17),2),IF(J17=BS17,LARGE((AK17,AN17,AR17,BL17,BO17,CM17,CP17,CT17),2),LARGE((AK17,AN17,AR17,BL17,BO17,BS17,CM17,CP17),2))),0)</f>
        <v>50.87</v>
      </c>
      <c r="O17" s="8" t="str">
        <f t="shared" si="8"/>
        <v>2025 Nationals</v>
      </c>
      <c r="P17" s="8">
        <f t="shared" si="9"/>
        <v>0</v>
      </c>
      <c r="Q17" s="11" t="str">
        <f t="shared" si="10"/>
        <v/>
      </c>
      <c r="R17" s="8" t="str">
        <f t="shared" si="11"/>
        <v/>
      </c>
      <c r="S17" s="18">
        <v>3.2</v>
      </c>
      <c r="T17" s="18">
        <v>1.6</v>
      </c>
      <c r="U17" s="18">
        <v>3.3</v>
      </c>
      <c r="V17" s="18">
        <v>3.24</v>
      </c>
      <c r="W17" s="18">
        <v>0</v>
      </c>
      <c r="X17" s="18">
        <v>8.1</v>
      </c>
      <c r="Y17" s="18">
        <v>5.3</v>
      </c>
      <c r="Z17" s="18">
        <v>7</v>
      </c>
      <c r="AA17" s="18">
        <v>8.89</v>
      </c>
      <c r="AB17" s="18">
        <v>0</v>
      </c>
      <c r="AC17" s="18"/>
      <c r="AD17" s="18"/>
      <c r="AE17" s="18"/>
      <c r="AF17" s="18"/>
      <c r="AG17" s="18"/>
      <c r="AH17" s="23"/>
      <c r="AI17" s="34">
        <f t="shared" si="12"/>
        <v>3.3</v>
      </c>
      <c r="AJ17" s="34">
        <f t="shared" si="13"/>
        <v>3.24</v>
      </c>
      <c r="AK17" s="36">
        <f t="shared" si="14"/>
        <v>11.340000000000002</v>
      </c>
      <c r="AL17" s="36">
        <f t="shared" si="15"/>
        <v>7</v>
      </c>
      <c r="AM17" s="36">
        <f t="shared" si="16"/>
        <v>8.89</v>
      </c>
      <c r="AN17" s="36">
        <f t="shared" si="17"/>
        <v>29.29</v>
      </c>
      <c r="AO17" s="36">
        <f t="shared" si="18"/>
        <v>29.29</v>
      </c>
      <c r="AP17" s="36" t="str">
        <f t="shared" si="19"/>
        <v/>
      </c>
      <c r="AQ17" s="36" t="str">
        <f t="shared" si="20"/>
        <v/>
      </c>
      <c r="AR17" s="36" t="str">
        <f t="shared" si="21"/>
        <v/>
      </c>
      <c r="AS17" s="36">
        <f t="shared" si="22"/>
        <v>29.29</v>
      </c>
      <c r="AT17" s="22">
        <v>1.8</v>
      </c>
      <c r="AU17" s="22">
        <v>1</v>
      </c>
      <c r="AV17" s="22">
        <v>2</v>
      </c>
      <c r="AW17" s="22">
        <v>1.66</v>
      </c>
      <c r="AX17" s="22">
        <v>0</v>
      </c>
      <c r="AY17" s="22">
        <v>10.9</v>
      </c>
      <c r="AZ17" s="22">
        <v>8.9</v>
      </c>
      <c r="BA17" s="22">
        <v>15.6</v>
      </c>
      <c r="BB17" s="22">
        <v>15.47</v>
      </c>
      <c r="BC17" s="22">
        <v>0</v>
      </c>
      <c r="BD17" s="22">
        <v>3.2</v>
      </c>
      <c r="BE17" s="22">
        <v>2</v>
      </c>
      <c r="BF17" s="22">
        <v>4</v>
      </c>
      <c r="BG17" s="22">
        <v>3.29</v>
      </c>
      <c r="BH17" s="22">
        <v>0</v>
      </c>
      <c r="BI17" s="24"/>
      <c r="BJ17" s="35">
        <f t="shared" si="23"/>
        <v>2</v>
      </c>
      <c r="BK17" s="35">
        <f t="shared" si="24"/>
        <v>1.66</v>
      </c>
      <c r="BL17" s="11">
        <f t="shared" si="25"/>
        <v>6.46</v>
      </c>
      <c r="BM17" s="11">
        <f t="shared" si="26"/>
        <v>15.6</v>
      </c>
      <c r="BN17" s="11">
        <f t="shared" si="27"/>
        <v>15.47</v>
      </c>
      <c r="BO17" s="11">
        <f t="shared" si="28"/>
        <v>50.87</v>
      </c>
      <c r="BP17" s="11">
        <f t="shared" si="29"/>
        <v>50.87</v>
      </c>
      <c r="BQ17" s="11">
        <f t="shared" si="30"/>
        <v>4</v>
      </c>
      <c r="BR17" s="11">
        <f t="shared" si="31"/>
        <v>3.29</v>
      </c>
      <c r="BS17" s="11">
        <f t="shared" si="32"/>
        <v>12.489999999999998</v>
      </c>
      <c r="BT17" s="11">
        <f t="shared" si="33"/>
        <v>63.36</v>
      </c>
      <c r="BU17" s="18">
        <v>15.2</v>
      </c>
      <c r="BV17" s="18">
        <v>8.6</v>
      </c>
      <c r="BW17" s="18">
        <v>16</v>
      </c>
      <c r="BX17" s="18">
        <v>14.92</v>
      </c>
      <c r="BY17" s="18">
        <v>0</v>
      </c>
      <c r="BZ17" s="18">
        <v>8.1</v>
      </c>
      <c r="CA17" s="18">
        <v>5.5</v>
      </c>
      <c r="CB17" s="18">
        <v>9.6</v>
      </c>
      <c r="CC17" s="18">
        <v>9.18</v>
      </c>
      <c r="CD17" s="18">
        <v>0</v>
      </c>
      <c r="CE17" s="18">
        <v>7.4</v>
      </c>
      <c r="CF17" s="18">
        <v>4.8</v>
      </c>
      <c r="CG17" s="18">
        <v>8.6999999999999993</v>
      </c>
      <c r="CH17" s="18">
        <v>7.84</v>
      </c>
      <c r="CI17" s="18">
        <v>0</v>
      </c>
      <c r="CJ17" s="23"/>
      <c r="CK17" s="34">
        <f t="shared" si="34"/>
        <v>16</v>
      </c>
      <c r="CL17" s="34">
        <f t="shared" si="35"/>
        <v>14.92</v>
      </c>
      <c r="CM17" s="36">
        <f t="shared" si="36"/>
        <v>54.72</v>
      </c>
      <c r="CN17" s="36">
        <f t="shared" si="37"/>
        <v>9.6</v>
      </c>
      <c r="CO17" s="36">
        <f t="shared" si="38"/>
        <v>9.18</v>
      </c>
      <c r="CP17" s="36">
        <f t="shared" si="39"/>
        <v>32.379999999999995</v>
      </c>
      <c r="CQ17" s="36">
        <f t="shared" si="40"/>
        <v>54.72</v>
      </c>
      <c r="CR17" s="36">
        <f t="shared" si="41"/>
        <v>8.6999999999999993</v>
      </c>
      <c r="CS17" s="36">
        <f t="shared" si="42"/>
        <v>7.84</v>
      </c>
      <c r="CT17" s="36">
        <f t="shared" si="43"/>
        <v>28.74</v>
      </c>
      <c r="CU17" s="36">
        <f t="shared" si="44"/>
        <v>83.46</v>
      </c>
      <c r="CV17" s="47" t="str">
        <f t="shared" si="45"/>
        <v/>
      </c>
      <c r="CW17" s="47" t="str">
        <f t="shared" si="46"/>
        <v/>
      </c>
      <c r="CX17" s="15"/>
      <c r="CY17" s="15"/>
      <c r="CZ17" s="15"/>
      <c r="DA17" s="15"/>
      <c r="DB17" s="15"/>
      <c r="DC17" s="15"/>
      <c r="DD17" s="15"/>
      <c r="DE17" s="15"/>
      <c r="DF17" s="15"/>
      <c r="DG17" s="15"/>
      <c r="DH17" s="15"/>
      <c r="DI17" s="15"/>
      <c r="DJ17" s="15"/>
      <c r="DK17" s="15"/>
      <c r="DL17" s="15"/>
      <c r="DM17" s="15"/>
      <c r="DN17" s="15"/>
      <c r="DO17" s="15"/>
      <c r="DP17" s="15"/>
      <c r="DQ17" s="15"/>
      <c r="DR17" s="36" t="str">
        <f t="shared" si="47"/>
        <v/>
      </c>
      <c r="DS17" s="36" t="str">
        <f t="shared" si="48"/>
        <v/>
      </c>
      <c r="DT17" s="36" t="str">
        <f t="shared" si="49"/>
        <v/>
      </c>
      <c r="DU17" s="36" t="str">
        <f t="shared" si="50"/>
        <v/>
      </c>
      <c r="DV17" s="36" t="str">
        <f t="shared" si="51"/>
        <v/>
      </c>
      <c r="DW17" s="36" t="str">
        <f t="shared" si="52"/>
        <v/>
      </c>
      <c r="DX17" s="36" t="str">
        <f t="shared" si="53"/>
        <v/>
      </c>
      <c r="DY17" s="36" t="str">
        <f t="shared" si="54"/>
        <v/>
      </c>
      <c r="DZ17" s="36" t="str">
        <f t="shared" si="55"/>
        <v/>
      </c>
      <c r="EA17" s="36" t="str">
        <f t="shared" si="56"/>
        <v/>
      </c>
      <c r="EB17" s="36" t="str">
        <f t="shared" si="57"/>
        <v/>
      </c>
      <c r="EC17" s="36" t="str">
        <f t="shared" si="58"/>
        <v/>
      </c>
      <c r="ED17" s="36" t="str">
        <f t="shared" si="59"/>
        <v/>
      </c>
      <c r="EE17" s="36" t="str">
        <f t="shared" si="60"/>
        <v/>
      </c>
      <c r="EF17" s="16">
        <v>1.4</v>
      </c>
      <c r="EG17" s="16">
        <v>0.8</v>
      </c>
      <c r="EH17" s="16">
        <v>2</v>
      </c>
      <c r="EI17" s="16">
        <v>1.69</v>
      </c>
      <c r="EJ17" s="16">
        <v>0</v>
      </c>
      <c r="EK17" s="16">
        <v>12.7</v>
      </c>
      <c r="EL17" s="16">
        <v>8</v>
      </c>
      <c r="EM17" s="16">
        <v>12.8</v>
      </c>
      <c r="EN17" s="16">
        <v>13.275</v>
      </c>
      <c r="EO17" s="16">
        <v>0</v>
      </c>
      <c r="EP17" s="16"/>
      <c r="EQ17" s="16"/>
      <c r="ER17" s="16"/>
      <c r="ES17" s="16"/>
      <c r="ET17" s="16"/>
      <c r="EU17" s="16"/>
      <c r="EV17" s="16"/>
      <c r="EW17" s="16"/>
      <c r="EX17" s="16"/>
      <c r="EY17" s="16"/>
      <c r="EZ17" s="11">
        <f t="shared" si="61"/>
        <v>2</v>
      </c>
      <c r="FA17" s="11">
        <f t="shared" si="62"/>
        <v>1.69</v>
      </c>
      <c r="FB17" s="11">
        <f t="shared" si="63"/>
        <v>5.8900000000000006</v>
      </c>
      <c r="FC17" s="11">
        <f t="shared" si="64"/>
        <v>12.8</v>
      </c>
      <c r="FD17" s="11">
        <f t="shared" si="65"/>
        <v>13.275</v>
      </c>
      <c r="FE17" s="11">
        <f t="shared" si="66"/>
        <v>46.774999999999999</v>
      </c>
      <c r="FF17" s="11">
        <f t="shared" si="67"/>
        <v>46.774999999999999</v>
      </c>
      <c r="FG17" s="11" t="str">
        <f t="shared" si="68"/>
        <v/>
      </c>
      <c r="FH17" s="11" t="str">
        <f t="shared" si="69"/>
        <v/>
      </c>
      <c r="FI17" s="11" t="str">
        <f t="shared" si="70"/>
        <v/>
      </c>
      <c r="FJ17" s="11" t="str">
        <f t="shared" si="71"/>
        <v/>
      </c>
      <c r="FK17" s="11" t="str">
        <f t="shared" si="72"/>
        <v/>
      </c>
      <c r="FL17" s="11" t="str">
        <f t="shared" si="73"/>
        <v/>
      </c>
      <c r="FM17" s="11">
        <f t="shared" si="74"/>
        <v>46.774999999999999</v>
      </c>
      <c r="FN17" s="15"/>
      <c r="FO17" s="15"/>
      <c r="FP17" s="15"/>
      <c r="FQ17" s="15"/>
      <c r="FR17" s="15"/>
      <c r="FS17" s="15"/>
      <c r="FT17" s="15"/>
      <c r="FU17" s="15"/>
      <c r="FV17" s="15"/>
      <c r="FW17" s="15"/>
      <c r="FX17" s="15"/>
      <c r="FY17" s="15"/>
      <c r="FZ17" s="15"/>
      <c r="GA17" s="15"/>
      <c r="GB17" s="15"/>
      <c r="GC17" s="15"/>
      <c r="GD17" s="15"/>
      <c r="GE17" s="15"/>
      <c r="GF17" s="15"/>
      <c r="GG17" s="15"/>
      <c r="GH17" s="36" t="str">
        <f t="shared" si="75"/>
        <v/>
      </c>
      <c r="GI17" s="36" t="str">
        <f t="shared" si="76"/>
        <v/>
      </c>
      <c r="GJ17" s="36" t="str">
        <f t="shared" si="77"/>
        <v/>
      </c>
      <c r="GK17" s="36" t="str">
        <f t="shared" si="78"/>
        <v/>
      </c>
      <c r="GL17" s="36" t="str">
        <f t="shared" si="79"/>
        <v/>
      </c>
      <c r="GM17" s="36" t="str">
        <f t="shared" si="80"/>
        <v/>
      </c>
      <c r="GN17" s="36" t="str">
        <f t="shared" si="81"/>
        <v/>
      </c>
      <c r="GO17" s="36" t="str">
        <f t="shared" si="82"/>
        <v/>
      </c>
      <c r="GP17" s="36" t="str">
        <f t="shared" si="83"/>
        <v/>
      </c>
      <c r="GQ17" s="36" t="str">
        <f t="shared" si="84"/>
        <v/>
      </c>
      <c r="GR17" s="36" t="str">
        <f t="shared" si="85"/>
        <v/>
      </c>
      <c r="GS17" s="36" t="str">
        <f t="shared" si="86"/>
        <v/>
      </c>
      <c r="GT17" s="36" t="str">
        <f t="shared" si="87"/>
        <v/>
      </c>
      <c r="GU17" s="36" t="str">
        <f t="shared" si="88"/>
        <v/>
      </c>
      <c r="GV17" s="16"/>
      <c r="GW17" s="16"/>
      <c r="GX17" s="16"/>
      <c r="GY17" s="16"/>
      <c r="GZ17" s="16"/>
      <c r="HA17" s="16"/>
      <c r="HB17" s="16"/>
      <c r="HC17" s="16"/>
      <c r="HD17" s="16"/>
      <c r="HE17" s="16"/>
      <c r="HF17" s="16"/>
      <c r="HG17" s="16"/>
      <c r="HH17" s="16"/>
      <c r="HI17" s="16"/>
      <c r="HJ17" s="16"/>
      <c r="HK17" s="16"/>
      <c r="HL17" s="16"/>
      <c r="HM17" s="16"/>
      <c r="HN17" s="16"/>
      <c r="HO17" s="16"/>
      <c r="HP17" s="11" t="str">
        <f t="shared" si="89"/>
        <v/>
      </c>
      <c r="HQ17" s="11" t="str">
        <f t="shared" si="90"/>
        <v/>
      </c>
      <c r="HR17" s="11" t="str">
        <f t="shared" si="91"/>
        <v/>
      </c>
      <c r="HS17" s="11" t="str">
        <f t="shared" si="92"/>
        <v/>
      </c>
      <c r="HT17" s="11" t="str">
        <f t="shared" si="93"/>
        <v/>
      </c>
      <c r="HU17" s="11" t="str">
        <f t="shared" si="94"/>
        <v/>
      </c>
      <c r="HV17" s="11" t="str">
        <f t="shared" si="95"/>
        <v/>
      </c>
      <c r="HW17" s="11" t="str">
        <f t="shared" si="96"/>
        <v/>
      </c>
      <c r="HX17" s="11" t="str">
        <f t="shared" si="97"/>
        <v/>
      </c>
      <c r="HY17" s="11" t="str">
        <f t="shared" si="98"/>
        <v/>
      </c>
      <c r="HZ17" s="11" t="str">
        <f t="shared" si="99"/>
        <v/>
      </c>
      <c r="IA17" s="11" t="str">
        <f t="shared" si="100"/>
        <v/>
      </c>
      <c r="IB17" s="11" t="str">
        <f t="shared" si="101"/>
        <v/>
      </c>
      <c r="IC17" s="11" t="str">
        <f t="shared" si="102"/>
        <v/>
      </c>
      <c r="ID17" s="15"/>
      <c r="IE17" s="15"/>
      <c r="IF17" s="15"/>
      <c r="IG17" s="15"/>
      <c r="IH17" s="15"/>
      <c r="II17" s="15"/>
      <c r="IJ17" s="15"/>
      <c r="IK17" s="15"/>
      <c r="IL17" s="15"/>
      <c r="IM17" s="15"/>
      <c r="IN17" s="15"/>
      <c r="IO17" s="15"/>
      <c r="IP17" s="15"/>
      <c r="IQ17" s="15"/>
      <c r="IR17" s="15"/>
      <c r="IS17" s="15"/>
      <c r="IT17" s="15"/>
      <c r="IU17" s="15"/>
      <c r="IV17" s="15"/>
      <c r="IW17" s="15"/>
      <c r="IX17" s="36" t="str">
        <f t="shared" si="103"/>
        <v/>
      </c>
      <c r="IY17" s="36" t="str">
        <f t="shared" si="104"/>
        <v/>
      </c>
      <c r="IZ17" s="36" t="str">
        <f t="shared" si="105"/>
        <v/>
      </c>
      <c r="JA17" s="36" t="str">
        <f t="shared" si="106"/>
        <v/>
      </c>
      <c r="JB17" s="36" t="str">
        <f t="shared" si="107"/>
        <v/>
      </c>
      <c r="JC17" s="36" t="str">
        <f t="shared" si="108"/>
        <v/>
      </c>
      <c r="JD17" s="36" t="str">
        <f t="shared" si="109"/>
        <v/>
      </c>
      <c r="JE17" s="36" t="str">
        <f t="shared" si="110"/>
        <v/>
      </c>
      <c r="JF17" s="36" t="str">
        <f t="shared" si="111"/>
        <v/>
      </c>
      <c r="JG17" s="36" t="str">
        <f t="shared" si="112"/>
        <v/>
      </c>
      <c r="JH17" s="36" t="str">
        <f t="shared" si="113"/>
        <v/>
      </c>
      <c r="JI17" s="36" t="str">
        <f t="shared" si="114"/>
        <v/>
      </c>
      <c r="JJ17" s="36" t="str">
        <f t="shared" si="115"/>
        <v/>
      </c>
      <c r="JK17" s="36" t="str">
        <f t="shared" si="116"/>
        <v/>
      </c>
      <c r="JL17" s="16"/>
      <c r="JM17" s="16"/>
      <c r="JN17" s="16"/>
      <c r="JO17" s="16"/>
      <c r="JP17" s="16"/>
      <c r="JQ17" s="16"/>
      <c r="JR17" s="16"/>
      <c r="JS17" s="16"/>
      <c r="JT17" s="16"/>
      <c r="JU17" s="16"/>
      <c r="JV17" s="16"/>
      <c r="JW17" s="16"/>
      <c r="JX17" s="16"/>
      <c r="JY17" s="16"/>
      <c r="JZ17" s="16"/>
      <c r="KA17" s="16"/>
      <c r="KB17" s="16"/>
      <c r="KC17" s="16"/>
      <c r="KD17" s="16"/>
      <c r="KE17" s="16"/>
      <c r="KF17" s="11" t="str">
        <f t="shared" si="117"/>
        <v/>
      </c>
      <c r="KG17" s="11" t="str">
        <f t="shared" si="118"/>
        <v/>
      </c>
      <c r="KH17" s="11" t="str">
        <f t="shared" si="119"/>
        <v/>
      </c>
      <c r="KI17" s="11" t="str">
        <f t="shared" si="120"/>
        <v/>
      </c>
      <c r="KJ17" s="11" t="str">
        <f t="shared" si="121"/>
        <v/>
      </c>
      <c r="KK17" s="11" t="str">
        <f t="shared" si="122"/>
        <v/>
      </c>
      <c r="KL17" s="11" t="str">
        <f t="shared" si="123"/>
        <v/>
      </c>
      <c r="KM17" s="11" t="str">
        <f t="shared" si="124"/>
        <v/>
      </c>
      <c r="KN17" s="11" t="str">
        <f t="shared" si="125"/>
        <v/>
      </c>
      <c r="KO17" s="11" t="str">
        <f t="shared" si="126"/>
        <v/>
      </c>
      <c r="KP17" s="11" t="str">
        <f t="shared" si="127"/>
        <v/>
      </c>
      <c r="KQ17" s="11" t="str">
        <f t="shared" si="128"/>
        <v/>
      </c>
      <c r="KR17" s="11" t="str">
        <f t="shared" si="129"/>
        <v/>
      </c>
      <c r="KS17" s="11" t="str">
        <f t="shared" si="130"/>
        <v/>
      </c>
      <c r="KT17" s="15"/>
      <c r="KU17" s="15"/>
      <c r="KV17" s="15"/>
      <c r="KW17" s="15"/>
      <c r="KX17" s="15"/>
      <c r="KY17" s="15"/>
      <c r="KZ17" s="15"/>
      <c r="LA17" s="15"/>
      <c r="LB17" s="15"/>
      <c r="LC17" s="15"/>
      <c r="LD17" s="15"/>
      <c r="LE17" s="15"/>
      <c r="LF17" s="15"/>
      <c r="LG17" s="15"/>
      <c r="LH17" s="15"/>
      <c r="LI17" s="15"/>
      <c r="LJ17" s="15"/>
      <c r="LK17" s="15"/>
      <c r="LL17" s="15"/>
      <c r="LM17" s="15"/>
      <c r="LN17" s="36" t="str">
        <f t="shared" si="131"/>
        <v/>
      </c>
      <c r="LO17" s="36" t="str">
        <f t="shared" si="132"/>
        <v/>
      </c>
      <c r="LP17" s="36" t="str">
        <f t="shared" si="133"/>
        <v/>
      </c>
      <c r="LQ17" s="36" t="str">
        <f t="shared" si="134"/>
        <v/>
      </c>
      <c r="LR17" s="36" t="str">
        <f t="shared" si="135"/>
        <v/>
      </c>
      <c r="LS17" s="36" t="str">
        <f t="shared" si="136"/>
        <v/>
      </c>
      <c r="LT17" s="36" t="str">
        <f t="shared" si="137"/>
        <v/>
      </c>
      <c r="LU17" s="36" t="str">
        <f t="shared" si="138"/>
        <v/>
      </c>
      <c r="LV17" s="36" t="str">
        <f t="shared" si="139"/>
        <v/>
      </c>
      <c r="LW17" s="36" t="str">
        <f t="shared" si="140"/>
        <v/>
      </c>
      <c r="LX17" s="36" t="str">
        <f t="shared" si="141"/>
        <v/>
      </c>
      <c r="LY17" s="36" t="str">
        <f t="shared" si="142"/>
        <v/>
      </c>
      <c r="LZ17" s="36" t="str">
        <f t="shared" si="143"/>
        <v/>
      </c>
      <c r="MA17" s="36" t="str">
        <f t="shared" si="144"/>
        <v/>
      </c>
      <c r="MB17" s="16"/>
      <c r="MC17" s="16"/>
      <c r="MD17" s="16"/>
      <c r="ME17" s="16"/>
      <c r="MF17" s="16"/>
      <c r="MG17" s="16"/>
      <c r="MH17" s="16"/>
      <c r="MI17" s="16"/>
      <c r="MJ17" s="16"/>
      <c r="MK17" s="16"/>
      <c r="ML17" s="16"/>
      <c r="MM17" s="16"/>
      <c r="MN17" s="16"/>
      <c r="MO17" s="16"/>
      <c r="MP17" s="16"/>
      <c r="MQ17" s="16"/>
      <c r="MR17" s="16"/>
      <c r="MS17" s="16"/>
      <c r="MT17" s="16"/>
      <c r="MU17" s="16"/>
      <c r="MV17" s="11" t="str">
        <f t="shared" si="145"/>
        <v/>
      </c>
      <c r="MW17" s="11" t="str">
        <f t="shared" si="146"/>
        <v/>
      </c>
      <c r="MX17" s="11" t="str">
        <f t="shared" si="147"/>
        <v/>
      </c>
      <c r="MY17" s="11" t="str">
        <f t="shared" si="148"/>
        <v/>
      </c>
      <c r="MZ17" s="11" t="str">
        <f t="shared" si="149"/>
        <v/>
      </c>
      <c r="NA17" s="11" t="str">
        <f t="shared" si="150"/>
        <v/>
      </c>
      <c r="NB17" s="11" t="str">
        <f t="shared" si="151"/>
        <v/>
      </c>
      <c r="NC17" s="11" t="str">
        <f t="shared" si="152"/>
        <v/>
      </c>
      <c r="ND17" s="11" t="str">
        <f t="shared" si="153"/>
        <v/>
      </c>
      <c r="NE17" s="11" t="str">
        <f t="shared" si="154"/>
        <v/>
      </c>
      <c r="NF17" s="11" t="str">
        <f t="shared" si="155"/>
        <v/>
      </c>
      <c r="NG17" s="11" t="str">
        <f t="shared" si="156"/>
        <v/>
      </c>
      <c r="NH17" s="11" t="str">
        <f t="shared" si="157"/>
        <v/>
      </c>
      <c r="NI17" s="11" t="str">
        <f t="shared" si="158"/>
        <v/>
      </c>
      <c r="NJ17" s="15"/>
      <c r="NK17" s="15"/>
      <c r="NL17" s="15"/>
      <c r="NM17" s="15"/>
      <c r="NN17" s="15"/>
      <c r="NO17" s="15"/>
      <c r="NP17" s="15"/>
      <c r="NQ17" s="15"/>
      <c r="NR17" s="15"/>
      <c r="NS17" s="15"/>
      <c r="NT17" s="15"/>
      <c r="NU17" s="15"/>
      <c r="NV17" s="15"/>
      <c r="NW17" s="15"/>
      <c r="NX17" s="15"/>
      <c r="NY17" s="15"/>
      <c r="NZ17" s="15"/>
      <c r="OA17" s="15"/>
      <c r="OB17" s="15"/>
      <c r="OC17" s="15"/>
      <c r="OD17" s="36" t="str">
        <f t="shared" si="159"/>
        <v/>
      </c>
      <c r="OE17" s="36" t="str">
        <f t="shared" si="160"/>
        <v/>
      </c>
      <c r="OF17" s="36" t="str">
        <f t="shared" si="161"/>
        <v/>
      </c>
      <c r="OG17" s="36" t="str">
        <f t="shared" si="162"/>
        <v/>
      </c>
      <c r="OH17" s="36" t="str">
        <f t="shared" si="163"/>
        <v/>
      </c>
      <c r="OI17" s="36" t="str">
        <f t="shared" si="164"/>
        <v/>
      </c>
      <c r="OJ17" s="36" t="str">
        <f t="shared" si="165"/>
        <v/>
      </c>
      <c r="OK17" s="36" t="str">
        <f t="shared" si="166"/>
        <v/>
      </c>
      <c r="OL17" s="36" t="str">
        <f t="shared" si="167"/>
        <v/>
      </c>
      <c r="OM17" s="36" t="str">
        <f t="shared" si="168"/>
        <v/>
      </c>
      <c r="ON17" s="36" t="str">
        <f t="shared" si="169"/>
        <v/>
      </c>
      <c r="OO17" s="36" t="str">
        <f t="shared" si="170"/>
        <v/>
      </c>
      <c r="OP17" s="36" t="str">
        <f t="shared" si="171"/>
        <v/>
      </c>
      <c r="OQ17" s="36" t="str">
        <f t="shared" si="172"/>
        <v/>
      </c>
      <c r="OR17" s="16"/>
      <c r="OS17" s="16"/>
      <c r="OT17" s="16"/>
      <c r="OU17" s="16"/>
      <c r="OV17" s="16"/>
      <c r="OW17" s="16"/>
      <c r="OX17" s="16"/>
      <c r="OY17" s="16"/>
      <c r="OZ17" s="16"/>
      <c r="PA17" s="16"/>
      <c r="PB17" s="16"/>
      <c r="PC17" s="16"/>
      <c r="PD17" s="16"/>
      <c r="PE17" s="16"/>
      <c r="PF17" s="16"/>
      <c r="PG17" s="16"/>
      <c r="PH17" s="16"/>
      <c r="PI17" s="16"/>
      <c r="PJ17" s="16"/>
      <c r="PK17" s="16"/>
      <c r="PL17" s="11" t="str">
        <f t="shared" si="173"/>
        <v/>
      </c>
      <c r="PM17" s="11" t="str">
        <f t="shared" si="174"/>
        <v/>
      </c>
      <c r="PN17" s="11" t="str">
        <f t="shared" si="175"/>
        <v/>
      </c>
      <c r="PO17" s="11" t="str">
        <f t="shared" si="176"/>
        <v/>
      </c>
      <c r="PP17" s="11" t="str">
        <f t="shared" si="177"/>
        <v/>
      </c>
      <c r="PQ17" s="11" t="str">
        <f t="shared" si="178"/>
        <v/>
      </c>
      <c r="PR17" s="11" t="str">
        <f t="shared" si="179"/>
        <v/>
      </c>
      <c r="PS17" s="11" t="str">
        <f t="shared" si="180"/>
        <v/>
      </c>
      <c r="PT17" s="11" t="str">
        <f t="shared" si="181"/>
        <v/>
      </c>
      <c r="PU17" s="11" t="str">
        <f t="shared" si="182"/>
        <v/>
      </c>
      <c r="PV17" s="11" t="str">
        <f t="shared" si="183"/>
        <v/>
      </c>
      <c r="PW17" s="11" t="str">
        <f t="shared" si="184"/>
        <v/>
      </c>
      <c r="PX17" s="11" t="str">
        <f t="shared" si="185"/>
        <v/>
      </c>
      <c r="PY17" s="11" t="str">
        <f t="shared" si="186"/>
        <v/>
      </c>
      <c r="PZ17" s="15"/>
      <c r="QA17" s="15"/>
      <c r="QB17" s="15"/>
      <c r="QC17" s="15"/>
      <c r="QD17" s="15"/>
      <c r="QE17" s="15"/>
      <c r="QF17" s="15"/>
      <c r="QG17" s="15"/>
      <c r="QH17" s="15"/>
      <c r="QI17" s="15"/>
      <c r="QJ17" s="15"/>
      <c r="QK17" s="15"/>
      <c r="QL17" s="15"/>
      <c r="QM17" s="15"/>
      <c r="QN17" s="15"/>
      <c r="QO17" s="15"/>
      <c r="QP17" s="15"/>
      <c r="QQ17" s="15"/>
      <c r="QR17" s="15"/>
      <c r="QS17" s="15"/>
      <c r="QT17" s="36" t="str">
        <f t="shared" si="187"/>
        <v/>
      </c>
      <c r="QU17" s="36" t="str">
        <f t="shared" si="188"/>
        <v/>
      </c>
      <c r="QV17" s="36" t="str">
        <f t="shared" si="189"/>
        <v/>
      </c>
      <c r="QW17" s="36" t="str">
        <f t="shared" si="190"/>
        <v/>
      </c>
      <c r="QX17" s="36" t="str">
        <f t="shared" si="191"/>
        <v/>
      </c>
      <c r="QY17" s="36" t="str">
        <f t="shared" si="192"/>
        <v/>
      </c>
      <c r="QZ17" s="36" t="str">
        <f t="shared" si="193"/>
        <v/>
      </c>
      <c r="RA17" s="36" t="str">
        <f t="shared" si="194"/>
        <v/>
      </c>
      <c r="RB17" s="36" t="str">
        <f t="shared" si="195"/>
        <v/>
      </c>
      <c r="RC17" s="36" t="str">
        <f t="shared" si="196"/>
        <v/>
      </c>
      <c r="RD17" s="36" t="str">
        <f t="shared" si="197"/>
        <v/>
      </c>
      <c r="RE17" s="36" t="str">
        <f t="shared" si="198"/>
        <v/>
      </c>
      <c r="RF17" s="36" t="str">
        <f t="shared" si="199"/>
        <v/>
      </c>
      <c r="RG17" s="36" t="str">
        <f t="shared" si="200"/>
        <v/>
      </c>
      <c r="RH17" s="16"/>
      <c r="RI17" s="16"/>
      <c r="RJ17" s="16"/>
      <c r="RK17" s="16"/>
      <c r="RL17" s="16"/>
      <c r="RM17" s="16"/>
      <c r="RN17" s="16"/>
      <c r="RO17" s="16"/>
      <c r="RP17" s="16"/>
      <c r="RQ17" s="16"/>
      <c r="RR17" s="16"/>
      <c r="RS17" s="16"/>
      <c r="RT17" s="16"/>
      <c r="RU17" s="16"/>
      <c r="RV17" s="16"/>
      <c r="RW17" s="16"/>
      <c r="RX17" s="16"/>
      <c r="RY17" s="16"/>
      <c r="RZ17" s="16"/>
      <c r="SA17" s="16"/>
      <c r="SB17" s="11" t="str">
        <f t="shared" si="201"/>
        <v/>
      </c>
      <c r="SC17" s="11" t="str">
        <f t="shared" si="202"/>
        <v/>
      </c>
      <c r="SD17" s="11" t="str">
        <f t="shared" si="203"/>
        <v/>
      </c>
      <c r="SE17" s="11" t="str">
        <f t="shared" si="204"/>
        <v/>
      </c>
      <c r="SF17" s="11" t="str">
        <f t="shared" si="205"/>
        <v/>
      </c>
      <c r="SG17" s="11" t="str">
        <f t="shared" si="206"/>
        <v/>
      </c>
      <c r="SH17" s="11" t="str">
        <f t="shared" si="207"/>
        <v/>
      </c>
      <c r="SI17" s="11" t="str">
        <f t="shared" si="208"/>
        <v/>
      </c>
      <c r="SJ17" s="11" t="str">
        <f t="shared" si="209"/>
        <v/>
      </c>
      <c r="SK17" s="11" t="str">
        <f t="shared" si="210"/>
        <v/>
      </c>
      <c r="SL17" s="11" t="str">
        <f t="shared" si="211"/>
        <v/>
      </c>
      <c r="SM17" s="11" t="str">
        <f t="shared" si="212"/>
        <v/>
      </c>
      <c r="SN17" s="11" t="str">
        <f t="shared" si="213"/>
        <v/>
      </c>
      <c r="SO17" s="11" t="str">
        <f t="shared" si="214"/>
        <v/>
      </c>
      <c r="SP17" s="15"/>
      <c r="SQ17" s="15"/>
      <c r="SR17" s="15"/>
      <c r="SS17" s="15"/>
      <c r="ST17" s="15"/>
      <c r="SU17" s="15"/>
      <c r="SV17" s="15"/>
      <c r="SW17" s="15"/>
      <c r="SX17" s="15"/>
      <c r="SY17" s="15"/>
      <c r="SZ17" s="15"/>
      <c r="TA17" s="15"/>
      <c r="TB17" s="15"/>
      <c r="TC17" s="15"/>
      <c r="TD17" s="15"/>
      <c r="TE17" s="15"/>
      <c r="TF17" s="15"/>
      <c r="TG17" s="15"/>
      <c r="TH17" s="15"/>
      <c r="TI17" s="15"/>
      <c r="TJ17" s="36" t="str">
        <f t="shared" si="215"/>
        <v/>
      </c>
      <c r="TK17" s="36" t="str">
        <f t="shared" si="216"/>
        <v/>
      </c>
      <c r="TL17" s="36" t="str">
        <f t="shared" si="217"/>
        <v/>
      </c>
      <c r="TM17" s="36" t="str">
        <f t="shared" si="218"/>
        <v/>
      </c>
      <c r="TN17" s="36" t="str">
        <f t="shared" si="219"/>
        <v/>
      </c>
      <c r="TO17" s="36" t="str">
        <f t="shared" si="220"/>
        <v/>
      </c>
      <c r="TP17" s="36" t="str">
        <f t="shared" si="221"/>
        <v/>
      </c>
      <c r="TQ17" s="36" t="str">
        <f t="shared" si="222"/>
        <v/>
      </c>
      <c r="TR17" s="36" t="str">
        <f t="shared" si="223"/>
        <v/>
      </c>
      <c r="TS17" s="36" t="str">
        <f t="shared" si="224"/>
        <v/>
      </c>
      <c r="TT17" s="36" t="str">
        <f t="shared" si="225"/>
        <v/>
      </c>
      <c r="TU17" s="36" t="str">
        <f t="shared" si="226"/>
        <v/>
      </c>
      <c r="TV17" s="36" t="str">
        <f t="shared" si="227"/>
        <v/>
      </c>
      <c r="TW17" s="36" t="str">
        <f t="shared" si="228"/>
        <v/>
      </c>
      <c r="TX17" s="16"/>
      <c r="TY17" s="16"/>
      <c r="TZ17" s="16"/>
      <c r="UA17" s="16"/>
      <c r="UB17" s="16"/>
      <c r="UC17" s="16"/>
      <c r="UD17" s="16"/>
      <c r="UE17" s="16"/>
      <c r="UF17" s="16"/>
      <c r="UG17" s="16"/>
      <c r="UH17" s="16"/>
      <c r="UI17" s="16"/>
      <c r="UJ17" s="16"/>
      <c r="UK17" s="16"/>
      <c r="UL17" s="16"/>
      <c r="UM17" s="16"/>
      <c r="UN17" s="16"/>
      <c r="UO17" s="16"/>
      <c r="UP17" s="16"/>
      <c r="UQ17" s="16"/>
      <c r="UR17" s="11" t="str">
        <f t="shared" si="229"/>
        <v/>
      </c>
      <c r="US17" s="11" t="str">
        <f t="shared" si="230"/>
        <v/>
      </c>
      <c r="UT17" s="11" t="str">
        <f t="shared" si="231"/>
        <v/>
      </c>
      <c r="UU17" s="11" t="str">
        <f t="shared" si="232"/>
        <v/>
      </c>
      <c r="UV17" s="11" t="str">
        <f t="shared" si="233"/>
        <v/>
      </c>
      <c r="UW17" s="11" t="str">
        <f t="shared" si="234"/>
        <v/>
      </c>
      <c r="UX17" s="11" t="str">
        <f t="shared" si="235"/>
        <v/>
      </c>
      <c r="UY17" s="11" t="str">
        <f t="shared" si="236"/>
        <v/>
      </c>
      <c r="UZ17" s="11" t="str">
        <f t="shared" si="237"/>
        <v/>
      </c>
      <c r="VA17" s="11" t="str">
        <f t="shared" si="238"/>
        <v/>
      </c>
      <c r="VB17" s="11" t="str">
        <f t="shared" si="239"/>
        <v/>
      </c>
      <c r="VC17" s="11" t="str">
        <f t="shared" si="240"/>
        <v/>
      </c>
      <c r="VD17" s="11" t="str">
        <f t="shared" si="241"/>
        <v/>
      </c>
      <c r="VE17" s="11" t="str">
        <f t="shared" si="242"/>
        <v/>
      </c>
      <c r="VF17" s="15"/>
      <c r="VG17" s="15"/>
      <c r="VH17" s="15"/>
      <c r="VI17" s="15"/>
      <c r="VJ17" s="15"/>
      <c r="VK17" s="15"/>
      <c r="VL17" s="15"/>
      <c r="VM17" s="15"/>
      <c r="VN17" s="15"/>
      <c r="VO17" s="15"/>
      <c r="VP17" s="15"/>
      <c r="VQ17" s="15"/>
      <c r="VR17" s="15"/>
      <c r="VS17" s="15"/>
      <c r="VT17" s="15"/>
      <c r="VU17" s="15"/>
      <c r="VV17" s="15"/>
      <c r="VW17" s="15"/>
      <c r="VX17" s="15"/>
      <c r="VY17" s="15"/>
      <c r="VZ17" s="36" t="str">
        <f t="shared" si="243"/>
        <v/>
      </c>
      <c r="WA17" s="36" t="str">
        <f t="shared" si="244"/>
        <v/>
      </c>
      <c r="WB17" s="36" t="str">
        <f t="shared" si="245"/>
        <v/>
      </c>
      <c r="WC17" s="36" t="str">
        <f t="shared" si="246"/>
        <v/>
      </c>
      <c r="WD17" s="36" t="str">
        <f t="shared" si="247"/>
        <v/>
      </c>
      <c r="WE17" s="36" t="str">
        <f t="shared" si="248"/>
        <v/>
      </c>
      <c r="WF17" s="36" t="str">
        <f t="shared" si="249"/>
        <v/>
      </c>
      <c r="WG17" s="36" t="str">
        <f t="shared" si="250"/>
        <v/>
      </c>
      <c r="WH17" s="36" t="str">
        <f t="shared" si="251"/>
        <v/>
      </c>
      <c r="WI17" s="36" t="str">
        <f t="shared" si="252"/>
        <v/>
      </c>
      <c r="WJ17" s="36" t="str">
        <f t="shared" si="253"/>
        <v/>
      </c>
      <c r="WK17" s="36" t="str">
        <f t="shared" si="254"/>
        <v/>
      </c>
      <c r="WL17" s="36" t="str">
        <f t="shared" si="255"/>
        <v/>
      </c>
      <c r="WM17" s="36" t="str">
        <f t="shared" si="256"/>
        <v/>
      </c>
    </row>
    <row r="18" spans="1:611" x14ac:dyDescent="0.2">
      <c r="A18" s="4" t="str" cm="1">
        <f t="array" ref="A18">IF(AND(H18&lt;&gt;"",H18&lt;&gt;"No DD"),SUMPRODUCT((H$4:H$27&lt;&gt;"")*(H$4:H$27&lt;&gt;"No DD")*(E$4:E$27&gt;E18))+1,IF(H18="No DD",SUMPRODUCT((H$4:H$27="No DD")*(E$4:E$27&gt;E18))+1+SUMPRODUCT((H$4:H$27&lt;&gt;"")*(H$4:H$27&lt;&gt;"No DD")),""))</f>
        <v/>
      </c>
      <c r="B18" s="5" t="s">
        <v>95</v>
      </c>
      <c r="C18" s="4" t="s">
        <v>3</v>
      </c>
      <c r="D18" s="4">
        <v>2005</v>
      </c>
      <c r="E18" s="9">
        <f t="shared" si="0"/>
        <v>127.1900127190053</v>
      </c>
      <c r="F18" s="3" t="str">
        <f t="shared" si="1"/>
        <v/>
      </c>
      <c r="G18" s="3" t="str">
        <f t="shared" si="2"/>
        <v/>
      </c>
      <c r="H18" s="32" t="str">
        <f t="shared" si="3"/>
        <v/>
      </c>
      <c r="I18" s="3" t="str">
        <f t="shared" si="4"/>
        <v/>
      </c>
      <c r="J18" s="8">
        <f t="shared" si="5"/>
        <v>52.850000000000009</v>
      </c>
      <c r="K18" s="8" t="str">
        <f t="shared" si="6"/>
        <v>2025 Nationals</v>
      </c>
      <c r="L18" s="8">
        <f>IFERROR(IF(J18=AR18,LARGE((AK18,AN18,BL18,BO18,BS18,CM18,CP18,CT18),1),IF(J18=BS18,LARGE((AK18,AN18,AR18,BL18,BO18,CM18,CP18,CT18),1),LARGE((AK18,AN18,AR18,BL18,BO18,BS18,CM18,CP18),1))),0)</f>
        <v>52.61</v>
      </c>
      <c r="M18" s="8" t="str">
        <f t="shared" si="7"/>
        <v>2025 Nationals</v>
      </c>
      <c r="N18" s="8">
        <f>IFERROR(IF(J18=AR18,LARGE((AK18,AN18,BL18,BO18,BS18,CM18,CP18,CT18),2),IF(J18=BS18,LARGE((AK18,AN18,AR18,BL18,BO18,CM18,CP18,CT18),2),LARGE((AK18,AN18,AR18,BL18,BO18,BS18,CM18,CP18),2))),0)</f>
        <v>21.73</v>
      </c>
      <c r="O18" s="8" t="str">
        <f t="shared" si="8"/>
        <v>2025 Elite Canada</v>
      </c>
      <c r="P18" s="8">
        <f t="shared" si="9"/>
        <v>0</v>
      </c>
      <c r="Q18" s="11" t="str">
        <f t="shared" si="10"/>
        <v/>
      </c>
      <c r="R18" s="8" t="str">
        <f t="shared" si="11"/>
        <v/>
      </c>
      <c r="S18" s="18">
        <v>4.2</v>
      </c>
      <c r="T18" s="18">
        <v>2.7</v>
      </c>
      <c r="U18" s="18">
        <v>4.7</v>
      </c>
      <c r="V18" s="18">
        <v>4.66</v>
      </c>
      <c r="W18" s="18">
        <v>0</v>
      </c>
      <c r="X18" s="18">
        <v>5.6</v>
      </c>
      <c r="Y18" s="18">
        <v>3.4</v>
      </c>
      <c r="Z18" s="18">
        <v>6.4</v>
      </c>
      <c r="AA18" s="18">
        <v>6.33</v>
      </c>
      <c r="AB18" s="18">
        <v>0</v>
      </c>
      <c r="AC18" s="18"/>
      <c r="AD18" s="18"/>
      <c r="AE18" s="18"/>
      <c r="AF18" s="18"/>
      <c r="AG18" s="18"/>
      <c r="AH18" s="23"/>
      <c r="AI18" s="34">
        <f t="shared" si="12"/>
        <v>4.7</v>
      </c>
      <c r="AJ18" s="34">
        <f t="shared" si="13"/>
        <v>4.66</v>
      </c>
      <c r="AK18" s="36">
        <f t="shared" si="14"/>
        <v>16.260000000000002</v>
      </c>
      <c r="AL18" s="36">
        <f t="shared" si="15"/>
        <v>6.4</v>
      </c>
      <c r="AM18" s="36">
        <f t="shared" si="16"/>
        <v>6.33</v>
      </c>
      <c r="AN18" s="36">
        <f t="shared" si="17"/>
        <v>21.73</v>
      </c>
      <c r="AO18" s="36">
        <f t="shared" si="18"/>
        <v>21.73</v>
      </c>
      <c r="AP18" s="36" t="str">
        <f t="shared" si="19"/>
        <v/>
      </c>
      <c r="AQ18" s="36" t="str">
        <f t="shared" si="20"/>
        <v/>
      </c>
      <c r="AR18" s="36" t="str">
        <f t="shared" si="21"/>
        <v/>
      </c>
      <c r="AS18" s="36">
        <f t="shared" si="22"/>
        <v>21.73</v>
      </c>
      <c r="AT18" s="22">
        <v>13.5</v>
      </c>
      <c r="AU18" s="22">
        <v>9.5</v>
      </c>
      <c r="AV18" s="22">
        <v>14.6</v>
      </c>
      <c r="AW18" s="22">
        <v>15.01</v>
      </c>
      <c r="AX18" s="22">
        <v>0</v>
      </c>
      <c r="AY18" s="22">
        <v>1.3</v>
      </c>
      <c r="AZ18" s="22">
        <v>0.9</v>
      </c>
      <c r="BA18" s="22">
        <v>2</v>
      </c>
      <c r="BB18" s="22">
        <v>1.64</v>
      </c>
      <c r="BC18" s="22">
        <v>0</v>
      </c>
      <c r="BD18" s="22">
        <v>13.9</v>
      </c>
      <c r="BE18" s="22">
        <v>9.3000000000000007</v>
      </c>
      <c r="BF18" s="22">
        <v>14.6</v>
      </c>
      <c r="BG18" s="22">
        <v>15.05</v>
      </c>
      <c r="BH18" s="22">
        <v>0</v>
      </c>
      <c r="BI18" s="24"/>
      <c r="BJ18" s="35">
        <f t="shared" si="23"/>
        <v>14.6</v>
      </c>
      <c r="BK18" s="35">
        <f t="shared" si="24"/>
        <v>15.01</v>
      </c>
      <c r="BL18" s="11">
        <f t="shared" si="25"/>
        <v>52.61</v>
      </c>
      <c r="BM18" s="11">
        <f t="shared" si="26"/>
        <v>2</v>
      </c>
      <c r="BN18" s="11">
        <f t="shared" si="27"/>
        <v>1.64</v>
      </c>
      <c r="BO18" s="11">
        <f t="shared" si="28"/>
        <v>5.84</v>
      </c>
      <c r="BP18" s="11">
        <f t="shared" si="29"/>
        <v>52.61</v>
      </c>
      <c r="BQ18" s="11">
        <f t="shared" si="30"/>
        <v>14.6</v>
      </c>
      <c r="BR18" s="11">
        <f t="shared" si="31"/>
        <v>15.05</v>
      </c>
      <c r="BS18" s="11">
        <f t="shared" si="32"/>
        <v>52.850000000000009</v>
      </c>
      <c r="BT18" s="11">
        <f t="shared" si="33"/>
        <v>105.46000000000001</v>
      </c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  <c r="CF18" s="18"/>
      <c r="CG18" s="18"/>
      <c r="CH18" s="18"/>
      <c r="CI18" s="18"/>
      <c r="CJ18" s="23"/>
      <c r="CK18" s="34" t="str">
        <f t="shared" si="34"/>
        <v/>
      </c>
      <c r="CL18" s="34" t="str">
        <f t="shared" si="35"/>
        <v/>
      </c>
      <c r="CM18" s="36" t="str">
        <f t="shared" si="36"/>
        <v/>
      </c>
      <c r="CN18" s="36" t="str">
        <f t="shared" si="37"/>
        <v/>
      </c>
      <c r="CO18" s="36" t="str">
        <f t="shared" si="38"/>
        <v/>
      </c>
      <c r="CP18" s="36" t="str">
        <f t="shared" si="39"/>
        <v/>
      </c>
      <c r="CQ18" s="36" t="str">
        <f t="shared" si="40"/>
        <v/>
      </c>
      <c r="CR18" s="36" t="str">
        <f t="shared" si="41"/>
        <v/>
      </c>
      <c r="CS18" s="36" t="str">
        <f t="shared" si="42"/>
        <v/>
      </c>
      <c r="CT18" s="36" t="str">
        <f t="shared" si="43"/>
        <v/>
      </c>
      <c r="CU18" s="36" t="str">
        <f t="shared" si="44"/>
        <v/>
      </c>
      <c r="CV18" s="47" t="str">
        <f t="shared" si="45"/>
        <v/>
      </c>
      <c r="CW18" s="47" t="str">
        <f t="shared" si="46"/>
        <v/>
      </c>
      <c r="CX18" s="15"/>
      <c r="CY18" s="15"/>
      <c r="CZ18" s="15"/>
      <c r="DA18" s="15"/>
      <c r="DB18" s="15"/>
      <c r="DC18" s="15"/>
      <c r="DD18" s="15"/>
      <c r="DE18" s="15"/>
      <c r="DF18" s="15"/>
      <c r="DG18" s="15"/>
      <c r="DH18" s="15"/>
      <c r="DI18" s="15"/>
      <c r="DJ18" s="15"/>
      <c r="DK18" s="15"/>
      <c r="DL18" s="15"/>
      <c r="DM18" s="15"/>
      <c r="DN18" s="15"/>
      <c r="DO18" s="15"/>
      <c r="DP18" s="15"/>
      <c r="DQ18" s="15"/>
      <c r="DR18" s="36" t="str">
        <f t="shared" si="47"/>
        <v/>
      </c>
      <c r="DS18" s="36" t="str">
        <f t="shared" si="48"/>
        <v/>
      </c>
      <c r="DT18" s="36" t="str">
        <f t="shared" si="49"/>
        <v/>
      </c>
      <c r="DU18" s="36" t="str">
        <f t="shared" si="50"/>
        <v/>
      </c>
      <c r="DV18" s="36" t="str">
        <f t="shared" si="51"/>
        <v/>
      </c>
      <c r="DW18" s="36" t="str">
        <f t="shared" si="52"/>
        <v/>
      </c>
      <c r="DX18" s="36" t="str">
        <f t="shared" si="53"/>
        <v/>
      </c>
      <c r="DY18" s="36" t="str">
        <f t="shared" si="54"/>
        <v/>
      </c>
      <c r="DZ18" s="36" t="str">
        <f t="shared" si="55"/>
        <v/>
      </c>
      <c r="EA18" s="36" t="str">
        <f t="shared" si="56"/>
        <v/>
      </c>
      <c r="EB18" s="36" t="str">
        <f t="shared" si="57"/>
        <v/>
      </c>
      <c r="EC18" s="36" t="str">
        <f t="shared" si="58"/>
        <v/>
      </c>
      <c r="ED18" s="36" t="str">
        <f t="shared" si="59"/>
        <v/>
      </c>
      <c r="EE18" s="36" t="str">
        <f t="shared" si="60"/>
        <v/>
      </c>
      <c r="EF18" s="16"/>
      <c r="EG18" s="16"/>
      <c r="EH18" s="16"/>
      <c r="EI18" s="16"/>
      <c r="EJ18" s="16"/>
      <c r="EK18" s="16"/>
      <c r="EL18" s="16"/>
      <c r="EM18" s="16"/>
      <c r="EN18" s="16"/>
      <c r="EO18" s="16"/>
      <c r="EP18" s="16"/>
      <c r="EQ18" s="16"/>
      <c r="ER18" s="16"/>
      <c r="ES18" s="16"/>
      <c r="ET18" s="16"/>
      <c r="EU18" s="16"/>
      <c r="EV18" s="16"/>
      <c r="EW18" s="16"/>
      <c r="EX18" s="16"/>
      <c r="EY18" s="16"/>
      <c r="EZ18" s="11" t="str">
        <f t="shared" si="61"/>
        <v/>
      </c>
      <c r="FA18" s="11" t="str">
        <f t="shared" si="62"/>
        <v/>
      </c>
      <c r="FB18" s="11" t="str">
        <f t="shared" si="63"/>
        <v/>
      </c>
      <c r="FC18" s="11" t="str">
        <f t="shared" si="64"/>
        <v/>
      </c>
      <c r="FD18" s="11" t="str">
        <f t="shared" si="65"/>
        <v/>
      </c>
      <c r="FE18" s="11" t="str">
        <f t="shared" si="66"/>
        <v/>
      </c>
      <c r="FF18" s="11" t="str">
        <f t="shared" si="67"/>
        <v/>
      </c>
      <c r="FG18" s="11" t="str">
        <f t="shared" si="68"/>
        <v/>
      </c>
      <c r="FH18" s="11" t="str">
        <f t="shared" si="69"/>
        <v/>
      </c>
      <c r="FI18" s="11" t="str">
        <f t="shared" si="70"/>
        <v/>
      </c>
      <c r="FJ18" s="11" t="str">
        <f t="shared" si="71"/>
        <v/>
      </c>
      <c r="FK18" s="11" t="str">
        <f t="shared" si="72"/>
        <v/>
      </c>
      <c r="FL18" s="11" t="str">
        <f t="shared" si="73"/>
        <v/>
      </c>
      <c r="FM18" s="11" t="str">
        <f t="shared" si="74"/>
        <v/>
      </c>
      <c r="FN18" s="15"/>
      <c r="FO18" s="15"/>
      <c r="FP18" s="15"/>
      <c r="FQ18" s="15"/>
      <c r="FR18" s="15"/>
      <c r="FS18" s="15"/>
      <c r="FT18" s="15"/>
      <c r="FU18" s="15"/>
      <c r="FV18" s="15"/>
      <c r="FW18" s="15"/>
      <c r="FX18" s="15"/>
      <c r="FY18" s="15"/>
      <c r="FZ18" s="15"/>
      <c r="GA18" s="15"/>
      <c r="GB18" s="15"/>
      <c r="GC18" s="15"/>
      <c r="GD18" s="15"/>
      <c r="GE18" s="15"/>
      <c r="GF18" s="15"/>
      <c r="GG18" s="15"/>
      <c r="GH18" s="36" t="str">
        <f t="shared" si="75"/>
        <v/>
      </c>
      <c r="GI18" s="36" t="str">
        <f t="shared" si="76"/>
        <v/>
      </c>
      <c r="GJ18" s="36" t="str">
        <f t="shared" si="77"/>
        <v/>
      </c>
      <c r="GK18" s="36" t="str">
        <f t="shared" si="78"/>
        <v/>
      </c>
      <c r="GL18" s="36" t="str">
        <f t="shared" si="79"/>
        <v/>
      </c>
      <c r="GM18" s="36" t="str">
        <f t="shared" si="80"/>
        <v/>
      </c>
      <c r="GN18" s="36" t="str">
        <f t="shared" si="81"/>
        <v/>
      </c>
      <c r="GO18" s="36" t="str">
        <f t="shared" si="82"/>
        <v/>
      </c>
      <c r="GP18" s="36" t="str">
        <f t="shared" si="83"/>
        <v/>
      </c>
      <c r="GQ18" s="36" t="str">
        <f t="shared" si="84"/>
        <v/>
      </c>
      <c r="GR18" s="36" t="str">
        <f t="shared" si="85"/>
        <v/>
      </c>
      <c r="GS18" s="36" t="str">
        <f t="shared" si="86"/>
        <v/>
      </c>
      <c r="GT18" s="36" t="str">
        <f t="shared" si="87"/>
        <v/>
      </c>
      <c r="GU18" s="36" t="str">
        <f t="shared" si="88"/>
        <v/>
      </c>
      <c r="GV18" s="16"/>
      <c r="GW18" s="16"/>
      <c r="GX18" s="16"/>
      <c r="GY18" s="16"/>
      <c r="GZ18" s="16"/>
      <c r="HA18" s="16"/>
      <c r="HB18" s="16"/>
      <c r="HC18" s="16"/>
      <c r="HD18" s="16"/>
      <c r="HE18" s="16"/>
      <c r="HF18" s="16"/>
      <c r="HG18" s="16"/>
      <c r="HH18" s="16"/>
      <c r="HI18" s="16"/>
      <c r="HJ18" s="16"/>
      <c r="HK18" s="16"/>
      <c r="HL18" s="16"/>
      <c r="HM18" s="16"/>
      <c r="HN18" s="16"/>
      <c r="HO18" s="16"/>
      <c r="HP18" s="11" t="str">
        <f t="shared" si="89"/>
        <v/>
      </c>
      <c r="HQ18" s="11" t="str">
        <f t="shared" si="90"/>
        <v/>
      </c>
      <c r="HR18" s="11" t="str">
        <f t="shared" si="91"/>
        <v/>
      </c>
      <c r="HS18" s="11" t="str">
        <f t="shared" si="92"/>
        <v/>
      </c>
      <c r="HT18" s="11" t="str">
        <f t="shared" si="93"/>
        <v/>
      </c>
      <c r="HU18" s="11" t="str">
        <f t="shared" si="94"/>
        <v/>
      </c>
      <c r="HV18" s="11" t="str">
        <f t="shared" si="95"/>
        <v/>
      </c>
      <c r="HW18" s="11" t="str">
        <f t="shared" si="96"/>
        <v/>
      </c>
      <c r="HX18" s="11" t="str">
        <f t="shared" si="97"/>
        <v/>
      </c>
      <c r="HY18" s="11" t="str">
        <f t="shared" si="98"/>
        <v/>
      </c>
      <c r="HZ18" s="11" t="str">
        <f t="shared" si="99"/>
        <v/>
      </c>
      <c r="IA18" s="11" t="str">
        <f t="shared" si="100"/>
        <v/>
      </c>
      <c r="IB18" s="11" t="str">
        <f t="shared" si="101"/>
        <v/>
      </c>
      <c r="IC18" s="11" t="str">
        <f t="shared" si="102"/>
        <v/>
      </c>
      <c r="ID18" s="15"/>
      <c r="IE18" s="15"/>
      <c r="IF18" s="15"/>
      <c r="IG18" s="15"/>
      <c r="IH18" s="15"/>
      <c r="II18" s="15"/>
      <c r="IJ18" s="15"/>
      <c r="IK18" s="15"/>
      <c r="IL18" s="15"/>
      <c r="IM18" s="15"/>
      <c r="IN18" s="15"/>
      <c r="IO18" s="15"/>
      <c r="IP18" s="15"/>
      <c r="IQ18" s="15"/>
      <c r="IR18" s="15"/>
      <c r="IS18" s="15"/>
      <c r="IT18" s="15"/>
      <c r="IU18" s="15"/>
      <c r="IV18" s="15"/>
      <c r="IW18" s="15"/>
      <c r="IX18" s="36" t="str">
        <f t="shared" si="103"/>
        <v/>
      </c>
      <c r="IY18" s="36" t="str">
        <f t="shared" si="104"/>
        <v/>
      </c>
      <c r="IZ18" s="36" t="str">
        <f t="shared" si="105"/>
        <v/>
      </c>
      <c r="JA18" s="36" t="str">
        <f t="shared" si="106"/>
        <v/>
      </c>
      <c r="JB18" s="36" t="str">
        <f t="shared" si="107"/>
        <v/>
      </c>
      <c r="JC18" s="36" t="str">
        <f t="shared" si="108"/>
        <v/>
      </c>
      <c r="JD18" s="36" t="str">
        <f t="shared" si="109"/>
        <v/>
      </c>
      <c r="JE18" s="36" t="str">
        <f t="shared" si="110"/>
        <v/>
      </c>
      <c r="JF18" s="36" t="str">
        <f t="shared" si="111"/>
        <v/>
      </c>
      <c r="JG18" s="36" t="str">
        <f t="shared" si="112"/>
        <v/>
      </c>
      <c r="JH18" s="36" t="str">
        <f t="shared" si="113"/>
        <v/>
      </c>
      <c r="JI18" s="36" t="str">
        <f t="shared" si="114"/>
        <v/>
      </c>
      <c r="JJ18" s="36" t="str">
        <f t="shared" si="115"/>
        <v/>
      </c>
      <c r="JK18" s="36" t="str">
        <f t="shared" si="116"/>
        <v/>
      </c>
      <c r="JL18" s="16"/>
      <c r="JM18" s="16"/>
      <c r="JN18" s="16"/>
      <c r="JO18" s="16"/>
      <c r="JP18" s="16"/>
      <c r="JQ18" s="16"/>
      <c r="JR18" s="16"/>
      <c r="JS18" s="16"/>
      <c r="JT18" s="16"/>
      <c r="JU18" s="16"/>
      <c r="JV18" s="16"/>
      <c r="JW18" s="16"/>
      <c r="JX18" s="16"/>
      <c r="JY18" s="16"/>
      <c r="JZ18" s="16"/>
      <c r="KA18" s="16"/>
      <c r="KB18" s="16"/>
      <c r="KC18" s="16"/>
      <c r="KD18" s="16"/>
      <c r="KE18" s="16"/>
      <c r="KF18" s="11" t="str">
        <f t="shared" si="117"/>
        <v/>
      </c>
      <c r="KG18" s="11" t="str">
        <f t="shared" si="118"/>
        <v/>
      </c>
      <c r="KH18" s="11" t="str">
        <f t="shared" si="119"/>
        <v/>
      </c>
      <c r="KI18" s="11" t="str">
        <f t="shared" si="120"/>
        <v/>
      </c>
      <c r="KJ18" s="11" t="str">
        <f t="shared" si="121"/>
        <v/>
      </c>
      <c r="KK18" s="11" t="str">
        <f t="shared" si="122"/>
        <v/>
      </c>
      <c r="KL18" s="11" t="str">
        <f t="shared" si="123"/>
        <v/>
      </c>
      <c r="KM18" s="11" t="str">
        <f t="shared" si="124"/>
        <v/>
      </c>
      <c r="KN18" s="11" t="str">
        <f t="shared" si="125"/>
        <v/>
      </c>
      <c r="KO18" s="11" t="str">
        <f t="shared" si="126"/>
        <v/>
      </c>
      <c r="KP18" s="11" t="str">
        <f t="shared" si="127"/>
        <v/>
      </c>
      <c r="KQ18" s="11" t="str">
        <f t="shared" si="128"/>
        <v/>
      </c>
      <c r="KR18" s="11" t="str">
        <f t="shared" si="129"/>
        <v/>
      </c>
      <c r="KS18" s="11" t="str">
        <f t="shared" si="130"/>
        <v/>
      </c>
      <c r="KT18" s="15"/>
      <c r="KU18" s="15"/>
      <c r="KV18" s="15"/>
      <c r="KW18" s="15"/>
      <c r="KX18" s="15"/>
      <c r="KY18" s="15"/>
      <c r="KZ18" s="15"/>
      <c r="LA18" s="15"/>
      <c r="LB18" s="15"/>
      <c r="LC18" s="15"/>
      <c r="LD18" s="15"/>
      <c r="LE18" s="15"/>
      <c r="LF18" s="15"/>
      <c r="LG18" s="15"/>
      <c r="LH18" s="15"/>
      <c r="LI18" s="15"/>
      <c r="LJ18" s="15"/>
      <c r="LK18" s="15"/>
      <c r="LL18" s="15"/>
      <c r="LM18" s="15"/>
      <c r="LN18" s="36" t="str">
        <f t="shared" si="131"/>
        <v/>
      </c>
      <c r="LO18" s="36" t="str">
        <f t="shared" si="132"/>
        <v/>
      </c>
      <c r="LP18" s="36" t="str">
        <f t="shared" si="133"/>
        <v/>
      </c>
      <c r="LQ18" s="36" t="str">
        <f t="shared" si="134"/>
        <v/>
      </c>
      <c r="LR18" s="36" t="str">
        <f t="shared" si="135"/>
        <v/>
      </c>
      <c r="LS18" s="36" t="str">
        <f t="shared" si="136"/>
        <v/>
      </c>
      <c r="LT18" s="36" t="str">
        <f t="shared" si="137"/>
        <v/>
      </c>
      <c r="LU18" s="36" t="str">
        <f t="shared" si="138"/>
        <v/>
      </c>
      <c r="LV18" s="36" t="str">
        <f t="shared" si="139"/>
        <v/>
      </c>
      <c r="LW18" s="36" t="str">
        <f t="shared" si="140"/>
        <v/>
      </c>
      <c r="LX18" s="36" t="str">
        <f t="shared" si="141"/>
        <v/>
      </c>
      <c r="LY18" s="36" t="str">
        <f t="shared" si="142"/>
        <v/>
      </c>
      <c r="LZ18" s="36" t="str">
        <f t="shared" si="143"/>
        <v/>
      </c>
      <c r="MA18" s="36" t="str">
        <f t="shared" si="144"/>
        <v/>
      </c>
      <c r="MB18" s="16"/>
      <c r="MC18" s="16"/>
      <c r="MD18" s="16"/>
      <c r="ME18" s="16"/>
      <c r="MF18" s="16"/>
      <c r="MG18" s="16"/>
      <c r="MH18" s="16"/>
      <c r="MI18" s="16"/>
      <c r="MJ18" s="16"/>
      <c r="MK18" s="16"/>
      <c r="ML18" s="16"/>
      <c r="MM18" s="16"/>
      <c r="MN18" s="16"/>
      <c r="MO18" s="16"/>
      <c r="MP18" s="16"/>
      <c r="MQ18" s="16"/>
      <c r="MR18" s="16"/>
      <c r="MS18" s="16"/>
      <c r="MT18" s="16"/>
      <c r="MU18" s="16"/>
      <c r="MV18" s="11" t="str">
        <f t="shared" si="145"/>
        <v/>
      </c>
      <c r="MW18" s="11" t="str">
        <f t="shared" si="146"/>
        <v/>
      </c>
      <c r="MX18" s="11" t="str">
        <f t="shared" si="147"/>
        <v/>
      </c>
      <c r="MY18" s="11" t="str">
        <f t="shared" si="148"/>
        <v/>
      </c>
      <c r="MZ18" s="11" t="str">
        <f t="shared" si="149"/>
        <v/>
      </c>
      <c r="NA18" s="11" t="str">
        <f t="shared" si="150"/>
        <v/>
      </c>
      <c r="NB18" s="11" t="str">
        <f t="shared" si="151"/>
        <v/>
      </c>
      <c r="NC18" s="11" t="str">
        <f t="shared" si="152"/>
        <v/>
      </c>
      <c r="ND18" s="11" t="str">
        <f t="shared" si="153"/>
        <v/>
      </c>
      <c r="NE18" s="11" t="str">
        <f t="shared" si="154"/>
        <v/>
      </c>
      <c r="NF18" s="11" t="str">
        <f t="shared" si="155"/>
        <v/>
      </c>
      <c r="NG18" s="11" t="str">
        <f t="shared" si="156"/>
        <v/>
      </c>
      <c r="NH18" s="11" t="str">
        <f t="shared" si="157"/>
        <v/>
      </c>
      <c r="NI18" s="11" t="str">
        <f t="shared" si="158"/>
        <v/>
      </c>
      <c r="NJ18" s="15"/>
      <c r="NK18" s="15"/>
      <c r="NL18" s="15"/>
      <c r="NM18" s="15"/>
      <c r="NN18" s="15"/>
      <c r="NO18" s="15"/>
      <c r="NP18" s="15"/>
      <c r="NQ18" s="15"/>
      <c r="NR18" s="15"/>
      <c r="NS18" s="15"/>
      <c r="NT18" s="15"/>
      <c r="NU18" s="15"/>
      <c r="NV18" s="15"/>
      <c r="NW18" s="15"/>
      <c r="NX18" s="15"/>
      <c r="NY18" s="15"/>
      <c r="NZ18" s="15"/>
      <c r="OA18" s="15"/>
      <c r="OB18" s="15"/>
      <c r="OC18" s="15"/>
      <c r="OD18" s="36" t="str">
        <f t="shared" si="159"/>
        <v/>
      </c>
      <c r="OE18" s="36" t="str">
        <f t="shared" si="160"/>
        <v/>
      </c>
      <c r="OF18" s="36" t="str">
        <f t="shared" si="161"/>
        <v/>
      </c>
      <c r="OG18" s="36" t="str">
        <f t="shared" si="162"/>
        <v/>
      </c>
      <c r="OH18" s="36" t="str">
        <f t="shared" si="163"/>
        <v/>
      </c>
      <c r="OI18" s="36" t="str">
        <f t="shared" si="164"/>
        <v/>
      </c>
      <c r="OJ18" s="36" t="str">
        <f t="shared" si="165"/>
        <v/>
      </c>
      <c r="OK18" s="36" t="str">
        <f t="shared" si="166"/>
        <v/>
      </c>
      <c r="OL18" s="36" t="str">
        <f t="shared" si="167"/>
        <v/>
      </c>
      <c r="OM18" s="36" t="str">
        <f t="shared" si="168"/>
        <v/>
      </c>
      <c r="ON18" s="36" t="str">
        <f t="shared" si="169"/>
        <v/>
      </c>
      <c r="OO18" s="36" t="str">
        <f t="shared" si="170"/>
        <v/>
      </c>
      <c r="OP18" s="36" t="str">
        <f t="shared" si="171"/>
        <v/>
      </c>
      <c r="OQ18" s="36" t="str">
        <f t="shared" si="172"/>
        <v/>
      </c>
      <c r="OR18" s="16"/>
      <c r="OS18" s="16"/>
      <c r="OT18" s="16"/>
      <c r="OU18" s="16"/>
      <c r="OV18" s="16"/>
      <c r="OW18" s="16"/>
      <c r="OX18" s="16"/>
      <c r="OY18" s="16"/>
      <c r="OZ18" s="16"/>
      <c r="PA18" s="16"/>
      <c r="PB18" s="16"/>
      <c r="PC18" s="16"/>
      <c r="PD18" s="16"/>
      <c r="PE18" s="16"/>
      <c r="PF18" s="16"/>
      <c r="PG18" s="16"/>
      <c r="PH18" s="16"/>
      <c r="PI18" s="16"/>
      <c r="PJ18" s="16"/>
      <c r="PK18" s="16"/>
      <c r="PL18" s="11" t="str">
        <f t="shared" si="173"/>
        <v/>
      </c>
      <c r="PM18" s="11" t="str">
        <f t="shared" si="174"/>
        <v/>
      </c>
      <c r="PN18" s="11" t="str">
        <f t="shared" si="175"/>
        <v/>
      </c>
      <c r="PO18" s="11" t="str">
        <f t="shared" si="176"/>
        <v/>
      </c>
      <c r="PP18" s="11" t="str">
        <f t="shared" si="177"/>
        <v/>
      </c>
      <c r="PQ18" s="11" t="str">
        <f t="shared" si="178"/>
        <v/>
      </c>
      <c r="PR18" s="11" t="str">
        <f t="shared" si="179"/>
        <v/>
      </c>
      <c r="PS18" s="11" t="str">
        <f t="shared" si="180"/>
        <v/>
      </c>
      <c r="PT18" s="11" t="str">
        <f t="shared" si="181"/>
        <v/>
      </c>
      <c r="PU18" s="11" t="str">
        <f t="shared" si="182"/>
        <v/>
      </c>
      <c r="PV18" s="11" t="str">
        <f t="shared" si="183"/>
        <v/>
      </c>
      <c r="PW18" s="11" t="str">
        <f t="shared" si="184"/>
        <v/>
      </c>
      <c r="PX18" s="11" t="str">
        <f t="shared" si="185"/>
        <v/>
      </c>
      <c r="PY18" s="11" t="str">
        <f t="shared" si="186"/>
        <v/>
      </c>
      <c r="PZ18" s="15"/>
      <c r="QA18" s="15"/>
      <c r="QB18" s="15"/>
      <c r="QC18" s="15"/>
      <c r="QD18" s="15"/>
      <c r="QE18" s="15"/>
      <c r="QF18" s="15"/>
      <c r="QG18" s="15"/>
      <c r="QH18" s="15"/>
      <c r="QI18" s="15"/>
      <c r="QJ18" s="15"/>
      <c r="QK18" s="15"/>
      <c r="QL18" s="15"/>
      <c r="QM18" s="15"/>
      <c r="QN18" s="15"/>
      <c r="QO18" s="15"/>
      <c r="QP18" s="15"/>
      <c r="QQ18" s="15"/>
      <c r="QR18" s="15"/>
      <c r="QS18" s="15"/>
      <c r="QT18" s="36" t="str">
        <f t="shared" si="187"/>
        <v/>
      </c>
      <c r="QU18" s="36" t="str">
        <f t="shared" si="188"/>
        <v/>
      </c>
      <c r="QV18" s="36" t="str">
        <f t="shared" si="189"/>
        <v/>
      </c>
      <c r="QW18" s="36" t="str">
        <f t="shared" si="190"/>
        <v/>
      </c>
      <c r="QX18" s="36" t="str">
        <f t="shared" si="191"/>
        <v/>
      </c>
      <c r="QY18" s="36" t="str">
        <f t="shared" si="192"/>
        <v/>
      </c>
      <c r="QZ18" s="36" t="str">
        <f t="shared" si="193"/>
        <v/>
      </c>
      <c r="RA18" s="36" t="str">
        <f t="shared" si="194"/>
        <v/>
      </c>
      <c r="RB18" s="36" t="str">
        <f t="shared" si="195"/>
        <v/>
      </c>
      <c r="RC18" s="36" t="str">
        <f t="shared" si="196"/>
        <v/>
      </c>
      <c r="RD18" s="36" t="str">
        <f t="shared" si="197"/>
        <v/>
      </c>
      <c r="RE18" s="36" t="str">
        <f t="shared" si="198"/>
        <v/>
      </c>
      <c r="RF18" s="36" t="str">
        <f t="shared" si="199"/>
        <v/>
      </c>
      <c r="RG18" s="36" t="str">
        <f t="shared" si="200"/>
        <v/>
      </c>
      <c r="RH18" s="16"/>
      <c r="RI18" s="16"/>
      <c r="RJ18" s="16"/>
      <c r="RK18" s="16"/>
      <c r="RL18" s="16"/>
      <c r="RM18" s="16"/>
      <c r="RN18" s="16"/>
      <c r="RO18" s="16"/>
      <c r="RP18" s="16"/>
      <c r="RQ18" s="16"/>
      <c r="RR18" s="16"/>
      <c r="RS18" s="16"/>
      <c r="RT18" s="16"/>
      <c r="RU18" s="16"/>
      <c r="RV18" s="16"/>
      <c r="RW18" s="16"/>
      <c r="RX18" s="16"/>
      <c r="RY18" s="16"/>
      <c r="RZ18" s="16"/>
      <c r="SA18" s="16"/>
      <c r="SB18" s="11" t="str">
        <f t="shared" si="201"/>
        <v/>
      </c>
      <c r="SC18" s="11" t="str">
        <f t="shared" si="202"/>
        <v/>
      </c>
      <c r="SD18" s="11" t="str">
        <f t="shared" si="203"/>
        <v/>
      </c>
      <c r="SE18" s="11" t="str">
        <f t="shared" si="204"/>
        <v/>
      </c>
      <c r="SF18" s="11" t="str">
        <f t="shared" si="205"/>
        <v/>
      </c>
      <c r="SG18" s="11" t="str">
        <f t="shared" si="206"/>
        <v/>
      </c>
      <c r="SH18" s="11" t="str">
        <f t="shared" si="207"/>
        <v/>
      </c>
      <c r="SI18" s="11" t="str">
        <f t="shared" si="208"/>
        <v/>
      </c>
      <c r="SJ18" s="11" t="str">
        <f t="shared" si="209"/>
        <v/>
      </c>
      <c r="SK18" s="11" t="str">
        <f t="shared" si="210"/>
        <v/>
      </c>
      <c r="SL18" s="11" t="str">
        <f t="shared" si="211"/>
        <v/>
      </c>
      <c r="SM18" s="11" t="str">
        <f t="shared" si="212"/>
        <v/>
      </c>
      <c r="SN18" s="11" t="str">
        <f t="shared" si="213"/>
        <v/>
      </c>
      <c r="SO18" s="11" t="str">
        <f t="shared" si="214"/>
        <v/>
      </c>
      <c r="SP18" s="15"/>
      <c r="SQ18" s="15"/>
      <c r="SR18" s="15"/>
      <c r="SS18" s="15"/>
      <c r="ST18" s="15"/>
      <c r="SU18" s="15"/>
      <c r="SV18" s="15"/>
      <c r="SW18" s="15"/>
      <c r="SX18" s="15"/>
      <c r="SY18" s="15"/>
      <c r="SZ18" s="15"/>
      <c r="TA18" s="15"/>
      <c r="TB18" s="15"/>
      <c r="TC18" s="15"/>
      <c r="TD18" s="15"/>
      <c r="TE18" s="15"/>
      <c r="TF18" s="15"/>
      <c r="TG18" s="15"/>
      <c r="TH18" s="15"/>
      <c r="TI18" s="15"/>
      <c r="TJ18" s="36" t="str">
        <f t="shared" si="215"/>
        <v/>
      </c>
      <c r="TK18" s="36" t="str">
        <f t="shared" si="216"/>
        <v/>
      </c>
      <c r="TL18" s="36" t="str">
        <f t="shared" si="217"/>
        <v/>
      </c>
      <c r="TM18" s="36" t="str">
        <f t="shared" si="218"/>
        <v/>
      </c>
      <c r="TN18" s="36" t="str">
        <f t="shared" si="219"/>
        <v/>
      </c>
      <c r="TO18" s="36" t="str">
        <f t="shared" si="220"/>
        <v/>
      </c>
      <c r="TP18" s="36" t="str">
        <f t="shared" si="221"/>
        <v/>
      </c>
      <c r="TQ18" s="36" t="str">
        <f t="shared" si="222"/>
        <v/>
      </c>
      <c r="TR18" s="36" t="str">
        <f t="shared" si="223"/>
        <v/>
      </c>
      <c r="TS18" s="36" t="str">
        <f t="shared" si="224"/>
        <v/>
      </c>
      <c r="TT18" s="36" t="str">
        <f t="shared" si="225"/>
        <v/>
      </c>
      <c r="TU18" s="36" t="str">
        <f t="shared" si="226"/>
        <v/>
      </c>
      <c r="TV18" s="36" t="str">
        <f t="shared" si="227"/>
        <v/>
      </c>
      <c r="TW18" s="36" t="str">
        <f t="shared" si="228"/>
        <v/>
      </c>
      <c r="TX18" s="16"/>
      <c r="TY18" s="16"/>
      <c r="TZ18" s="16"/>
      <c r="UA18" s="16"/>
      <c r="UB18" s="16"/>
      <c r="UC18" s="16"/>
      <c r="UD18" s="16"/>
      <c r="UE18" s="16"/>
      <c r="UF18" s="16"/>
      <c r="UG18" s="16"/>
      <c r="UH18" s="16"/>
      <c r="UI18" s="16"/>
      <c r="UJ18" s="16"/>
      <c r="UK18" s="16"/>
      <c r="UL18" s="16"/>
      <c r="UM18" s="16"/>
      <c r="UN18" s="16"/>
      <c r="UO18" s="16"/>
      <c r="UP18" s="16"/>
      <c r="UQ18" s="16"/>
      <c r="UR18" s="11" t="str">
        <f t="shared" si="229"/>
        <v/>
      </c>
      <c r="US18" s="11" t="str">
        <f t="shared" si="230"/>
        <v/>
      </c>
      <c r="UT18" s="11" t="str">
        <f t="shared" si="231"/>
        <v/>
      </c>
      <c r="UU18" s="11" t="str">
        <f t="shared" si="232"/>
        <v/>
      </c>
      <c r="UV18" s="11" t="str">
        <f t="shared" si="233"/>
        <v/>
      </c>
      <c r="UW18" s="11" t="str">
        <f t="shared" si="234"/>
        <v/>
      </c>
      <c r="UX18" s="11" t="str">
        <f t="shared" si="235"/>
        <v/>
      </c>
      <c r="UY18" s="11" t="str">
        <f t="shared" si="236"/>
        <v/>
      </c>
      <c r="UZ18" s="11" t="str">
        <f t="shared" si="237"/>
        <v/>
      </c>
      <c r="VA18" s="11" t="str">
        <f t="shared" si="238"/>
        <v/>
      </c>
      <c r="VB18" s="11" t="str">
        <f t="shared" si="239"/>
        <v/>
      </c>
      <c r="VC18" s="11" t="str">
        <f t="shared" si="240"/>
        <v/>
      </c>
      <c r="VD18" s="11" t="str">
        <f t="shared" si="241"/>
        <v/>
      </c>
      <c r="VE18" s="11" t="str">
        <f t="shared" si="242"/>
        <v/>
      </c>
      <c r="VF18" s="15"/>
      <c r="VG18" s="15"/>
      <c r="VH18" s="15"/>
      <c r="VI18" s="15"/>
      <c r="VJ18" s="15"/>
      <c r="VK18" s="15"/>
      <c r="VL18" s="15"/>
      <c r="VM18" s="15"/>
      <c r="VN18" s="15"/>
      <c r="VO18" s="15"/>
      <c r="VP18" s="15"/>
      <c r="VQ18" s="15"/>
      <c r="VR18" s="15"/>
      <c r="VS18" s="15"/>
      <c r="VT18" s="15"/>
      <c r="VU18" s="15"/>
      <c r="VV18" s="15"/>
      <c r="VW18" s="15"/>
      <c r="VX18" s="15"/>
      <c r="VY18" s="15"/>
      <c r="VZ18" s="36" t="str">
        <f t="shared" si="243"/>
        <v/>
      </c>
      <c r="WA18" s="36" t="str">
        <f t="shared" si="244"/>
        <v/>
      </c>
      <c r="WB18" s="36" t="str">
        <f t="shared" si="245"/>
        <v/>
      </c>
      <c r="WC18" s="36" t="str">
        <f t="shared" si="246"/>
        <v/>
      </c>
      <c r="WD18" s="36" t="str">
        <f t="shared" si="247"/>
        <v/>
      </c>
      <c r="WE18" s="36" t="str">
        <f t="shared" si="248"/>
        <v/>
      </c>
      <c r="WF18" s="36" t="str">
        <f t="shared" si="249"/>
        <v/>
      </c>
      <c r="WG18" s="36" t="str">
        <f t="shared" si="250"/>
        <v/>
      </c>
      <c r="WH18" s="36" t="str">
        <f t="shared" si="251"/>
        <v/>
      </c>
      <c r="WI18" s="36" t="str">
        <f t="shared" si="252"/>
        <v/>
      </c>
      <c r="WJ18" s="36" t="str">
        <f t="shared" si="253"/>
        <v/>
      </c>
      <c r="WK18" s="36" t="str">
        <f t="shared" si="254"/>
        <v/>
      </c>
      <c r="WL18" s="36" t="str">
        <f t="shared" si="255"/>
        <v/>
      </c>
      <c r="WM18" s="36" t="str">
        <f t="shared" si="256"/>
        <v/>
      </c>
    </row>
    <row r="19" spans="1:611" x14ac:dyDescent="0.2">
      <c r="A19" s="4" cm="1">
        <f t="array" ref="A19">IF(AND(H19&lt;&gt;"",H19&lt;&gt;"No DD"),SUMPRODUCT((H$4:H$27&lt;&gt;"")*(H$4:H$27&lt;&gt;"No DD")*(E$4:E$27&gt;E19))+1,IF(H19="No DD",SUMPRODUCT((H$4:H$27="No DD")*(E$4:E$27&gt;E19))+1+SUMPRODUCT((H$4:H$27&lt;&gt;"")*(H$4:H$27&lt;&gt;"No DD")),""))</f>
        <v>8</v>
      </c>
      <c r="B19" s="5" t="s">
        <v>163</v>
      </c>
      <c r="C19" s="4" t="s">
        <v>162</v>
      </c>
      <c r="D19" s="4">
        <v>2004</v>
      </c>
      <c r="E19" s="9">
        <f t="shared" si="0"/>
        <v>115.30001153000562</v>
      </c>
      <c r="F19" s="3" t="str">
        <f t="shared" si="1"/>
        <v/>
      </c>
      <c r="G19" s="3" t="str">
        <f t="shared" si="2"/>
        <v>P</v>
      </c>
      <c r="H19" s="32" t="str">
        <f t="shared" si="3"/>
        <v>No DD</v>
      </c>
      <c r="I19" s="3" t="str">
        <f t="shared" si="4"/>
        <v/>
      </c>
      <c r="J19" s="8">
        <f t="shared" si="5"/>
        <v>47.260000000000005</v>
      </c>
      <c r="K19" s="8" t="str">
        <f t="shared" si="6"/>
        <v>2025 3rd Domestic Trial</v>
      </c>
      <c r="L19" s="8">
        <f>IFERROR(IF(J19=AR19,LARGE((AK19,AN19,BL19,BO19,BS19,CM19,CP19,CT19),1),IF(J19=BS19,LARGE((AK19,AN19,AR19,BL19,BO19,CM19,CP19,CT19),1),LARGE((AK19,AN19,AR19,BL19,BO19,BS19,CM19,CP19),1))),0)</f>
        <v>56.08</v>
      </c>
      <c r="M19" s="8" t="str">
        <f t="shared" si="7"/>
        <v>2025 3rd Domestic Trial</v>
      </c>
      <c r="N19" s="8">
        <f>IFERROR(IF(J19=AR19,LARGE((AK19,AN19,BL19,BO19,BS19,CM19,CP19,CT19),2),IF(J19=BS19,LARGE((AK19,AN19,AR19,BL19,BO19,CM19,CP19,CT19),2),LARGE((AK19,AN19,AR19,BL19,BO19,BS19,CM19,CP19),2))),0)</f>
        <v>11.96</v>
      </c>
      <c r="O19" s="8" t="str">
        <f t="shared" si="8"/>
        <v>2025 3rd Domestic Trial</v>
      </c>
      <c r="P19" s="8">
        <f t="shared" si="9"/>
        <v>0</v>
      </c>
      <c r="Q19" s="11" t="str">
        <f t="shared" si="10"/>
        <v/>
      </c>
      <c r="R19" s="8" t="str">
        <f t="shared" si="11"/>
        <v/>
      </c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23"/>
      <c r="AI19" s="34" t="str">
        <f t="shared" si="12"/>
        <v/>
      </c>
      <c r="AJ19" s="34" t="str">
        <f t="shared" si="13"/>
        <v/>
      </c>
      <c r="AK19" s="36" t="str">
        <f t="shared" si="14"/>
        <v/>
      </c>
      <c r="AL19" s="36" t="str">
        <f t="shared" si="15"/>
        <v/>
      </c>
      <c r="AM19" s="36" t="str">
        <f t="shared" si="16"/>
        <v/>
      </c>
      <c r="AN19" s="36" t="str">
        <f t="shared" si="17"/>
        <v/>
      </c>
      <c r="AO19" s="36" t="str">
        <f t="shared" si="18"/>
        <v/>
      </c>
      <c r="AP19" s="36" t="str">
        <f t="shared" si="19"/>
        <v/>
      </c>
      <c r="AQ19" s="36" t="str">
        <f t="shared" si="20"/>
        <v/>
      </c>
      <c r="AR19" s="36" t="str">
        <f t="shared" si="21"/>
        <v/>
      </c>
      <c r="AS19" s="36" t="str">
        <f t="shared" si="22"/>
        <v/>
      </c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4"/>
      <c r="BJ19" s="35" t="str">
        <f t="shared" si="23"/>
        <v/>
      </c>
      <c r="BK19" s="35" t="str">
        <f t="shared" si="24"/>
        <v/>
      </c>
      <c r="BL19" s="11" t="str">
        <f t="shared" si="25"/>
        <v/>
      </c>
      <c r="BM19" s="11" t="str">
        <f t="shared" si="26"/>
        <v/>
      </c>
      <c r="BN19" s="11" t="str">
        <f t="shared" si="27"/>
        <v/>
      </c>
      <c r="BO19" s="11" t="str">
        <f t="shared" si="28"/>
        <v/>
      </c>
      <c r="BP19" s="11" t="str">
        <f t="shared" si="29"/>
        <v/>
      </c>
      <c r="BQ19" s="11" t="str">
        <f t="shared" si="30"/>
        <v/>
      </c>
      <c r="BR19" s="11" t="str">
        <f t="shared" si="31"/>
        <v/>
      </c>
      <c r="BS19" s="11" t="str">
        <f t="shared" si="32"/>
        <v/>
      </c>
      <c r="BT19" s="11" t="str">
        <f t="shared" si="33"/>
        <v/>
      </c>
      <c r="BU19" s="18">
        <v>15.6</v>
      </c>
      <c r="BV19" s="18">
        <v>9.3000000000000007</v>
      </c>
      <c r="BW19" s="18">
        <v>14.9</v>
      </c>
      <c r="BX19" s="18">
        <v>16.28</v>
      </c>
      <c r="BY19" s="18">
        <v>0</v>
      </c>
      <c r="BZ19" s="18">
        <v>3.2</v>
      </c>
      <c r="CA19" s="18">
        <v>1.7</v>
      </c>
      <c r="CB19" s="18">
        <v>3.5</v>
      </c>
      <c r="CC19" s="18">
        <v>3.56</v>
      </c>
      <c r="CD19" s="18">
        <v>0</v>
      </c>
      <c r="CE19" s="18">
        <v>15</v>
      </c>
      <c r="CF19" s="18">
        <v>8.6999999999999993</v>
      </c>
      <c r="CG19" s="18">
        <v>11.2</v>
      </c>
      <c r="CH19" s="18">
        <v>15.66</v>
      </c>
      <c r="CI19" s="18">
        <v>3.3</v>
      </c>
      <c r="CJ19" s="23"/>
      <c r="CK19" s="34">
        <f t="shared" si="34"/>
        <v>14.9</v>
      </c>
      <c r="CL19" s="34">
        <f t="shared" si="35"/>
        <v>16.28</v>
      </c>
      <c r="CM19" s="36">
        <f t="shared" si="36"/>
        <v>56.08</v>
      </c>
      <c r="CN19" s="36">
        <f t="shared" si="37"/>
        <v>3.5</v>
      </c>
      <c r="CO19" s="36">
        <f t="shared" si="38"/>
        <v>3.56</v>
      </c>
      <c r="CP19" s="36">
        <f t="shared" si="39"/>
        <v>11.96</v>
      </c>
      <c r="CQ19" s="36">
        <f t="shared" si="40"/>
        <v>56.08</v>
      </c>
      <c r="CR19" s="36">
        <f t="shared" si="41"/>
        <v>11.2</v>
      </c>
      <c r="CS19" s="36">
        <f t="shared" si="42"/>
        <v>15.66</v>
      </c>
      <c r="CT19" s="36">
        <f t="shared" si="43"/>
        <v>47.260000000000005</v>
      </c>
      <c r="CU19" s="36">
        <f t="shared" si="44"/>
        <v>103.34</v>
      </c>
      <c r="CV19" s="47" t="str">
        <f t="shared" si="45"/>
        <v/>
      </c>
      <c r="CW19" s="47" t="str">
        <f t="shared" si="46"/>
        <v/>
      </c>
      <c r="CX19" s="15"/>
      <c r="CY19" s="15"/>
      <c r="CZ19" s="15"/>
      <c r="DA19" s="15"/>
      <c r="DB19" s="15"/>
      <c r="DC19" s="15"/>
      <c r="DD19" s="15"/>
      <c r="DE19" s="15"/>
      <c r="DF19" s="15"/>
      <c r="DG19" s="15"/>
      <c r="DH19" s="15"/>
      <c r="DI19" s="15"/>
      <c r="DJ19" s="15"/>
      <c r="DK19" s="15"/>
      <c r="DL19" s="15"/>
      <c r="DM19" s="15"/>
      <c r="DN19" s="15"/>
      <c r="DO19" s="15"/>
      <c r="DP19" s="15"/>
      <c r="DQ19" s="15"/>
      <c r="DR19" s="36" t="str">
        <f t="shared" si="47"/>
        <v/>
      </c>
      <c r="DS19" s="36" t="str">
        <f t="shared" si="48"/>
        <v/>
      </c>
      <c r="DT19" s="36" t="str">
        <f t="shared" si="49"/>
        <v/>
      </c>
      <c r="DU19" s="36" t="str">
        <f t="shared" si="50"/>
        <v/>
      </c>
      <c r="DV19" s="36" t="str">
        <f t="shared" si="51"/>
        <v/>
      </c>
      <c r="DW19" s="36" t="str">
        <f t="shared" si="52"/>
        <v/>
      </c>
      <c r="DX19" s="36" t="str">
        <f t="shared" si="53"/>
        <v/>
      </c>
      <c r="DY19" s="36" t="str">
        <f t="shared" si="54"/>
        <v/>
      </c>
      <c r="DZ19" s="36" t="str">
        <f t="shared" si="55"/>
        <v/>
      </c>
      <c r="EA19" s="36" t="str">
        <f t="shared" si="56"/>
        <v/>
      </c>
      <c r="EB19" s="36" t="str">
        <f t="shared" si="57"/>
        <v/>
      </c>
      <c r="EC19" s="36" t="str">
        <f t="shared" si="58"/>
        <v/>
      </c>
      <c r="ED19" s="36" t="str">
        <f t="shared" si="59"/>
        <v/>
      </c>
      <c r="EE19" s="36" t="str">
        <f t="shared" si="60"/>
        <v/>
      </c>
      <c r="EF19" s="16"/>
      <c r="EG19" s="16"/>
      <c r="EH19" s="16"/>
      <c r="EI19" s="16"/>
      <c r="EJ19" s="16"/>
      <c r="EK19" s="16"/>
      <c r="EL19" s="16"/>
      <c r="EM19" s="16"/>
      <c r="EN19" s="16"/>
      <c r="EO19" s="16"/>
      <c r="EP19" s="16"/>
      <c r="EQ19" s="16"/>
      <c r="ER19" s="16"/>
      <c r="ES19" s="16"/>
      <c r="ET19" s="16"/>
      <c r="EU19" s="16"/>
      <c r="EV19" s="16"/>
      <c r="EW19" s="16"/>
      <c r="EX19" s="16"/>
      <c r="EY19" s="16"/>
      <c r="EZ19" s="11" t="str">
        <f t="shared" si="61"/>
        <v/>
      </c>
      <c r="FA19" s="11" t="str">
        <f t="shared" si="62"/>
        <v/>
      </c>
      <c r="FB19" s="11" t="str">
        <f t="shared" si="63"/>
        <v/>
      </c>
      <c r="FC19" s="11" t="str">
        <f t="shared" si="64"/>
        <v/>
      </c>
      <c r="FD19" s="11" t="str">
        <f t="shared" si="65"/>
        <v/>
      </c>
      <c r="FE19" s="11" t="str">
        <f t="shared" si="66"/>
        <v/>
      </c>
      <c r="FF19" s="11" t="str">
        <f t="shared" si="67"/>
        <v/>
      </c>
      <c r="FG19" s="11" t="str">
        <f t="shared" si="68"/>
        <v/>
      </c>
      <c r="FH19" s="11" t="str">
        <f t="shared" si="69"/>
        <v/>
      </c>
      <c r="FI19" s="11" t="str">
        <f t="shared" si="70"/>
        <v/>
      </c>
      <c r="FJ19" s="11" t="str">
        <f t="shared" si="71"/>
        <v/>
      </c>
      <c r="FK19" s="11" t="str">
        <f t="shared" si="72"/>
        <v/>
      </c>
      <c r="FL19" s="11" t="str">
        <f t="shared" si="73"/>
        <v/>
      </c>
      <c r="FM19" s="11" t="str">
        <f t="shared" si="74"/>
        <v/>
      </c>
      <c r="FN19" s="15"/>
      <c r="FO19" s="15"/>
      <c r="FP19" s="15"/>
      <c r="FQ19" s="15"/>
      <c r="FR19" s="15"/>
      <c r="FS19" s="15"/>
      <c r="FT19" s="15"/>
      <c r="FU19" s="15"/>
      <c r="FV19" s="15"/>
      <c r="FW19" s="15"/>
      <c r="FX19" s="15"/>
      <c r="FY19" s="15"/>
      <c r="FZ19" s="15"/>
      <c r="GA19" s="15"/>
      <c r="GB19" s="15"/>
      <c r="GC19" s="15"/>
      <c r="GD19" s="15"/>
      <c r="GE19" s="15"/>
      <c r="GF19" s="15"/>
      <c r="GG19" s="15"/>
      <c r="GH19" s="36" t="str">
        <f t="shared" si="75"/>
        <v/>
      </c>
      <c r="GI19" s="36" t="str">
        <f t="shared" si="76"/>
        <v/>
      </c>
      <c r="GJ19" s="36" t="str">
        <f t="shared" si="77"/>
        <v/>
      </c>
      <c r="GK19" s="36" t="str">
        <f t="shared" si="78"/>
        <v/>
      </c>
      <c r="GL19" s="36" t="str">
        <f t="shared" si="79"/>
        <v/>
      </c>
      <c r="GM19" s="36" t="str">
        <f t="shared" si="80"/>
        <v/>
      </c>
      <c r="GN19" s="36" t="str">
        <f t="shared" si="81"/>
        <v/>
      </c>
      <c r="GO19" s="36" t="str">
        <f t="shared" si="82"/>
        <v/>
      </c>
      <c r="GP19" s="36" t="str">
        <f t="shared" si="83"/>
        <v/>
      </c>
      <c r="GQ19" s="36" t="str">
        <f t="shared" si="84"/>
        <v/>
      </c>
      <c r="GR19" s="36" t="str">
        <f t="shared" si="85"/>
        <v/>
      </c>
      <c r="GS19" s="36" t="str">
        <f t="shared" si="86"/>
        <v/>
      </c>
      <c r="GT19" s="36" t="str">
        <f t="shared" si="87"/>
        <v/>
      </c>
      <c r="GU19" s="36" t="str">
        <f t="shared" si="88"/>
        <v/>
      </c>
      <c r="GV19" s="16"/>
      <c r="GW19" s="16"/>
      <c r="GX19" s="16"/>
      <c r="GY19" s="16"/>
      <c r="GZ19" s="16"/>
      <c r="HA19" s="16"/>
      <c r="HB19" s="16"/>
      <c r="HC19" s="16"/>
      <c r="HD19" s="16"/>
      <c r="HE19" s="16"/>
      <c r="HF19" s="16"/>
      <c r="HG19" s="16"/>
      <c r="HH19" s="16"/>
      <c r="HI19" s="16"/>
      <c r="HJ19" s="16"/>
      <c r="HK19" s="16"/>
      <c r="HL19" s="16"/>
      <c r="HM19" s="16"/>
      <c r="HN19" s="16"/>
      <c r="HO19" s="16"/>
      <c r="HP19" s="11" t="str">
        <f t="shared" si="89"/>
        <v/>
      </c>
      <c r="HQ19" s="11" t="str">
        <f t="shared" si="90"/>
        <v/>
      </c>
      <c r="HR19" s="11" t="str">
        <f t="shared" si="91"/>
        <v/>
      </c>
      <c r="HS19" s="11" t="str">
        <f t="shared" si="92"/>
        <v/>
      </c>
      <c r="HT19" s="11" t="str">
        <f t="shared" si="93"/>
        <v/>
      </c>
      <c r="HU19" s="11" t="str">
        <f t="shared" si="94"/>
        <v/>
      </c>
      <c r="HV19" s="11" t="str">
        <f t="shared" si="95"/>
        <v/>
      </c>
      <c r="HW19" s="11" t="str">
        <f t="shared" si="96"/>
        <v/>
      </c>
      <c r="HX19" s="11" t="str">
        <f t="shared" si="97"/>
        <v/>
      </c>
      <c r="HY19" s="11" t="str">
        <f t="shared" si="98"/>
        <v/>
      </c>
      <c r="HZ19" s="11" t="str">
        <f t="shared" si="99"/>
        <v/>
      </c>
      <c r="IA19" s="11" t="str">
        <f t="shared" si="100"/>
        <v/>
      </c>
      <c r="IB19" s="11" t="str">
        <f t="shared" si="101"/>
        <v/>
      </c>
      <c r="IC19" s="11" t="str">
        <f t="shared" si="102"/>
        <v/>
      </c>
      <c r="ID19" s="15"/>
      <c r="IE19" s="15"/>
      <c r="IF19" s="15"/>
      <c r="IG19" s="15"/>
      <c r="IH19" s="15"/>
      <c r="II19" s="15"/>
      <c r="IJ19" s="15"/>
      <c r="IK19" s="15"/>
      <c r="IL19" s="15"/>
      <c r="IM19" s="15"/>
      <c r="IN19" s="15"/>
      <c r="IO19" s="15"/>
      <c r="IP19" s="15"/>
      <c r="IQ19" s="15"/>
      <c r="IR19" s="15"/>
      <c r="IS19" s="15"/>
      <c r="IT19" s="15"/>
      <c r="IU19" s="15"/>
      <c r="IV19" s="15"/>
      <c r="IW19" s="15"/>
      <c r="IX19" s="36" t="str">
        <f t="shared" si="103"/>
        <v/>
      </c>
      <c r="IY19" s="36" t="str">
        <f t="shared" si="104"/>
        <v/>
      </c>
      <c r="IZ19" s="36" t="str">
        <f t="shared" si="105"/>
        <v/>
      </c>
      <c r="JA19" s="36" t="str">
        <f t="shared" si="106"/>
        <v/>
      </c>
      <c r="JB19" s="36" t="str">
        <f t="shared" si="107"/>
        <v/>
      </c>
      <c r="JC19" s="36" t="str">
        <f t="shared" si="108"/>
        <v/>
      </c>
      <c r="JD19" s="36" t="str">
        <f t="shared" si="109"/>
        <v/>
      </c>
      <c r="JE19" s="36" t="str">
        <f t="shared" si="110"/>
        <v/>
      </c>
      <c r="JF19" s="36" t="str">
        <f t="shared" si="111"/>
        <v/>
      </c>
      <c r="JG19" s="36" t="str">
        <f t="shared" si="112"/>
        <v/>
      </c>
      <c r="JH19" s="36" t="str">
        <f t="shared" si="113"/>
        <v/>
      </c>
      <c r="JI19" s="36" t="str">
        <f t="shared" si="114"/>
        <v/>
      </c>
      <c r="JJ19" s="36" t="str">
        <f t="shared" si="115"/>
        <v/>
      </c>
      <c r="JK19" s="36" t="str">
        <f t="shared" si="116"/>
        <v/>
      </c>
      <c r="JL19" s="16"/>
      <c r="JM19" s="16"/>
      <c r="JN19" s="16"/>
      <c r="JO19" s="16"/>
      <c r="JP19" s="16"/>
      <c r="JQ19" s="16"/>
      <c r="JR19" s="16"/>
      <c r="JS19" s="16"/>
      <c r="JT19" s="16"/>
      <c r="JU19" s="16"/>
      <c r="JV19" s="16"/>
      <c r="JW19" s="16"/>
      <c r="JX19" s="16"/>
      <c r="JY19" s="16"/>
      <c r="JZ19" s="16"/>
      <c r="KA19" s="16"/>
      <c r="KB19" s="16"/>
      <c r="KC19" s="16"/>
      <c r="KD19" s="16"/>
      <c r="KE19" s="16"/>
      <c r="KF19" s="11" t="str">
        <f t="shared" si="117"/>
        <v/>
      </c>
      <c r="KG19" s="11" t="str">
        <f t="shared" si="118"/>
        <v/>
      </c>
      <c r="KH19" s="11" t="str">
        <f t="shared" si="119"/>
        <v/>
      </c>
      <c r="KI19" s="11" t="str">
        <f t="shared" si="120"/>
        <v/>
      </c>
      <c r="KJ19" s="11" t="str">
        <f t="shared" si="121"/>
        <v/>
      </c>
      <c r="KK19" s="11" t="str">
        <f t="shared" si="122"/>
        <v/>
      </c>
      <c r="KL19" s="11" t="str">
        <f t="shared" si="123"/>
        <v/>
      </c>
      <c r="KM19" s="11" t="str">
        <f t="shared" si="124"/>
        <v/>
      </c>
      <c r="KN19" s="11" t="str">
        <f t="shared" si="125"/>
        <v/>
      </c>
      <c r="KO19" s="11" t="str">
        <f t="shared" si="126"/>
        <v/>
      </c>
      <c r="KP19" s="11" t="str">
        <f t="shared" si="127"/>
        <v/>
      </c>
      <c r="KQ19" s="11" t="str">
        <f t="shared" si="128"/>
        <v/>
      </c>
      <c r="KR19" s="11" t="str">
        <f t="shared" si="129"/>
        <v/>
      </c>
      <c r="KS19" s="11" t="str">
        <f t="shared" si="130"/>
        <v/>
      </c>
      <c r="KT19" s="15"/>
      <c r="KU19" s="15"/>
      <c r="KV19" s="15"/>
      <c r="KW19" s="15"/>
      <c r="KX19" s="15"/>
      <c r="KY19" s="15"/>
      <c r="KZ19" s="15"/>
      <c r="LA19" s="15"/>
      <c r="LB19" s="15"/>
      <c r="LC19" s="15"/>
      <c r="LD19" s="15"/>
      <c r="LE19" s="15"/>
      <c r="LF19" s="15"/>
      <c r="LG19" s="15"/>
      <c r="LH19" s="15"/>
      <c r="LI19" s="15"/>
      <c r="LJ19" s="15"/>
      <c r="LK19" s="15"/>
      <c r="LL19" s="15"/>
      <c r="LM19" s="15"/>
      <c r="LN19" s="36" t="str">
        <f t="shared" si="131"/>
        <v/>
      </c>
      <c r="LO19" s="36" t="str">
        <f t="shared" si="132"/>
        <v/>
      </c>
      <c r="LP19" s="36" t="str">
        <f t="shared" si="133"/>
        <v/>
      </c>
      <c r="LQ19" s="36" t="str">
        <f t="shared" si="134"/>
        <v/>
      </c>
      <c r="LR19" s="36" t="str">
        <f t="shared" si="135"/>
        <v/>
      </c>
      <c r="LS19" s="36" t="str">
        <f t="shared" si="136"/>
        <v/>
      </c>
      <c r="LT19" s="36" t="str">
        <f t="shared" si="137"/>
        <v/>
      </c>
      <c r="LU19" s="36" t="str">
        <f t="shared" si="138"/>
        <v/>
      </c>
      <c r="LV19" s="36" t="str">
        <f t="shared" si="139"/>
        <v/>
      </c>
      <c r="LW19" s="36" t="str">
        <f t="shared" si="140"/>
        <v/>
      </c>
      <c r="LX19" s="36" t="str">
        <f t="shared" si="141"/>
        <v/>
      </c>
      <c r="LY19" s="36" t="str">
        <f t="shared" si="142"/>
        <v/>
      </c>
      <c r="LZ19" s="36" t="str">
        <f t="shared" si="143"/>
        <v/>
      </c>
      <c r="MA19" s="36" t="str">
        <f t="shared" si="144"/>
        <v/>
      </c>
      <c r="MB19" s="16"/>
      <c r="MC19" s="16"/>
      <c r="MD19" s="16"/>
      <c r="ME19" s="16"/>
      <c r="MF19" s="16"/>
      <c r="MG19" s="16"/>
      <c r="MH19" s="16"/>
      <c r="MI19" s="16"/>
      <c r="MJ19" s="16"/>
      <c r="MK19" s="16"/>
      <c r="ML19" s="16"/>
      <c r="MM19" s="16"/>
      <c r="MN19" s="16"/>
      <c r="MO19" s="16"/>
      <c r="MP19" s="16"/>
      <c r="MQ19" s="16"/>
      <c r="MR19" s="16"/>
      <c r="MS19" s="16"/>
      <c r="MT19" s="16"/>
      <c r="MU19" s="16"/>
      <c r="MV19" s="11" t="str">
        <f t="shared" si="145"/>
        <v/>
      </c>
      <c r="MW19" s="11" t="str">
        <f t="shared" si="146"/>
        <v/>
      </c>
      <c r="MX19" s="11" t="str">
        <f t="shared" si="147"/>
        <v/>
      </c>
      <c r="MY19" s="11" t="str">
        <f t="shared" si="148"/>
        <v/>
      </c>
      <c r="MZ19" s="11" t="str">
        <f t="shared" si="149"/>
        <v/>
      </c>
      <c r="NA19" s="11" t="str">
        <f t="shared" si="150"/>
        <v/>
      </c>
      <c r="NB19" s="11" t="str">
        <f t="shared" si="151"/>
        <v/>
      </c>
      <c r="NC19" s="11" t="str">
        <f t="shared" si="152"/>
        <v/>
      </c>
      <c r="ND19" s="11" t="str">
        <f t="shared" si="153"/>
        <v/>
      </c>
      <c r="NE19" s="11" t="str">
        <f t="shared" si="154"/>
        <v/>
      </c>
      <c r="NF19" s="11" t="str">
        <f t="shared" si="155"/>
        <v/>
      </c>
      <c r="NG19" s="11" t="str">
        <f t="shared" si="156"/>
        <v/>
      </c>
      <c r="NH19" s="11" t="str">
        <f t="shared" si="157"/>
        <v/>
      </c>
      <c r="NI19" s="11" t="str">
        <f t="shared" si="158"/>
        <v/>
      </c>
      <c r="NJ19" s="15"/>
      <c r="NK19" s="15"/>
      <c r="NL19" s="15"/>
      <c r="NM19" s="15"/>
      <c r="NN19" s="15"/>
      <c r="NO19" s="15"/>
      <c r="NP19" s="15"/>
      <c r="NQ19" s="15"/>
      <c r="NR19" s="15"/>
      <c r="NS19" s="15"/>
      <c r="NT19" s="15"/>
      <c r="NU19" s="15"/>
      <c r="NV19" s="15"/>
      <c r="NW19" s="15"/>
      <c r="NX19" s="15"/>
      <c r="NY19" s="15"/>
      <c r="NZ19" s="15"/>
      <c r="OA19" s="15"/>
      <c r="OB19" s="15"/>
      <c r="OC19" s="15"/>
      <c r="OD19" s="36" t="str">
        <f t="shared" si="159"/>
        <v/>
      </c>
      <c r="OE19" s="36" t="str">
        <f t="shared" si="160"/>
        <v/>
      </c>
      <c r="OF19" s="36" t="str">
        <f t="shared" si="161"/>
        <v/>
      </c>
      <c r="OG19" s="36" t="str">
        <f t="shared" si="162"/>
        <v/>
      </c>
      <c r="OH19" s="36" t="str">
        <f t="shared" si="163"/>
        <v/>
      </c>
      <c r="OI19" s="36" t="str">
        <f t="shared" si="164"/>
        <v/>
      </c>
      <c r="OJ19" s="36" t="str">
        <f t="shared" si="165"/>
        <v/>
      </c>
      <c r="OK19" s="36" t="str">
        <f t="shared" si="166"/>
        <v/>
      </c>
      <c r="OL19" s="36" t="str">
        <f t="shared" si="167"/>
        <v/>
      </c>
      <c r="OM19" s="36" t="str">
        <f t="shared" si="168"/>
        <v/>
      </c>
      <c r="ON19" s="36" t="str">
        <f t="shared" si="169"/>
        <v/>
      </c>
      <c r="OO19" s="36" t="str">
        <f t="shared" si="170"/>
        <v/>
      </c>
      <c r="OP19" s="36" t="str">
        <f t="shared" si="171"/>
        <v/>
      </c>
      <c r="OQ19" s="36" t="str">
        <f t="shared" si="172"/>
        <v/>
      </c>
      <c r="OR19" s="16"/>
      <c r="OS19" s="16"/>
      <c r="OT19" s="16"/>
      <c r="OU19" s="16"/>
      <c r="OV19" s="16"/>
      <c r="OW19" s="16"/>
      <c r="OX19" s="16"/>
      <c r="OY19" s="16"/>
      <c r="OZ19" s="16"/>
      <c r="PA19" s="16"/>
      <c r="PB19" s="16"/>
      <c r="PC19" s="16"/>
      <c r="PD19" s="16"/>
      <c r="PE19" s="16"/>
      <c r="PF19" s="16"/>
      <c r="PG19" s="16"/>
      <c r="PH19" s="16"/>
      <c r="PI19" s="16"/>
      <c r="PJ19" s="16"/>
      <c r="PK19" s="16"/>
      <c r="PL19" s="11" t="str">
        <f t="shared" si="173"/>
        <v/>
      </c>
      <c r="PM19" s="11" t="str">
        <f t="shared" si="174"/>
        <v/>
      </c>
      <c r="PN19" s="11" t="str">
        <f t="shared" si="175"/>
        <v/>
      </c>
      <c r="PO19" s="11" t="str">
        <f t="shared" si="176"/>
        <v/>
      </c>
      <c r="PP19" s="11" t="str">
        <f t="shared" si="177"/>
        <v/>
      </c>
      <c r="PQ19" s="11" t="str">
        <f t="shared" si="178"/>
        <v/>
      </c>
      <c r="PR19" s="11" t="str">
        <f t="shared" si="179"/>
        <v/>
      </c>
      <c r="PS19" s="11" t="str">
        <f t="shared" si="180"/>
        <v/>
      </c>
      <c r="PT19" s="11" t="str">
        <f t="shared" si="181"/>
        <v/>
      </c>
      <c r="PU19" s="11" t="str">
        <f t="shared" si="182"/>
        <v/>
      </c>
      <c r="PV19" s="11" t="str">
        <f t="shared" si="183"/>
        <v/>
      </c>
      <c r="PW19" s="11" t="str">
        <f t="shared" si="184"/>
        <v/>
      </c>
      <c r="PX19" s="11" t="str">
        <f t="shared" si="185"/>
        <v/>
      </c>
      <c r="PY19" s="11" t="str">
        <f t="shared" si="186"/>
        <v/>
      </c>
      <c r="PZ19" s="15"/>
      <c r="QA19" s="15"/>
      <c r="QB19" s="15"/>
      <c r="QC19" s="15"/>
      <c r="QD19" s="15"/>
      <c r="QE19" s="15"/>
      <c r="QF19" s="15"/>
      <c r="QG19" s="15"/>
      <c r="QH19" s="15"/>
      <c r="QI19" s="15"/>
      <c r="QJ19" s="15"/>
      <c r="QK19" s="15"/>
      <c r="QL19" s="15"/>
      <c r="QM19" s="15"/>
      <c r="QN19" s="15"/>
      <c r="QO19" s="15"/>
      <c r="QP19" s="15"/>
      <c r="QQ19" s="15"/>
      <c r="QR19" s="15"/>
      <c r="QS19" s="15"/>
      <c r="QT19" s="36" t="str">
        <f t="shared" si="187"/>
        <v/>
      </c>
      <c r="QU19" s="36" t="str">
        <f t="shared" si="188"/>
        <v/>
      </c>
      <c r="QV19" s="36" t="str">
        <f t="shared" si="189"/>
        <v/>
      </c>
      <c r="QW19" s="36" t="str">
        <f t="shared" si="190"/>
        <v/>
      </c>
      <c r="QX19" s="36" t="str">
        <f t="shared" si="191"/>
        <v/>
      </c>
      <c r="QY19" s="36" t="str">
        <f t="shared" si="192"/>
        <v/>
      </c>
      <c r="QZ19" s="36" t="str">
        <f t="shared" si="193"/>
        <v/>
      </c>
      <c r="RA19" s="36" t="str">
        <f t="shared" si="194"/>
        <v/>
      </c>
      <c r="RB19" s="36" t="str">
        <f t="shared" si="195"/>
        <v/>
      </c>
      <c r="RC19" s="36" t="str">
        <f t="shared" si="196"/>
        <v/>
      </c>
      <c r="RD19" s="36" t="str">
        <f t="shared" si="197"/>
        <v/>
      </c>
      <c r="RE19" s="36" t="str">
        <f t="shared" si="198"/>
        <v/>
      </c>
      <c r="RF19" s="36" t="str">
        <f t="shared" si="199"/>
        <v/>
      </c>
      <c r="RG19" s="36" t="str">
        <f t="shared" si="200"/>
        <v/>
      </c>
      <c r="RH19" s="16"/>
      <c r="RI19" s="16"/>
      <c r="RJ19" s="16"/>
      <c r="RK19" s="16"/>
      <c r="RL19" s="16"/>
      <c r="RM19" s="16"/>
      <c r="RN19" s="16"/>
      <c r="RO19" s="16"/>
      <c r="RP19" s="16"/>
      <c r="RQ19" s="16"/>
      <c r="RR19" s="16"/>
      <c r="RS19" s="16"/>
      <c r="RT19" s="16"/>
      <c r="RU19" s="16"/>
      <c r="RV19" s="16"/>
      <c r="RW19" s="16"/>
      <c r="RX19" s="16"/>
      <c r="RY19" s="16"/>
      <c r="RZ19" s="16"/>
      <c r="SA19" s="16"/>
      <c r="SB19" s="11" t="str">
        <f t="shared" si="201"/>
        <v/>
      </c>
      <c r="SC19" s="11" t="str">
        <f t="shared" si="202"/>
        <v/>
      </c>
      <c r="SD19" s="11" t="str">
        <f t="shared" si="203"/>
        <v/>
      </c>
      <c r="SE19" s="11" t="str">
        <f t="shared" si="204"/>
        <v/>
      </c>
      <c r="SF19" s="11" t="str">
        <f t="shared" si="205"/>
        <v/>
      </c>
      <c r="SG19" s="11" t="str">
        <f t="shared" si="206"/>
        <v/>
      </c>
      <c r="SH19" s="11" t="str">
        <f t="shared" si="207"/>
        <v/>
      </c>
      <c r="SI19" s="11" t="str">
        <f t="shared" si="208"/>
        <v/>
      </c>
      <c r="SJ19" s="11" t="str">
        <f t="shared" si="209"/>
        <v/>
      </c>
      <c r="SK19" s="11" t="str">
        <f t="shared" si="210"/>
        <v/>
      </c>
      <c r="SL19" s="11" t="str">
        <f t="shared" si="211"/>
        <v/>
      </c>
      <c r="SM19" s="11" t="str">
        <f t="shared" si="212"/>
        <v/>
      </c>
      <c r="SN19" s="11" t="str">
        <f t="shared" si="213"/>
        <v/>
      </c>
      <c r="SO19" s="11" t="str">
        <f t="shared" si="214"/>
        <v/>
      </c>
      <c r="SP19" s="15"/>
      <c r="SQ19" s="15"/>
      <c r="SR19" s="15"/>
      <c r="SS19" s="15"/>
      <c r="ST19" s="15"/>
      <c r="SU19" s="15"/>
      <c r="SV19" s="15"/>
      <c r="SW19" s="15"/>
      <c r="SX19" s="15"/>
      <c r="SY19" s="15"/>
      <c r="SZ19" s="15"/>
      <c r="TA19" s="15"/>
      <c r="TB19" s="15"/>
      <c r="TC19" s="15"/>
      <c r="TD19" s="15"/>
      <c r="TE19" s="15"/>
      <c r="TF19" s="15"/>
      <c r="TG19" s="15"/>
      <c r="TH19" s="15"/>
      <c r="TI19" s="15"/>
      <c r="TJ19" s="36" t="str">
        <f t="shared" si="215"/>
        <v/>
      </c>
      <c r="TK19" s="36" t="str">
        <f t="shared" si="216"/>
        <v/>
      </c>
      <c r="TL19" s="36" t="str">
        <f t="shared" si="217"/>
        <v/>
      </c>
      <c r="TM19" s="36" t="str">
        <f t="shared" si="218"/>
        <v/>
      </c>
      <c r="TN19" s="36" t="str">
        <f t="shared" si="219"/>
        <v/>
      </c>
      <c r="TO19" s="36" t="str">
        <f t="shared" si="220"/>
        <v/>
      </c>
      <c r="TP19" s="36" t="str">
        <f t="shared" si="221"/>
        <v/>
      </c>
      <c r="TQ19" s="36" t="str">
        <f t="shared" si="222"/>
        <v/>
      </c>
      <c r="TR19" s="36" t="str">
        <f t="shared" si="223"/>
        <v/>
      </c>
      <c r="TS19" s="36" t="str">
        <f t="shared" si="224"/>
        <v/>
      </c>
      <c r="TT19" s="36" t="str">
        <f t="shared" si="225"/>
        <v/>
      </c>
      <c r="TU19" s="36" t="str">
        <f t="shared" si="226"/>
        <v/>
      </c>
      <c r="TV19" s="36" t="str">
        <f t="shared" si="227"/>
        <v/>
      </c>
      <c r="TW19" s="36" t="str">
        <f t="shared" si="228"/>
        <v/>
      </c>
      <c r="TX19" s="16"/>
      <c r="TY19" s="16"/>
      <c r="TZ19" s="16"/>
      <c r="UA19" s="16"/>
      <c r="UB19" s="16"/>
      <c r="UC19" s="16"/>
      <c r="UD19" s="16"/>
      <c r="UE19" s="16"/>
      <c r="UF19" s="16"/>
      <c r="UG19" s="16"/>
      <c r="UH19" s="16"/>
      <c r="UI19" s="16"/>
      <c r="UJ19" s="16"/>
      <c r="UK19" s="16"/>
      <c r="UL19" s="16"/>
      <c r="UM19" s="16"/>
      <c r="UN19" s="16"/>
      <c r="UO19" s="16"/>
      <c r="UP19" s="16"/>
      <c r="UQ19" s="16"/>
      <c r="UR19" s="11" t="str">
        <f t="shared" si="229"/>
        <v/>
      </c>
      <c r="US19" s="11" t="str">
        <f t="shared" si="230"/>
        <v/>
      </c>
      <c r="UT19" s="11" t="str">
        <f t="shared" si="231"/>
        <v/>
      </c>
      <c r="UU19" s="11" t="str">
        <f t="shared" si="232"/>
        <v/>
      </c>
      <c r="UV19" s="11" t="str">
        <f t="shared" si="233"/>
        <v/>
      </c>
      <c r="UW19" s="11" t="str">
        <f t="shared" si="234"/>
        <v/>
      </c>
      <c r="UX19" s="11" t="str">
        <f t="shared" si="235"/>
        <v/>
      </c>
      <c r="UY19" s="11" t="str">
        <f t="shared" si="236"/>
        <v/>
      </c>
      <c r="UZ19" s="11" t="str">
        <f t="shared" si="237"/>
        <v/>
      </c>
      <c r="VA19" s="11" t="str">
        <f t="shared" si="238"/>
        <v/>
      </c>
      <c r="VB19" s="11" t="str">
        <f t="shared" si="239"/>
        <v/>
      </c>
      <c r="VC19" s="11" t="str">
        <f t="shared" si="240"/>
        <v/>
      </c>
      <c r="VD19" s="11" t="str">
        <f t="shared" si="241"/>
        <v/>
      </c>
      <c r="VE19" s="11" t="str">
        <f t="shared" si="242"/>
        <v/>
      </c>
      <c r="VF19" s="15"/>
      <c r="VG19" s="15"/>
      <c r="VH19" s="15"/>
      <c r="VI19" s="15"/>
      <c r="VJ19" s="15"/>
      <c r="VK19" s="15"/>
      <c r="VL19" s="15"/>
      <c r="VM19" s="15"/>
      <c r="VN19" s="15"/>
      <c r="VO19" s="15"/>
      <c r="VP19" s="15"/>
      <c r="VQ19" s="15"/>
      <c r="VR19" s="15"/>
      <c r="VS19" s="15"/>
      <c r="VT19" s="15"/>
      <c r="VU19" s="15"/>
      <c r="VV19" s="15"/>
      <c r="VW19" s="15"/>
      <c r="VX19" s="15"/>
      <c r="VY19" s="15"/>
      <c r="VZ19" s="36" t="str">
        <f t="shared" si="243"/>
        <v/>
      </c>
      <c r="WA19" s="36" t="str">
        <f t="shared" si="244"/>
        <v/>
      </c>
      <c r="WB19" s="36" t="str">
        <f t="shared" si="245"/>
        <v/>
      </c>
      <c r="WC19" s="36" t="str">
        <f t="shared" si="246"/>
        <v/>
      </c>
      <c r="WD19" s="36" t="str">
        <f t="shared" si="247"/>
        <v/>
      </c>
      <c r="WE19" s="36" t="str">
        <f t="shared" si="248"/>
        <v/>
      </c>
      <c r="WF19" s="36" t="str">
        <f t="shared" si="249"/>
        <v/>
      </c>
      <c r="WG19" s="36" t="str">
        <f t="shared" si="250"/>
        <v/>
      </c>
      <c r="WH19" s="36" t="str">
        <f t="shared" si="251"/>
        <v/>
      </c>
      <c r="WI19" s="36" t="str">
        <f t="shared" si="252"/>
        <v/>
      </c>
      <c r="WJ19" s="36" t="str">
        <f t="shared" si="253"/>
        <v/>
      </c>
      <c r="WK19" s="36" t="str">
        <f t="shared" si="254"/>
        <v/>
      </c>
      <c r="WL19" s="36" t="str">
        <f t="shared" si="255"/>
        <v/>
      </c>
      <c r="WM19" s="36" t="str">
        <f t="shared" si="256"/>
        <v/>
      </c>
    </row>
    <row r="20" spans="1:611" x14ac:dyDescent="0.2">
      <c r="A20" s="4" t="str" cm="1">
        <f t="array" ref="A20">IF(AND(H20&lt;&gt;"",H20&lt;&gt;"No DD"),SUMPRODUCT((H$4:H$27&lt;&gt;"")*(H$4:H$27&lt;&gt;"No DD")*(E$4:E$27&gt;E20))+1,IF(H20="No DD",SUMPRODUCT((H$4:H$27="No DD")*(E$4:E$27&gt;E20))+1+SUMPRODUCT((H$4:H$27&lt;&gt;"")*(H$4:H$27&lt;&gt;"No DD")),""))</f>
        <v/>
      </c>
      <c r="B20" s="5" t="s">
        <v>60</v>
      </c>
      <c r="C20" s="4" t="s">
        <v>5</v>
      </c>
      <c r="D20" s="4">
        <v>2003</v>
      </c>
      <c r="E20" s="9">
        <f t="shared" si="0"/>
        <v>108.27001082700517</v>
      </c>
      <c r="F20" s="3" t="str">
        <f t="shared" si="1"/>
        <v/>
      </c>
      <c r="G20" s="3" t="str">
        <f t="shared" si="2"/>
        <v/>
      </c>
      <c r="H20" s="32" t="str">
        <f t="shared" si="3"/>
        <v/>
      </c>
      <c r="I20" s="3" t="str">
        <f t="shared" si="4"/>
        <v/>
      </c>
      <c r="J20" s="8">
        <f t="shared" si="5"/>
        <v>46.45</v>
      </c>
      <c r="K20" s="8" t="str">
        <f t="shared" si="6"/>
        <v>2025 Elite Canada</v>
      </c>
      <c r="L20" s="8">
        <f>IFERROR(IF(J20=AR20,LARGE((AK20,AN20,BL20,BO20,BS20,CM20,CP20,CT20),1),IF(J20=BS20,LARGE((AK20,AN20,AR20,BL20,BO20,CM20,CP20,CT20),1),LARGE((AK20,AN20,AR20,BL20,BO20,BS20,CM20,CP20),1))),0)</f>
        <v>51.53</v>
      </c>
      <c r="M20" s="8" t="str">
        <f t="shared" si="7"/>
        <v>2025 Elite Canada</v>
      </c>
      <c r="N20" s="8">
        <f>IFERROR(IF(J20=AR20,LARGE((AK20,AN20,BL20,BO20,BS20,CM20,CP20,CT20),2),IF(J20=BS20,LARGE((AK20,AN20,AR20,BL20,BO20,CM20,CP20,CT20),2),LARGE((AK20,AN20,AR20,BL20,BO20,BS20,CM20,CP20),2))),0)</f>
        <v>10.29</v>
      </c>
      <c r="O20" s="8" t="str">
        <f t="shared" si="8"/>
        <v>2025 Elite Canada</v>
      </c>
      <c r="P20" s="8">
        <f t="shared" si="9"/>
        <v>0</v>
      </c>
      <c r="Q20" s="11" t="str">
        <f t="shared" si="10"/>
        <v/>
      </c>
      <c r="R20" s="8" t="str">
        <f t="shared" si="11"/>
        <v/>
      </c>
      <c r="S20" s="18">
        <v>2.2999999999999998</v>
      </c>
      <c r="T20" s="18">
        <v>1.7</v>
      </c>
      <c r="U20" s="18">
        <v>3</v>
      </c>
      <c r="V20" s="18">
        <v>3.29</v>
      </c>
      <c r="W20" s="18">
        <v>0</v>
      </c>
      <c r="X20" s="18">
        <v>13</v>
      </c>
      <c r="Y20" s="18">
        <v>9.3000000000000007</v>
      </c>
      <c r="Z20" s="18">
        <v>14.4</v>
      </c>
      <c r="AA20" s="18">
        <v>14.93</v>
      </c>
      <c r="AB20" s="18">
        <v>0.1</v>
      </c>
      <c r="AC20" s="18">
        <v>11.6</v>
      </c>
      <c r="AD20" s="18">
        <v>9.5</v>
      </c>
      <c r="AE20" s="18">
        <v>12.5</v>
      </c>
      <c r="AF20" s="18">
        <v>14.85</v>
      </c>
      <c r="AG20" s="18">
        <v>2</v>
      </c>
      <c r="AH20" s="23"/>
      <c r="AI20" s="34">
        <f t="shared" si="12"/>
        <v>3</v>
      </c>
      <c r="AJ20" s="34">
        <f t="shared" si="13"/>
        <v>3.29</v>
      </c>
      <c r="AK20" s="36">
        <f t="shared" si="14"/>
        <v>10.29</v>
      </c>
      <c r="AL20" s="36">
        <f t="shared" si="15"/>
        <v>14.4</v>
      </c>
      <c r="AM20" s="36">
        <f t="shared" si="16"/>
        <v>14.93</v>
      </c>
      <c r="AN20" s="36">
        <f t="shared" si="17"/>
        <v>51.53</v>
      </c>
      <c r="AO20" s="36">
        <f t="shared" si="18"/>
        <v>51.53</v>
      </c>
      <c r="AP20" s="36">
        <f t="shared" si="19"/>
        <v>12.5</v>
      </c>
      <c r="AQ20" s="36">
        <f t="shared" si="20"/>
        <v>14.85</v>
      </c>
      <c r="AR20" s="36">
        <f t="shared" si="21"/>
        <v>46.45</v>
      </c>
      <c r="AS20" s="36">
        <f t="shared" si="22"/>
        <v>97.98</v>
      </c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4"/>
      <c r="BJ20" s="35" t="str">
        <f t="shared" si="23"/>
        <v/>
      </c>
      <c r="BK20" s="35" t="str">
        <f t="shared" si="24"/>
        <v/>
      </c>
      <c r="BL20" s="11" t="str">
        <f t="shared" si="25"/>
        <v/>
      </c>
      <c r="BM20" s="11" t="str">
        <f t="shared" si="26"/>
        <v/>
      </c>
      <c r="BN20" s="11" t="str">
        <f t="shared" si="27"/>
        <v/>
      </c>
      <c r="BO20" s="11" t="str">
        <f t="shared" si="28"/>
        <v/>
      </c>
      <c r="BP20" s="11" t="str">
        <f t="shared" si="29"/>
        <v/>
      </c>
      <c r="BQ20" s="11" t="str">
        <f t="shared" si="30"/>
        <v/>
      </c>
      <c r="BR20" s="11" t="str">
        <f t="shared" si="31"/>
        <v/>
      </c>
      <c r="BS20" s="11" t="str">
        <f t="shared" si="32"/>
        <v/>
      </c>
      <c r="BT20" s="11" t="str">
        <f t="shared" si="33"/>
        <v/>
      </c>
      <c r="BU20" s="18"/>
      <c r="BV20" s="18"/>
      <c r="BW20" s="18"/>
      <c r="BX20" s="18"/>
      <c r="BY20" s="18"/>
      <c r="BZ20" s="18"/>
      <c r="CA20" s="18"/>
      <c r="CB20" s="18"/>
      <c r="CC20" s="18"/>
      <c r="CD20" s="18"/>
      <c r="CE20" s="18"/>
      <c r="CF20" s="18"/>
      <c r="CG20" s="18"/>
      <c r="CH20" s="18"/>
      <c r="CI20" s="18"/>
      <c r="CJ20" s="23"/>
      <c r="CK20" s="34" t="str">
        <f t="shared" si="34"/>
        <v/>
      </c>
      <c r="CL20" s="34" t="str">
        <f t="shared" si="35"/>
        <v/>
      </c>
      <c r="CM20" s="36" t="str">
        <f t="shared" si="36"/>
        <v/>
      </c>
      <c r="CN20" s="36" t="str">
        <f t="shared" si="37"/>
        <v/>
      </c>
      <c r="CO20" s="36" t="str">
        <f t="shared" si="38"/>
        <v/>
      </c>
      <c r="CP20" s="36" t="str">
        <f t="shared" si="39"/>
        <v/>
      </c>
      <c r="CQ20" s="36" t="str">
        <f t="shared" si="40"/>
        <v/>
      </c>
      <c r="CR20" s="36" t="str">
        <f t="shared" si="41"/>
        <v/>
      </c>
      <c r="CS20" s="36" t="str">
        <f t="shared" si="42"/>
        <v/>
      </c>
      <c r="CT20" s="36" t="str">
        <f t="shared" si="43"/>
        <v/>
      </c>
      <c r="CU20" s="36" t="str">
        <f t="shared" si="44"/>
        <v/>
      </c>
      <c r="CV20" s="47" t="str">
        <f t="shared" si="45"/>
        <v/>
      </c>
      <c r="CW20" s="47" t="str">
        <f t="shared" si="46"/>
        <v/>
      </c>
      <c r="CX20" s="15"/>
      <c r="CY20" s="15"/>
      <c r="CZ20" s="15"/>
      <c r="DA20" s="15"/>
      <c r="DB20" s="15"/>
      <c r="DC20" s="15"/>
      <c r="DD20" s="15"/>
      <c r="DE20" s="15"/>
      <c r="DF20" s="15"/>
      <c r="DG20" s="15"/>
      <c r="DH20" s="15"/>
      <c r="DI20" s="15"/>
      <c r="DJ20" s="15"/>
      <c r="DK20" s="15"/>
      <c r="DL20" s="15"/>
      <c r="DM20" s="15"/>
      <c r="DN20" s="15"/>
      <c r="DO20" s="15"/>
      <c r="DP20" s="15"/>
      <c r="DQ20" s="15"/>
      <c r="DR20" s="36" t="str">
        <f t="shared" si="47"/>
        <v/>
      </c>
      <c r="DS20" s="36" t="str">
        <f t="shared" si="48"/>
        <v/>
      </c>
      <c r="DT20" s="36" t="str">
        <f t="shared" si="49"/>
        <v/>
      </c>
      <c r="DU20" s="36" t="str">
        <f t="shared" si="50"/>
        <v/>
      </c>
      <c r="DV20" s="36" t="str">
        <f t="shared" si="51"/>
        <v/>
      </c>
      <c r="DW20" s="36" t="str">
        <f t="shared" si="52"/>
        <v/>
      </c>
      <c r="DX20" s="36" t="str">
        <f t="shared" si="53"/>
        <v/>
      </c>
      <c r="DY20" s="36" t="str">
        <f t="shared" si="54"/>
        <v/>
      </c>
      <c r="DZ20" s="36" t="str">
        <f t="shared" si="55"/>
        <v/>
      </c>
      <c r="EA20" s="36" t="str">
        <f t="shared" si="56"/>
        <v/>
      </c>
      <c r="EB20" s="36" t="str">
        <f t="shared" si="57"/>
        <v/>
      </c>
      <c r="EC20" s="36" t="str">
        <f t="shared" si="58"/>
        <v/>
      </c>
      <c r="ED20" s="36" t="str">
        <f t="shared" si="59"/>
        <v/>
      </c>
      <c r="EE20" s="36" t="str">
        <f t="shared" si="60"/>
        <v/>
      </c>
      <c r="EF20" s="16"/>
      <c r="EG20" s="16"/>
      <c r="EH20" s="16"/>
      <c r="EI20" s="16"/>
      <c r="EJ20" s="16"/>
      <c r="EK20" s="16"/>
      <c r="EL20" s="16"/>
      <c r="EM20" s="16"/>
      <c r="EN20" s="16"/>
      <c r="EO20" s="16"/>
      <c r="EP20" s="16"/>
      <c r="EQ20" s="16"/>
      <c r="ER20" s="16"/>
      <c r="ES20" s="16"/>
      <c r="ET20" s="16"/>
      <c r="EU20" s="16"/>
      <c r="EV20" s="16"/>
      <c r="EW20" s="16"/>
      <c r="EX20" s="16"/>
      <c r="EY20" s="16"/>
      <c r="EZ20" s="11" t="str">
        <f t="shared" si="61"/>
        <v/>
      </c>
      <c r="FA20" s="11" t="str">
        <f t="shared" si="62"/>
        <v/>
      </c>
      <c r="FB20" s="11" t="str">
        <f t="shared" si="63"/>
        <v/>
      </c>
      <c r="FC20" s="11" t="str">
        <f t="shared" si="64"/>
        <v/>
      </c>
      <c r="FD20" s="11" t="str">
        <f t="shared" si="65"/>
        <v/>
      </c>
      <c r="FE20" s="11" t="str">
        <f t="shared" si="66"/>
        <v/>
      </c>
      <c r="FF20" s="11" t="str">
        <f t="shared" si="67"/>
        <v/>
      </c>
      <c r="FG20" s="11" t="str">
        <f t="shared" si="68"/>
        <v/>
      </c>
      <c r="FH20" s="11" t="str">
        <f t="shared" si="69"/>
        <v/>
      </c>
      <c r="FI20" s="11" t="str">
        <f t="shared" si="70"/>
        <v/>
      </c>
      <c r="FJ20" s="11" t="str">
        <f t="shared" si="71"/>
        <v/>
      </c>
      <c r="FK20" s="11" t="str">
        <f t="shared" si="72"/>
        <v/>
      </c>
      <c r="FL20" s="11" t="str">
        <f t="shared" si="73"/>
        <v/>
      </c>
      <c r="FM20" s="11" t="str">
        <f t="shared" si="74"/>
        <v/>
      </c>
      <c r="FN20" s="15"/>
      <c r="FO20" s="15"/>
      <c r="FP20" s="15"/>
      <c r="FQ20" s="15"/>
      <c r="FR20" s="15"/>
      <c r="FS20" s="15"/>
      <c r="FT20" s="15"/>
      <c r="FU20" s="15"/>
      <c r="FV20" s="15"/>
      <c r="FW20" s="15"/>
      <c r="FX20" s="15"/>
      <c r="FY20" s="15"/>
      <c r="FZ20" s="15"/>
      <c r="GA20" s="15"/>
      <c r="GB20" s="15"/>
      <c r="GC20" s="15"/>
      <c r="GD20" s="15"/>
      <c r="GE20" s="15"/>
      <c r="GF20" s="15"/>
      <c r="GG20" s="15"/>
      <c r="GH20" s="36" t="str">
        <f t="shared" si="75"/>
        <v/>
      </c>
      <c r="GI20" s="36" t="str">
        <f t="shared" si="76"/>
        <v/>
      </c>
      <c r="GJ20" s="36" t="str">
        <f t="shared" si="77"/>
        <v/>
      </c>
      <c r="GK20" s="36" t="str">
        <f t="shared" si="78"/>
        <v/>
      </c>
      <c r="GL20" s="36" t="str">
        <f t="shared" si="79"/>
        <v/>
      </c>
      <c r="GM20" s="36" t="str">
        <f t="shared" si="80"/>
        <v/>
      </c>
      <c r="GN20" s="36" t="str">
        <f t="shared" si="81"/>
        <v/>
      </c>
      <c r="GO20" s="36" t="str">
        <f t="shared" si="82"/>
        <v/>
      </c>
      <c r="GP20" s="36" t="str">
        <f t="shared" si="83"/>
        <v/>
      </c>
      <c r="GQ20" s="36" t="str">
        <f t="shared" si="84"/>
        <v/>
      </c>
      <c r="GR20" s="36" t="str">
        <f t="shared" si="85"/>
        <v/>
      </c>
      <c r="GS20" s="36" t="str">
        <f t="shared" si="86"/>
        <v/>
      </c>
      <c r="GT20" s="36" t="str">
        <f t="shared" si="87"/>
        <v/>
      </c>
      <c r="GU20" s="36" t="str">
        <f t="shared" si="88"/>
        <v/>
      </c>
      <c r="GV20" s="16"/>
      <c r="GW20" s="16"/>
      <c r="GX20" s="16"/>
      <c r="GY20" s="16"/>
      <c r="GZ20" s="16"/>
      <c r="HA20" s="16"/>
      <c r="HB20" s="16"/>
      <c r="HC20" s="16"/>
      <c r="HD20" s="16"/>
      <c r="HE20" s="16"/>
      <c r="HF20" s="16"/>
      <c r="HG20" s="16"/>
      <c r="HH20" s="16"/>
      <c r="HI20" s="16"/>
      <c r="HJ20" s="16"/>
      <c r="HK20" s="16"/>
      <c r="HL20" s="16"/>
      <c r="HM20" s="16"/>
      <c r="HN20" s="16"/>
      <c r="HO20" s="16"/>
      <c r="HP20" s="11" t="str">
        <f t="shared" si="89"/>
        <v/>
      </c>
      <c r="HQ20" s="11" t="str">
        <f t="shared" si="90"/>
        <v/>
      </c>
      <c r="HR20" s="11" t="str">
        <f t="shared" si="91"/>
        <v/>
      </c>
      <c r="HS20" s="11" t="str">
        <f t="shared" si="92"/>
        <v/>
      </c>
      <c r="HT20" s="11" t="str">
        <f t="shared" si="93"/>
        <v/>
      </c>
      <c r="HU20" s="11" t="str">
        <f t="shared" si="94"/>
        <v/>
      </c>
      <c r="HV20" s="11" t="str">
        <f t="shared" si="95"/>
        <v/>
      </c>
      <c r="HW20" s="11" t="str">
        <f t="shared" si="96"/>
        <v/>
      </c>
      <c r="HX20" s="11" t="str">
        <f t="shared" si="97"/>
        <v/>
      </c>
      <c r="HY20" s="11" t="str">
        <f t="shared" si="98"/>
        <v/>
      </c>
      <c r="HZ20" s="11" t="str">
        <f t="shared" si="99"/>
        <v/>
      </c>
      <c r="IA20" s="11" t="str">
        <f t="shared" si="100"/>
        <v/>
      </c>
      <c r="IB20" s="11" t="str">
        <f t="shared" si="101"/>
        <v/>
      </c>
      <c r="IC20" s="11" t="str">
        <f t="shared" si="102"/>
        <v/>
      </c>
      <c r="ID20" s="15"/>
      <c r="IE20" s="15"/>
      <c r="IF20" s="15"/>
      <c r="IG20" s="15"/>
      <c r="IH20" s="15"/>
      <c r="II20" s="15"/>
      <c r="IJ20" s="15"/>
      <c r="IK20" s="15"/>
      <c r="IL20" s="15"/>
      <c r="IM20" s="15"/>
      <c r="IN20" s="15"/>
      <c r="IO20" s="15"/>
      <c r="IP20" s="15"/>
      <c r="IQ20" s="15"/>
      <c r="IR20" s="15"/>
      <c r="IS20" s="15"/>
      <c r="IT20" s="15"/>
      <c r="IU20" s="15"/>
      <c r="IV20" s="15"/>
      <c r="IW20" s="15"/>
      <c r="IX20" s="36" t="str">
        <f t="shared" si="103"/>
        <v/>
      </c>
      <c r="IY20" s="36" t="str">
        <f t="shared" si="104"/>
        <v/>
      </c>
      <c r="IZ20" s="36" t="str">
        <f t="shared" si="105"/>
        <v/>
      </c>
      <c r="JA20" s="36" t="str">
        <f t="shared" si="106"/>
        <v/>
      </c>
      <c r="JB20" s="36" t="str">
        <f t="shared" si="107"/>
        <v/>
      </c>
      <c r="JC20" s="36" t="str">
        <f t="shared" si="108"/>
        <v/>
      </c>
      <c r="JD20" s="36" t="str">
        <f t="shared" si="109"/>
        <v/>
      </c>
      <c r="JE20" s="36" t="str">
        <f t="shared" si="110"/>
        <v/>
      </c>
      <c r="JF20" s="36" t="str">
        <f t="shared" si="111"/>
        <v/>
      </c>
      <c r="JG20" s="36" t="str">
        <f t="shared" si="112"/>
        <v/>
      </c>
      <c r="JH20" s="36" t="str">
        <f t="shared" si="113"/>
        <v/>
      </c>
      <c r="JI20" s="36" t="str">
        <f t="shared" si="114"/>
        <v/>
      </c>
      <c r="JJ20" s="36" t="str">
        <f t="shared" si="115"/>
        <v/>
      </c>
      <c r="JK20" s="36" t="str">
        <f t="shared" si="116"/>
        <v/>
      </c>
      <c r="JL20" s="16"/>
      <c r="JM20" s="16"/>
      <c r="JN20" s="16"/>
      <c r="JO20" s="16"/>
      <c r="JP20" s="16"/>
      <c r="JQ20" s="16"/>
      <c r="JR20" s="16"/>
      <c r="JS20" s="16"/>
      <c r="JT20" s="16"/>
      <c r="JU20" s="16"/>
      <c r="JV20" s="16"/>
      <c r="JW20" s="16"/>
      <c r="JX20" s="16"/>
      <c r="JY20" s="16"/>
      <c r="JZ20" s="16"/>
      <c r="KA20" s="16"/>
      <c r="KB20" s="16"/>
      <c r="KC20" s="16"/>
      <c r="KD20" s="16"/>
      <c r="KE20" s="16"/>
      <c r="KF20" s="11" t="str">
        <f t="shared" si="117"/>
        <v/>
      </c>
      <c r="KG20" s="11" t="str">
        <f t="shared" si="118"/>
        <v/>
      </c>
      <c r="KH20" s="11" t="str">
        <f t="shared" si="119"/>
        <v/>
      </c>
      <c r="KI20" s="11" t="str">
        <f t="shared" si="120"/>
        <v/>
      </c>
      <c r="KJ20" s="11" t="str">
        <f t="shared" si="121"/>
        <v/>
      </c>
      <c r="KK20" s="11" t="str">
        <f t="shared" si="122"/>
        <v/>
      </c>
      <c r="KL20" s="11" t="str">
        <f t="shared" si="123"/>
        <v/>
      </c>
      <c r="KM20" s="11" t="str">
        <f t="shared" si="124"/>
        <v/>
      </c>
      <c r="KN20" s="11" t="str">
        <f t="shared" si="125"/>
        <v/>
      </c>
      <c r="KO20" s="11" t="str">
        <f t="shared" si="126"/>
        <v/>
      </c>
      <c r="KP20" s="11" t="str">
        <f t="shared" si="127"/>
        <v/>
      </c>
      <c r="KQ20" s="11" t="str">
        <f t="shared" si="128"/>
        <v/>
      </c>
      <c r="KR20" s="11" t="str">
        <f t="shared" si="129"/>
        <v/>
      </c>
      <c r="KS20" s="11" t="str">
        <f t="shared" si="130"/>
        <v/>
      </c>
      <c r="KT20" s="15"/>
      <c r="KU20" s="15"/>
      <c r="KV20" s="15"/>
      <c r="KW20" s="15"/>
      <c r="KX20" s="15"/>
      <c r="KY20" s="15"/>
      <c r="KZ20" s="15"/>
      <c r="LA20" s="15"/>
      <c r="LB20" s="15"/>
      <c r="LC20" s="15"/>
      <c r="LD20" s="15"/>
      <c r="LE20" s="15"/>
      <c r="LF20" s="15"/>
      <c r="LG20" s="15"/>
      <c r="LH20" s="15"/>
      <c r="LI20" s="15"/>
      <c r="LJ20" s="15"/>
      <c r="LK20" s="15"/>
      <c r="LL20" s="15"/>
      <c r="LM20" s="15"/>
      <c r="LN20" s="36" t="str">
        <f t="shared" si="131"/>
        <v/>
      </c>
      <c r="LO20" s="36" t="str">
        <f t="shared" si="132"/>
        <v/>
      </c>
      <c r="LP20" s="36" t="str">
        <f t="shared" si="133"/>
        <v/>
      </c>
      <c r="LQ20" s="36" t="str">
        <f t="shared" si="134"/>
        <v/>
      </c>
      <c r="LR20" s="36" t="str">
        <f t="shared" si="135"/>
        <v/>
      </c>
      <c r="LS20" s="36" t="str">
        <f t="shared" si="136"/>
        <v/>
      </c>
      <c r="LT20" s="36" t="str">
        <f t="shared" si="137"/>
        <v/>
      </c>
      <c r="LU20" s="36" t="str">
        <f t="shared" si="138"/>
        <v/>
      </c>
      <c r="LV20" s="36" t="str">
        <f t="shared" si="139"/>
        <v/>
      </c>
      <c r="LW20" s="36" t="str">
        <f t="shared" si="140"/>
        <v/>
      </c>
      <c r="LX20" s="36" t="str">
        <f t="shared" si="141"/>
        <v/>
      </c>
      <c r="LY20" s="36" t="str">
        <f t="shared" si="142"/>
        <v/>
      </c>
      <c r="LZ20" s="36" t="str">
        <f t="shared" si="143"/>
        <v/>
      </c>
      <c r="MA20" s="36" t="str">
        <f t="shared" si="144"/>
        <v/>
      </c>
      <c r="MB20" s="16"/>
      <c r="MC20" s="16"/>
      <c r="MD20" s="16"/>
      <c r="ME20" s="16"/>
      <c r="MF20" s="16"/>
      <c r="MG20" s="16"/>
      <c r="MH20" s="16"/>
      <c r="MI20" s="16"/>
      <c r="MJ20" s="16"/>
      <c r="MK20" s="16"/>
      <c r="ML20" s="16"/>
      <c r="MM20" s="16"/>
      <c r="MN20" s="16"/>
      <c r="MO20" s="16"/>
      <c r="MP20" s="16"/>
      <c r="MQ20" s="16"/>
      <c r="MR20" s="16"/>
      <c r="MS20" s="16"/>
      <c r="MT20" s="16"/>
      <c r="MU20" s="16"/>
      <c r="MV20" s="11" t="str">
        <f t="shared" si="145"/>
        <v/>
      </c>
      <c r="MW20" s="11" t="str">
        <f t="shared" si="146"/>
        <v/>
      </c>
      <c r="MX20" s="11" t="str">
        <f t="shared" si="147"/>
        <v/>
      </c>
      <c r="MY20" s="11" t="str">
        <f t="shared" si="148"/>
        <v/>
      </c>
      <c r="MZ20" s="11" t="str">
        <f t="shared" si="149"/>
        <v/>
      </c>
      <c r="NA20" s="11" t="str">
        <f t="shared" si="150"/>
        <v/>
      </c>
      <c r="NB20" s="11" t="str">
        <f t="shared" si="151"/>
        <v/>
      </c>
      <c r="NC20" s="11" t="str">
        <f t="shared" si="152"/>
        <v/>
      </c>
      <c r="ND20" s="11" t="str">
        <f t="shared" si="153"/>
        <v/>
      </c>
      <c r="NE20" s="11" t="str">
        <f t="shared" si="154"/>
        <v/>
      </c>
      <c r="NF20" s="11" t="str">
        <f t="shared" si="155"/>
        <v/>
      </c>
      <c r="NG20" s="11" t="str">
        <f t="shared" si="156"/>
        <v/>
      </c>
      <c r="NH20" s="11" t="str">
        <f t="shared" si="157"/>
        <v/>
      </c>
      <c r="NI20" s="11" t="str">
        <f t="shared" si="158"/>
        <v/>
      </c>
      <c r="NJ20" s="15"/>
      <c r="NK20" s="15"/>
      <c r="NL20" s="15"/>
      <c r="NM20" s="15"/>
      <c r="NN20" s="15"/>
      <c r="NO20" s="15"/>
      <c r="NP20" s="15"/>
      <c r="NQ20" s="15"/>
      <c r="NR20" s="15"/>
      <c r="NS20" s="15"/>
      <c r="NT20" s="15"/>
      <c r="NU20" s="15"/>
      <c r="NV20" s="15"/>
      <c r="NW20" s="15"/>
      <c r="NX20" s="15"/>
      <c r="NY20" s="15"/>
      <c r="NZ20" s="15"/>
      <c r="OA20" s="15"/>
      <c r="OB20" s="15"/>
      <c r="OC20" s="15"/>
      <c r="OD20" s="36" t="str">
        <f t="shared" si="159"/>
        <v/>
      </c>
      <c r="OE20" s="36" t="str">
        <f t="shared" si="160"/>
        <v/>
      </c>
      <c r="OF20" s="36" t="str">
        <f t="shared" si="161"/>
        <v/>
      </c>
      <c r="OG20" s="36" t="str">
        <f t="shared" si="162"/>
        <v/>
      </c>
      <c r="OH20" s="36" t="str">
        <f t="shared" si="163"/>
        <v/>
      </c>
      <c r="OI20" s="36" t="str">
        <f t="shared" si="164"/>
        <v/>
      </c>
      <c r="OJ20" s="36" t="str">
        <f t="shared" si="165"/>
        <v/>
      </c>
      <c r="OK20" s="36" t="str">
        <f t="shared" si="166"/>
        <v/>
      </c>
      <c r="OL20" s="36" t="str">
        <f t="shared" si="167"/>
        <v/>
      </c>
      <c r="OM20" s="36" t="str">
        <f t="shared" si="168"/>
        <v/>
      </c>
      <c r="ON20" s="36" t="str">
        <f t="shared" si="169"/>
        <v/>
      </c>
      <c r="OO20" s="36" t="str">
        <f t="shared" si="170"/>
        <v/>
      </c>
      <c r="OP20" s="36" t="str">
        <f t="shared" si="171"/>
        <v/>
      </c>
      <c r="OQ20" s="36" t="str">
        <f t="shared" si="172"/>
        <v/>
      </c>
      <c r="OR20" s="16"/>
      <c r="OS20" s="16"/>
      <c r="OT20" s="16"/>
      <c r="OU20" s="16"/>
      <c r="OV20" s="16"/>
      <c r="OW20" s="16"/>
      <c r="OX20" s="16"/>
      <c r="OY20" s="16"/>
      <c r="OZ20" s="16"/>
      <c r="PA20" s="16"/>
      <c r="PB20" s="16"/>
      <c r="PC20" s="16"/>
      <c r="PD20" s="16"/>
      <c r="PE20" s="16"/>
      <c r="PF20" s="16"/>
      <c r="PG20" s="16"/>
      <c r="PH20" s="16"/>
      <c r="PI20" s="16"/>
      <c r="PJ20" s="16"/>
      <c r="PK20" s="16"/>
      <c r="PL20" s="11" t="str">
        <f t="shared" si="173"/>
        <v/>
      </c>
      <c r="PM20" s="11" t="str">
        <f t="shared" si="174"/>
        <v/>
      </c>
      <c r="PN20" s="11" t="str">
        <f t="shared" si="175"/>
        <v/>
      </c>
      <c r="PO20" s="11" t="str">
        <f t="shared" si="176"/>
        <v/>
      </c>
      <c r="PP20" s="11" t="str">
        <f t="shared" si="177"/>
        <v/>
      </c>
      <c r="PQ20" s="11" t="str">
        <f t="shared" si="178"/>
        <v/>
      </c>
      <c r="PR20" s="11" t="str">
        <f t="shared" si="179"/>
        <v/>
      </c>
      <c r="PS20" s="11" t="str">
        <f t="shared" si="180"/>
        <v/>
      </c>
      <c r="PT20" s="11" t="str">
        <f t="shared" si="181"/>
        <v/>
      </c>
      <c r="PU20" s="11" t="str">
        <f t="shared" si="182"/>
        <v/>
      </c>
      <c r="PV20" s="11" t="str">
        <f t="shared" si="183"/>
        <v/>
      </c>
      <c r="PW20" s="11" t="str">
        <f t="shared" si="184"/>
        <v/>
      </c>
      <c r="PX20" s="11" t="str">
        <f t="shared" si="185"/>
        <v/>
      </c>
      <c r="PY20" s="11" t="str">
        <f t="shared" si="186"/>
        <v/>
      </c>
      <c r="PZ20" s="15"/>
      <c r="QA20" s="15"/>
      <c r="QB20" s="15"/>
      <c r="QC20" s="15"/>
      <c r="QD20" s="15"/>
      <c r="QE20" s="15"/>
      <c r="QF20" s="15"/>
      <c r="QG20" s="15"/>
      <c r="QH20" s="15"/>
      <c r="QI20" s="15"/>
      <c r="QJ20" s="15"/>
      <c r="QK20" s="15"/>
      <c r="QL20" s="15"/>
      <c r="QM20" s="15"/>
      <c r="QN20" s="15"/>
      <c r="QO20" s="15"/>
      <c r="QP20" s="15"/>
      <c r="QQ20" s="15"/>
      <c r="QR20" s="15"/>
      <c r="QS20" s="15"/>
      <c r="QT20" s="36" t="str">
        <f t="shared" si="187"/>
        <v/>
      </c>
      <c r="QU20" s="36" t="str">
        <f t="shared" si="188"/>
        <v/>
      </c>
      <c r="QV20" s="36" t="str">
        <f t="shared" si="189"/>
        <v/>
      </c>
      <c r="QW20" s="36" t="str">
        <f t="shared" si="190"/>
        <v/>
      </c>
      <c r="QX20" s="36" t="str">
        <f t="shared" si="191"/>
        <v/>
      </c>
      <c r="QY20" s="36" t="str">
        <f t="shared" si="192"/>
        <v/>
      </c>
      <c r="QZ20" s="36" t="str">
        <f t="shared" si="193"/>
        <v/>
      </c>
      <c r="RA20" s="36" t="str">
        <f t="shared" si="194"/>
        <v/>
      </c>
      <c r="RB20" s="36" t="str">
        <f t="shared" si="195"/>
        <v/>
      </c>
      <c r="RC20" s="36" t="str">
        <f t="shared" si="196"/>
        <v/>
      </c>
      <c r="RD20" s="36" t="str">
        <f t="shared" si="197"/>
        <v/>
      </c>
      <c r="RE20" s="36" t="str">
        <f t="shared" si="198"/>
        <v/>
      </c>
      <c r="RF20" s="36" t="str">
        <f t="shared" si="199"/>
        <v/>
      </c>
      <c r="RG20" s="36" t="str">
        <f t="shared" si="200"/>
        <v/>
      </c>
      <c r="RH20" s="16"/>
      <c r="RI20" s="16"/>
      <c r="RJ20" s="16"/>
      <c r="RK20" s="16"/>
      <c r="RL20" s="16"/>
      <c r="RM20" s="16"/>
      <c r="RN20" s="16"/>
      <c r="RO20" s="16"/>
      <c r="RP20" s="16"/>
      <c r="RQ20" s="16"/>
      <c r="RR20" s="16"/>
      <c r="RS20" s="16"/>
      <c r="RT20" s="16"/>
      <c r="RU20" s="16"/>
      <c r="RV20" s="16"/>
      <c r="RW20" s="16"/>
      <c r="RX20" s="16"/>
      <c r="RY20" s="16"/>
      <c r="RZ20" s="16"/>
      <c r="SA20" s="16"/>
      <c r="SB20" s="11" t="str">
        <f t="shared" si="201"/>
        <v/>
      </c>
      <c r="SC20" s="11" t="str">
        <f t="shared" si="202"/>
        <v/>
      </c>
      <c r="SD20" s="11" t="str">
        <f t="shared" si="203"/>
        <v/>
      </c>
      <c r="SE20" s="11" t="str">
        <f t="shared" si="204"/>
        <v/>
      </c>
      <c r="SF20" s="11" t="str">
        <f t="shared" si="205"/>
        <v/>
      </c>
      <c r="SG20" s="11" t="str">
        <f t="shared" si="206"/>
        <v/>
      </c>
      <c r="SH20" s="11" t="str">
        <f t="shared" si="207"/>
        <v/>
      </c>
      <c r="SI20" s="11" t="str">
        <f t="shared" si="208"/>
        <v/>
      </c>
      <c r="SJ20" s="11" t="str">
        <f t="shared" si="209"/>
        <v/>
      </c>
      <c r="SK20" s="11" t="str">
        <f t="shared" si="210"/>
        <v/>
      </c>
      <c r="SL20" s="11" t="str">
        <f t="shared" si="211"/>
        <v/>
      </c>
      <c r="SM20" s="11" t="str">
        <f t="shared" si="212"/>
        <v/>
      </c>
      <c r="SN20" s="11" t="str">
        <f t="shared" si="213"/>
        <v/>
      </c>
      <c r="SO20" s="11" t="str">
        <f t="shared" si="214"/>
        <v/>
      </c>
      <c r="SP20" s="15"/>
      <c r="SQ20" s="15"/>
      <c r="SR20" s="15"/>
      <c r="SS20" s="15"/>
      <c r="ST20" s="15"/>
      <c r="SU20" s="15"/>
      <c r="SV20" s="15"/>
      <c r="SW20" s="15"/>
      <c r="SX20" s="15"/>
      <c r="SY20" s="15"/>
      <c r="SZ20" s="15"/>
      <c r="TA20" s="15"/>
      <c r="TB20" s="15"/>
      <c r="TC20" s="15"/>
      <c r="TD20" s="15"/>
      <c r="TE20" s="15"/>
      <c r="TF20" s="15"/>
      <c r="TG20" s="15"/>
      <c r="TH20" s="15"/>
      <c r="TI20" s="15"/>
      <c r="TJ20" s="36" t="str">
        <f t="shared" si="215"/>
        <v/>
      </c>
      <c r="TK20" s="36" t="str">
        <f t="shared" si="216"/>
        <v/>
      </c>
      <c r="TL20" s="36" t="str">
        <f t="shared" si="217"/>
        <v/>
      </c>
      <c r="TM20" s="36" t="str">
        <f t="shared" si="218"/>
        <v/>
      </c>
      <c r="TN20" s="36" t="str">
        <f t="shared" si="219"/>
        <v/>
      </c>
      <c r="TO20" s="36" t="str">
        <f t="shared" si="220"/>
        <v/>
      </c>
      <c r="TP20" s="36" t="str">
        <f t="shared" si="221"/>
        <v/>
      </c>
      <c r="TQ20" s="36" t="str">
        <f t="shared" si="222"/>
        <v/>
      </c>
      <c r="TR20" s="36" t="str">
        <f t="shared" si="223"/>
        <v/>
      </c>
      <c r="TS20" s="36" t="str">
        <f t="shared" si="224"/>
        <v/>
      </c>
      <c r="TT20" s="36" t="str">
        <f t="shared" si="225"/>
        <v/>
      </c>
      <c r="TU20" s="36" t="str">
        <f t="shared" si="226"/>
        <v/>
      </c>
      <c r="TV20" s="36" t="str">
        <f t="shared" si="227"/>
        <v/>
      </c>
      <c r="TW20" s="36" t="str">
        <f t="shared" si="228"/>
        <v/>
      </c>
      <c r="TX20" s="16"/>
      <c r="TY20" s="16"/>
      <c r="TZ20" s="16"/>
      <c r="UA20" s="16"/>
      <c r="UB20" s="16"/>
      <c r="UC20" s="16"/>
      <c r="UD20" s="16"/>
      <c r="UE20" s="16"/>
      <c r="UF20" s="16"/>
      <c r="UG20" s="16"/>
      <c r="UH20" s="16"/>
      <c r="UI20" s="16"/>
      <c r="UJ20" s="16"/>
      <c r="UK20" s="16"/>
      <c r="UL20" s="16"/>
      <c r="UM20" s="16"/>
      <c r="UN20" s="16"/>
      <c r="UO20" s="16"/>
      <c r="UP20" s="16"/>
      <c r="UQ20" s="16"/>
      <c r="UR20" s="11" t="str">
        <f t="shared" si="229"/>
        <v/>
      </c>
      <c r="US20" s="11" t="str">
        <f t="shared" si="230"/>
        <v/>
      </c>
      <c r="UT20" s="11" t="str">
        <f t="shared" si="231"/>
        <v/>
      </c>
      <c r="UU20" s="11" t="str">
        <f t="shared" si="232"/>
        <v/>
      </c>
      <c r="UV20" s="11" t="str">
        <f t="shared" si="233"/>
        <v/>
      </c>
      <c r="UW20" s="11" t="str">
        <f t="shared" si="234"/>
        <v/>
      </c>
      <c r="UX20" s="11" t="str">
        <f t="shared" si="235"/>
        <v/>
      </c>
      <c r="UY20" s="11" t="str">
        <f t="shared" si="236"/>
        <v/>
      </c>
      <c r="UZ20" s="11" t="str">
        <f t="shared" si="237"/>
        <v/>
      </c>
      <c r="VA20" s="11" t="str">
        <f t="shared" si="238"/>
        <v/>
      </c>
      <c r="VB20" s="11" t="str">
        <f t="shared" si="239"/>
        <v/>
      </c>
      <c r="VC20" s="11" t="str">
        <f t="shared" si="240"/>
        <v/>
      </c>
      <c r="VD20" s="11" t="str">
        <f t="shared" si="241"/>
        <v/>
      </c>
      <c r="VE20" s="11" t="str">
        <f t="shared" si="242"/>
        <v/>
      </c>
      <c r="VF20" s="15"/>
      <c r="VG20" s="15"/>
      <c r="VH20" s="15"/>
      <c r="VI20" s="15"/>
      <c r="VJ20" s="15"/>
      <c r="VK20" s="15"/>
      <c r="VL20" s="15"/>
      <c r="VM20" s="15"/>
      <c r="VN20" s="15"/>
      <c r="VO20" s="15"/>
      <c r="VP20" s="15"/>
      <c r="VQ20" s="15"/>
      <c r="VR20" s="15"/>
      <c r="VS20" s="15"/>
      <c r="VT20" s="15"/>
      <c r="VU20" s="15"/>
      <c r="VV20" s="15"/>
      <c r="VW20" s="15"/>
      <c r="VX20" s="15"/>
      <c r="VY20" s="15"/>
      <c r="VZ20" s="36" t="str">
        <f t="shared" si="243"/>
        <v/>
      </c>
      <c r="WA20" s="36" t="str">
        <f t="shared" si="244"/>
        <v/>
      </c>
      <c r="WB20" s="36" t="str">
        <f t="shared" si="245"/>
        <v/>
      </c>
      <c r="WC20" s="36" t="str">
        <f t="shared" si="246"/>
        <v/>
      </c>
      <c r="WD20" s="36" t="str">
        <f t="shared" si="247"/>
        <v/>
      </c>
      <c r="WE20" s="36" t="str">
        <f t="shared" si="248"/>
        <v/>
      </c>
      <c r="WF20" s="36" t="str">
        <f t="shared" si="249"/>
        <v/>
      </c>
      <c r="WG20" s="36" t="str">
        <f t="shared" si="250"/>
        <v/>
      </c>
      <c r="WH20" s="36" t="str">
        <f t="shared" si="251"/>
        <v/>
      </c>
      <c r="WI20" s="36" t="str">
        <f t="shared" si="252"/>
        <v/>
      </c>
      <c r="WJ20" s="36" t="str">
        <f t="shared" si="253"/>
        <v/>
      </c>
      <c r="WK20" s="36" t="str">
        <f t="shared" si="254"/>
        <v/>
      </c>
      <c r="WL20" s="36" t="str">
        <f t="shared" si="255"/>
        <v/>
      </c>
      <c r="WM20" s="36" t="str">
        <f t="shared" si="256"/>
        <v/>
      </c>
    </row>
    <row r="21" spans="1:611" x14ac:dyDescent="0.2">
      <c r="A21" s="4" t="str" cm="1">
        <f t="array" ref="A21">IF(AND(H21&lt;&gt;"",H21&lt;&gt;"No DD"),SUMPRODUCT((H$4:H$27&lt;&gt;"")*(H$4:H$27&lt;&gt;"No DD")*(E$4:E$27&gt;E21))+1,IF(H21="No DD",SUMPRODUCT((H$4:H$27="No DD")*(E$4:E$27&gt;E21))+1+SUMPRODUCT((H$4:H$27&lt;&gt;"")*(H$4:H$27&lt;&gt;"No DD")),""))</f>
        <v/>
      </c>
      <c r="B21" s="5" t="s">
        <v>120</v>
      </c>
      <c r="C21" s="4" t="s">
        <v>5</v>
      </c>
      <c r="D21" s="4">
        <v>2007</v>
      </c>
      <c r="E21" s="9">
        <f t="shared" si="0"/>
        <v>107.21001072100518</v>
      </c>
      <c r="F21" s="3" t="str">
        <f t="shared" si="1"/>
        <v/>
      </c>
      <c r="G21" s="3" t="str">
        <f t="shared" si="2"/>
        <v/>
      </c>
      <c r="H21" s="32" t="str">
        <f t="shared" si="3"/>
        <v/>
      </c>
      <c r="I21" s="3" t="str">
        <f t="shared" si="4"/>
        <v/>
      </c>
      <c r="J21" s="8">
        <f t="shared" si="5"/>
        <v>5.68</v>
      </c>
      <c r="K21" s="8" t="str">
        <f t="shared" si="6"/>
        <v>2025 Nationals</v>
      </c>
      <c r="L21" s="8">
        <f>IFERROR(IF(J21=AR21,LARGE((AK21,AN21,BL21,BO21,BS21,CM21,CP21,CT21),1),IF(J21=BS21,LARGE((AK21,AN21,AR21,BL21,BO21,CM21,CP21,CT21),1),LARGE((AK21,AN21,AR21,BL21,BO21,BS21,CM21,CP21),1))),0)</f>
        <v>51.67</v>
      </c>
      <c r="M21" s="8" t="str">
        <f t="shared" si="7"/>
        <v>2025 Nationals</v>
      </c>
      <c r="N21" s="8">
        <f>IFERROR(IF(J21=AR21,LARGE((AK21,AN21,BL21,BO21,BS21,CM21,CP21,CT21),2),IF(J21=BS21,LARGE((AK21,AN21,AR21,BL21,BO21,CM21,CP21,CT21),2),LARGE((AK21,AN21,AR21,BL21,BO21,BS21,CM21,CP21),2))),0)</f>
        <v>49.86</v>
      </c>
      <c r="O21" s="8" t="str">
        <f t="shared" si="8"/>
        <v>2025 Nationals</v>
      </c>
      <c r="P21" s="8">
        <f t="shared" si="9"/>
        <v>0</v>
      </c>
      <c r="Q21" s="11" t="str">
        <f t="shared" si="10"/>
        <v/>
      </c>
      <c r="R21" s="8" t="str">
        <f t="shared" si="11"/>
        <v/>
      </c>
      <c r="S21" s="18">
        <v>11.3</v>
      </c>
      <c r="T21" s="18">
        <v>7.7</v>
      </c>
      <c r="U21" s="18">
        <v>11.7</v>
      </c>
      <c r="V21" s="18">
        <v>12.46</v>
      </c>
      <c r="W21" s="18">
        <v>0</v>
      </c>
      <c r="X21" s="18">
        <v>2.8</v>
      </c>
      <c r="Y21" s="18">
        <v>1.7</v>
      </c>
      <c r="Z21" s="18">
        <v>3.3</v>
      </c>
      <c r="AA21" s="18">
        <v>3.3</v>
      </c>
      <c r="AB21" s="18">
        <v>0</v>
      </c>
      <c r="AC21" s="18"/>
      <c r="AD21" s="18"/>
      <c r="AE21" s="18"/>
      <c r="AF21" s="18"/>
      <c r="AG21" s="18"/>
      <c r="AH21" s="23"/>
      <c r="AI21" s="34">
        <f t="shared" si="12"/>
        <v>11.7</v>
      </c>
      <c r="AJ21" s="34">
        <f t="shared" si="13"/>
        <v>12.46</v>
      </c>
      <c r="AK21" s="36">
        <f t="shared" si="14"/>
        <v>43.16</v>
      </c>
      <c r="AL21" s="36">
        <f t="shared" si="15"/>
        <v>3.3</v>
      </c>
      <c r="AM21" s="36">
        <f t="shared" si="16"/>
        <v>3.3</v>
      </c>
      <c r="AN21" s="36">
        <f t="shared" si="17"/>
        <v>11.1</v>
      </c>
      <c r="AO21" s="36">
        <f t="shared" si="18"/>
        <v>43.16</v>
      </c>
      <c r="AP21" s="36" t="str">
        <f t="shared" si="19"/>
        <v/>
      </c>
      <c r="AQ21" s="36" t="str">
        <f t="shared" si="20"/>
        <v/>
      </c>
      <c r="AR21" s="36" t="str">
        <f t="shared" si="21"/>
        <v/>
      </c>
      <c r="AS21" s="36">
        <f t="shared" si="22"/>
        <v>43.16</v>
      </c>
      <c r="AT21" s="22">
        <v>12.1</v>
      </c>
      <c r="AU21" s="22">
        <v>9.1</v>
      </c>
      <c r="AV21" s="22">
        <v>14.9</v>
      </c>
      <c r="AW21" s="22">
        <v>15.57</v>
      </c>
      <c r="AX21" s="22">
        <v>0</v>
      </c>
      <c r="AY21" s="22">
        <v>12.1</v>
      </c>
      <c r="AZ21" s="22">
        <v>8.6999999999999993</v>
      </c>
      <c r="BA21" s="22">
        <v>14</v>
      </c>
      <c r="BB21" s="22">
        <v>15.56</v>
      </c>
      <c r="BC21" s="22">
        <v>0.5</v>
      </c>
      <c r="BD21" s="22">
        <v>1.2</v>
      </c>
      <c r="BE21" s="22">
        <v>1</v>
      </c>
      <c r="BF21" s="22">
        <v>2</v>
      </c>
      <c r="BG21" s="22">
        <v>1.68</v>
      </c>
      <c r="BH21" s="22">
        <v>0.2</v>
      </c>
      <c r="BI21" s="24"/>
      <c r="BJ21" s="35">
        <f t="shared" si="23"/>
        <v>14.9</v>
      </c>
      <c r="BK21" s="35">
        <f t="shared" si="24"/>
        <v>15.57</v>
      </c>
      <c r="BL21" s="11">
        <f t="shared" si="25"/>
        <v>51.67</v>
      </c>
      <c r="BM21" s="11">
        <f t="shared" si="26"/>
        <v>14</v>
      </c>
      <c r="BN21" s="11">
        <f t="shared" si="27"/>
        <v>15.56</v>
      </c>
      <c r="BO21" s="11">
        <f t="shared" si="28"/>
        <v>49.86</v>
      </c>
      <c r="BP21" s="11">
        <f t="shared" si="29"/>
        <v>51.67</v>
      </c>
      <c r="BQ21" s="11">
        <f t="shared" si="30"/>
        <v>2</v>
      </c>
      <c r="BR21" s="11">
        <f t="shared" si="31"/>
        <v>1.68</v>
      </c>
      <c r="BS21" s="11">
        <f t="shared" si="32"/>
        <v>5.68</v>
      </c>
      <c r="BT21" s="11">
        <f t="shared" si="33"/>
        <v>57.35</v>
      </c>
      <c r="BU21" s="18">
        <v>4.5999999999999996</v>
      </c>
      <c r="BV21" s="18">
        <v>2.9</v>
      </c>
      <c r="BW21" s="18">
        <v>5.2</v>
      </c>
      <c r="BX21" s="18">
        <v>5.0599999999999996</v>
      </c>
      <c r="BY21" s="18">
        <v>0</v>
      </c>
      <c r="BZ21" s="18">
        <v>9.6999999999999993</v>
      </c>
      <c r="CA21" s="18">
        <v>6.4</v>
      </c>
      <c r="CB21" s="18">
        <v>10.6</v>
      </c>
      <c r="CC21" s="18">
        <v>11.69</v>
      </c>
      <c r="CD21" s="18">
        <v>0</v>
      </c>
      <c r="CE21" s="18"/>
      <c r="CF21" s="18"/>
      <c r="CG21" s="18"/>
      <c r="CH21" s="18"/>
      <c r="CI21" s="18"/>
      <c r="CJ21" s="23"/>
      <c r="CK21" s="34">
        <f t="shared" si="34"/>
        <v>5.2</v>
      </c>
      <c r="CL21" s="34">
        <f t="shared" si="35"/>
        <v>5.0599999999999996</v>
      </c>
      <c r="CM21" s="36">
        <f t="shared" si="36"/>
        <v>17.759999999999998</v>
      </c>
      <c r="CN21" s="36">
        <f t="shared" si="37"/>
        <v>10.6</v>
      </c>
      <c r="CO21" s="36">
        <f t="shared" si="38"/>
        <v>11.69</v>
      </c>
      <c r="CP21" s="36">
        <f t="shared" si="39"/>
        <v>38.39</v>
      </c>
      <c r="CQ21" s="36">
        <f t="shared" si="40"/>
        <v>38.39</v>
      </c>
      <c r="CR21" s="36" t="str">
        <f t="shared" si="41"/>
        <v/>
      </c>
      <c r="CS21" s="36" t="str">
        <f t="shared" si="42"/>
        <v/>
      </c>
      <c r="CT21" s="36" t="str">
        <f t="shared" si="43"/>
        <v/>
      </c>
      <c r="CU21" s="36">
        <f t="shared" si="44"/>
        <v>38.39</v>
      </c>
      <c r="CV21" s="47" t="str">
        <f t="shared" si="45"/>
        <v/>
      </c>
      <c r="CW21" s="47" t="str">
        <f t="shared" si="46"/>
        <v/>
      </c>
      <c r="CX21" s="15"/>
      <c r="CY21" s="15"/>
      <c r="CZ21" s="15"/>
      <c r="DA21" s="15"/>
      <c r="DB21" s="15"/>
      <c r="DC21" s="15"/>
      <c r="DD21" s="15"/>
      <c r="DE21" s="15"/>
      <c r="DF21" s="15"/>
      <c r="DG21" s="15"/>
      <c r="DH21" s="15"/>
      <c r="DI21" s="15"/>
      <c r="DJ21" s="15"/>
      <c r="DK21" s="15"/>
      <c r="DL21" s="15"/>
      <c r="DM21" s="15"/>
      <c r="DN21" s="15"/>
      <c r="DO21" s="15"/>
      <c r="DP21" s="15"/>
      <c r="DQ21" s="15"/>
      <c r="DR21" s="36" t="str">
        <f t="shared" si="47"/>
        <v/>
      </c>
      <c r="DS21" s="36" t="str">
        <f t="shared" si="48"/>
        <v/>
      </c>
      <c r="DT21" s="36" t="str">
        <f t="shared" si="49"/>
        <v/>
      </c>
      <c r="DU21" s="36" t="str">
        <f t="shared" si="50"/>
        <v/>
      </c>
      <c r="DV21" s="36" t="str">
        <f t="shared" si="51"/>
        <v/>
      </c>
      <c r="DW21" s="36" t="str">
        <f t="shared" si="52"/>
        <v/>
      </c>
      <c r="DX21" s="36" t="str">
        <f t="shared" si="53"/>
        <v/>
      </c>
      <c r="DY21" s="36" t="str">
        <f t="shared" si="54"/>
        <v/>
      </c>
      <c r="DZ21" s="36" t="str">
        <f t="shared" si="55"/>
        <v/>
      </c>
      <c r="EA21" s="36" t="str">
        <f t="shared" si="56"/>
        <v/>
      </c>
      <c r="EB21" s="36" t="str">
        <f t="shared" si="57"/>
        <v/>
      </c>
      <c r="EC21" s="36" t="str">
        <f t="shared" si="58"/>
        <v/>
      </c>
      <c r="ED21" s="36" t="str">
        <f t="shared" si="59"/>
        <v/>
      </c>
      <c r="EE21" s="36" t="str">
        <f t="shared" si="60"/>
        <v/>
      </c>
      <c r="EF21" s="16"/>
      <c r="EG21" s="16"/>
      <c r="EH21" s="16"/>
      <c r="EI21" s="16"/>
      <c r="EJ21" s="16"/>
      <c r="EK21" s="16"/>
      <c r="EL21" s="16"/>
      <c r="EM21" s="16"/>
      <c r="EN21" s="16"/>
      <c r="EO21" s="16"/>
      <c r="EP21" s="16"/>
      <c r="EQ21" s="16"/>
      <c r="ER21" s="16"/>
      <c r="ES21" s="16"/>
      <c r="ET21" s="16"/>
      <c r="EU21" s="16"/>
      <c r="EV21" s="16"/>
      <c r="EW21" s="16"/>
      <c r="EX21" s="16"/>
      <c r="EY21" s="16"/>
      <c r="EZ21" s="11" t="str">
        <f t="shared" si="61"/>
        <v/>
      </c>
      <c r="FA21" s="11" t="str">
        <f t="shared" si="62"/>
        <v/>
      </c>
      <c r="FB21" s="11" t="str">
        <f t="shared" si="63"/>
        <v/>
      </c>
      <c r="FC21" s="11" t="str">
        <f t="shared" si="64"/>
        <v/>
      </c>
      <c r="FD21" s="11" t="str">
        <f t="shared" si="65"/>
        <v/>
      </c>
      <c r="FE21" s="11" t="str">
        <f t="shared" si="66"/>
        <v/>
      </c>
      <c r="FF21" s="11" t="str">
        <f t="shared" si="67"/>
        <v/>
      </c>
      <c r="FG21" s="11" t="str">
        <f t="shared" si="68"/>
        <v/>
      </c>
      <c r="FH21" s="11" t="str">
        <f t="shared" si="69"/>
        <v/>
      </c>
      <c r="FI21" s="11" t="str">
        <f t="shared" si="70"/>
        <v/>
      </c>
      <c r="FJ21" s="11" t="str">
        <f t="shared" si="71"/>
        <v/>
      </c>
      <c r="FK21" s="11" t="str">
        <f t="shared" si="72"/>
        <v/>
      </c>
      <c r="FL21" s="11" t="str">
        <f t="shared" si="73"/>
        <v/>
      </c>
      <c r="FM21" s="11" t="str">
        <f t="shared" si="74"/>
        <v/>
      </c>
      <c r="FN21" s="15"/>
      <c r="FO21" s="15"/>
      <c r="FP21" s="15"/>
      <c r="FQ21" s="15"/>
      <c r="FR21" s="15"/>
      <c r="FS21" s="15"/>
      <c r="FT21" s="15"/>
      <c r="FU21" s="15"/>
      <c r="FV21" s="15"/>
      <c r="FW21" s="15"/>
      <c r="FX21" s="15"/>
      <c r="FY21" s="15"/>
      <c r="FZ21" s="15"/>
      <c r="GA21" s="15"/>
      <c r="GB21" s="15"/>
      <c r="GC21" s="15"/>
      <c r="GD21" s="15"/>
      <c r="GE21" s="15"/>
      <c r="GF21" s="15"/>
      <c r="GG21" s="15"/>
      <c r="GH21" s="36" t="str">
        <f t="shared" si="75"/>
        <v/>
      </c>
      <c r="GI21" s="36" t="str">
        <f t="shared" si="76"/>
        <v/>
      </c>
      <c r="GJ21" s="36" t="str">
        <f t="shared" si="77"/>
        <v/>
      </c>
      <c r="GK21" s="36" t="str">
        <f t="shared" si="78"/>
        <v/>
      </c>
      <c r="GL21" s="36" t="str">
        <f t="shared" si="79"/>
        <v/>
      </c>
      <c r="GM21" s="36" t="str">
        <f t="shared" si="80"/>
        <v/>
      </c>
      <c r="GN21" s="36" t="str">
        <f t="shared" si="81"/>
        <v/>
      </c>
      <c r="GO21" s="36" t="str">
        <f t="shared" si="82"/>
        <v/>
      </c>
      <c r="GP21" s="36" t="str">
        <f t="shared" si="83"/>
        <v/>
      </c>
      <c r="GQ21" s="36" t="str">
        <f t="shared" si="84"/>
        <v/>
      </c>
      <c r="GR21" s="36" t="str">
        <f t="shared" si="85"/>
        <v/>
      </c>
      <c r="GS21" s="36" t="str">
        <f t="shared" si="86"/>
        <v/>
      </c>
      <c r="GT21" s="36" t="str">
        <f t="shared" si="87"/>
        <v/>
      </c>
      <c r="GU21" s="36" t="str">
        <f t="shared" si="88"/>
        <v/>
      </c>
      <c r="GV21" s="16"/>
      <c r="GW21" s="16"/>
      <c r="GX21" s="16"/>
      <c r="GY21" s="16"/>
      <c r="GZ21" s="16"/>
      <c r="HA21" s="16"/>
      <c r="HB21" s="16"/>
      <c r="HC21" s="16"/>
      <c r="HD21" s="16"/>
      <c r="HE21" s="16"/>
      <c r="HF21" s="16"/>
      <c r="HG21" s="16"/>
      <c r="HH21" s="16"/>
      <c r="HI21" s="16"/>
      <c r="HJ21" s="16"/>
      <c r="HK21" s="16"/>
      <c r="HL21" s="16"/>
      <c r="HM21" s="16"/>
      <c r="HN21" s="16"/>
      <c r="HO21" s="16"/>
      <c r="HP21" s="11" t="str">
        <f t="shared" si="89"/>
        <v/>
      </c>
      <c r="HQ21" s="11" t="str">
        <f t="shared" si="90"/>
        <v/>
      </c>
      <c r="HR21" s="11" t="str">
        <f t="shared" si="91"/>
        <v/>
      </c>
      <c r="HS21" s="11" t="str">
        <f t="shared" si="92"/>
        <v/>
      </c>
      <c r="HT21" s="11" t="str">
        <f t="shared" si="93"/>
        <v/>
      </c>
      <c r="HU21" s="11" t="str">
        <f t="shared" si="94"/>
        <v/>
      </c>
      <c r="HV21" s="11" t="str">
        <f t="shared" si="95"/>
        <v/>
      </c>
      <c r="HW21" s="11" t="str">
        <f t="shared" si="96"/>
        <v/>
      </c>
      <c r="HX21" s="11" t="str">
        <f t="shared" si="97"/>
        <v/>
      </c>
      <c r="HY21" s="11" t="str">
        <f t="shared" si="98"/>
        <v/>
      </c>
      <c r="HZ21" s="11" t="str">
        <f t="shared" si="99"/>
        <v/>
      </c>
      <c r="IA21" s="11" t="str">
        <f t="shared" si="100"/>
        <v/>
      </c>
      <c r="IB21" s="11" t="str">
        <f t="shared" si="101"/>
        <v/>
      </c>
      <c r="IC21" s="11" t="str">
        <f t="shared" si="102"/>
        <v/>
      </c>
      <c r="ID21" s="15"/>
      <c r="IE21" s="15"/>
      <c r="IF21" s="15"/>
      <c r="IG21" s="15"/>
      <c r="IH21" s="15"/>
      <c r="II21" s="15"/>
      <c r="IJ21" s="15"/>
      <c r="IK21" s="15"/>
      <c r="IL21" s="15"/>
      <c r="IM21" s="15"/>
      <c r="IN21" s="15"/>
      <c r="IO21" s="15"/>
      <c r="IP21" s="15"/>
      <c r="IQ21" s="15"/>
      <c r="IR21" s="15"/>
      <c r="IS21" s="15"/>
      <c r="IT21" s="15"/>
      <c r="IU21" s="15"/>
      <c r="IV21" s="15"/>
      <c r="IW21" s="15"/>
      <c r="IX21" s="36" t="str">
        <f t="shared" si="103"/>
        <v/>
      </c>
      <c r="IY21" s="36" t="str">
        <f t="shared" si="104"/>
        <v/>
      </c>
      <c r="IZ21" s="36" t="str">
        <f t="shared" si="105"/>
        <v/>
      </c>
      <c r="JA21" s="36" t="str">
        <f t="shared" si="106"/>
        <v/>
      </c>
      <c r="JB21" s="36" t="str">
        <f t="shared" si="107"/>
        <v/>
      </c>
      <c r="JC21" s="36" t="str">
        <f t="shared" si="108"/>
        <v/>
      </c>
      <c r="JD21" s="36" t="str">
        <f t="shared" si="109"/>
        <v/>
      </c>
      <c r="JE21" s="36" t="str">
        <f t="shared" si="110"/>
        <v/>
      </c>
      <c r="JF21" s="36" t="str">
        <f t="shared" si="111"/>
        <v/>
      </c>
      <c r="JG21" s="36" t="str">
        <f t="shared" si="112"/>
        <v/>
      </c>
      <c r="JH21" s="36" t="str">
        <f t="shared" si="113"/>
        <v/>
      </c>
      <c r="JI21" s="36" t="str">
        <f t="shared" si="114"/>
        <v/>
      </c>
      <c r="JJ21" s="36" t="str">
        <f t="shared" si="115"/>
        <v/>
      </c>
      <c r="JK21" s="36" t="str">
        <f t="shared" si="116"/>
        <v/>
      </c>
      <c r="JL21" s="16"/>
      <c r="JM21" s="16"/>
      <c r="JN21" s="16"/>
      <c r="JO21" s="16"/>
      <c r="JP21" s="16"/>
      <c r="JQ21" s="16"/>
      <c r="JR21" s="16"/>
      <c r="JS21" s="16"/>
      <c r="JT21" s="16"/>
      <c r="JU21" s="16"/>
      <c r="JV21" s="16"/>
      <c r="JW21" s="16"/>
      <c r="JX21" s="16"/>
      <c r="JY21" s="16"/>
      <c r="JZ21" s="16"/>
      <c r="KA21" s="16"/>
      <c r="KB21" s="16"/>
      <c r="KC21" s="16"/>
      <c r="KD21" s="16"/>
      <c r="KE21" s="16"/>
      <c r="KF21" s="11" t="str">
        <f t="shared" si="117"/>
        <v/>
      </c>
      <c r="KG21" s="11" t="str">
        <f t="shared" si="118"/>
        <v/>
      </c>
      <c r="KH21" s="11" t="str">
        <f t="shared" si="119"/>
        <v/>
      </c>
      <c r="KI21" s="11" t="str">
        <f t="shared" si="120"/>
        <v/>
      </c>
      <c r="KJ21" s="11" t="str">
        <f t="shared" si="121"/>
        <v/>
      </c>
      <c r="KK21" s="11" t="str">
        <f t="shared" si="122"/>
        <v/>
      </c>
      <c r="KL21" s="11" t="str">
        <f t="shared" si="123"/>
        <v/>
      </c>
      <c r="KM21" s="11" t="str">
        <f t="shared" si="124"/>
        <v/>
      </c>
      <c r="KN21" s="11" t="str">
        <f t="shared" si="125"/>
        <v/>
      </c>
      <c r="KO21" s="11" t="str">
        <f t="shared" si="126"/>
        <v/>
      </c>
      <c r="KP21" s="11" t="str">
        <f t="shared" si="127"/>
        <v/>
      </c>
      <c r="KQ21" s="11" t="str">
        <f t="shared" si="128"/>
        <v/>
      </c>
      <c r="KR21" s="11" t="str">
        <f t="shared" si="129"/>
        <v/>
      </c>
      <c r="KS21" s="11" t="str">
        <f t="shared" si="130"/>
        <v/>
      </c>
      <c r="KT21" s="15"/>
      <c r="KU21" s="15"/>
      <c r="KV21" s="15"/>
      <c r="KW21" s="15"/>
      <c r="KX21" s="15"/>
      <c r="KY21" s="15"/>
      <c r="KZ21" s="15"/>
      <c r="LA21" s="15"/>
      <c r="LB21" s="15"/>
      <c r="LC21" s="15"/>
      <c r="LD21" s="15"/>
      <c r="LE21" s="15"/>
      <c r="LF21" s="15"/>
      <c r="LG21" s="15"/>
      <c r="LH21" s="15"/>
      <c r="LI21" s="15"/>
      <c r="LJ21" s="15"/>
      <c r="LK21" s="15"/>
      <c r="LL21" s="15"/>
      <c r="LM21" s="15"/>
      <c r="LN21" s="36" t="str">
        <f t="shared" si="131"/>
        <v/>
      </c>
      <c r="LO21" s="36" t="str">
        <f t="shared" si="132"/>
        <v/>
      </c>
      <c r="LP21" s="36" t="str">
        <f t="shared" si="133"/>
        <v/>
      </c>
      <c r="LQ21" s="36" t="str">
        <f t="shared" si="134"/>
        <v/>
      </c>
      <c r="LR21" s="36" t="str">
        <f t="shared" si="135"/>
        <v/>
      </c>
      <c r="LS21" s="36" t="str">
        <f t="shared" si="136"/>
        <v/>
      </c>
      <c r="LT21" s="36" t="str">
        <f t="shared" si="137"/>
        <v/>
      </c>
      <c r="LU21" s="36" t="str">
        <f t="shared" si="138"/>
        <v/>
      </c>
      <c r="LV21" s="36" t="str">
        <f t="shared" si="139"/>
        <v/>
      </c>
      <c r="LW21" s="36" t="str">
        <f t="shared" si="140"/>
        <v/>
      </c>
      <c r="LX21" s="36" t="str">
        <f t="shared" si="141"/>
        <v/>
      </c>
      <c r="LY21" s="36" t="str">
        <f t="shared" si="142"/>
        <v/>
      </c>
      <c r="LZ21" s="36" t="str">
        <f t="shared" si="143"/>
        <v/>
      </c>
      <c r="MA21" s="36" t="str">
        <f t="shared" si="144"/>
        <v/>
      </c>
      <c r="MB21" s="16"/>
      <c r="MC21" s="16"/>
      <c r="MD21" s="16"/>
      <c r="ME21" s="16"/>
      <c r="MF21" s="16"/>
      <c r="MG21" s="16"/>
      <c r="MH21" s="16"/>
      <c r="MI21" s="16"/>
      <c r="MJ21" s="16"/>
      <c r="MK21" s="16"/>
      <c r="ML21" s="16"/>
      <c r="MM21" s="16"/>
      <c r="MN21" s="16"/>
      <c r="MO21" s="16"/>
      <c r="MP21" s="16"/>
      <c r="MQ21" s="16"/>
      <c r="MR21" s="16"/>
      <c r="MS21" s="16"/>
      <c r="MT21" s="16"/>
      <c r="MU21" s="16"/>
      <c r="MV21" s="11" t="str">
        <f t="shared" si="145"/>
        <v/>
      </c>
      <c r="MW21" s="11" t="str">
        <f t="shared" si="146"/>
        <v/>
      </c>
      <c r="MX21" s="11" t="str">
        <f t="shared" si="147"/>
        <v/>
      </c>
      <c r="MY21" s="11" t="str">
        <f t="shared" si="148"/>
        <v/>
      </c>
      <c r="MZ21" s="11" t="str">
        <f t="shared" si="149"/>
        <v/>
      </c>
      <c r="NA21" s="11" t="str">
        <f t="shared" si="150"/>
        <v/>
      </c>
      <c r="NB21" s="11" t="str">
        <f t="shared" si="151"/>
        <v/>
      </c>
      <c r="NC21" s="11" t="str">
        <f t="shared" si="152"/>
        <v/>
      </c>
      <c r="ND21" s="11" t="str">
        <f t="shared" si="153"/>
        <v/>
      </c>
      <c r="NE21" s="11" t="str">
        <f t="shared" si="154"/>
        <v/>
      </c>
      <c r="NF21" s="11" t="str">
        <f t="shared" si="155"/>
        <v/>
      </c>
      <c r="NG21" s="11" t="str">
        <f t="shared" si="156"/>
        <v/>
      </c>
      <c r="NH21" s="11" t="str">
        <f t="shared" si="157"/>
        <v/>
      </c>
      <c r="NI21" s="11" t="str">
        <f t="shared" si="158"/>
        <v/>
      </c>
      <c r="NJ21" s="15"/>
      <c r="NK21" s="15"/>
      <c r="NL21" s="15"/>
      <c r="NM21" s="15"/>
      <c r="NN21" s="15"/>
      <c r="NO21" s="15"/>
      <c r="NP21" s="15"/>
      <c r="NQ21" s="15"/>
      <c r="NR21" s="15"/>
      <c r="NS21" s="15"/>
      <c r="NT21" s="15"/>
      <c r="NU21" s="15"/>
      <c r="NV21" s="15"/>
      <c r="NW21" s="15"/>
      <c r="NX21" s="15"/>
      <c r="NY21" s="15"/>
      <c r="NZ21" s="15"/>
      <c r="OA21" s="15"/>
      <c r="OB21" s="15"/>
      <c r="OC21" s="15"/>
      <c r="OD21" s="36" t="str">
        <f t="shared" si="159"/>
        <v/>
      </c>
      <c r="OE21" s="36" t="str">
        <f t="shared" si="160"/>
        <v/>
      </c>
      <c r="OF21" s="36" t="str">
        <f t="shared" si="161"/>
        <v/>
      </c>
      <c r="OG21" s="36" t="str">
        <f t="shared" si="162"/>
        <v/>
      </c>
      <c r="OH21" s="36" t="str">
        <f t="shared" si="163"/>
        <v/>
      </c>
      <c r="OI21" s="36" t="str">
        <f t="shared" si="164"/>
        <v/>
      </c>
      <c r="OJ21" s="36" t="str">
        <f t="shared" si="165"/>
        <v/>
      </c>
      <c r="OK21" s="36" t="str">
        <f t="shared" si="166"/>
        <v/>
      </c>
      <c r="OL21" s="36" t="str">
        <f t="shared" si="167"/>
        <v/>
      </c>
      <c r="OM21" s="36" t="str">
        <f t="shared" si="168"/>
        <v/>
      </c>
      <c r="ON21" s="36" t="str">
        <f t="shared" si="169"/>
        <v/>
      </c>
      <c r="OO21" s="36" t="str">
        <f t="shared" si="170"/>
        <v/>
      </c>
      <c r="OP21" s="36" t="str">
        <f t="shared" si="171"/>
        <v/>
      </c>
      <c r="OQ21" s="36" t="str">
        <f t="shared" si="172"/>
        <v/>
      </c>
      <c r="OR21" s="16"/>
      <c r="OS21" s="16"/>
      <c r="OT21" s="16"/>
      <c r="OU21" s="16"/>
      <c r="OV21" s="16"/>
      <c r="OW21" s="16"/>
      <c r="OX21" s="16"/>
      <c r="OY21" s="16"/>
      <c r="OZ21" s="16"/>
      <c r="PA21" s="16"/>
      <c r="PB21" s="16"/>
      <c r="PC21" s="16"/>
      <c r="PD21" s="16"/>
      <c r="PE21" s="16"/>
      <c r="PF21" s="16"/>
      <c r="PG21" s="16"/>
      <c r="PH21" s="16"/>
      <c r="PI21" s="16"/>
      <c r="PJ21" s="16"/>
      <c r="PK21" s="16"/>
      <c r="PL21" s="11" t="str">
        <f t="shared" si="173"/>
        <v/>
      </c>
      <c r="PM21" s="11" t="str">
        <f t="shared" si="174"/>
        <v/>
      </c>
      <c r="PN21" s="11" t="str">
        <f t="shared" si="175"/>
        <v/>
      </c>
      <c r="PO21" s="11" t="str">
        <f t="shared" si="176"/>
        <v/>
      </c>
      <c r="PP21" s="11" t="str">
        <f t="shared" si="177"/>
        <v/>
      </c>
      <c r="PQ21" s="11" t="str">
        <f t="shared" si="178"/>
        <v/>
      </c>
      <c r="PR21" s="11" t="str">
        <f t="shared" si="179"/>
        <v/>
      </c>
      <c r="PS21" s="11" t="str">
        <f t="shared" si="180"/>
        <v/>
      </c>
      <c r="PT21" s="11" t="str">
        <f t="shared" si="181"/>
        <v/>
      </c>
      <c r="PU21" s="11" t="str">
        <f t="shared" si="182"/>
        <v/>
      </c>
      <c r="PV21" s="11" t="str">
        <f t="shared" si="183"/>
        <v/>
      </c>
      <c r="PW21" s="11" t="str">
        <f t="shared" si="184"/>
        <v/>
      </c>
      <c r="PX21" s="11" t="str">
        <f t="shared" si="185"/>
        <v/>
      </c>
      <c r="PY21" s="11" t="str">
        <f t="shared" si="186"/>
        <v/>
      </c>
      <c r="PZ21" s="15"/>
      <c r="QA21" s="15"/>
      <c r="QB21" s="15"/>
      <c r="QC21" s="15"/>
      <c r="QD21" s="15"/>
      <c r="QE21" s="15"/>
      <c r="QF21" s="15"/>
      <c r="QG21" s="15"/>
      <c r="QH21" s="15"/>
      <c r="QI21" s="15"/>
      <c r="QJ21" s="15"/>
      <c r="QK21" s="15"/>
      <c r="QL21" s="15"/>
      <c r="QM21" s="15"/>
      <c r="QN21" s="15"/>
      <c r="QO21" s="15"/>
      <c r="QP21" s="15"/>
      <c r="QQ21" s="15"/>
      <c r="QR21" s="15"/>
      <c r="QS21" s="15"/>
      <c r="QT21" s="36" t="str">
        <f t="shared" si="187"/>
        <v/>
      </c>
      <c r="QU21" s="36" t="str">
        <f t="shared" si="188"/>
        <v/>
      </c>
      <c r="QV21" s="36" t="str">
        <f t="shared" si="189"/>
        <v/>
      </c>
      <c r="QW21" s="36" t="str">
        <f t="shared" si="190"/>
        <v/>
      </c>
      <c r="QX21" s="36" t="str">
        <f t="shared" si="191"/>
        <v/>
      </c>
      <c r="QY21" s="36" t="str">
        <f t="shared" si="192"/>
        <v/>
      </c>
      <c r="QZ21" s="36" t="str">
        <f t="shared" si="193"/>
        <v/>
      </c>
      <c r="RA21" s="36" t="str">
        <f t="shared" si="194"/>
        <v/>
      </c>
      <c r="RB21" s="36" t="str">
        <f t="shared" si="195"/>
        <v/>
      </c>
      <c r="RC21" s="36" t="str">
        <f t="shared" si="196"/>
        <v/>
      </c>
      <c r="RD21" s="36" t="str">
        <f t="shared" si="197"/>
        <v/>
      </c>
      <c r="RE21" s="36" t="str">
        <f t="shared" si="198"/>
        <v/>
      </c>
      <c r="RF21" s="36" t="str">
        <f t="shared" si="199"/>
        <v/>
      </c>
      <c r="RG21" s="36" t="str">
        <f t="shared" si="200"/>
        <v/>
      </c>
      <c r="RH21" s="16"/>
      <c r="RI21" s="16"/>
      <c r="RJ21" s="16"/>
      <c r="RK21" s="16"/>
      <c r="RL21" s="16"/>
      <c r="RM21" s="16"/>
      <c r="RN21" s="16"/>
      <c r="RO21" s="16"/>
      <c r="RP21" s="16"/>
      <c r="RQ21" s="16"/>
      <c r="RR21" s="16"/>
      <c r="RS21" s="16"/>
      <c r="RT21" s="16"/>
      <c r="RU21" s="16"/>
      <c r="RV21" s="16"/>
      <c r="RW21" s="16"/>
      <c r="RX21" s="16"/>
      <c r="RY21" s="16"/>
      <c r="RZ21" s="16"/>
      <c r="SA21" s="16"/>
      <c r="SB21" s="11" t="str">
        <f t="shared" si="201"/>
        <v/>
      </c>
      <c r="SC21" s="11" t="str">
        <f t="shared" si="202"/>
        <v/>
      </c>
      <c r="SD21" s="11" t="str">
        <f t="shared" si="203"/>
        <v/>
      </c>
      <c r="SE21" s="11" t="str">
        <f t="shared" si="204"/>
        <v/>
      </c>
      <c r="SF21" s="11" t="str">
        <f t="shared" si="205"/>
        <v/>
      </c>
      <c r="SG21" s="11" t="str">
        <f t="shared" si="206"/>
        <v/>
      </c>
      <c r="SH21" s="11" t="str">
        <f t="shared" si="207"/>
        <v/>
      </c>
      <c r="SI21" s="11" t="str">
        <f t="shared" si="208"/>
        <v/>
      </c>
      <c r="SJ21" s="11" t="str">
        <f t="shared" si="209"/>
        <v/>
      </c>
      <c r="SK21" s="11" t="str">
        <f t="shared" si="210"/>
        <v/>
      </c>
      <c r="SL21" s="11" t="str">
        <f t="shared" si="211"/>
        <v/>
      </c>
      <c r="SM21" s="11" t="str">
        <f t="shared" si="212"/>
        <v/>
      </c>
      <c r="SN21" s="11" t="str">
        <f t="shared" si="213"/>
        <v/>
      </c>
      <c r="SO21" s="11" t="str">
        <f t="shared" si="214"/>
        <v/>
      </c>
      <c r="SP21" s="15"/>
      <c r="SQ21" s="15"/>
      <c r="SR21" s="15"/>
      <c r="SS21" s="15"/>
      <c r="ST21" s="15"/>
      <c r="SU21" s="15"/>
      <c r="SV21" s="15"/>
      <c r="SW21" s="15"/>
      <c r="SX21" s="15"/>
      <c r="SY21" s="15"/>
      <c r="SZ21" s="15"/>
      <c r="TA21" s="15"/>
      <c r="TB21" s="15"/>
      <c r="TC21" s="15"/>
      <c r="TD21" s="15"/>
      <c r="TE21" s="15"/>
      <c r="TF21" s="15"/>
      <c r="TG21" s="15"/>
      <c r="TH21" s="15"/>
      <c r="TI21" s="15"/>
      <c r="TJ21" s="36" t="str">
        <f t="shared" si="215"/>
        <v/>
      </c>
      <c r="TK21" s="36" t="str">
        <f t="shared" si="216"/>
        <v/>
      </c>
      <c r="TL21" s="36" t="str">
        <f t="shared" si="217"/>
        <v/>
      </c>
      <c r="TM21" s="36" t="str">
        <f t="shared" si="218"/>
        <v/>
      </c>
      <c r="TN21" s="36" t="str">
        <f t="shared" si="219"/>
        <v/>
      </c>
      <c r="TO21" s="36" t="str">
        <f t="shared" si="220"/>
        <v/>
      </c>
      <c r="TP21" s="36" t="str">
        <f t="shared" si="221"/>
        <v/>
      </c>
      <c r="TQ21" s="36" t="str">
        <f t="shared" si="222"/>
        <v/>
      </c>
      <c r="TR21" s="36" t="str">
        <f t="shared" si="223"/>
        <v/>
      </c>
      <c r="TS21" s="36" t="str">
        <f t="shared" si="224"/>
        <v/>
      </c>
      <c r="TT21" s="36" t="str">
        <f t="shared" si="225"/>
        <v/>
      </c>
      <c r="TU21" s="36" t="str">
        <f t="shared" si="226"/>
        <v/>
      </c>
      <c r="TV21" s="36" t="str">
        <f t="shared" si="227"/>
        <v/>
      </c>
      <c r="TW21" s="36" t="str">
        <f t="shared" si="228"/>
        <v/>
      </c>
      <c r="TX21" s="16"/>
      <c r="TY21" s="16"/>
      <c r="TZ21" s="16"/>
      <c r="UA21" s="16"/>
      <c r="UB21" s="16"/>
      <c r="UC21" s="16"/>
      <c r="UD21" s="16"/>
      <c r="UE21" s="16"/>
      <c r="UF21" s="16"/>
      <c r="UG21" s="16"/>
      <c r="UH21" s="16"/>
      <c r="UI21" s="16"/>
      <c r="UJ21" s="16"/>
      <c r="UK21" s="16"/>
      <c r="UL21" s="16"/>
      <c r="UM21" s="16"/>
      <c r="UN21" s="16"/>
      <c r="UO21" s="16"/>
      <c r="UP21" s="16"/>
      <c r="UQ21" s="16"/>
      <c r="UR21" s="11" t="str">
        <f t="shared" si="229"/>
        <v/>
      </c>
      <c r="US21" s="11" t="str">
        <f t="shared" si="230"/>
        <v/>
      </c>
      <c r="UT21" s="11" t="str">
        <f t="shared" si="231"/>
        <v/>
      </c>
      <c r="UU21" s="11" t="str">
        <f t="shared" si="232"/>
        <v/>
      </c>
      <c r="UV21" s="11" t="str">
        <f t="shared" si="233"/>
        <v/>
      </c>
      <c r="UW21" s="11" t="str">
        <f t="shared" si="234"/>
        <v/>
      </c>
      <c r="UX21" s="11" t="str">
        <f t="shared" si="235"/>
        <v/>
      </c>
      <c r="UY21" s="11" t="str">
        <f t="shared" si="236"/>
        <v/>
      </c>
      <c r="UZ21" s="11" t="str">
        <f t="shared" si="237"/>
        <v/>
      </c>
      <c r="VA21" s="11" t="str">
        <f t="shared" si="238"/>
        <v/>
      </c>
      <c r="VB21" s="11" t="str">
        <f t="shared" si="239"/>
        <v/>
      </c>
      <c r="VC21" s="11" t="str">
        <f t="shared" si="240"/>
        <v/>
      </c>
      <c r="VD21" s="11" t="str">
        <f t="shared" si="241"/>
        <v/>
      </c>
      <c r="VE21" s="11" t="str">
        <f t="shared" si="242"/>
        <v/>
      </c>
      <c r="VF21" s="15"/>
      <c r="VG21" s="15"/>
      <c r="VH21" s="15"/>
      <c r="VI21" s="15"/>
      <c r="VJ21" s="15"/>
      <c r="VK21" s="15"/>
      <c r="VL21" s="15"/>
      <c r="VM21" s="15"/>
      <c r="VN21" s="15"/>
      <c r="VO21" s="15"/>
      <c r="VP21" s="15"/>
      <c r="VQ21" s="15"/>
      <c r="VR21" s="15"/>
      <c r="VS21" s="15"/>
      <c r="VT21" s="15"/>
      <c r="VU21" s="15"/>
      <c r="VV21" s="15"/>
      <c r="VW21" s="15"/>
      <c r="VX21" s="15"/>
      <c r="VY21" s="15"/>
      <c r="VZ21" s="36" t="str">
        <f t="shared" si="243"/>
        <v/>
      </c>
      <c r="WA21" s="36" t="str">
        <f t="shared" si="244"/>
        <v/>
      </c>
      <c r="WB21" s="36" t="str">
        <f t="shared" si="245"/>
        <v/>
      </c>
      <c r="WC21" s="36" t="str">
        <f t="shared" si="246"/>
        <v/>
      </c>
      <c r="WD21" s="36" t="str">
        <f t="shared" si="247"/>
        <v/>
      </c>
      <c r="WE21" s="36" t="str">
        <f t="shared" si="248"/>
        <v/>
      </c>
      <c r="WF21" s="36" t="str">
        <f t="shared" si="249"/>
        <v/>
      </c>
      <c r="WG21" s="36" t="str">
        <f t="shared" si="250"/>
        <v/>
      </c>
      <c r="WH21" s="36" t="str">
        <f t="shared" si="251"/>
        <v/>
      </c>
      <c r="WI21" s="36" t="str">
        <f t="shared" si="252"/>
        <v/>
      </c>
      <c r="WJ21" s="36" t="str">
        <f t="shared" si="253"/>
        <v/>
      </c>
      <c r="WK21" s="36" t="str">
        <f t="shared" si="254"/>
        <v/>
      </c>
      <c r="WL21" s="36" t="str">
        <f t="shared" si="255"/>
        <v/>
      </c>
      <c r="WM21" s="36" t="str">
        <f t="shared" si="256"/>
        <v/>
      </c>
    </row>
    <row r="22" spans="1:611" x14ac:dyDescent="0.2">
      <c r="A22" s="4" t="str" cm="1">
        <f t="array" ref="A22">IF(AND(H22&lt;&gt;"",H22&lt;&gt;"No DD"),SUMPRODUCT((H$4:H$27&lt;&gt;"")*(H$4:H$27&lt;&gt;"No DD")*(E$4:E$27&gt;E22))+1,IF(H22="No DD",SUMPRODUCT((H$4:H$27="No DD")*(E$4:E$27&gt;E22))+1+SUMPRODUCT((H$4:H$27&lt;&gt;"")*(H$4:H$27&lt;&gt;"No DD")),""))</f>
        <v/>
      </c>
      <c r="B22" s="5" t="s">
        <v>92</v>
      </c>
      <c r="C22" s="4" t="s">
        <v>7</v>
      </c>
      <c r="D22" s="4">
        <v>2006</v>
      </c>
      <c r="E22" s="9">
        <f t="shared" si="0"/>
        <v>103.17000907300502</v>
      </c>
      <c r="F22" s="3" t="str">
        <f t="shared" si="1"/>
        <v/>
      </c>
      <c r="G22" s="3" t="str">
        <f t="shared" si="2"/>
        <v/>
      </c>
      <c r="H22" s="32" t="str">
        <f t="shared" si="3"/>
        <v/>
      </c>
      <c r="I22" s="3" t="str">
        <f t="shared" si="4"/>
        <v/>
      </c>
      <c r="J22" s="8">
        <f t="shared" si="5"/>
        <v>0</v>
      </c>
      <c r="K22" s="8" t="str">
        <f t="shared" si="6"/>
        <v/>
      </c>
      <c r="L22" s="8">
        <f>IFERROR(IF(J22=AR22,LARGE((AK22,AN22,BL22,BO22,BS22,CM22,CP22,CT22),1),IF(J22=BS22,LARGE((AK22,AN22,AR22,BL22,BO22,CM22,CP22,CT22),1),LARGE((AK22,AN22,AR22,BL22,BO22,BS22,CM22,CP22),1))),0)</f>
        <v>50.3</v>
      </c>
      <c r="M22" s="8" t="str">
        <f t="shared" si="7"/>
        <v>2025 Nationals</v>
      </c>
      <c r="N22" s="8">
        <f>IFERROR(IF(J22=AR22,LARGE((AK22,AN22,BL22,BO22,BS22,CM22,CP22,CT22),2),IF(J22=BS22,LARGE((AK22,AN22,AR22,BL22,BO22,CM22,CP22,CT22),2),LARGE((AK22,AN22,AR22,BL22,BO22,BS22,CM22,CP22),2))),0)</f>
        <v>40.43</v>
      </c>
      <c r="O22" s="8" t="str">
        <f t="shared" si="8"/>
        <v>2025 Nationals</v>
      </c>
      <c r="P22" s="8">
        <f t="shared" si="9"/>
        <v>12.439999999999998</v>
      </c>
      <c r="Q22" s="11" t="str">
        <f t="shared" si="10"/>
        <v>(Any)</v>
      </c>
      <c r="R22" s="8" t="str">
        <f t="shared" si="11"/>
        <v>2025 World Cup ITA (April 5)</v>
      </c>
      <c r="S22" s="18">
        <v>1.6</v>
      </c>
      <c r="T22" s="18">
        <v>1</v>
      </c>
      <c r="U22" s="18">
        <v>2</v>
      </c>
      <c r="V22" s="18">
        <v>1.72</v>
      </c>
      <c r="W22" s="18">
        <v>0</v>
      </c>
      <c r="X22" s="18">
        <v>9.8000000000000007</v>
      </c>
      <c r="Y22" s="18">
        <v>5.9</v>
      </c>
      <c r="Z22" s="18">
        <v>9</v>
      </c>
      <c r="AA22" s="18">
        <v>11.15</v>
      </c>
      <c r="AB22" s="18">
        <v>0</v>
      </c>
      <c r="AC22" s="18"/>
      <c r="AD22" s="18"/>
      <c r="AE22" s="18"/>
      <c r="AF22" s="18"/>
      <c r="AG22" s="18"/>
      <c r="AH22" s="23"/>
      <c r="AI22" s="34">
        <f t="shared" si="12"/>
        <v>2</v>
      </c>
      <c r="AJ22" s="34">
        <f t="shared" si="13"/>
        <v>1.72</v>
      </c>
      <c r="AK22" s="36">
        <f t="shared" si="14"/>
        <v>6.3199999999999994</v>
      </c>
      <c r="AL22" s="36">
        <f t="shared" si="15"/>
        <v>9</v>
      </c>
      <c r="AM22" s="36">
        <f t="shared" si="16"/>
        <v>11.15</v>
      </c>
      <c r="AN22" s="36">
        <f t="shared" si="17"/>
        <v>35.85</v>
      </c>
      <c r="AO22" s="36">
        <f t="shared" si="18"/>
        <v>35.85</v>
      </c>
      <c r="AP22" s="36" t="str">
        <f t="shared" si="19"/>
        <v/>
      </c>
      <c r="AQ22" s="36" t="str">
        <f t="shared" si="20"/>
        <v/>
      </c>
      <c r="AR22" s="36" t="str">
        <f t="shared" si="21"/>
        <v/>
      </c>
      <c r="AS22" s="36">
        <f t="shared" si="22"/>
        <v>35.85</v>
      </c>
      <c r="AT22" s="22">
        <v>12</v>
      </c>
      <c r="AU22" s="22">
        <v>6.3</v>
      </c>
      <c r="AV22" s="22">
        <v>11</v>
      </c>
      <c r="AW22" s="22">
        <v>11.13</v>
      </c>
      <c r="AX22" s="22">
        <v>0</v>
      </c>
      <c r="AY22" s="22">
        <v>14.7</v>
      </c>
      <c r="AZ22" s="22">
        <v>7.6</v>
      </c>
      <c r="BA22" s="22">
        <v>13.8</v>
      </c>
      <c r="BB22" s="22">
        <v>14.2</v>
      </c>
      <c r="BC22" s="22">
        <v>0</v>
      </c>
      <c r="BD22" s="22"/>
      <c r="BE22" s="22"/>
      <c r="BF22" s="22"/>
      <c r="BG22" s="22"/>
      <c r="BH22" s="22"/>
      <c r="BI22" s="24"/>
      <c r="BJ22" s="35">
        <f t="shared" si="23"/>
        <v>11</v>
      </c>
      <c r="BK22" s="35">
        <f t="shared" si="24"/>
        <v>11.13</v>
      </c>
      <c r="BL22" s="11">
        <f t="shared" si="25"/>
        <v>40.43</v>
      </c>
      <c r="BM22" s="11">
        <f t="shared" si="26"/>
        <v>13.8</v>
      </c>
      <c r="BN22" s="11">
        <f t="shared" si="27"/>
        <v>14.2</v>
      </c>
      <c r="BO22" s="11">
        <f t="shared" si="28"/>
        <v>50.3</v>
      </c>
      <c r="BP22" s="11">
        <f t="shared" si="29"/>
        <v>50.3</v>
      </c>
      <c r="BQ22" s="11" t="str">
        <f t="shared" si="30"/>
        <v/>
      </c>
      <c r="BR22" s="11" t="str">
        <f t="shared" si="31"/>
        <v/>
      </c>
      <c r="BS22" s="11" t="str">
        <f t="shared" si="32"/>
        <v/>
      </c>
      <c r="BT22" s="11">
        <f t="shared" si="33"/>
        <v>50.3</v>
      </c>
      <c r="BU22" s="18"/>
      <c r="BV22" s="18"/>
      <c r="BW22" s="18"/>
      <c r="BX22" s="18"/>
      <c r="BY22" s="18"/>
      <c r="BZ22" s="18"/>
      <c r="CA22" s="18"/>
      <c r="CB22" s="18"/>
      <c r="CC22" s="18"/>
      <c r="CD22" s="18"/>
      <c r="CE22" s="18"/>
      <c r="CF22" s="18"/>
      <c r="CG22" s="18"/>
      <c r="CH22" s="18"/>
      <c r="CI22" s="18"/>
      <c r="CJ22" s="23"/>
      <c r="CK22" s="34" t="str">
        <f t="shared" si="34"/>
        <v/>
      </c>
      <c r="CL22" s="34" t="str">
        <f t="shared" si="35"/>
        <v/>
      </c>
      <c r="CM22" s="36" t="str">
        <f t="shared" si="36"/>
        <v/>
      </c>
      <c r="CN22" s="36" t="str">
        <f t="shared" si="37"/>
        <v/>
      </c>
      <c r="CO22" s="36" t="str">
        <f t="shared" si="38"/>
        <v/>
      </c>
      <c r="CP22" s="36" t="str">
        <f t="shared" si="39"/>
        <v/>
      </c>
      <c r="CQ22" s="36" t="str">
        <f t="shared" si="40"/>
        <v/>
      </c>
      <c r="CR22" s="36" t="str">
        <f t="shared" si="41"/>
        <v/>
      </c>
      <c r="CS22" s="36" t="str">
        <f t="shared" si="42"/>
        <v/>
      </c>
      <c r="CT22" s="36" t="str">
        <f t="shared" si="43"/>
        <v/>
      </c>
      <c r="CU22" s="36" t="str">
        <f t="shared" si="44"/>
        <v/>
      </c>
      <c r="CV22" s="47" t="str">
        <f t="shared" si="45"/>
        <v/>
      </c>
      <c r="CW22" s="47">
        <f t="shared" si="46"/>
        <v>12.439999999999998</v>
      </c>
      <c r="CX22" s="15">
        <v>14.3</v>
      </c>
      <c r="CY22" s="15">
        <v>8.6999999999999993</v>
      </c>
      <c r="CZ22" s="15">
        <v>14.8</v>
      </c>
      <c r="DA22" s="15">
        <v>15.07</v>
      </c>
      <c r="DB22" s="15">
        <v>0</v>
      </c>
      <c r="DC22" s="15">
        <v>13.8</v>
      </c>
      <c r="DD22" s="15">
        <v>8.6999999999999993</v>
      </c>
      <c r="DE22" s="15">
        <v>14.4</v>
      </c>
      <c r="DF22" s="15">
        <v>15.35</v>
      </c>
      <c r="DG22" s="15"/>
      <c r="DH22" s="15"/>
      <c r="DI22" s="15"/>
      <c r="DJ22" s="15"/>
      <c r="DK22" s="15"/>
      <c r="DL22" s="15"/>
      <c r="DM22" s="15"/>
      <c r="DN22" s="15"/>
      <c r="DO22" s="15"/>
      <c r="DP22" s="15"/>
      <c r="DQ22" s="15"/>
      <c r="DR22" s="36">
        <f t="shared" si="47"/>
        <v>14.8</v>
      </c>
      <c r="DS22" s="36">
        <f t="shared" si="48"/>
        <v>15.07</v>
      </c>
      <c r="DT22" s="36">
        <f t="shared" si="49"/>
        <v>52.87</v>
      </c>
      <c r="DU22" s="36">
        <f t="shared" si="50"/>
        <v>14.4</v>
      </c>
      <c r="DV22" s="36">
        <f t="shared" si="51"/>
        <v>15.35</v>
      </c>
      <c r="DW22" s="36">
        <f t="shared" si="52"/>
        <v>52.25</v>
      </c>
      <c r="DX22" s="36">
        <f t="shared" si="53"/>
        <v>52.87</v>
      </c>
      <c r="DY22" s="36" t="str">
        <f t="shared" si="54"/>
        <v/>
      </c>
      <c r="DZ22" s="36" t="str">
        <f t="shared" si="55"/>
        <v/>
      </c>
      <c r="EA22" s="36" t="str">
        <f t="shared" si="56"/>
        <v/>
      </c>
      <c r="EB22" s="36" t="str">
        <f t="shared" si="57"/>
        <v/>
      </c>
      <c r="EC22" s="36" t="str">
        <f t="shared" si="58"/>
        <v/>
      </c>
      <c r="ED22" s="36" t="str">
        <f t="shared" si="59"/>
        <v/>
      </c>
      <c r="EE22" s="36">
        <f t="shared" si="60"/>
        <v>52.87</v>
      </c>
      <c r="EF22" s="16"/>
      <c r="EG22" s="16"/>
      <c r="EH22" s="16"/>
      <c r="EI22" s="16"/>
      <c r="EJ22" s="16"/>
      <c r="EK22" s="16"/>
      <c r="EL22" s="16"/>
      <c r="EM22" s="16"/>
      <c r="EN22" s="16"/>
      <c r="EO22" s="16"/>
      <c r="EP22" s="16"/>
      <c r="EQ22" s="16"/>
      <c r="ER22" s="16"/>
      <c r="ES22" s="16"/>
      <c r="ET22" s="16"/>
      <c r="EU22" s="16"/>
      <c r="EV22" s="16"/>
      <c r="EW22" s="16"/>
      <c r="EX22" s="16"/>
      <c r="EY22" s="16"/>
      <c r="EZ22" s="11" t="str">
        <f t="shared" si="61"/>
        <v/>
      </c>
      <c r="FA22" s="11" t="str">
        <f t="shared" si="62"/>
        <v/>
      </c>
      <c r="FB22" s="11" t="str">
        <f t="shared" si="63"/>
        <v/>
      </c>
      <c r="FC22" s="11" t="str">
        <f t="shared" si="64"/>
        <v/>
      </c>
      <c r="FD22" s="11" t="str">
        <f t="shared" si="65"/>
        <v/>
      </c>
      <c r="FE22" s="11" t="str">
        <f t="shared" si="66"/>
        <v/>
      </c>
      <c r="FF22" s="11" t="str">
        <f t="shared" si="67"/>
        <v/>
      </c>
      <c r="FG22" s="11" t="str">
        <f t="shared" si="68"/>
        <v/>
      </c>
      <c r="FH22" s="11" t="str">
        <f t="shared" si="69"/>
        <v/>
      </c>
      <c r="FI22" s="11" t="str">
        <f t="shared" si="70"/>
        <v/>
      </c>
      <c r="FJ22" s="11" t="str">
        <f t="shared" si="71"/>
        <v/>
      </c>
      <c r="FK22" s="11" t="str">
        <f t="shared" si="72"/>
        <v/>
      </c>
      <c r="FL22" s="11" t="str">
        <f t="shared" si="73"/>
        <v/>
      </c>
      <c r="FM22" s="11" t="str">
        <f t="shared" si="74"/>
        <v/>
      </c>
      <c r="FN22" s="15"/>
      <c r="FO22" s="15"/>
      <c r="FP22" s="15"/>
      <c r="FQ22" s="15"/>
      <c r="FR22" s="15"/>
      <c r="FS22" s="15"/>
      <c r="FT22" s="15"/>
      <c r="FU22" s="15"/>
      <c r="FV22" s="15"/>
      <c r="FW22" s="15"/>
      <c r="FX22" s="15"/>
      <c r="FY22" s="15"/>
      <c r="FZ22" s="15"/>
      <c r="GA22" s="15"/>
      <c r="GB22" s="15"/>
      <c r="GC22" s="15"/>
      <c r="GD22" s="15"/>
      <c r="GE22" s="15"/>
      <c r="GF22" s="15"/>
      <c r="GG22" s="15"/>
      <c r="GH22" s="36" t="str">
        <f t="shared" si="75"/>
        <v/>
      </c>
      <c r="GI22" s="36" t="str">
        <f t="shared" si="76"/>
        <v/>
      </c>
      <c r="GJ22" s="36" t="str">
        <f t="shared" si="77"/>
        <v/>
      </c>
      <c r="GK22" s="36" t="str">
        <f t="shared" si="78"/>
        <v/>
      </c>
      <c r="GL22" s="36" t="str">
        <f t="shared" si="79"/>
        <v/>
      </c>
      <c r="GM22" s="36" t="str">
        <f t="shared" si="80"/>
        <v/>
      </c>
      <c r="GN22" s="36" t="str">
        <f t="shared" si="81"/>
        <v/>
      </c>
      <c r="GO22" s="36" t="str">
        <f t="shared" si="82"/>
        <v/>
      </c>
      <c r="GP22" s="36" t="str">
        <f t="shared" si="83"/>
        <v/>
      </c>
      <c r="GQ22" s="36" t="str">
        <f t="shared" si="84"/>
        <v/>
      </c>
      <c r="GR22" s="36" t="str">
        <f t="shared" si="85"/>
        <v/>
      </c>
      <c r="GS22" s="36" t="str">
        <f t="shared" si="86"/>
        <v/>
      </c>
      <c r="GT22" s="36" t="str">
        <f t="shared" si="87"/>
        <v/>
      </c>
      <c r="GU22" s="36" t="str">
        <f t="shared" si="88"/>
        <v/>
      </c>
      <c r="GV22" s="16"/>
      <c r="GW22" s="16"/>
      <c r="GX22" s="16"/>
      <c r="GY22" s="16"/>
      <c r="GZ22" s="16"/>
      <c r="HA22" s="16"/>
      <c r="HB22" s="16"/>
      <c r="HC22" s="16"/>
      <c r="HD22" s="16"/>
      <c r="HE22" s="16"/>
      <c r="HF22" s="16"/>
      <c r="HG22" s="16"/>
      <c r="HH22" s="16"/>
      <c r="HI22" s="16"/>
      <c r="HJ22" s="16"/>
      <c r="HK22" s="16"/>
      <c r="HL22" s="16"/>
      <c r="HM22" s="16"/>
      <c r="HN22" s="16"/>
      <c r="HO22" s="16"/>
      <c r="HP22" s="11" t="str">
        <f t="shared" si="89"/>
        <v/>
      </c>
      <c r="HQ22" s="11" t="str">
        <f t="shared" si="90"/>
        <v/>
      </c>
      <c r="HR22" s="11" t="str">
        <f t="shared" si="91"/>
        <v/>
      </c>
      <c r="HS22" s="11" t="str">
        <f t="shared" si="92"/>
        <v/>
      </c>
      <c r="HT22" s="11" t="str">
        <f t="shared" si="93"/>
        <v/>
      </c>
      <c r="HU22" s="11" t="str">
        <f t="shared" si="94"/>
        <v/>
      </c>
      <c r="HV22" s="11" t="str">
        <f t="shared" si="95"/>
        <v/>
      </c>
      <c r="HW22" s="11" t="str">
        <f t="shared" si="96"/>
        <v/>
      </c>
      <c r="HX22" s="11" t="str">
        <f t="shared" si="97"/>
        <v/>
      </c>
      <c r="HY22" s="11" t="str">
        <f t="shared" si="98"/>
        <v/>
      </c>
      <c r="HZ22" s="11" t="str">
        <f t="shared" si="99"/>
        <v/>
      </c>
      <c r="IA22" s="11" t="str">
        <f t="shared" si="100"/>
        <v/>
      </c>
      <c r="IB22" s="11" t="str">
        <f t="shared" si="101"/>
        <v/>
      </c>
      <c r="IC22" s="11" t="str">
        <f t="shared" si="102"/>
        <v/>
      </c>
      <c r="ID22" s="15"/>
      <c r="IE22" s="15"/>
      <c r="IF22" s="15"/>
      <c r="IG22" s="15"/>
      <c r="IH22" s="15"/>
      <c r="II22" s="15"/>
      <c r="IJ22" s="15"/>
      <c r="IK22" s="15"/>
      <c r="IL22" s="15"/>
      <c r="IM22" s="15"/>
      <c r="IN22" s="15"/>
      <c r="IO22" s="15"/>
      <c r="IP22" s="15"/>
      <c r="IQ22" s="15"/>
      <c r="IR22" s="15"/>
      <c r="IS22" s="15"/>
      <c r="IT22" s="15"/>
      <c r="IU22" s="15"/>
      <c r="IV22" s="15"/>
      <c r="IW22" s="15"/>
      <c r="IX22" s="36" t="str">
        <f t="shared" si="103"/>
        <v/>
      </c>
      <c r="IY22" s="36" t="str">
        <f t="shared" si="104"/>
        <v/>
      </c>
      <c r="IZ22" s="36" t="str">
        <f t="shared" si="105"/>
        <v/>
      </c>
      <c r="JA22" s="36" t="str">
        <f t="shared" si="106"/>
        <v/>
      </c>
      <c r="JB22" s="36" t="str">
        <f t="shared" si="107"/>
        <v/>
      </c>
      <c r="JC22" s="36" t="str">
        <f t="shared" si="108"/>
        <v/>
      </c>
      <c r="JD22" s="36" t="str">
        <f t="shared" si="109"/>
        <v/>
      </c>
      <c r="JE22" s="36" t="str">
        <f t="shared" si="110"/>
        <v/>
      </c>
      <c r="JF22" s="36" t="str">
        <f t="shared" si="111"/>
        <v/>
      </c>
      <c r="JG22" s="36" t="str">
        <f t="shared" si="112"/>
        <v/>
      </c>
      <c r="JH22" s="36" t="str">
        <f t="shared" si="113"/>
        <v/>
      </c>
      <c r="JI22" s="36" t="str">
        <f t="shared" si="114"/>
        <v/>
      </c>
      <c r="JJ22" s="36" t="str">
        <f t="shared" si="115"/>
        <v/>
      </c>
      <c r="JK22" s="36" t="str">
        <f t="shared" si="116"/>
        <v/>
      </c>
      <c r="JL22" s="16"/>
      <c r="JM22" s="16"/>
      <c r="JN22" s="16"/>
      <c r="JO22" s="16"/>
      <c r="JP22" s="16"/>
      <c r="JQ22" s="16"/>
      <c r="JR22" s="16"/>
      <c r="JS22" s="16"/>
      <c r="JT22" s="16"/>
      <c r="JU22" s="16"/>
      <c r="JV22" s="16"/>
      <c r="JW22" s="16"/>
      <c r="JX22" s="16"/>
      <c r="JY22" s="16"/>
      <c r="JZ22" s="16"/>
      <c r="KA22" s="16"/>
      <c r="KB22" s="16"/>
      <c r="KC22" s="16"/>
      <c r="KD22" s="16"/>
      <c r="KE22" s="16"/>
      <c r="KF22" s="11" t="str">
        <f t="shared" si="117"/>
        <v/>
      </c>
      <c r="KG22" s="11" t="str">
        <f t="shared" si="118"/>
        <v/>
      </c>
      <c r="KH22" s="11" t="str">
        <f t="shared" si="119"/>
        <v/>
      </c>
      <c r="KI22" s="11" t="str">
        <f t="shared" si="120"/>
        <v/>
      </c>
      <c r="KJ22" s="11" t="str">
        <f t="shared" si="121"/>
        <v/>
      </c>
      <c r="KK22" s="11" t="str">
        <f t="shared" si="122"/>
        <v/>
      </c>
      <c r="KL22" s="11" t="str">
        <f t="shared" si="123"/>
        <v/>
      </c>
      <c r="KM22" s="11" t="str">
        <f t="shared" si="124"/>
        <v/>
      </c>
      <c r="KN22" s="11" t="str">
        <f t="shared" si="125"/>
        <v/>
      </c>
      <c r="KO22" s="11" t="str">
        <f t="shared" si="126"/>
        <v/>
      </c>
      <c r="KP22" s="11" t="str">
        <f t="shared" si="127"/>
        <v/>
      </c>
      <c r="KQ22" s="11" t="str">
        <f t="shared" si="128"/>
        <v/>
      </c>
      <c r="KR22" s="11" t="str">
        <f t="shared" si="129"/>
        <v/>
      </c>
      <c r="KS22" s="11" t="str">
        <f t="shared" si="130"/>
        <v/>
      </c>
      <c r="KT22" s="15"/>
      <c r="KU22" s="15"/>
      <c r="KV22" s="15"/>
      <c r="KW22" s="15"/>
      <c r="KX22" s="15"/>
      <c r="KY22" s="15"/>
      <c r="KZ22" s="15"/>
      <c r="LA22" s="15"/>
      <c r="LB22" s="15"/>
      <c r="LC22" s="15"/>
      <c r="LD22" s="15"/>
      <c r="LE22" s="15"/>
      <c r="LF22" s="15"/>
      <c r="LG22" s="15"/>
      <c r="LH22" s="15"/>
      <c r="LI22" s="15"/>
      <c r="LJ22" s="15"/>
      <c r="LK22" s="15"/>
      <c r="LL22" s="15"/>
      <c r="LM22" s="15"/>
      <c r="LN22" s="36" t="str">
        <f t="shared" si="131"/>
        <v/>
      </c>
      <c r="LO22" s="36" t="str">
        <f t="shared" si="132"/>
        <v/>
      </c>
      <c r="LP22" s="36" t="str">
        <f t="shared" si="133"/>
        <v/>
      </c>
      <c r="LQ22" s="36" t="str">
        <f t="shared" si="134"/>
        <v/>
      </c>
      <c r="LR22" s="36" t="str">
        <f t="shared" si="135"/>
        <v/>
      </c>
      <c r="LS22" s="36" t="str">
        <f t="shared" si="136"/>
        <v/>
      </c>
      <c r="LT22" s="36" t="str">
        <f t="shared" si="137"/>
        <v/>
      </c>
      <c r="LU22" s="36" t="str">
        <f t="shared" si="138"/>
        <v/>
      </c>
      <c r="LV22" s="36" t="str">
        <f t="shared" si="139"/>
        <v/>
      </c>
      <c r="LW22" s="36" t="str">
        <f t="shared" si="140"/>
        <v/>
      </c>
      <c r="LX22" s="36" t="str">
        <f t="shared" si="141"/>
        <v/>
      </c>
      <c r="LY22" s="36" t="str">
        <f t="shared" si="142"/>
        <v/>
      </c>
      <c r="LZ22" s="36" t="str">
        <f t="shared" si="143"/>
        <v/>
      </c>
      <c r="MA22" s="36" t="str">
        <f t="shared" si="144"/>
        <v/>
      </c>
      <c r="MB22" s="16"/>
      <c r="MC22" s="16"/>
      <c r="MD22" s="16"/>
      <c r="ME22" s="16"/>
      <c r="MF22" s="16"/>
      <c r="MG22" s="16"/>
      <c r="MH22" s="16"/>
      <c r="MI22" s="16"/>
      <c r="MJ22" s="16"/>
      <c r="MK22" s="16"/>
      <c r="ML22" s="16"/>
      <c r="MM22" s="16"/>
      <c r="MN22" s="16"/>
      <c r="MO22" s="16"/>
      <c r="MP22" s="16"/>
      <c r="MQ22" s="16"/>
      <c r="MR22" s="16"/>
      <c r="MS22" s="16"/>
      <c r="MT22" s="16"/>
      <c r="MU22" s="16"/>
      <c r="MV22" s="11" t="str">
        <f t="shared" si="145"/>
        <v/>
      </c>
      <c r="MW22" s="11" t="str">
        <f t="shared" si="146"/>
        <v/>
      </c>
      <c r="MX22" s="11" t="str">
        <f t="shared" si="147"/>
        <v/>
      </c>
      <c r="MY22" s="11" t="str">
        <f t="shared" si="148"/>
        <v/>
      </c>
      <c r="MZ22" s="11" t="str">
        <f t="shared" si="149"/>
        <v/>
      </c>
      <c r="NA22" s="11" t="str">
        <f t="shared" si="150"/>
        <v/>
      </c>
      <c r="NB22" s="11" t="str">
        <f t="shared" si="151"/>
        <v/>
      </c>
      <c r="NC22" s="11" t="str">
        <f t="shared" si="152"/>
        <v/>
      </c>
      <c r="ND22" s="11" t="str">
        <f t="shared" si="153"/>
        <v/>
      </c>
      <c r="NE22" s="11" t="str">
        <f t="shared" si="154"/>
        <v/>
      </c>
      <c r="NF22" s="11" t="str">
        <f t="shared" si="155"/>
        <v/>
      </c>
      <c r="NG22" s="11" t="str">
        <f t="shared" si="156"/>
        <v/>
      </c>
      <c r="NH22" s="11" t="str">
        <f t="shared" si="157"/>
        <v/>
      </c>
      <c r="NI22" s="11" t="str">
        <f t="shared" si="158"/>
        <v/>
      </c>
      <c r="NJ22" s="15"/>
      <c r="NK22" s="15"/>
      <c r="NL22" s="15"/>
      <c r="NM22" s="15"/>
      <c r="NN22" s="15"/>
      <c r="NO22" s="15"/>
      <c r="NP22" s="15"/>
      <c r="NQ22" s="15"/>
      <c r="NR22" s="15"/>
      <c r="NS22" s="15"/>
      <c r="NT22" s="15"/>
      <c r="NU22" s="15"/>
      <c r="NV22" s="15"/>
      <c r="NW22" s="15"/>
      <c r="NX22" s="15"/>
      <c r="NY22" s="15"/>
      <c r="NZ22" s="15"/>
      <c r="OA22" s="15"/>
      <c r="OB22" s="15"/>
      <c r="OC22" s="15"/>
      <c r="OD22" s="36" t="str">
        <f t="shared" si="159"/>
        <v/>
      </c>
      <c r="OE22" s="36" t="str">
        <f t="shared" si="160"/>
        <v/>
      </c>
      <c r="OF22" s="36" t="str">
        <f t="shared" si="161"/>
        <v/>
      </c>
      <c r="OG22" s="36" t="str">
        <f t="shared" si="162"/>
        <v/>
      </c>
      <c r="OH22" s="36" t="str">
        <f t="shared" si="163"/>
        <v/>
      </c>
      <c r="OI22" s="36" t="str">
        <f t="shared" si="164"/>
        <v/>
      </c>
      <c r="OJ22" s="36" t="str">
        <f t="shared" si="165"/>
        <v/>
      </c>
      <c r="OK22" s="36" t="str">
        <f t="shared" si="166"/>
        <v/>
      </c>
      <c r="OL22" s="36" t="str">
        <f t="shared" si="167"/>
        <v/>
      </c>
      <c r="OM22" s="36" t="str">
        <f t="shared" si="168"/>
        <v/>
      </c>
      <c r="ON22" s="36" t="str">
        <f t="shared" si="169"/>
        <v/>
      </c>
      <c r="OO22" s="36" t="str">
        <f t="shared" si="170"/>
        <v/>
      </c>
      <c r="OP22" s="36" t="str">
        <f t="shared" si="171"/>
        <v/>
      </c>
      <c r="OQ22" s="36" t="str">
        <f t="shared" si="172"/>
        <v/>
      </c>
      <c r="OR22" s="16"/>
      <c r="OS22" s="16"/>
      <c r="OT22" s="16"/>
      <c r="OU22" s="16"/>
      <c r="OV22" s="16"/>
      <c r="OW22" s="16"/>
      <c r="OX22" s="16"/>
      <c r="OY22" s="16"/>
      <c r="OZ22" s="16"/>
      <c r="PA22" s="16"/>
      <c r="PB22" s="16"/>
      <c r="PC22" s="16"/>
      <c r="PD22" s="16"/>
      <c r="PE22" s="16"/>
      <c r="PF22" s="16"/>
      <c r="PG22" s="16"/>
      <c r="PH22" s="16"/>
      <c r="PI22" s="16"/>
      <c r="PJ22" s="16"/>
      <c r="PK22" s="16"/>
      <c r="PL22" s="11" t="str">
        <f t="shared" si="173"/>
        <v/>
      </c>
      <c r="PM22" s="11" t="str">
        <f t="shared" si="174"/>
        <v/>
      </c>
      <c r="PN22" s="11" t="str">
        <f t="shared" si="175"/>
        <v/>
      </c>
      <c r="PO22" s="11" t="str">
        <f t="shared" si="176"/>
        <v/>
      </c>
      <c r="PP22" s="11" t="str">
        <f t="shared" si="177"/>
        <v/>
      </c>
      <c r="PQ22" s="11" t="str">
        <f t="shared" si="178"/>
        <v/>
      </c>
      <c r="PR22" s="11" t="str">
        <f t="shared" si="179"/>
        <v/>
      </c>
      <c r="PS22" s="11" t="str">
        <f t="shared" si="180"/>
        <v/>
      </c>
      <c r="PT22" s="11" t="str">
        <f t="shared" si="181"/>
        <v/>
      </c>
      <c r="PU22" s="11" t="str">
        <f t="shared" si="182"/>
        <v/>
      </c>
      <c r="PV22" s="11" t="str">
        <f t="shared" si="183"/>
        <v/>
      </c>
      <c r="PW22" s="11" t="str">
        <f t="shared" si="184"/>
        <v/>
      </c>
      <c r="PX22" s="11" t="str">
        <f t="shared" si="185"/>
        <v/>
      </c>
      <c r="PY22" s="11" t="str">
        <f t="shared" si="186"/>
        <v/>
      </c>
      <c r="PZ22" s="15"/>
      <c r="QA22" s="15"/>
      <c r="QB22" s="15"/>
      <c r="QC22" s="15"/>
      <c r="QD22" s="15"/>
      <c r="QE22" s="15"/>
      <c r="QF22" s="15"/>
      <c r="QG22" s="15"/>
      <c r="QH22" s="15"/>
      <c r="QI22" s="15"/>
      <c r="QJ22" s="15"/>
      <c r="QK22" s="15"/>
      <c r="QL22" s="15"/>
      <c r="QM22" s="15"/>
      <c r="QN22" s="15"/>
      <c r="QO22" s="15"/>
      <c r="QP22" s="15"/>
      <c r="QQ22" s="15"/>
      <c r="QR22" s="15"/>
      <c r="QS22" s="15"/>
      <c r="QT22" s="36" t="str">
        <f t="shared" si="187"/>
        <v/>
      </c>
      <c r="QU22" s="36" t="str">
        <f t="shared" si="188"/>
        <v/>
      </c>
      <c r="QV22" s="36" t="str">
        <f t="shared" si="189"/>
        <v/>
      </c>
      <c r="QW22" s="36" t="str">
        <f t="shared" si="190"/>
        <v/>
      </c>
      <c r="QX22" s="36" t="str">
        <f t="shared" si="191"/>
        <v/>
      </c>
      <c r="QY22" s="36" t="str">
        <f t="shared" si="192"/>
        <v/>
      </c>
      <c r="QZ22" s="36" t="str">
        <f t="shared" si="193"/>
        <v/>
      </c>
      <c r="RA22" s="36" t="str">
        <f t="shared" si="194"/>
        <v/>
      </c>
      <c r="RB22" s="36" t="str">
        <f t="shared" si="195"/>
        <v/>
      </c>
      <c r="RC22" s="36" t="str">
        <f t="shared" si="196"/>
        <v/>
      </c>
      <c r="RD22" s="36" t="str">
        <f t="shared" si="197"/>
        <v/>
      </c>
      <c r="RE22" s="36" t="str">
        <f t="shared" si="198"/>
        <v/>
      </c>
      <c r="RF22" s="36" t="str">
        <f t="shared" si="199"/>
        <v/>
      </c>
      <c r="RG22" s="36" t="str">
        <f t="shared" si="200"/>
        <v/>
      </c>
      <c r="RH22" s="16"/>
      <c r="RI22" s="16"/>
      <c r="RJ22" s="16"/>
      <c r="RK22" s="16"/>
      <c r="RL22" s="16"/>
      <c r="RM22" s="16"/>
      <c r="RN22" s="16"/>
      <c r="RO22" s="16"/>
      <c r="RP22" s="16"/>
      <c r="RQ22" s="16"/>
      <c r="RR22" s="16"/>
      <c r="RS22" s="16"/>
      <c r="RT22" s="16"/>
      <c r="RU22" s="16"/>
      <c r="RV22" s="16"/>
      <c r="RW22" s="16"/>
      <c r="RX22" s="16"/>
      <c r="RY22" s="16"/>
      <c r="RZ22" s="16"/>
      <c r="SA22" s="16"/>
      <c r="SB22" s="11" t="str">
        <f t="shared" si="201"/>
        <v/>
      </c>
      <c r="SC22" s="11" t="str">
        <f t="shared" si="202"/>
        <v/>
      </c>
      <c r="SD22" s="11" t="str">
        <f t="shared" si="203"/>
        <v/>
      </c>
      <c r="SE22" s="11" t="str">
        <f t="shared" si="204"/>
        <v/>
      </c>
      <c r="SF22" s="11" t="str">
        <f t="shared" si="205"/>
        <v/>
      </c>
      <c r="SG22" s="11" t="str">
        <f t="shared" si="206"/>
        <v/>
      </c>
      <c r="SH22" s="11" t="str">
        <f t="shared" si="207"/>
        <v/>
      </c>
      <c r="SI22" s="11" t="str">
        <f t="shared" si="208"/>
        <v/>
      </c>
      <c r="SJ22" s="11" t="str">
        <f t="shared" si="209"/>
        <v/>
      </c>
      <c r="SK22" s="11" t="str">
        <f t="shared" si="210"/>
        <v/>
      </c>
      <c r="SL22" s="11" t="str">
        <f t="shared" si="211"/>
        <v/>
      </c>
      <c r="SM22" s="11" t="str">
        <f t="shared" si="212"/>
        <v/>
      </c>
      <c r="SN22" s="11" t="str">
        <f t="shared" si="213"/>
        <v/>
      </c>
      <c r="SO22" s="11" t="str">
        <f t="shared" si="214"/>
        <v/>
      </c>
      <c r="SP22" s="15"/>
      <c r="SQ22" s="15"/>
      <c r="SR22" s="15"/>
      <c r="SS22" s="15"/>
      <c r="ST22" s="15"/>
      <c r="SU22" s="15"/>
      <c r="SV22" s="15"/>
      <c r="SW22" s="15"/>
      <c r="SX22" s="15"/>
      <c r="SY22" s="15"/>
      <c r="SZ22" s="15"/>
      <c r="TA22" s="15"/>
      <c r="TB22" s="15"/>
      <c r="TC22" s="15"/>
      <c r="TD22" s="15"/>
      <c r="TE22" s="15"/>
      <c r="TF22" s="15"/>
      <c r="TG22" s="15"/>
      <c r="TH22" s="15"/>
      <c r="TI22" s="15"/>
      <c r="TJ22" s="36" t="str">
        <f t="shared" si="215"/>
        <v/>
      </c>
      <c r="TK22" s="36" t="str">
        <f t="shared" si="216"/>
        <v/>
      </c>
      <c r="TL22" s="36" t="str">
        <f t="shared" si="217"/>
        <v/>
      </c>
      <c r="TM22" s="36" t="str">
        <f t="shared" si="218"/>
        <v/>
      </c>
      <c r="TN22" s="36" t="str">
        <f t="shared" si="219"/>
        <v/>
      </c>
      <c r="TO22" s="36" t="str">
        <f t="shared" si="220"/>
        <v/>
      </c>
      <c r="TP22" s="36" t="str">
        <f t="shared" si="221"/>
        <v/>
      </c>
      <c r="TQ22" s="36" t="str">
        <f t="shared" si="222"/>
        <v/>
      </c>
      <c r="TR22" s="36" t="str">
        <f t="shared" si="223"/>
        <v/>
      </c>
      <c r="TS22" s="36" t="str">
        <f t="shared" si="224"/>
        <v/>
      </c>
      <c r="TT22" s="36" t="str">
        <f t="shared" si="225"/>
        <v/>
      </c>
      <c r="TU22" s="36" t="str">
        <f t="shared" si="226"/>
        <v/>
      </c>
      <c r="TV22" s="36" t="str">
        <f t="shared" si="227"/>
        <v/>
      </c>
      <c r="TW22" s="36" t="str">
        <f t="shared" si="228"/>
        <v/>
      </c>
      <c r="TX22" s="16"/>
      <c r="TY22" s="16"/>
      <c r="TZ22" s="16"/>
      <c r="UA22" s="16"/>
      <c r="UB22" s="16"/>
      <c r="UC22" s="16"/>
      <c r="UD22" s="16"/>
      <c r="UE22" s="16"/>
      <c r="UF22" s="16"/>
      <c r="UG22" s="16"/>
      <c r="UH22" s="16"/>
      <c r="UI22" s="16"/>
      <c r="UJ22" s="16"/>
      <c r="UK22" s="16"/>
      <c r="UL22" s="16"/>
      <c r="UM22" s="16"/>
      <c r="UN22" s="16"/>
      <c r="UO22" s="16"/>
      <c r="UP22" s="16"/>
      <c r="UQ22" s="16"/>
      <c r="UR22" s="11" t="str">
        <f t="shared" si="229"/>
        <v/>
      </c>
      <c r="US22" s="11" t="str">
        <f t="shared" si="230"/>
        <v/>
      </c>
      <c r="UT22" s="11" t="str">
        <f t="shared" si="231"/>
        <v/>
      </c>
      <c r="UU22" s="11" t="str">
        <f t="shared" si="232"/>
        <v/>
      </c>
      <c r="UV22" s="11" t="str">
        <f t="shared" si="233"/>
        <v/>
      </c>
      <c r="UW22" s="11" t="str">
        <f t="shared" si="234"/>
        <v/>
      </c>
      <c r="UX22" s="11" t="str">
        <f t="shared" si="235"/>
        <v/>
      </c>
      <c r="UY22" s="11" t="str">
        <f t="shared" si="236"/>
        <v/>
      </c>
      <c r="UZ22" s="11" t="str">
        <f t="shared" si="237"/>
        <v/>
      </c>
      <c r="VA22" s="11" t="str">
        <f t="shared" si="238"/>
        <v/>
      </c>
      <c r="VB22" s="11" t="str">
        <f t="shared" si="239"/>
        <v/>
      </c>
      <c r="VC22" s="11" t="str">
        <f t="shared" si="240"/>
        <v/>
      </c>
      <c r="VD22" s="11" t="str">
        <f t="shared" si="241"/>
        <v/>
      </c>
      <c r="VE22" s="11" t="str">
        <f t="shared" si="242"/>
        <v/>
      </c>
      <c r="VF22" s="15"/>
      <c r="VG22" s="15"/>
      <c r="VH22" s="15"/>
      <c r="VI22" s="15"/>
      <c r="VJ22" s="15"/>
      <c r="VK22" s="15"/>
      <c r="VL22" s="15"/>
      <c r="VM22" s="15"/>
      <c r="VN22" s="15"/>
      <c r="VO22" s="15"/>
      <c r="VP22" s="15"/>
      <c r="VQ22" s="15"/>
      <c r="VR22" s="15"/>
      <c r="VS22" s="15"/>
      <c r="VT22" s="15"/>
      <c r="VU22" s="15"/>
      <c r="VV22" s="15"/>
      <c r="VW22" s="15"/>
      <c r="VX22" s="15"/>
      <c r="VY22" s="15"/>
      <c r="VZ22" s="36" t="str">
        <f t="shared" si="243"/>
        <v/>
      </c>
      <c r="WA22" s="36" t="str">
        <f t="shared" si="244"/>
        <v/>
      </c>
      <c r="WB22" s="36" t="str">
        <f t="shared" si="245"/>
        <v/>
      </c>
      <c r="WC22" s="36" t="str">
        <f t="shared" si="246"/>
        <v/>
      </c>
      <c r="WD22" s="36" t="str">
        <f t="shared" si="247"/>
        <v/>
      </c>
      <c r="WE22" s="36" t="str">
        <f t="shared" si="248"/>
        <v/>
      </c>
      <c r="WF22" s="36" t="str">
        <f t="shared" si="249"/>
        <v/>
      </c>
      <c r="WG22" s="36" t="str">
        <f t="shared" si="250"/>
        <v/>
      </c>
      <c r="WH22" s="36" t="str">
        <f t="shared" si="251"/>
        <v/>
      </c>
      <c r="WI22" s="36" t="str">
        <f t="shared" si="252"/>
        <v/>
      </c>
      <c r="WJ22" s="36" t="str">
        <f t="shared" si="253"/>
        <v/>
      </c>
      <c r="WK22" s="36" t="str">
        <f t="shared" si="254"/>
        <v/>
      </c>
      <c r="WL22" s="36" t="str">
        <f t="shared" si="255"/>
        <v/>
      </c>
      <c r="WM22" s="36" t="str">
        <f t="shared" si="256"/>
        <v/>
      </c>
    </row>
    <row r="23" spans="1:611" x14ac:dyDescent="0.2">
      <c r="A23" s="4" t="str" cm="1">
        <f t="array" ref="A23">IF(AND(H23&lt;&gt;"",H23&lt;&gt;"No DD"),SUMPRODUCT((H$4:H$27&lt;&gt;"")*(H$4:H$27&lt;&gt;"No DD")*(E$4:E$27&gt;E23))+1,IF(H23="No DD",SUMPRODUCT((H$4:H$27="No DD")*(E$4:E$27&gt;E23))+1+SUMPRODUCT((H$4:H$27&lt;&gt;"")*(H$4:H$27&lt;&gt;"No DD")),""))</f>
        <v/>
      </c>
      <c r="B23" s="5" t="s">
        <v>48</v>
      </c>
      <c r="C23" s="4" t="s">
        <v>7</v>
      </c>
      <c r="D23" s="4">
        <v>2001</v>
      </c>
      <c r="E23" s="9">
        <f t="shared" si="0"/>
        <v>94.215009421503268</v>
      </c>
      <c r="F23" s="3" t="str">
        <f t="shared" si="1"/>
        <v/>
      </c>
      <c r="G23" s="3" t="str">
        <f t="shared" si="2"/>
        <v/>
      </c>
      <c r="H23" s="32" t="str">
        <f t="shared" si="3"/>
        <v/>
      </c>
      <c r="I23" s="3" t="str">
        <f t="shared" si="4"/>
        <v/>
      </c>
      <c r="J23" s="8">
        <f t="shared" si="5"/>
        <v>28.884999999999998</v>
      </c>
      <c r="K23" s="8" t="str">
        <f t="shared" si="6"/>
        <v>2025 3rd Domestic Trial</v>
      </c>
      <c r="L23" s="8">
        <f>IFERROR(IF(J23=AR23,LARGE((AK23,AN23,BL23,BO23,BS23,CM23,CP23,CT23),1),IF(J23=BS23,LARGE((AK23,AN23,AR23,BL23,BO23,CM23,CP23,CT23),1),LARGE((AK23,AN23,AR23,BL23,BO23,BS23,CM23,CP23),1))),0)</f>
        <v>32.664999999999999</v>
      </c>
      <c r="M23" s="8" t="str">
        <f t="shared" si="7"/>
        <v>2025 3rd Domestic Trial</v>
      </c>
      <c r="N23" s="8">
        <f>IFERROR(IF(J23=AR23,LARGE((AK23,AN23,BL23,BO23,BS23,CM23,CP23,CT23),2),IF(J23=BS23,LARGE((AK23,AN23,AR23,BL23,BO23,CM23,CP23,CT23),2),LARGE((AK23,AN23,AR23,BL23,BO23,BS23,CM23,CP23),2))),0)</f>
        <v>32.664999999999999</v>
      </c>
      <c r="O23" s="8" t="str">
        <f t="shared" si="8"/>
        <v>2025 3rd Domestic Trial</v>
      </c>
      <c r="P23" s="8">
        <f t="shared" si="9"/>
        <v>0</v>
      </c>
      <c r="Q23" s="11" t="str">
        <f t="shared" si="10"/>
        <v/>
      </c>
      <c r="R23" s="8" t="str">
        <f t="shared" si="11"/>
        <v/>
      </c>
      <c r="S23" s="18">
        <v>6.65</v>
      </c>
      <c r="T23" s="18">
        <v>3.35</v>
      </c>
      <c r="U23" s="18">
        <v>6.9</v>
      </c>
      <c r="V23" s="18">
        <v>6.8149999999999995</v>
      </c>
      <c r="W23" s="18">
        <v>0</v>
      </c>
      <c r="X23" s="18">
        <v>9.1</v>
      </c>
      <c r="Y23" s="18">
        <v>5.0999999999999996</v>
      </c>
      <c r="Z23" s="18">
        <v>9.25</v>
      </c>
      <c r="AA23" s="18">
        <v>9.2149999999999999</v>
      </c>
      <c r="AB23" s="18">
        <v>0</v>
      </c>
      <c r="AC23" s="18">
        <v>8.1</v>
      </c>
      <c r="AD23" s="18">
        <v>4.1500000000000004</v>
      </c>
      <c r="AE23" s="18">
        <v>8.25</v>
      </c>
      <c r="AF23" s="18">
        <v>8.3849999999999998</v>
      </c>
      <c r="AG23" s="18">
        <v>0</v>
      </c>
      <c r="AH23" s="23" t="s">
        <v>42</v>
      </c>
      <c r="AI23" s="34">
        <f t="shared" si="12"/>
        <v>6.9</v>
      </c>
      <c r="AJ23" s="34">
        <f t="shared" si="13"/>
        <v>6.8149999999999995</v>
      </c>
      <c r="AK23" s="36">
        <f t="shared" si="14"/>
        <v>23.714999999999996</v>
      </c>
      <c r="AL23" s="36">
        <f t="shared" si="15"/>
        <v>9.25</v>
      </c>
      <c r="AM23" s="36">
        <f t="shared" si="16"/>
        <v>9.2149999999999999</v>
      </c>
      <c r="AN23" s="36">
        <f t="shared" si="17"/>
        <v>32.664999999999999</v>
      </c>
      <c r="AO23" s="36">
        <f t="shared" si="18"/>
        <v>32.664999999999999</v>
      </c>
      <c r="AP23" s="36">
        <f t="shared" si="19"/>
        <v>8.25</v>
      </c>
      <c r="AQ23" s="36">
        <f t="shared" si="20"/>
        <v>8.3849999999999998</v>
      </c>
      <c r="AR23" s="36">
        <f t="shared" si="21"/>
        <v>28.884999999999998</v>
      </c>
      <c r="AS23" s="36">
        <f t="shared" si="22"/>
        <v>61.55</v>
      </c>
      <c r="AT23" s="22">
        <v>6.65</v>
      </c>
      <c r="AU23" s="22">
        <v>3.35</v>
      </c>
      <c r="AV23" s="22">
        <v>6.9</v>
      </c>
      <c r="AW23" s="22">
        <v>6.8149999999999995</v>
      </c>
      <c r="AX23" s="22">
        <v>0</v>
      </c>
      <c r="AY23" s="22">
        <v>9.1</v>
      </c>
      <c r="AZ23" s="22">
        <v>5.0999999999999996</v>
      </c>
      <c r="BA23" s="22">
        <v>9.25</v>
      </c>
      <c r="BB23" s="22">
        <v>9.2149999999999999</v>
      </c>
      <c r="BC23" s="22">
        <v>0</v>
      </c>
      <c r="BD23" s="22">
        <v>8.1</v>
      </c>
      <c r="BE23" s="22">
        <v>4.1500000000000004</v>
      </c>
      <c r="BF23" s="22">
        <v>8.25</v>
      </c>
      <c r="BG23" s="22">
        <v>8.3849999999999998</v>
      </c>
      <c r="BH23" s="22">
        <v>0</v>
      </c>
      <c r="BI23" s="24" t="s">
        <v>42</v>
      </c>
      <c r="BJ23" s="35">
        <f t="shared" si="23"/>
        <v>6.9</v>
      </c>
      <c r="BK23" s="35">
        <f t="shared" si="24"/>
        <v>6.8149999999999995</v>
      </c>
      <c r="BL23" s="11">
        <f t="shared" si="25"/>
        <v>23.714999999999996</v>
      </c>
      <c r="BM23" s="11">
        <f t="shared" si="26"/>
        <v>9.25</v>
      </c>
      <c r="BN23" s="11">
        <f t="shared" si="27"/>
        <v>9.2149999999999999</v>
      </c>
      <c r="BO23" s="11">
        <f t="shared" si="28"/>
        <v>32.664999999999999</v>
      </c>
      <c r="BP23" s="11">
        <f t="shared" si="29"/>
        <v>32.664999999999999</v>
      </c>
      <c r="BQ23" s="11">
        <f t="shared" si="30"/>
        <v>8.25</v>
      </c>
      <c r="BR23" s="11">
        <f t="shared" si="31"/>
        <v>8.3849999999999998</v>
      </c>
      <c r="BS23" s="11">
        <f t="shared" si="32"/>
        <v>28.884999999999998</v>
      </c>
      <c r="BT23" s="11">
        <f t="shared" si="33"/>
        <v>61.55</v>
      </c>
      <c r="BU23" s="18">
        <v>6.65</v>
      </c>
      <c r="BV23" s="18">
        <v>3.35</v>
      </c>
      <c r="BW23" s="18">
        <v>6.9</v>
      </c>
      <c r="BX23" s="18">
        <v>6.8149999999999995</v>
      </c>
      <c r="BY23" s="18">
        <v>0</v>
      </c>
      <c r="BZ23" s="18">
        <v>9.1</v>
      </c>
      <c r="CA23" s="18">
        <v>5.0999999999999996</v>
      </c>
      <c r="CB23" s="18">
        <v>9.25</v>
      </c>
      <c r="CC23" s="18">
        <v>9.2149999999999999</v>
      </c>
      <c r="CD23" s="18">
        <v>0</v>
      </c>
      <c r="CE23" s="18">
        <v>8.1</v>
      </c>
      <c r="CF23" s="18">
        <v>4.1500000000000004</v>
      </c>
      <c r="CG23" s="18">
        <v>8.25</v>
      </c>
      <c r="CH23" s="18">
        <v>8.3849999999999998</v>
      </c>
      <c r="CI23" s="18">
        <v>0</v>
      </c>
      <c r="CJ23" s="23" t="s">
        <v>42</v>
      </c>
      <c r="CK23" s="34">
        <f t="shared" si="34"/>
        <v>6.9</v>
      </c>
      <c r="CL23" s="34">
        <f t="shared" si="35"/>
        <v>6.8149999999999995</v>
      </c>
      <c r="CM23" s="36">
        <f t="shared" si="36"/>
        <v>23.714999999999996</v>
      </c>
      <c r="CN23" s="36">
        <f t="shared" si="37"/>
        <v>9.25</v>
      </c>
      <c r="CO23" s="36">
        <f t="shared" si="38"/>
        <v>9.2149999999999999</v>
      </c>
      <c r="CP23" s="36">
        <f t="shared" si="39"/>
        <v>32.664999999999999</v>
      </c>
      <c r="CQ23" s="36">
        <f t="shared" si="40"/>
        <v>32.664999999999999</v>
      </c>
      <c r="CR23" s="36">
        <f t="shared" si="41"/>
        <v>8.25</v>
      </c>
      <c r="CS23" s="36">
        <f t="shared" si="42"/>
        <v>8.3849999999999998</v>
      </c>
      <c r="CT23" s="36">
        <f t="shared" si="43"/>
        <v>28.884999999999998</v>
      </c>
      <c r="CU23" s="36">
        <f t="shared" si="44"/>
        <v>61.55</v>
      </c>
      <c r="CV23" s="47" t="str">
        <f t="shared" si="45"/>
        <v/>
      </c>
      <c r="CW23" s="47" t="str">
        <f t="shared" si="46"/>
        <v/>
      </c>
      <c r="CX23" s="15"/>
      <c r="CY23" s="15"/>
      <c r="CZ23" s="15"/>
      <c r="DA23" s="15"/>
      <c r="DB23" s="15"/>
      <c r="DC23" s="15"/>
      <c r="DD23" s="15"/>
      <c r="DE23" s="15"/>
      <c r="DF23" s="15"/>
      <c r="DG23" s="15"/>
      <c r="DH23" s="15"/>
      <c r="DI23" s="15"/>
      <c r="DJ23" s="15"/>
      <c r="DK23" s="15"/>
      <c r="DL23" s="15"/>
      <c r="DM23" s="15"/>
      <c r="DN23" s="15"/>
      <c r="DO23" s="15"/>
      <c r="DP23" s="15"/>
      <c r="DQ23" s="15"/>
      <c r="DR23" s="36" t="str">
        <f t="shared" si="47"/>
        <v/>
      </c>
      <c r="DS23" s="36" t="str">
        <f t="shared" si="48"/>
        <v/>
      </c>
      <c r="DT23" s="36" t="str">
        <f t="shared" si="49"/>
        <v/>
      </c>
      <c r="DU23" s="36" t="str">
        <f t="shared" si="50"/>
        <v/>
      </c>
      <c r="DV23" s="36" t="str">
        <f t="shared" si="51"/>
        <v/>
      </c>
      <c r="DW23" s="36" t="str">
        <f t="shared" si="52"/>
        <v/>
      </c>
      <c r="DX23" s="36" t="str">
        <f t="shared" si="53"/>
        <v/>
      </c>
      <c r="DY23" s="36" t="str">
        <f t="shared" si="54"/>
        <v/>
      </c>
      <c r="DZ23" s="36" t="str">
        <f t="shared" si="55"/>
        <v/>
      </c>
      <c r="EA23" s="36" t="str">
        <f t="shared" si="56"/>
        <v/>
      </c>
      <c r="EB23" s="36" t="str">
        <f t="shared" si="57"/>
        <v/>
      </c>
      <c r="EC23" s="36" t="str">
        <f t="shared" si="58"/>
        <v/>
      </c>
      <c r="ED23" s="36" t="str">
        <f t="shared" si="59"/>
        <v/>
      </c>
      <c r="EE23" s="36" t="str">
        <f t="shared" si="60"/>
        <v/>
      </c>
      <c r="EF23" s="16"/>
      <c r="EG23" s="16"/>
      <c r="EH23" s="16"/>
      <c r="EI23" s="16"/>
      <c r="EJ23" s="16"/>
      <c r="EK23" s="16"/>
      <c r="EL23" s="16"/>
      <c r="EM23" s="16"/>
      <c r="EN23" s="16"/>
      <c r="EO23" s="16"/>
      <c r="EP23" s="16"/>
      <c r="EQ23" s="16"/>
      <c r="ER23" s="16"/>
      <c r="ES23" s="16"/>
      <c r="ET23" s="16"/>
      <c r="EU23" s="16"/>
      <c r="EV23" s="16"/>
      <c r="EW23" s="16"/>
      <c r="EX23" s="16"/>
      <c r="EY23" s="16"/>
      <c r="EZ23" s="11" t="str">
        <f t="shared" si="61"/>
        <v/>
      </c>
      <c r="FA23" s="11" t="str">
        <f t="shared" si="62"/>
        <v/>
      </c>
      <c r="FB23" s="11" t="str">
        <f t="shared" si="63"/>
        <v/>
      </c>
      <c r="FC23" s="11" t="str">
        <f t="shared" si="64"/>
        <v/>
      </c>
      <c r="FD23" s="11" t="str">
        <f t="shared" si="65"/>
        <v/>
      </c>
      <c r="FE23" s="11" t="str">
        <f t="shared" si="66"/>
        <v/>
      </c>
      <c r="FF23" s="11" t="str">
        <f t="shared" si="67"/>
        <v/>
      </c>
      <c r="FG23" s="11" t="str">
        <f t="shared" si="68"/>
        <v/>
      </c>
      <c r="FH23" s="11" t="str">
        <f t="shared" si="69"/>
        <v/>
      </c>
      <c r="FI23" s="11" t="str">
        <f t="shared" si="70"/>
        <v/>
      </c>
      <c r="FJ23" s="11" t="str">
        <f t="shared" si="71"/>
        <v/>
      </c>
      <c r="FK23" s="11" t="str">
        <f t="shared" si="72"/>
        <v/>
      </c>
      <c r="FL23" s="11" t="str">
        <f t="shared" si="73"/>
        <v/>
      </c>
      <c r="FM23" s="11" t="str">
        <f t="shared" si="74"/>
        <v/>
      </c>
      <c r="FN23" s="15"/>
      <c r="FO23" s="15"/>
      <c r="FP23" s="15"/>
      <c r="FQ23" s="15"/>
      <c r="FR23" s="15"/>
      <c r="FS23" s="15"/>
      <c r="FT23" s="15"/>
      <c r="FU23" s="15"/>
      <c r="FV23" s="15"/>
      <c r="FW23" s="15"/>
      <c r="FX23" s="15"/>
      <c r="FY23" s="15"/>
      <c r="FZ23" s="15"/>
      <c r="GA23" s="15"/>
      <c r="GB23" s="15"/>
      <c r="GC23" s="15"/>
      <c r="GD23" s="15"/>
      <c r="GE23" s="15"/>
      <c r="GF23" s="15"/>
      <c r="GG23" s="15"/>
      <c r="GH23" s="36" t="str">
        <f t="shared" si="75"/>
        <v/>
      </c>
      <c r="GI23" s="36" t="str">
        <f t="shared" si="76"/>
        <v/>
      </c>
      <c r="GJ23" s="36" t="str">
        <f t="shared" si="77"/>
        <v/>
      </c>
      <c r="GK23" s="36" t="str">
        <f t="shared" si="78"/>
        <v/>
      </c>
      <c r="GL23" s="36" t="str">
        <f t="shared" si="79"/>
        <v/>
      </c>
      <c r="GM23" s="36" t="str">
        <f t="shared" si="80"/>
        <v/>
      </c>
      <c r="GN23" s="36" t="str">
        <f t="shared" si="81"/>
        <v/>
      </c>
      <c r="GO23" s="36" t="str">
        <f t="shared" si="82"/>
        <v/>
      </c>
      <c r="GP23" s="36" t="str">
        <f t="shared" si="83"/>
        <v/>
      </c>
      <c r="GQ23" s="36" t="str">
        <f t="shared" si="84"/>
        <v/>
      </c>
      <c r="GR23" s="36" t="str">
        <f t="shared" si="85"/>
        <v/>
      </c>
      <c r="GS23" s="36" t="str">
        <f t="shared" si="86"/>
        <v/>
      </c>
      <c r="GT23" s="36" t="str">
        <f t="shared" si="87"/>
        <v/>
      </c>
      <c r="GU23" s="36" t="str">
        <f t="shared" si="88"/>
        <v/>
      </c>
      <c r="GV23" s="16"/>
      <c r="GW23" s="16"/>
      <c r="GX23" s="16"/>
      <c r="GY23" s="16"/>
      <c r="GZ23" s="16"/>
      <c r="HA23" s="16"/>
      <c r="HB23" s="16"/>
      <c r="HC23" s="16"/>
      <c r="HD23" s="16"/>
      <c r="HE23" s="16"/>
      <c r="HF23" s="16"/>
      <c r="HG23" s="16"/>
      <c r="HH23" s="16"/>
      <c r="HI23" s="16"/>
      <c r="HJ23" s="16"/>
      <c r="HK23" s="16"/>
      <c r="HL23" s="16"/>
      <c r="HM23" s="16"/>
      <c r="HN23" s="16"/>
      <c r="HO23" s="16"/>
      <c r="HP23" s="11" t="str">
        <f t="shared" si="89"/>
        <v/>
      </c>
      <c r="HQ23" s="11" t="str">
        <f t="shared" si="90"/>
        <v/>
      </c>
      <c r="HR23" s="11" t="str">
        <f t="shared" si="91"/>
        <v/>
      </c>
      <c r="HS23" s="11" t="str">
        <f t="shared" si="92"/>
        <v/>
      </c>
      <c r="HT23" s="11" t="str">
        <f t="shared" si="93"/>
        <v/>
      </c>
      <c r="HU23" s="11" t="str">
        <f t="shared" si="94"/>
        <v/>
      </c>
      <c r="HV23" s="11" t="str">
        <f t="shared" si="95"/>
        <v/>
      </c>
      <c r="HW23" s="11" t="str">
        <f t="shared" si="96"/>
        <v/>
      </c>
      <c r="HX23" s="11" t="str">
        <f t="shared" si="97"/>
        <v/>
      </c>
      <c r="HY23" s="11" t="str">
        <f t="shared" si="98"/>
        <v/>
      </c>
      <c r="HZ23" s="11" t="str">
        <f t="shared" si="99"/>
        <v/>
      </c>
      <c r="IA23" s="11" t="str">
        <f t="shared" si="100"/>
        <v/>
      </c>
      <c r="IB23" s="11" t="str">
        <f t="shared" si="101"/>
        <v/>
      </c>
      <c r="IC23" s="11" t="str">
        <f t="shared" si="102"/>
        <v/>
      </c>
      <c r="ID23" s="15"/>
      <c r="IE23" s="15"/>
      <c r="IF23" s="15"/>
      <c r="IG23" s="15"/>
      <c r="IH23" s="15"/>
      <c r="II23" s="15"/>
      <c r="IJ23" s="15"/>
      <c r="IK23" s="15"/>
      <c r="IL23" s="15"/>
      <c r="IM23" s="15"/>
      <c r="IN23" s="15"/>
      <c r="IO23" s="15"/>
      <c r="IP23" s="15"/>
      <c r="IQ23" s="15"/>
      <c r="IR23" s="15"/>
      <c r="IS23" s="15"/>
      <c r="IT23" s="15"/>
      <c r="IU23" s="15"/>
      <c r="IV23" s="15"/>
      <c r="IW23" s="15"/>
      <c r="IX23" s="36" t="str">
        <f t="shared" si="103"/>
        <v/>
      </c>
      <c r="IY23" s="36" t="str">
        <f t="shared" si="104"/>
        <v/>
      </c>
      <c r="IZ23" s="36" t="str">
        <f t="shared" si="105"/>
        <v/>
      </c>
      <c r="JA23" s="36" t="str">
        <f t="shared" si="106"/>
        <v/>
      </c>
      <c r="JB23" s="36" t="str">
        <f t="shared" si="107"/>
        <v/>
      </c>
      <c r="JC23" s="36" t="str">
        <f t="shared" si="108"/>
        <v/>
      </c>
      <c r="JD23" s="36" t="str">
        <f t="shared" si="109"/>
        <v/>
      </c>
      <c r="JE23" s="36" t="str">
        <f t="shared" si="110"/>
        <v/>
      </c>
      <c r="JF23" s="36" t="str">
        <f t="shared" si="111"/>
        <v/>
      </c>
      <c r="JG23" s="36" t="str">
        <f t="shared" si="112"/>
        <v/>
      </c>
      <c r="JH23" s="36" t="str">
        <f t="shared" si="113"/>
        <v/>
      </c>
      <c r="JI23" s="36" t="str">
        <f t="shared" si="114"/>
        <v/>
      </c>
      <c r="JJ23" s="36" t="str">
        <f t="shared" si="115"/>
        <v/>
      </c>
      <c r="JK23" s="36" t="str">
        <f t="shared" si="116"/>
        <v/>
      </c>
      <c r="JL23" s="16"/>
      <c r="JM23" s="16"/>
      <c r="JN23" s="16"/>
      <c r="JO23" s="16"/>
      <c r="JP23" s="16"/>
      <c r="JQ23" s="16"/>
      <c r="JR23" s="16"/>
      <c r="JS23" s="16"/>
      <c r="JT23" s="16"/>
      <c r="JU23" s="16"/>
      <c r="JV23" s="16"/>
      <c r="JW23" s="16"/>
      <c r="JX23" s="16"/>
      <c r="JY23" s="16"/>
      <c r="JZ23" s="16"/>
      <c r="KA23" s="16"/>
      <c r="KB23" s="16"/>
      <c r="KC23" s="16"/>
      <c r="KD23" s="16"/>
      <c r="KE23" s="16"/>
      <c r="KF23" s="11" t="str">
        <f t="shared" si="117"/>
        <v/>
      </c>
      <c r="KG23" s="11" t="str">
        <f t="shared" si="118"/>
        <v/>
      </c>
      <c r="KH23" s="11" t="str">
        <f t="shared" si="119"/>
        <v/>
      </c>
      <c r="KI23" s="11" t="str">
        <f t="shared" si="120"/>
        <v/>
      </c>
      <c r="KJ23" s="11" t="str">
        <f t="shared" si="121"/>
        <v/>
      </c>
      <c r="KK23" s="11" t="str">
        <f t="shared" si="122"/>
        <v/>
      </c>
      <c r="KL23" s="11" t="str">
        <f t="shared" si="123"/>
        <v/>
      </c>
      <c r="KM23" s="11" t="str">
        <f t="shared" si="124"/>
        <v/>
      </c>
      <c r="KN23" s="11" t="str">
        <f t="shared" si="125"/>
        <v/>
      </c>
      <c r="KO23" s="11" t="str">
        <f t="shared" si="126"/>
        <v/>
      </c>
      <c r="KP23" s="11" t="str">
        <f t="shared" si="127"/>
        <v/>
      </c>
      <c r="KQ23" s="11" t="str">
        <f t="shared" si="128"/>
        <v/>
      </c>
      <c r="KR23" s="11" t="str">
        <f t="shared" si="129"/>
        <v/>
      </c>
      <c r="KS23" s="11" t="str">
        <f t="shared" si="130"/>
        <v/>
      </c>
      <c r="KT23" s="15"/>
      <c r="KU23" s="15"/>
      <c r="KV23" s="15"/>
      <c r="KW23" s="15"/>
      <c r="KX23" s="15"/>
      <c r="KY23" s="15"/>
      <c r="KZ23" s="15"/>
      <c r="LA23" s="15"/>
      <c r="LB23" s="15"/>
      <c r="LC23" s="15"/>
      <c r="LD23" s="15"/>
      <c r="LE23" s="15"/>
      <c r="LF23" s="15"/>
      <c r="LG23" s="15"/>
      <c r="LH23" s="15"/>
      <c r="LI23" s="15"/>
      <c r="LJ23" s="15"/>
      <c r="LK23" s="15"/>
      <c r="LL23" s="15"/>
      <c r="LM23" s="15"/>
      <c r="LN23" s="36" t="str">
        <f t="shared" si="131"/>
        <v/>
      </c>
      <c r="LO23" s="36" t="str">
        <f t="shared" si="132"/>
        <v/>
      </c>
      <c r="LP23" s="36" t="str">
        <f t="shared" si="133"/>
        <v/>
      </c>
      <c r="LQ23" s="36" t="str">
        <f t="shared" si="134"/>
        <v/>
      </c>
      <c r="LR23" s="36" t="str">
        <f t="shared" si="135"/>
        <v/>
      </c>
      <c r="LS23" s="36" t="str">
        <f t="shared" si="136"/>
        <v/>
      </c>
      <c r="LT23" s="36" t="str">
        <f t="shared" si="137"/>
        <v/>
      </c>
      <c r="LU23" s="36" t="str">
        <f t="shared" si="138"/>
        <v/>
      </c>
      <c r="LV23" s="36" t="str">
        <f t="shared" si="139"/>
        <v/>
      </c>
      <c r="LW23" s="36" t="str">
        <f t="shared" si="140"/>
        <v/>
      </c>
      <c r="LX23" s="36" t="str">
        <f t="shared" si="141"/>
        <v/>
      </c>
      <c r="LY23" s="36" t="str">
        <f t="shared" si="142"/>
        <v/>
      </c>
      <c r="LZ23" s="36" t="str">
        <f t="shared" si="143"/>
        <v/>
      </c>
      <c r="MA23" s="36" t="str">
        <f t="shared" si="144"/>
        <v/>
      </c>
      <c r="MB23" s="16"/>
      <c r="MC23" s="16"/>
      <c r="MD23" s="16"/>
      <c r="ME23" s="16"/>
      <c r="MF23" s="16"/>
      <c r="MG23" s="16"/>
      <c r="MH23" s="16"/>
      <c r="MI23" s="16"/>
      <c r="MJ23" s="16"/>
      <c r="MK23" s="16"/>
      <c r="ML23" s="16"/>
      <c r="MM23" s="16"/>
      <c r="MN23" s="16"/>
      <c r="MO23" s="16"/>
      <c r="MP23" s="16"/>
      <c r="MQ23" s="16"/>
      <c r="MR23" s="16"/>
      <c r="MS23" s="16"/>
      <c r="MT23" s="16"/>
      <c r="MU23" s="16"/>
      <c r="MV23" s="11" t="str">
        <f t="shared" si="145"/>
        <v/>
      </c>
      <c r="MW23" s="11" t="str">
        <f t="shared" si="146"/>
        <v/>
      </c>
      <c r="MX23" s="11" t="str">
        <f t="shared" si="147"/>
        <v/>
      </c>
      <c r="MY23" s="11" t="str">
        <f t="shared" si="148"/>
        <v/>
      </c>
      <c r="MZ23" s="11" t="str">
        <f t="shared" si="149"/>
        <v/>
      </c>
      <c r="NA23" s="11" t="str">
        <f t="shared" si="150"/>
        <v/>
      </c>
      <c r="NB23" s="11" t="str">
        <f t="shared" si="151"/>
        <v/>
      </c>
      <c r="NC23" s="11" t="str">
        <f t="shared" si="152"/>
        <v/>
      </c>
      <c r="ND23" s="11" t="str">
        <f t="shared" si="153"/>
        <v/>
      </c>
      <c r="NE23" s="11" t="str">
        <f t="shared" si="154"/>
        <v/>
      </c>
      <c r="NF23" s="11" t="str">
        <f t="shared" si="155"/>
        <v/>
      </c>
      <c r="NG23" s="11" t="str">
        <f t="shared" si="156"/>
        <v/>
      </c>
      <c r="NH23" s="11" t="str">
        <f t="shared" si="157"/>
        <v/>
      </c>
      <c r="NI23" s="11" t="str">
        <f t="shared" si="158"/>
        <v/>
      </c>
      <c r="NJ23" s="15"/>
      <c r="NK23" s="15"/>
      <c r="NL23" s="15"/>
      <c r="NM23" s="15"/>
      <c r="NN23" s="15"/>
      <c r="NO23" s="15"/>
      <c r="NP23" s="15"/>
      <c r="NQ23" s="15"/>
      <c r="NR23" s="15"/>
      <c r="NS23" s="15"/>
      <c r="NT23" s="15"/>
      <c r="NU23" s="15"/>
      <c r="NV23" s="15"/>
      <c r="NW23" s="15"/>
      <c r="NX23" s="15"/>
      <c r="NY23" s="15"/>
      <c r="NZ23" s="15"/>
      <c r="OA23" s="15"/>
      <c r="OB23" s="15"/>
      <c r="OC23" s="15"/>
      <c r="OD23" s="36" t="str">
        <f t="shared" si="159"/>
        <v/>
      </c>
      <c r="OE23" s="36" t="str">
        <f t="shared" si="160"/>
        <v/>
      </c>
      <c r="OF23" s="36" t="str">
        <f t="shared" si="161"/>
        <v/>
      </c>
      <c r="OG23" s="36" t="str">
        <f t="shared" si="162"/>
        <v/>
      </c>
      <c r="OH23" s="36" t="str">
        <f t="shared" si="163"/>
        <v/>
      </c>
      <c r="OI23" s="36" t="str">
        <f t="shared" si="164"/>
        <v/>
      </c>
      <c r="OJ23" s="36" t="str">
        <f t="shared" si="165"/>
        <v/>
      </c>
      <c r="OK23" s="36" t="str">
        <f t="shared" si="166"/>
        <v/>
      </c>
      <c r="OL23" s="36" t="str">
        <f t="shared" si="167"/>
        <v/>
      </c>
      <c r="OM23" s="36" t="str">
        <f t="shared" si="168"/>
        <v/>
      </c>
      <c r="ON23" s="36" t="str">
        <f t="shared" si="169"/>
        <v/>
      </c>
      <c r="OO23" s="36" t="str">
        <f t="shared" si="170"/>
        <v/>
      </c>
      <c r="OP23" s="36" t="str">
        <f t="shared" si="171"/>
        <v/>
      </c>
      <c r="OQ23" s="36" t="str">
        <f t="shared" si="172"/>
        <v/>
      </c>
      <c r="OR23" s="16"/>
      <c r="OS23" s="16"/>
      <c r="OT23" s="16"/>
      <c r="OU23" s="16"/>
      <c r="OV23" s="16"/>
      <c r="OW23" s="16"/>
      <c r="OX23" s="16"/>
      <c r="OY23" s="16"/>
      <c r="OZ23" s="16"/>
      <c r="PA23" s="16"/>
      <c r="PB23" s="16"/>
      <c r="PC23" s="16"/>
      <c r="PD23" s="16"/>
      <c r="PE23" s="16"/>
      <c r="PF23" s="16"/>
      <c r="PG23" s="16"/>
      <c r="PH23" s="16"/>
      <c r="PI23" s="16"/>
      <c r="PJ23" s="16"/>
      <c r="PK23" s="16"/>
      <c r="PL23" s="11" t="str">
        <f t="shared" si="173"/>
        <v/>
      </c>
      <c r="PM23" s="11" t="str">
        <f t="shared" si="174"/>
        <v/>
      </c>
      <c r="PN23" s="11" t="str">
        <f t="shared" si="175"/>
        <v/>
      </c>
      <c r="PO23" s="11" t="str">
        <f t="shared" si="176"/>
        <v/>
      </c>
      <c r="PP23" s="11" t="str">
        <f t="shared" si="177"/>
        <v/>
      </c>
      <c r="PQ23" s="11" t="str">
        <f t="shared" si="178"/>
        <v/>
      </c>
      <c r="PR23" s="11" t="str">
        <f t="shared" si="179"/>
        <v/>
      </c>
      <c r="PS23" s="11" t="str">
        <f t="shared" si="180"/>
        <v/>
      </c>
      <c r="PT23" s="11" t="str">
        <f t="shared" si="181"/>
        <v/>
      </c>
      <c r="PU23" s="11" t="str">
        <f t="shared" si="182"/>
        <v/>
      </c>
      <c r="PV23" s="11" t="str">
        <f t="shared" si="183"/>
        <v/>
      </c>
      <c r="PW23" s="11" t="str">
        <f t="shared" si="184"/>
        <v/>
      </c>
      <c r="PX23" s="11" t="str">
        <f t="shared" si="185"/>
        <v/>
      </c>
      <c r="PY23" s="11" t="str">
        <f t="shared" si="186"/>
        <v/>
      </c>
      <c r="PZ23" s="15"/>
      <c r="QA23" s="15"/>
      <c r="QB23" s="15"/>
      <c r="QC23" s="15"/>
      <c r="QD23" s="15"/>
      <c r="QE23" s="15"/>
      <c r="QF23" s="15"/>
      <c r="QG23" s="15"/>
      <c r="QH23" s="15"/>
      <c r="QI23" s="15"/>
      <c r="QJ23" s="15"/>
      <c r="QK23" s="15"/>
      <c r="QL23" s="15"/>
      <c r="QM23" s="15"/>
      <c r="QN23" s="15"/>
      <c r="QO23" s="15"/>
      <c r="QP23" s="15"/>
      <c r="QQ23" s="15"/>
      <c r="QR23" s="15"/>
      <c r="QS23" s="15"/>
      <c r="QT23" s="36" t="str">
        <f t="shared" si="187"/>
        <v/>
      </c>
      <c r="QU23" s="36" t="str">
        <f t="shared" si="188"/>
        <v/>
      </c>
      <c r="QV23" s="36" t="str">
        <f t="shared" si="189"/>
        <v/>
      </c>
      <c r="QW23" s="36" t="str">
        <f t="shared" si="190"/>
        <v/>
      </c>
      <c r="QX23" s="36" t="str">
        <f t="shared" si="191"/>
        <v/>
      </c>
      <c r="QY23" s="36" t="str">
        <f t="shared" si="192"/>
        <v/>
      </c>
      <c r="QZ23" s="36" t="str">
        <f t="shared" si="193"/>
        <v/>
      </c>
      <c r="RA23" s="36" t="str">
        <f t="shared" si="194"/>
        <v/>
      </c>
      <c r="RB23" s="36" t="str">
        <f t="shared" si="195"/>
        <v/>
      </c>
      <c r="RC23" s="36" t="str">
        <f t="shared" si="196"/>
        <v/>
      </c>
      <c r="RD23" s="36" t="str">
        <f t="shared" si="197"/>
        <v/>
      </c>
      <c r="RE23" s="36" t="str">
        <f t="shared" si="198"/>
        <v/>
      </c>
      <c r="RF23" s="36" t="str">
        <f t="shared" si="199"/>
        <v/>
      </c>
      <c r="RG23" s="36" t="str">
        <f t="shared" si="200"/>
        <v/>
      </c>
      <c r="RH23" s="16"/>
      <c r="RI23" s="16"/>
      <c r="RJ23" s="16"/>
      <c r="RK23" s="16"/>
      <c r="RL23" s="16"/>
      <c r="RM23" s="16"/>
      <c r="RN23" s="16"/>
      <c r="RO23" s="16"/>
      <c r="RP23" s="16"/>
      <c r="RQ23" s="16"/>
      <c r="RR23" s="16"/>
      <c r="RS23" s="16"/>
      <c r="RT23" s="16"/>
      <c r="RU23" s="16"/>
      <c r="RV23" s="16"/>
      <c r="RW23" s="16"/>
      <c r="RX23" s="16"/>
      <c r="RY23" s="16"/>
      <c r="RZ23" s="16"/>
      <c r="SA23" s="16"/>
      <c r="SB23" s="11" t="str">
        <f t="shared" si="201"/>
        <v/>
      </c>
      <c r="SC23" s="11" t="str">
        <f t="shared" si="202"/>
        <v/>
      </c>
      <c r="SD23" s="11" t="str">
        <f t="shared" si="203"/>
        <v/>
      </c>
      <c r="SE23" s="11" t="str">
        <f t="shared" si="204"/>
        <v/>
      </c>
      <c r="SF23" s="11" t="str">
        <f t="shared" si="205"/>
        <v/>
      </c>
      <c r="SG23" s="11" t="str">
        <f t="shared" si="206"/>
        <v/>
      </c>
      <c r="SH23" s="11" t="str">
        <f t="shared" si="207"/>
        <v/>
      </c>
      <c r="SI23" s="11" t="str">
        <f t="shared" si="208"/>
        <v/>
      </c>
      <c r="SJ23" s="11" t="str">
        <f t="shared" si="209"/>
        <v/>
      </c>
      <c r="SK23" s="11" t="str">
        <f t="shared" si="210"/>
        <v/>
      </c>
      <c r="SL23" s="11" t="str">
        <f t="shared" si="211"/>
        <v/>
      </c>
      <c r="SM23" s="11" t="str">
        <f t="shared" si="212"/>
        <v/>
      </c>
      <c r="SN23" s="11" t="str">
        <f t="shared" si="213"/>
        <v/>
      </c>
      <c r="SO23" s="11" t="str">
        <f t="shared" si="214"/>
        <v/>
      </c>
      <c r="SP23" s="15"/>
      <c r="SQ23" s="15"/>
      <c r="SR23" s="15"/>
      <c r="SS23" s="15"/>
      <c r="ST23" s="15"/>
      <c r="SU23" s="15"/>
      <c r="SV23" s="15"/>
      <c r="SW23" s="15"/>
      <c r="SX23" s="15"/>
      <c r="SY23" s="15"/>
      <c r="SZ23" s="15"/>
      <c r="TA23" s="15"/>
      <c r="TB23" s="15"/>
      <c r="TC23" s="15"/>
      <c r="TD23" s="15"/>
      <c r="TE23" s="15"/>
      <c r="TF23" s="15"/>
      <c r="TG23" s="15"/>
      <c r="TH23" s="15"/>
      <c r="TI23" s="15"/>
      <c r="TJ23" s="36" t="str">
        <f t="shared" si="215"/>
        <v/>
      </c>
      <c r="TK23" s="36" t="str">
        <f t="shared" si="216"/>
        <v/>
      </c>
      <c r="TL23" s="36" t="str">
        <f t="shared" si="217"/>
        <v/>
      </c>
      <c r="TM23" s="36" t="str">
        <f t="shared" si="218"/>
        <v/>
      </c>
      <c r="TN23" s="36" t="str">
        <f t="shared" si="219"/>
        <v/>
      </c>
      <c r="TO23" s="36" t="str">
        <f t="shared" si="220"/>
        <v/>
      </c>
      <c r="TP23" s="36" t="str">
        <f t="shared" si="221"/>
        <v/>
      </c>
      <c r="TQ23" s="36" t="str">
        <f t="shared" si="222"/>
        <v/>
      </c>
      <c r="TR23" s="36" t="str">
        <f t="shared" si="223"/>
        <v/>
      </c>
      <c r="TS23" s="36" t="str">
        <f t="shared" si="224"/>
        <v/>
      </c>
      <c r="TT23" s="36" t="str">
        <f t="shared" si="225"/>
        <v/>
      </c>
      <c r="TU23" s="36" t="str">
        <f t="shared" si="226"/>
        <v/>
      </c>
      <c r="TV23" s="36" t="str">
        <f t="shared" si="227"/>
        <v/>
      </c>
      <c r="TW23" s="36" t="str">
        <f t="shared" si="228"/>
        <v/>
      </c>
      <c r="TX23" s="16"/>
      <c r="TY23" s="16"/>
      <c r="TZ23" s="16"/>
      <c r="UA23" s="16"/>
      <c r="UB23" s="16"/>
      <c r="UC23" s="16"/>
      <c r="UD23" s="16"/>
      <c r="UE23" s="16"/>
      <c r="UF23" s="16"/>
      <c r="UG23" s="16"/>
      <c r="UH23" s="16"/>
      <c r="UI23" s="16"/>
      <c r="UJ23" s="16"/>
      <c r="UK23" s="16"/>
      <c r="UL23" s="16"/>
      <c r="UM23" s="16"/>
      <c r="UN23" s="16"/>
      <c r="UO23" s="16"/>
      <c r="UP23" s="16"/>
      <c r="UQ23" s="16"/>
      <c r="UR23" s="11" t="str">
        <f t="shared" si="229"/>
        <v/>
      </c>
      <c r="US23" s="11" t="str">
        <f t="shared" si="230"/>
        <v/>
      </c>
      <c r="UT23" s="11" t="str">
        <f t="shared" si="231"/>
        <v/>
      </c>
      <c r="UU23" s="11" t="str">
        <f t="shared" si="232"/>
        <v/>
      </c>
      <c r="UV23" s="11" t="str">
        <f t="shared" si="233"/>
        <v/>
      </c>
      <c r="UW23" s="11" t="str">
        <f t="shared" si="234"/>
        <v/>
      </c>
      <c r="UX23" s="11" t="str">
        <f t="shared" si="235"/>
        <v/>
      </c>
      <c r="UY23" s="11" t="str">
        <f t="shared" si="236"/>
        <v/>
      </c>
      <c r="UZ23" s="11" t="str">
        <f t="shared" si="237"/>
        <v/>
      </c>
      <c r="VA23" s="11" t="str">
        <f t="shared" si="238"/>
        <v/>
      </c>
      <c r="VB23" s="11" t="str">
        <f t="shared" si="239"/>
        <v/>
      </c>
      <c r="VC23" s="11" t="str">
        <f t="shared" si="240"/>
        <v/>
      </c>
      <c r="VD23" s="11" t="str">
        <f t="shared" si="241"/>
        <v/>
      </c>
      <c r="VE23" s="11" t="str">
        <f t="shared" si="242"/>
        <v/>
      </c>
      <c r="VF23" s="15"/>
      <c r="VG23" s="15"/>
      <c r="VH23" s="15"/>
      <c r="VI23" s="15"/>
      <c r="VJ23" s="15"/>
      <c r="VK23" s="15"/>
      <c r="VL23" s="15"/>
      <c r="VM23" s="15"/>
      <c r="VN23" s="15"/>
      <c r="VO23" s="15"/>
      <c r="VP23" s="15"/>
      <c r="VQ23" s="15"/>
      <c r="VR23" s="15"/>
      <c r="VS23" s="15"/>
      <c r="VT23" s="15"/>
      <c r="VU23" s="15"/>
      <c r="VV23" s="15"/>
      <c r="VW23" s="15"/>
      <c r="VX23" s="15"/>
      <c r="VY23" s="15"/>
      <c r="VZ23" s="36" t="str">
        <f t="shared" si="243"/>
        <v/>
      </c>
      <c r="WA23" s="36" t="str">
        <f t="shared" si="244"/>
        <v/>
      </c>
      <c r="WB23" s="36" t="str">
        <f t="shared" si="245"/>
        <v/>
      </c>
      <c r="WC23" s="36" t="str">
        <f t="shared" si="246"/>
        <v/>
      </c>
      <c r="WD23" s="36" t="str">
        <f t="shared" si="247"/>
        <v/>
      </c>
      <c r="WE23" s="36" t="str">
        <f t="shared" si="248"/>
        <v/>
      </c>
      <c r="WF23" s="36" t="str">
        <f t="shared" si="249"/>
        <v/>
      </c>
      <c r="WG23" s="36" t="str">
        <f t="shared" si="250"/>
        <v/>
      </c>
      <c r="WH23" s="36" t="str">
        <f t="shared" si="251"/>
        <v/>
      </c>
      <c r="WI23" s="36" t="str">
        <f t="shared" si="252"/>
        <v/>
      </c>
      <c r="WJ23" s="36" t="str">
        <f t="shared" si="253"/>
        <v/>
      </c>
      <c r="WK23" s="36" t="str">
        <f t="shared" si="254"/>
        <v/>
      </c>
      <c r="WL23" s="36" t="str">
        <f t="shared" si="255"/>
        <v/>
      </c>
      <c r="WM23" s="36" t="str">
        <f t="shared" si="256"/>
        <v/>
      </c>
    </row>
    <row r="24" spans="1:611" x14ac:dyDescent="0.2">
      <c r="A24" s="4" t="str" cm="1">
        <f t="array" ref="A24">IF(AND(H24&lt;&gt;"",H24&lt;&gt;"No DD"),SUMPRODUCT((H$4:H$27&lt;&gt;"")*(H$4:H$27&lt;&gt;"No DD")*(E$4:E$27&gt;E24))+1,IF(H24="No DD",SUMPRODUCT((H$4:H$27="No DD")*(E$4:E$27&gt;E24))+1+SUMPRODUCT((H$4:H$27&lt;&gt;"")*(H$4:H$27&lt;&gt;"No DD")),""))</f>
        <v/>
      </c>
      <c r="B24" s="5" t="s">
        <v>100</v>
      </c>
      <c r="C24" s="4" t="s">
        <v>3</v>
      </c>
      <c r="D24" s="4">
        <v>2002</v>
      </c>
      <c r="E24" s="9">
        <f t="shared" si="0"/>
        <v>86.920008692004501</v>
      </c>
      <c r="F24" s="3" t="str">
        <f t="shared" si="1"/>
        <v/>
      </c>
      <c r="G24" s="3" t="str">
        <f t="shared" si="2"/>
        <v/>
      </c>
      <c r="H24" s="32" t="str">
        <f t="shared" si="3"/>
        <v/>
      </c>
      <c r="I24" s="3" t="str">
        <f t="shared" si="4"/>
        <v/>
      </c>
      <c r="J24" s="8">
        <f t="shared" si="5"/>
        <v>0</v>
      </c>
      <c r="K24" s="8" t="str">
        <f t="shared" si="6"/>
        <v/>
      </c>
      <c r="L24" s="8">
        <f>IFERROR(IF(J24=AR24,LARGE((AK24,AN24,BL24,BO24,BS24,CM24,CP24,CT24),1),IF(J24=BS24,LARGE((AK24,AN24,AR24,BL24,BO24,CM24,CP24,CT24),1),LARGE((AK24,AN24,AR24,BL24,BO24,BS24,CM24,CP24),1))),0)</f>
        <v>45.010000000000005</v>
      </c>
      <c r="M24" s="8" t="str">
        <f t="shared" si="7"/>
        <v>2025 Elite Canada</v>
      </c>
      <c r="N24" s="8">
        <f>IFERROR(IF(J24=AR24,LARGE((AK24,AN24,BL24,BO24,BS24,CM24,CP24,CT24),2),IF(J24=BS24,LARGE((AK24,AN24,AR24,BL24,BO24,CM24,CP24,CT24),2),LARGE((AK24,AN24,AR24,BL24,BO24,BS24,CM24,CP24),2))),0)</f>
        <v>41.91</v>
      </c>
      <c r="O24" s="8" t="str">
        <f t="shared" si="8"/>
        <v>2025 3rd Domestic Trial</v>
      </c>
      <c r="P24" s="8">
        <f t="shared" si="9"/>
        <v>0</v>
      </c>
      <c r="Q24" s="11" t="str">
        <f t="shared" si="10"/>
        <v/>
      </c>
      <c r="R24" s="8" t="str">
        <f t="shared" si="11"/>
        <v/>
      </c>
      <c r="S24" s="18">
        <v>9</v>
      </c>
      <c r="T24" s="18">
        <v>6.3</v>
      </c>
      <c r="U24" s="18">
        <v>5.5</v>
      </c>
      <c r="V24" s="18">
        <v>9.69</v>
      </c>
      <c r="W24" s="18">
        <v>0</v>
      </c>
      <c r="X24" s="18">
        <v>9.6999999999999993</v>
      </c>
      <c r="Y24" s="18">
        <v>9.3000000000000007</v>
      </c>
      <c r="Z24" s="18">
        <v>13.2</v>
      </c>
      <c r="AA24" s="18">
        <v>14.11</v>
      </c>
      <c r="AB24" s="18">
        <v>1.3</v>
      </c>
      <c r="AC24" s="18"/>
      <c r="AD24" s="18"/>
      <c r="AE24" s="18"/>
      <c r="AF24" s="18"/>
      <c r="AG24" s="18"/>
      <c r="AH24" s="23"/>
      <c r="AI24" s="34">
        <f t="shared" si="12"/>
        <v>5.5</v>
      </c>
      <c r="AJ24" s="34">
        <f t="shared" si="13"/>
        <v>9.69</v>
      </c>
      <c r="AK24" s="36">
        <f t="shared" si="14"/>
        <v>30.490000000000002</v>
      </c>
      <c r="AL24" s="36">
        <f t="shared" si="15"/>
        <v>13.2</v>
      </c>
      <c r="AM24" s="36">
        <f t="shared" si="16"/>
        <v>14.11</v>
      </c>
      <c r="AN24" s="36">
        <f t="shared" si="17"/>
        <v>45.010000000000005</v>
      </c>
      <c r="AO24" s="36">
        <f t="shared" si="18"/>
        <v>45.010000000000005</v>
      </c>
      <c r="AP24" s="36" t="str">
        <f t="shared" si="19"/>
        <v/>
      </c>
      <c r="AQ24" s="36" t="str">
        <f t="shared" si="20"/>
        <v/>
      </c>
      <c r="AR24" s="36" t="str">
        <f t="shared" si="21"/>
        <v/>
      </c>
      <c r="AS24" s="36">
        <f t="shared" si="22"/>
        <v>45.010000000000005</v>
      </c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4"/>
      <c r="BJ24" s="35" t="str">
        <f t="shared" si="23"/>
        <v/>
      </c>
      <c r="BK24" s="35" t="str">
        <f t="shared" si="24"/>
        <v/>
      </c>
      <c r="BL24" s="11" t="str">
        <f t="shared" si="25"/>
        <v/>
      </c>
      <c r="BM24" s="11" t="str">
        <f t="shared" si="26"/>
        <v/>
      </c>
      <c r="BN24" s="11" t="str">
        <f t="shared" si="27"/>
        <v/>
      </c>
      <c r="BO24" s="11" t="str">
        <f t="shared" si="28"/>
        <v/>
      </c>
      <c r="BP24" s="11" t="str">
        <f t="shared" si="29"/>
        <v/>
      </c>
      <c r="BQ24" s="11" t="str">
        <f t="shared" si="30"/>
        <v/>
      </c>
      <c r="BR24" s="11" t="str">
        <f t="shared" si="31"/>
        <v/>
      </c>
      <c r="BS24" s="11" t="str">
        <f t="shared" si="32"/>
        <v/>
      </c>
      <c r="BT24" s="11" t="str">
        <f t="shared" si="33"/>
        <v/>
      </c>
      <c r="BU24" s="18">
        <v>10.9</v>
      </c>
      <c r="BV24" s="18">
        <v>7.1</v>
      </c>
      <c r="BW24" s="18">
        <v>11.5</v>
      </c>
      <c r="BX24" s="18">
        <v>12.41</v>
      </c>
      <c r="BY24" s="18">
        <v>0</v>
      </c>
      <c r="BZ24" s="18">
        <v>5.0999999999999996</v>
      </c>
      <c r="CA24" s="18">
        <v>3.8</v>
      </c>
      <c r="CB24" s="18">
        <v>4.0999999999999996</v>
      </c>
      <c r="CC24" s="18">
        <v>6.26</v>
      </c>
      <c r="CD24" s="18">
        <v>0</v>
      </c>
      <c r="CE24" s="18"/>
      <c r="CF24" s="18"/>
      <c r="CG24" s="18"/>
      <c r="CH24" s="18"/>
      <c r="CI24" s="18"/>
      <c r="CJ24" s="23"/>
      <c r="CK24" s="34">
        <f t="shared" si="34"/>
        <v>11.5</v>
      </c>
      <c r="CL24" s="34">
        <f t="shared" si="35"/>
        <v>12.41</v>
      </c>
      <c r="CM24" s="36">
        <f t="shared" si="36"/>
        <v>41.91</v>
      </c>
      <c r="CN24" s="36">
        <f t="shared" si="37"/>
        <v>4.0999999999999996</v>
      </c>
      <c r="CO24" s="36">
        <f t="shared" si="38"/>
        <v>6.26</v>
      </c>
      <c r="CP24" s="36">
        <f t="shared" si="39"/>
        <v>19.259999999999998</v>
      </c>
      <c r="CQ24" s="36">
        <f t="shared" si="40"/>
        <v>41.91</v>
      </c>
      <c r="CR24" s="36" t="str">
        <f t="shared" si="41"/>
        <v/>
      </c>
      <c r="CS24" s="36" t="str">
        <f t="shared" si="42"/>
        <v/>
      </c>
      <c r="CT24" s="36" t="str">
        <f t="shared" si="43"/>
        <v/>
      </c>
      <c r="CU24" s="36">
        <f t="shared" si="44"/>
        <v>41.91</v>
      </c>
      <c r="CV24" s="47" t="str">
        <f t="shared" si="45"/>
        <v/>
      </c>
      <c r="CW24" s="47" t="str">
        <f t="shared" si="46"/>
        <v/>
      </c>
      <c r="CX24" s="15"/>
      <c r="CY24" s="15"/>
      <c r="CZ24" s="15"/>
      <c r="DA24" s="15"/>
      <c r="DB24" s="15"/>
      <c r="DC24" s="15"/>
      <c r="DD24" s="15"/>
      <c r="DE24" s="15"/>
      <c r="DF24" s="15"/>
      <c r="DG24" s="15"/>
      <c r="DH24" s="15"/>
      <c r="DI24" s="15"/>
      <c r="DJ24" s="15"/>
      <c r="DK24" s="15"/>
      <c r="DL24" s="15"/>
      <c r="DM24" s="15"/>
      <c r="DN24" s="15"/>
      <c r="DO24" s="15"/>
      <c r="DP24" s="15"/>
      <c r="DQ24" s="15"/>
      <c r="DR24" s="36" t="str">
        <f t="shared" si="47"/>
        <v/>
      </c>
      <c r="DS24" s="36" t="str">
        <f t="shared" si="48"/>
        <v/>
      </c>
      <c r="DT24" s="36" t="str">
        <f t="shared" si="49"/>
        <v/>
      </c>
      <c r="DU24" s="36" t="str">
        <f t="shared" si="50"/>
        <v/>
      </c>
      <c r="DV24" s="36" t="str">
        <f t="shared" si="51"/>
        <v/>
      </c>
      <c r="DW24" s="36" t="str">
        <f t="shared" si="52"/>
        <v/>
      </c>
      <c r="DX24" s="36" t="str">
        <f t="shared" si="53"/>
        <v/>
      </c>
      <c r="DY24" s="36" t="str">
        <f t="shared" si="54"/>
        <v/>
      </c>
      <c r="DZ24" s="36" t="str">
        <f t="shared" si="55"/>
        <v/>
      </c>
      <c r="EA24" s="36" t="str">
        <f t="shared" si="56"/>
        <v/>
      </c>
      <c r="EB24" s="36" t="str">
        <f t="shared" si="57"/>
        <v/>
      </c>
      <c r="EC24" s="36" t="str">
        <f t="shared" si="58"/>
        <v/>
      </c>
      <c r="ED24" s="36" t="str">
        <f t="shared" si="59"/>
        <v/>
      </c>
      <c r="EE24" s="36" t="str">
        <f t="shared" si="60"/>
        <v/>
      </c>
      <c r="EF24" s="16"/>
      <c r="EG24" s="16"/>
      <c r="EH24" s="16"/>
      <c r="EI24" s="16"/>
      <c r="EJ24" s="16"/>
      <c r="EK24" s="16"/>
      <c r="EL24" s="16"/>
      <c r="EM24" s="16"/>
      <c r="EN24" s="16"/>
      <c r="EO24" s="16"/>
      <c r="EP24" s="16"/>
      <c r="EQ24" s="16"/>
      <c r="ER24" s="16"/>
      <c r="ES24" s="16"/>
      <c r="ET24" s="16"/>
      <c r="EU24" s="16"/>
      <c r="EV24" s="16"/>
      <c r="EW24" s="16"/>
      <c r="EX24" s="16"/>
      <c r="EY24" s="16"/>
      <c r="EZ24" s="11" t="str">
        <f t="shared" si="61"/>
        <v/>
      </c>
      <c r="FA24" s="11" t="str">
        <f t="shared" si="62"/>
        <v/>
      </c>
      <c r="FB24" s="11" t="str">
        <f t="shared" si="63"/>
        <v/>
      </c>
      <c r="FC24" s="11" t="str">
        <f t="shared" si="64"/>
        <v/>
      </c>
      <c r="FD24" s="11" t="str">
        <f t="shared" si="65"/>
        <v/>
      </c>
      <c r="FE24" s="11" t="str">
        <f t="shared" si="66"/>
        <v/>
      </c>
      <c r="FF24" s="11" t="str">
        <f t="shared" si="67"/>
        <v/>
      </c>
      <c r="FG24" s="11" t="str">
        <f t="shared" si="68"/>
        <v/>
      </c>
      <c r="FH24" s="11" t="str">
        <f t="shared" si="69"/>
        <v/>
      </c>
      <c r="FI24" s="11" t="str">
        <f t="shared" si="70"/>
        <v/>
      </c>
      <c r="FJ24" s="11" t="str">
        <f t="shared" si="71"/>
        <v/>
      </c>
      <c r="FK24" s="11" t="str">
        <f t="shared" si="72"/>
        <v/>
      </c>
      <c r="FL24" s="11" t="str">
        <f t="shared" si="73"/>
        <v/>
      </c>
      <c r="FM24" s="11" t="str">
        <f t="shared" si="74"/>
        <v/>
      </c>
      <c r="FN24" s="15"/>
      <c r="FO24" s="15"/>
      <c r="FP24" s="15"/>
      <c r="FQ24" s="15"/>
      <c r="FR24" s="15"/>
      <c r="FS24" s="15"/>
      <c r="FT24" s="15"/>
      <c r="FU24" s="15"/>
      <c r="FV24" s="15"/>
      <c r="FW24" s="15"/>
      <c r="FX24" s="15"/>
      <c r="FY24" s="15"/>
      <c r="FZ24" s="15"/>
      <c r="GA24" s="15"/>
      <c r="GB24" s="15"/>
      <c r="GC24" s="15"/>
      <c r="GD24" s="15"/>
      <c r="GE24" s="15"/>
      <c r="GF24" s="15"/>
      <c r="GG24" s="15"/>
      <c r="GH24" s="36" t="str">
        <f t="shared" si="75"/>
        <v/>
      </c>
      <c r="GI24" s="36" t="str">
        <f t="shared" si="76"/>
        <v/>
      </c>
      <c r="GJ24" s="36" t="str">
        <f t="shared" si="77"/>
        <v/>
      </c>
      <c r="GK24" s="36" t="str">
        <f t="shared" si="78"/>
        <v/>
      </c>
      <c r="GL24" s="36" t="str">
        <f t="shared" si="79"/>
        <v/>
      </c>
      <c r="GM24" s="36" t="str">
        <f t="shared" si="80"/>
        <v/>
      </c>
      <c r="GN24" s="36" t="str">
        <f t="shared" si="81"/>
        <v/>
      </c>
      <c r="GO24" s="36" t="str">
        <f t="shared" si="82"/>
        <v/>
      </c>
      <c r="GP24" s="36" t="str">
        <f t="shared" si="83"/>
        <v/>
      </c>
      <c r="GQ24" s="36" t="str">
        <f t="shared" si="84"/>
        <v/>
      </c>
      <c r="GR24" s="36" t="str">
        <f t="shared" si="85"/>
        <v/>
      </c>
      <c r="GS24" s="36" t="str">
        <f t="shared" si="86"/>
        <v/>
      </c>
      <c r="GT24" s="36" t="str">
        <f t="shared" si="87"/>
        <v/>
      </c>
      <c r="GU24" s="36" t="str">
        <f t="shared" si="88"/>
        <v/>
      </c>
      <c r="GV24" s="16"/>
      <c r="GW24" s="16"/>
      <c r="GX24" s="16"/>
      <c r="GY24" s="16"/>
      <c r="GZ24" s="16"/>
      <c r="HA24" s="16"/>
      <c r="HB24" s="16"/>
      <c r="HC24" s="16"/>
      <c r="HD24" s="16"/>
      <c r="HE24" s="16"/>
      <c r="HF24" s="16"/>
      <c r="HG24" s="16"/>
      <c r="HH24" s="16"/>
      <c r="HI24" s="16"/>
      <c r="HJ24" s="16"/>
      <c r="HK24" s="16"/>
      <c r="HL24" s="16"/>
      <c r="HM24" s="16"/>
      <c r="HN24" s="16"/>
      <c r="HO24" s="16"/>
      <c r="HP24" s="11" t="str">
        <f t="shared" si="89"/>
        <v/>
      </c>
      <c r="HQ24" s="11" t="str">
        <f t="shared" si="90"/>
        <v/>
      </c>
      <c r="HR24" s="11" t="str">
        <f t="shared" si="91"/>
        <v/>
      </c>
      <c r="HS24" s="11" t="str">
        <f t="shared" si="92"/>
        <v/>
      </c>
      <c r="HT24" s="11" t="str">
        <f t="shared" si="93"/>
        <v/>
      </c>
      <c r="HU24" s="11" t="str">
        <f t="shared" si="94"/>
        <v/>
      </c>
      <c r="HV24" s="11" t="str">
        <f t="shared" si="95"/>
        <v/>
      </c>
      <c r="HW24" s="11" t="str">
        <f t="shared" si="96"/>
        <v/>
      </c>
      <c r="HX24" s="11" t="str">
        <f t="shared" si="97"/>
        <v/>
      </c>
      <c r="HY24" s="11" t="str">
        <f t="shared" si="98"/>
        <v/>
      </c>
      <c r="HZ24" s="11" t="str">
        <f t="shared" si="99"/>
        <v/>
      </c>
      <c r="IA24" s="11" t="str">
        <f t="shared" si="100"/>
        <v/>
      </c>
      <c r="IB24" s="11" t="str">
        <f t="shared" si="101"/>
        <v/>
      </c>
      <c r="IC24" s="11" t="str">
        <f t="shared" si="102"/>
        <v/>
      </c>
      <c r="ID24" s="15"/>
      <c r="IE24" s="15"/>
      <c r="IF24" s="15"/>
      <c r="IG24" s="15"/>
      <c r="IH24" s="15"/>
      <c r="II24" s="15"/>
      <c r="IJ24" s="15"/>
      <c r="IK24" s="15"/>
      <c r="IL24" s="15"/>
      <c r="IM24" s="15"/>
      <c r="IN24" s="15"/>
      <c r="IO24" s="15"/>
      <c r="IP24" s="15"/>
      <c r="IQ24" s="15"/>
      <c r="IR24" s="15"/>
      <c r="IS24" s="15"/>
      <c r="IT24" s="15"/>
      <c r="IU24" s="15"/>
      <c r="IV24" s="15"/>
      <c r="IW24" s="15"/>
      <c r="IX24" s="36" t="str">
        <f t="shared" si="103"/>
        <v/>
      </c>
      <c r="IY24" s="36" t="str">
        <f t="shared" si="104"/>
        <v/>
      </c>
      <c r="IZ24" s="36" t="str">
        <f t="shared" si="105"/>
        <v/>
      </c>
      <c r="JA24" s="36" t="str">
        <f t="shared" si="106"/>
        <v/>
      </c>
      <c r="JB24" s="36" t="str">
        <f t="shared" si="107"/>
        <v/>
      </c>
      <c r="JC24" s="36" t="str">
        <f t="shared" si="108"/>
        <v/>
      </c>
      <c r="JD24" s="36" t="str">
        <f t="shared" si="109"/>
        <v/>
      </c>
      <c r="JE24" s="36" t="str">
        <f t="shared" si="110"/>
        <v/>
      </c>
      <c r="JF24" s="36" t="str">
        <f t="shared" si="111"/>
        <v/>
      </c>
      <c r="JG24" s="36" t="str">
        <f t="shared" si="112"/>
        <v/>
      </c>
      <c r="JH24" s="36" t="str">
        <f t="shared" si="113"/>
        <v/>
      </c>
      <c r="JI24" s="36" t="str">
        <f t="shared" si="114"/>
        <v/>
      </c>
      <c r="JJ24" s="36" t="str">
        <f t="shared" si="115"/>
        <v/>
      </c>
      <c r="JK24" s="36" t="str">
        <f t="shared" si="116"/>
        <v/>
      </c>
      <c r="JL24" s="16"/>
      <c r="JM24" s="16"/>
      <c r="JN24" s="16"/>
      <c r="JO24" s="16"/>
      <c r="JP24" s="16"/>
      <c r="JQ24" s="16"/>
      <c r="JR24" s="16"/>
      <c r="JS24" s="16"/>
      <c r="JT24" s="16"/>
      <c r="JU24" s="16"/>
      <c r="JV24" s="16"/>
      <c r="JW24" s="16"/>
      <c r="JX24" s="16"/>
      <c r="JY24" s="16"/>
      <c r="JZ24" s="16"/>
      <c r="KA24" s="16"/>
      <c r="KB24" s="16"/>
      <c r="KC24" s="16"/>
      <c r="KD24" s="16"/>
      <c r="KE24" s="16"/>
      <c r="KF24" s="11" t="str">
        <f t="shared" si="117"/>
        <v/>
      </c>
      <c r="KG24" s="11" t="str">
        <f t="shared" si="118"/>
        <v/>
      </c>
      <c r="KH24" s="11" t="str">
        <f t="shared" si="119"/>
        <v/>
      </c>
      <c r="KI24" s="11" t="str">
        <f t="shared" si="120"/>
        <v/>
      </c>
      <c r="KJ24" s="11" t="str">
        <f t="shared" si="121"/>
        <v/>
      </c>
      <c r="KK24" s="11" t="str">
        <f t="shared" si="122"/>
        <v/>
      </c>
      <c r="KL24" s="11" t="str">
        <f t="shared" si="123"/>
        <v/>
      </c>
      <c r="KM24" s="11" t="str">
        <f t="shared" si="124"/>
        <v/>
      </c>
      <c r="KN24" s="11" t="str">
        <f t="shared" si="125"/>
        <v/>
      </c>
      <c r="KO24" s="11" t="str">
        <f t="shared" si="126"/>
        <v/>
      </c>
      <c r="KP24" s="11" t="str">
        <f t="shared" si="127"/>
        <v/>
      </c>
      <c r="KQ24" s="11" t="str">
        <f t="shared" si="128"/>
        <v/>
      </c>
      <c r="KR24" s="11" t="str">
        <f t="shared" si="129"/>
        <v/>
      </c>
      <c r="KS24" s="11" t="str">
        <f t="shared" si="130"/>
        <v/>
      </c>
      <c r="KT24" s="15"/>
      <c r="KU24" s="15"/>
      <c r="KV24" s="15"/>
      <c r="KW24" s="15"/>
      <c r="KX24" s="15"/>
      <c r="KY24" s="15"/>
      <c r="KZ24" s="15"/>
      <c r="LA24" s="15"/>
      <c r="LB24" s="15"/>
      <c r="LC24" s="15"/>
      <c r="LD24" s="15"/>
      <c r="LE24" s="15"/>
      <c r="LF24" s="15"/>
      <c r="LG24" s="15"/>
      <c r="LH24" s="15"/>
      <c r="LI24" s="15"/>
      <c r="LJ24" s="15"/>
      <c r="LK24" s="15"/>
      <c r="LL24" s="15"/>
      <c r="LM24" s="15"/>
      <c r="LN24" s="36" t="str">
        <f t="shared" si="131"/>
        <v/>
      </c>
      <c r="LO24" s="36" t="str">
        <f t="shared" si="132"/>
        <v/>
      </c>
      <c r="LP24" s="36" t="str">
        <f t="shared" si="133"/>
        <v/>
      </c>
      <c r="LQ24" s="36" t="str">
        <f t="shared" si="134"/>
        <v/>
      </c>
      <c r="LR24" s="36" t="str">
        <f t="shared" si="135"/>
        <v/>
      </c>
      <c r="LS24" s="36" t="str">
        <f t="shared" si="136"/>
        <v/>
      </c>
      <c r="LT24" s="36" t="str">
        <f t="shared" si="137"/>
        <v/>
      </c>
      <c r="LU24" s="36" t="str">
        <f t="shared" si="138"/>
        <v/>
      </c>
      <c r="LV24" s="36" t="str">
        <f t="shared" si="139"/>
        <v/>
      </c>
      <c r="LW24" s="36" t="str">
        <f t="shared" si="140"/>
        <v/>
      </c>
      <c r="LX24" s="36" t="str">
        <f t="shared" si="141"/>
        <v/>
      </c>
      <c r="LY24" s="36" t="str">
        <f t="shared" si="142"/>
        <v/>
      </c>
      <c r="LZ24" s="36" t="str">
        <f t="shared" si="143"/>
        <v/>
      </c>
      <c r="MA24" s="36" t="str">
        <f t="shared" si="144"/>
        <v/>
      </c>
      <c r="MB24" s="16"/>
      <c r="MC24" s="16"/>
      <c r="MD24" s="16"/>
      <c r="ME24" s="16"/>
      <c r="MF24" s="16"/>
      <c r="MG24" s="16"/>
      <c r="MH24" s="16"/>
      <c r="MI24" s="16"/>
      <c r="MJ24" s="16"/>
      <c r="MK24" s="16"/>
      <c r="ML24" s="16"/>
      <c r="MM24" s="16"/>
      <c r="MN24" s="16"/>
      <c r="MO24" s="16"/>
      <c r="MP24" s="16"/>
      <c r="MQ24" s="16"/>
      <c r="MR24" s="16"/>
      <c r="MS24" s="16"/>
      <c r="MT24" s="16"/>
      <c r="MU24" s="16"/>
      <c r="MV24" s="11" t="str">
        <f t="shared" si="145"/>
        <v/>
      </c>
      <c r="MW24" s="11" t="str">
        <f t="shared" si="146"/>
        <v/>
      </c>
      <c r="MX24" s="11" t="str">
        <f t="shared" si="147"/>
        <v/>
      </c>
      <c r="MY24" s="11" t="str">
        <f t="shared" si="148"/>
        <v/>
      </c>
      <c r="MZ24" s="11" t="str">
        <f t="shared" si="149"/>
        <v/>
      </c>
      <c r="NA24" s="11" t="str">
        <f t="shared" si="150"/>
        <v/>
      </c>
      <c r="NB24" s="11" t="str">
        <f t="shared" si="151"/>
        <v/>
      </c>
      <c r="NC24" s="11" t="str">
        <f t="shared" si="152"/>
        <v/>
      </c>
      <c r="ND24" s="11" t="str">
        <f t="shared" si="153"/>
        <v/>
      </c>
      <c r="NE24" s="11" t="str">
        <f t="shared" si="154"/>
        <v/>
      </c>
      <c r="NF24" s="11" t="str">
        <f t="shared" si="155"/>
        <v/>
      </c>
      <c r="NG24" s="11" t="str">
        <f t="shared" si="156"/>
        <v/>
      </c>
      <c r="NH24" s="11" t="str">
        <f t="shared" si="157"/>
        <v/>
      </c>
      <c r="NI24" s="11" t="str">
        <f t="shared" si="158"/>
        <v/>
      </c>
      <c r="NJ24" s="15"/>
      <c r="NK24" s="15"/>
      <c r="NL24" s="15"/>
      <c r="NM24" s="15"/>
      <c r="NN24" s="15"/>
      <c r="NO24" s="15"/>
      <c r="NP24" s="15"/>
      <c r="NQ24" s="15"/>
      <c r="NR24" s="15"/>
      <c r="NS24" s="15"/>
      <c r="NT24" s="15"/>
      <c r="NU24" s="15"/>
      <c r="NV24" s="15"/>
      <c r="NW24" s="15"/>
      <c r="NX24" s="15"/>
      <c r="NY24" s="15"/>
      <c r="NZ24" s="15"/>
      <c r="OA24" s="15"/>
      <c r="OB24" s="15"/>
      <c r="OC24" s="15"/>
      <c r="OD24" s="36" t="str">
        <f t="shared" si="159"/>
        <v/>
      </c>
      <c r="OE24" s="36" t="str">
        <f t="shared" si="160"/>
        <v/>
      </c>
      <c r="OF24" s="36" t="str">
        <f t="shared" si="161"/>
        <v/>
      </c>
      <c r="OG24" s="36" t="str">
        <f t="shared" si="162"/>
        <v/>
      </c>
      <c r="OH24" s="36" t="str">
        <f t="shared" si="163"/>
        <v/>
      </c>
      <c r="OI24" s="36" t="str">
        <f t="shared" si="164"/>
        <v/>
      </c>
      <c r="OJ24" s="36" t="str">
        <f t="shared" si="165"/>
        <v/>
      </c>
      <c r="OK24" s="36" t="str">
        <f t="shared" si="166"/>
        <v/>
      </c>
      <c r="OL24" s="36" t="str">
        <f t="shared" si="167"/>
        <v/>
      </c>
      <c r="OM24" s="36" t="str">
        <f t="shared" si="168"/>
        <v/>
      </c>
      <c r="ON24" s="36" t="str">
        <f t="shared" si="169"/>
        <v/>
      </c>
      <c r="OO24" s="36" t="str">
        <f t="shared" si="170"/>
        <v/>
      </c>
      <c r="OP24" s="36" t="str">
        <f t="shared" si="171"/>
        <v/>
      </c>
      <c r="OQ24" s="36" t="str">
        <f t="shared" si="172"/>
        <v/>
      </c>
      <c r="OR24" s="16"/>
      <c r="OS24" s="16"/>
      <c r="OT24" s="16"/>
      <c r="OU24" s="16"/>
      <c r="OV24" s="16"/>
      <c r="OW24" s="16"/>
      <c r="OX24" s="16"/>
      <c r="OY24" s="16"/>
      <c r="OZ24" s="16"/>
      <c r="PA24" s="16"/>
      <c r="PB24" s="16"/>
      <c r="PC24" s="16"/>
      <c r="PD24" s="16"/>
      <c r="PE24" s="16"/>
      <c r="PF24" s="16"/>
      <c r="PG24" s="16"/>
      <c r="PH24" s="16"/>
      <c r="PI24" s="16"/>
      <c r="PJ24" s="16"/>
      <c r="PK24" s="16"/>
      <c r="PL24" s="11" t="str">
        <f t="shared" si="173"/>
        <v/>
      </c>
      <c r="PM24" s="11" t="str">
        <f t="shared" si="174"/>
        <v/>
      </c>
      <c r="PN24" s="11" t="str">
        <f t="shared" si="175"/>
        <v/>
      </c>
      <c r="PO24" s="11" t="str">
        <f t="shared" si="176"/>
        <v/>
      </c>
      <c r="PP24" s="11" t="str">
        <f t="shared" si="177"/>
        <v/>
      </c>
      <c r="PQ24" s="11" t="str">
        <f t="shared" si="178"/>
        <v/>
      </c>
      <c r="PR24" s="11" t="str">
        <f t="shared" si="179"/>
        <v/>
      </c>
      <c r="PS24" s="11" t="str">
        <f t="shared" si="180"/>
        <v/>
      </c>
      <c r="PT24" s="11" t="str">
        <f t="shared" si="181"/>
        <v/>
      </c>
      <c r="PU24" s="11" t="str">
        <f t="shared" si="182"/>
        <v/>
      </c>
      <c r="PV24" s="11" t="str">
        <f t="shared" si="183"/>
        <v/>
      </c>
      <c r="PW24" s="11" t="str">
        <f t="shared" si="184"/>
        <v/>
      </c>
      <c r="PX24" s="11" t="str">
        <f t="shared" si="185"/>
        <v/>
      </c>
      <c r="PY24" s="11" t="str">
        <f t="shared" si="186"/>
        <v/>
      </c>
      <c r="PZ24" s="15"/>
      <c r="QA24" s="15"/>
      <c r="QB24" s="15"/>
      <c r="QC24" s="15"/>
      <c r="QD24" s="15"/>
      <c r="QE24" s="15"/>
      <c r="QF24" s="15"/>
      <c r="QG24" s="15"/>
      <c r="QH24" s="15"/>
      <c r="QI24" s="15"/>
      <c r="QJ24" s="15"/>
      <c r="QK24" s="15"/>
      <c r="QL24" s="15"/>
      <c r="QM24" s="15"/>
      <c r="QN24" s="15"/>
      <c r="QO24" s="15"/>
      <c r="QP24" s="15"/>
      <c r="QQ24" s="15"/>
      <c r="QR24" s="15"/>
      <c r="QS24" s="15"/>
      <c r="QT24" s="36" t="str">
        <f t="shared" si="187"/>
        <v/>
      </c>
      <c r="QU24" s="36" t="str">
        <f t="shared" si="188"/>
        <v/>
      </c>
      <c r="QV24" s="36" t="str">
        <f t="shared" si="189"/>
        <v/>
      </c>
      <c r="QW24" s="36" t="str">
        <f t="shared" si="190"/>
        <v/>
      </c>
      <c r="QX24" s="36" t="str">
        <f t="shared" si="191"/>
        <v/>
      </c>
      <c r="QY24" s="36" t="str">
        <f t="shared" si="192"/>
        <v/>
      </c>
      <c r="QZ24" s="36" t="str">
        <f t="shared" si="193"/>
        <v/>
      </c>
      <c r="RA24" s="36" t="str">
        <f t="shared" si="194"/>
        <v/>
      </c>
      <c r="RB24" s="36" t="str">
        <f t="shared" si="195"/>
        <v/>
      </c>
      <c r="RC24" s="36" t="str">
        <f t="shared" si="196"/>
        <v/>
      </c>
      <c r="RD24" s="36" t="str">
        <f t="shared" si="197"/>
        <v/>
      </c>
      <c r="RE24" s="36" t="str">
        <f t="shared" si="198"/>
        <v/>
      </c>
      <c r="RF24" s="36" t="str">
        <f t="shared" si="199"/>
        <v/>
      </c>
      <c r="RG24" s="36" t="str">
        <f t="shared" si="200"/>
        <v/>
      </c>
      <c r="RH24" s="16"/>
      <c r="RI24" s="16"/>
      <c r="RJ24" s="16"/>
      <c r="RK24" s="16"/>
      <c r="RL24" s="16"/>
      <c r="RM24" s="16"/>
      <c r="RN24" s="16"/>
      <c r="RO24" s="16"/>
      <c r="RP24" s="16"/>
      <c r="RQ24" s="16"/>
      <c r="RR24" s="16"/>
      <c r="RS24" s="16"/>
      <c r="RT24" s="16"/>
      <c r="RU24" s="16"/>
      <c r="RV24" s="16"/>
      <c r="RW24" s="16"/>
      <c r="RX24" s="16"/>
      <c r="RY24" s="16"/>
      <c r="RZ24" s="16"/>
      <c r="SA24" s="16"/>
      <c r="SB24" s="11" t="str">
        <f t="shared" si="201"/>
        <v/>
      </c>
      <c r="SC24" s="11" t="str">
        <f t="shared" si="202"/>
        <v/>
      </c>
      <c r="SD24" s="11" t="str">
        <f t="shared" si="203"/>
        <v/>
      </c>
      <c r="SE24" s="11" t="str">
        <f t="shared" si="204"/>
        <v/>
      </c>
      <c r="SF24" s="11" t="str">
        <f t="shared" si="205"/>
        <v/>
      </c>
      <c r="SG24" s="11" t="str">
        <f t="shared" si="206"/>
        <v/>
      </c>
      <c r="SH24" s="11" t="str">
        <f t="shared" si="207"/>
        <v/>
      </c>
      <c r="SI24" s="11" t="str">
        <f t="shared" si="208"/>
        <v/>
      </c>
      <c r="SJ24" s="11" t="str">
        <f t="shared" si="209"/>
        <v/>
      </c>
      <c r="SK24" s="11" t="str">
        <f t="shared" si="210"/>
        <v/>
      </c>
      <c r="SL24" s="11" t="str">
        <f t="shared" si="211"/>
        <v/>
      </c>
      <c r="SM24" s="11" t="str">
        <f t="shared" si="212"/>
        <v/>
      </c>
      <c r="SN24" s="11" t="str">
        <f t="shared" si="213"/>
        <v/>
      </c>
      <c r="SO24" s="11" t="str">
        <f t="shared" si="214"/>
        <v/>
      </c>
      <c r="SP24" s="15"/>
      <c r="SQ24" s="15"/>
      <c r="SR24" s="15"/>
      <c r="SS24" s="15"/>
      <c r="ST24" s="15"/>
      <c r="SU24" s="15"/>
      <c r="SV24" s="15"/>
      <c r="SW24" s="15"/>
      <c r="SX24" s="15"/>
      <c r="SY24" s="15"/>
      <c r="SZ24" s="15"/>
      <c r="TA24" s="15"/>
      <c r="TB24" s="15"/>
      <c r="TC24" s="15"/>
      <c r="TD24" s="15"/>
      <c r="TE24" s="15"/>
      <c r="TF24" s="15"/>
      <c r="TG24" s="15"/>
      <c r="TH24" s="15"/>
      <c r="TI24" s="15"/>
      <c r="TJ24" s="36" t="str">
        <f t="shared" si="215"/>
        <v/>
      </c>
      <c r="TK24" s="36" t="str">
        <f t="shared" si="216"/>
        <v/>
      </c>
      <c r="TL24" s="36" t="str">
        <f t="shared" si="217"/>
        <v/>
      </c>
      <c r="TM24" s="36" t="str">
        <f t="shared" si="218"/>
        <v/>
      </c>
      <c r="TN24" s="36" t="str">
        <f t="shared" si="219"/>
        <v/>
      </c>
      <c r="TO24" s="36" t="str">
        <f t="shared" si="220"/>
        <v/>
      </c>
      <c r="TP24" s="36" t="str">
        <f t="shared" si="221"/>
        <v/>
      </c>
      <c r="TQ24" s="36" t="str">
        <f t="shared" si="222"/>
        <v/>
      </c>
      <c r="TR24" s="36" t="str">
        <f t="shared" si="223"/>
        <v/>
      </c>
      <c r="TS24" s="36" t="str">
        <f t="shared" si="224"/>
        <v/>
      </c>
      <c r="TT24" s="36" t="str">
        <f t="shared" si="225"/>
        <v/>
      </c>
      <c r="TU24" s="36" t="str">
        <f t="shared" si="226"/>
        <v/>
      </c>
      <c r="TV24" s="36" t="str">
        <f t="shared" si="227"/>
        <v/>
      </c>
      <c r="TW24" s="36" t="str">
        <f t="shared" si="228"/>
        <v/>
      </c>
      <c r="TX24" s="16"/>
      <c r="TY24" s="16"/>
      <c r="TZ24" s="16"/>
      <c r="UA24" s="16"/>
      <c r="UB24" s="16"/>
      <c r="UC24" s="16"/>
      <c r="UD24" s="16"/>
      <c r="UE24" s="16"/>
      <c r="UF24" s="16"/>
      <c r="UG24" s="16"/>
      <c r="UH24" s="16"/>
      <c r="UI24" s="16"/>
      <c r="UJ24" s="16"/>
      <c r="UK24" s="16"/>
      <c r="UL24" s="16"/>
      <c r="UM24" s="16"/>
      <c r="UN24" s="16"/>
      <c r="UO24" s="16"/>
      <c r="UP24" s="16"/>
      <c r="UQ24" s="16"/>
      <c r="UR24" s="11" t="str">
        <f t="shared" si="229"/>
        <v/>
      </c>
      <c r="US24" s="11" t="str">
        <f t="shared" si="230"/>
        <v/>
      </c>
      <c r="UT24" s="11" t="str">
        <f t="shared" si="231"/>
        <v/>
      </c>
      <c r="UU24" s="11" t="str">
        <f t="shared" si="232"/>
        <v/>
      </c>
      <c r="UV24" s="11" t="str">
        <f t="shared" si="233"/>
        <v/>
      </c>
      <c r="UW24" s="11" t="str">
        <f t="shared" si="234"/>
        <v/>
      </c>
      <c r="UX24" s="11" t="str">
        <f t="shared" si="235"/>
        <v/>
      </c>
      <c r="UY24" s="11" t="str">
        <f t="shared" si="236"/>
        <v/>
      </c>
      <c r="UZ24" s="11" t="str">
        <f t="shared" si="237"/>
        <v/>
      </c>
      <c r="VA24" s="11" t="str">
        <f t="shared" si="238"/>
        <v/>
      </c>
      <c r="VB24" s="11" t="str">
        <f t="shared" si="239"/>
        <v/>
      </c>
      <c r="VC24" s="11" t="str">
        <f t="shared" si="240"/>
        <v/>
      </c>
      <c r="VD24" s="11" t="str">
        <f t="shared" si="241"/>
        <v/>
      </c>
      <c r="VE24" s="11" t="str">
        <f t="shared" si="242"/>
        <v/>
      </c>
      <c r="VF24" s="15"/>
      <c r="VG24" s="15"/>
      <c r="VH24" s="15"/>
      <c r="VI24" s="15"/>
      <c r="VJ24" s="15"/>
      <c r="VK24" s="15"/>
      <c r="VL24" s="15"/>
      <c r="VM24" s="15"/>
      <c r="VN24" s="15"/>
      <c r="VO24" s="15"/>
      <c r="VP24" s="15"/>
      <c r="VQ24" s="15"/>
      <c r="VR24" s="15"/>
      <c r="VS24" s="15"/>
      <c r="VT24" s="15"/>
      <c r="VU24" s="15"/>
      <c r="VV24" s="15"/>
      <c r="VW24" s="15"/>
      <c r="VX24" s="15"/>
      <c r="VY24" s="15"/>
      <c r="VZ24" s="36" t="str">
        <f t="shared" si="243"/>
        <v/>
      </c>
      <c r="WA24" s="36" t="str">
        <f t="shared" si="244"/>
        <v/>
      </c>
      <c r="WB24" s="36" t="str">
        <f t="shared" si="245"/>
        <v/>
      </c>
      <c r="WC24" s="36" t="str">
        <f t="shared" si="246"/>
        <v/>
      </c>
      <c r="WD24" s="36" t="str">
        <f t="shared" si="247"/>
        <v/>
      </c>
      <c r="WE24" s="36" t="str">
        <f t="shared" si="248"/>
        <v/>
      </c>
      <c r="WF24" s="36" t="str">
        <f t="shared" si="249"/>
        <v/>
      </c>
      <c r="WG24" s="36" t="str">
        <f t="shared" si="250"/>
        <v/>
      </c>
      <c r="WH24" s="36" t="str">
        <f t="shared" si="251"/>
        <v/>
      </c>
      <c r="WI24" s="36" t="str">
        <f t="shared" si="252"/>
        <v/>
      </c>
      <c r="WJ24" s="36" t="str">
        <f t="shared" si="253"/>
        <v/>
      </c>
      <c r="WK24" s="36" t="str">
        <f t="shared" si="254"/>
        <v/>
      </c>
      <c r="WL24" s="36" t="str">
        <f t="shared" si="255"/>
        <v/>
      </c>
      <c r="WM24" s="36" t="str">
        <f t="shared" si="256"/>
        <v/>
      </c>
    </row>
    <row r="25" spans="1:611" x14ac:dyDescent="0.2">
      <c r="A25" s="4" t="str" cm="1">
        <f t="array" ref="A25">IF(AND(H25&lt;&gt;"",H25&lt;&gt;"No DD"),SUMPRODUCT((H$4:H$27&lt;&gt;"")*(H$4:H$27&lt;&gt;"No DD")*(E$4:E$27&gt;E25))+1,IF(H25="No DD",SUMPRODUCT((H$4:H$27="No DD")*(E$4:E$27&gt;E25))+1+SUMPRODUCT((H$4:H$27&lt;&gt;"")*(H$4:H$27&lt;&gt;"No DD")),""))</f>
        <v/>
      </c>
      <c r="B25" s="5" t="s">
        <v>63</v>
      </c>
      <c r="C25" s="4" t="s">
        <v>3</v>
      </c>
      <c r="D25" s="4">
        <v>1988</v>
      </c>
      <c r="E25" s="9">
        <f t="shared" si="0"/>
        <v>63.810006381004229</v>
      </c>
      <c r="F25" s="3" t="str">
        <f t="shared" si="1"/>
        <v/>
      </c>
      <c r="G25" s="3" t="str">
        <f t="shared" si="2"/>
        <v/>
      </c>
      <c r="H25" s="32" t="str">
        <f t="shared" si="3"/>
        <v/>
      </c>
      <c r="I25" s="3" t="str">
        <f t="shared" si="4"/>
        <v/>
      </c>
      <c r="J25" s="8">
        <f t="shared" si="5"/>
        <v>0</v>
      </c>
      <c r="K25" s="8" t="str">
        <f t="shared" si="6"/>
        <v/>
      </c>
      <c r="L25" s="8">
        <f>IFERROR(IF(J25=AR25,LARGE((AK25,AN25,BL25,BO25,BS25,CM25,CP25,CT25),1),IF(J25=BS25,LARGE((AK25,AN25,AR25,BL25,BO25,CM25,CP25,CT25),1),LARGE((AK25,AN25,AR25,BL25,BO25,BS25,CM25,CP25),1))),0)</f>
        <v>42.25</v>
      </c>
      <c r="M25" s="8" t="str">
        <f t="shared" si="7"/>
        <v>2025 Elite Canada</v>
      </c>
      <c r="N25" s="8">
        <f>IFERROR(IF(J25=AR25,LARGE((AK25,AN25,BL25,BO25,BS25,CM25,CP25,CT25),2),IF(J25=BS25,LARGE((AK25,AN25,AR25,BL25,BO25,CM25,CP25,CT25),2),LARGE((AK25,AN25,AR25,BL25,BO25,BS25,CM25,CP25),2))),0)</f>
        <v>21.56</v>
      </c>
      <c r="O25" s="8" t="str">
        <f t="shared" si="8"/>
        <v>2025 Elite Canada</v>
      </c>
      <c r="P25" s="8">
        <f t="shared" si="9"/>
        <v>0</v>
      </c>
      <c r="Q25" s="11" t="str">
        <f t="shared" si="10"/>
        <v/>
      </c>
      <c r="R25" s="8" t="str">
        <f t="shared" si="11"/>
        <v/>
      </c>
      <c r="S25" s="18">
        <v>12.6</v>
      </c>
      <c r="T25" s="18">
        <v>9.1999999999999993</v>
      </c>
      <c r="U25" s="18">
        <v>10.5</v>
      </c>
      <c r="V25" s="18">
        <v>13.95</v>
      </c>
      <c r="W25" s="18">
        <v>4</v>
      </c>
      <c r="X25" s="18">
        <v>5.5</v>
      </c>
      <c r="Y25" s="18">
        <v>3.7</v>
      </c>
      <c r="Z25" s="18">
        <v>6.3</v>
      </c>
      <c r="AA25" s="18">
        <v>6.06</v>
      </c>
      <c r="AB25" s="18">
        <v>0</v>
      </c>
      <c r="AC25" s="18"/>
      <c r="AD25" s="18"/>
      <c r="AE25" s="18"/>
      <c r="AF25" s="18"/>
      <c r="AG25" s="18"/>
      <c r="AH25" s="23"/>
      <c r="AI25" s="34">
        <f t="shared" si="12"/>
        <v>10.5</v>
      </c>
      <c r="AJ25" s="34">
        <f t="shared" si="13"/>
        <v>13.95</v>
      </c>
      <c r="AK25" s="36">
        <f t="shared" si="14"/>
        <v>42.25</v>
      </c>
      <c r="AL25" s="36">
        <f t="shared" si="15"/>
        <v>6.3</v>
      </c>
      <c r="AM25" s="36">
        <f t="shared" si="16"/>
        <v>6.06</v>
      </c>
      <c r="AN25" s="36">
        <f t="shared" si="17"/>
        <v>21.56</v>
      </c>
      <c r="AO25" s="36">
        <f t="shared" si="18"/>
        <v>42.25</v>
      </c>
      <c r="AP25" s="36" t="str">
        <f t="shared" si="19"/>
        <v/>
      </c>
      <c r="AQ25" s="36" t="str">
        <f t="shared" si="20"/>
        <v/>
      </c>
      <c r="AR25" s="36" t="str">
        <f t="shared" si="21"/>
        <v/>
      </c>
      <c r="AS25" s="36">
        <f t="shared" si="22"/>
        <v>42.25</v>
      </c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4"/>
      <c r="BJ25" s="35" t="str">
        <f t="shared" si="23"/>
        <v/>
      </c>
      <c r="BK25" s="35" t="str">
        <f t="shared" si="24"/>
        <v/>
      </c>
      <c r="BL25" s="11" t="str">
        <f t="shared" si="25"/>
        <v/>
      </c>
      <c r="BM25" s="11" t="str">
        <f t="shared" si="26"/>
        <v/>
      </c>
      <c r="BN25" s="11" t="str">
        <f t="shared" si="27"/>
        <v/>
      </c>
      <c r="BO25" s="11" t="str">
        <f t="shared" si="28"/>
        <v/>
      </c>
      <c r="BP25" s="11" t="str">
        <f t="shared" si="29"/>
        <v/>
      </c>
      <c r="BQ25" s="11" t="str">
        <f t="shared" si="30"/>
        <v/>
      </c>
      <c r="BR25" s="11" t="str">
        <f t="shared" si="31"/>
        <v/>
      </c>
      <c r="BS25" s="11" t="str">
        <f t="shared" si="32"/>
        <v/>
      </c>
      <c r="BT25" s="11" t="str">
        <f t="shared" si="33"/>
        <v/>
      </c>
      <c r="BU25" s="18"/>
      <c r="BV25" s="18"/>
      <c r="BW25" s="18"/>
      <c r="BX25" s="18"/>
      <c r="BY25" s="18"/>
      <c r="BZ25" s="18"/>
      <c r="CA25" s="18"/>
      <c r="CB25" s="18"/>
      <c r="CC25" s="18"/>
      <c r="CD25" s="18"/>
      <c r="CE25" s="18"/>
      <c r="CF25" s="18"/>
      <c r="CG25" s="18"/>
      <c r="CH25" s="18"/>
      <c r="CI25" s="18"/>
      <c r="CJ25" s="23"/>
      <c r="CK25" s="34" t="str">
        <f t="shared" si="34"/>
        <v/>
      </c>
      <c r="CL25" s="34" t="str">
        <f t="shared" si="35"/>
        <v/>
      </c>
      <c r="CM25" s="36" t="str">
        <f t="shared" si="36"/>
        <v/>
      </c>
      <c r="CN25" s="36" t="str">
        <f t="shared" si="37"/>
        <v/>
      </c>
      <c r="CO25" s="36" t="str">
        <f t="shared" si="38"/>
        <v/>
      </c>
      <c r="CP25" s="36" t="str">
        <f t="shared" si="39"/>
        <v/>
      </c>
      <c r="CQ25" s="36" t="str">
        <f t="shared" si="40"/>
        <v/>
      </c>
      <c r="CR25" s="36" t="str">
        <f t="shared" si="41"/>
        <v/>
      </c>
      <c r="CS25" s="36" t="str">
        <f t="shared" si="42"/>
        <v/>
      </c>
      <c r="CT25" s="36" t="str">
        <f t="shared" si="43"/>
        <v/>
      </c>
      <c r="CU25" s="36" t="str">
        <f t="shared" si="44"/>
        <v/>
      </c>
      <c r="CV25" s="47" t="str">
        <f t="shared" si="45"/>
        <v/>
      </c>
      <c r="CW25" s="47" t="str">
        <f t="shared" si="46"/>
        <v/>
      </c>
      <c r="CX25" s="15"/>
      <c r="CY25" s="15"/>
      <c r="CZ25" s="15"/>
      <c r="DA25" s="15"/>
      <c r="DB25" s="15"/>
      <c r="DC25" s="15"/>
      <c r="DD25" s="15"/>
      <c r="DE25" s="15"/>
      <c r="DF25" s="15"/>
      <c r="DG25" s="15"/>
      <c r="DH25" s="15"/>
      <c r="DI25" s="15"/>
      <c r="DJ25" s="15"/>
      <c r="DK25" s="15"/>
      <c r="DL25" s="15"/>
      <c r="DM25" s="15"/>
      <c r="DN25" s="15"/>
      <c r="DO25" s="15"/>
      <c r="DP25" s="15"/>
      <c r="DQ25" s="15"/>
      <c r="DR25" s="36" t="str">
        <f t="shared" si="47"/>
        <v/>
      </c>
      <c r="DS25" s="36" t="str">
        <f t="shared" si="48"/>
        <v/>
      </c>
      <c r="DT25" s="36" t="str">
        <f t="shared" si="49"/>
        <v/>
      </c>
      <c r="DU25" s="36" t="str">
        <f t="shared" si="50"/>
        <v/>
      </c>
      <c r="DV25" s="36" t="str">
        <f t="shared" si="51"/>
        <v/>
      </c>
      <c r="DW25" s="36" t="str">
        <f t="shared" si="52"/>
        <v/>
      </c>
      <c r="DX25" s="36" t="str">
        <f t="shared" si="53"/>
        <v/>
      </c>
      <c r="DY25" s="36" t="str">
        <f t="shared" si="54"/>
        <v/>
      </c>
      <c r="DZ25" s="36" t="str">
        <f t="shared" si="55"/>
        <v/>
      </c>
      <c r="EA25" s="36" t="str">
        <f t="shared" si="56"/>
        <v/>
      </c>
      <c r="EB25" s="36" t="str">
        <f t="shared" si="57"/>
        <v/>
      </c>
      <c r="EC25" s="36" t="str">
        <f t="shared" si="58"/>
        <v/>
      </c>
      <c r="ED25" s="36" t="str">
        <f t="shared" si="59"/>
        <v/>
      </c>
      <c r="EE25" s="36" t="str">
        <f t="shared" si="60"/>
        <v/>
      </c>
      <c r="EF25" s="16"/>
      <c r="EG25" s="16"/>
      <c r="EH25" s="16"/>
      <c r="EI25" s="16"/>
      <c r="EJ25" s="16"/>
      <c r="EK25" s="16"/>
      <c r="EL25" s="16"/>
      <c r="EM25" s="16"/>
      <c r="EN25" s="16"/>
      <c r="EO25" s="16"/>
      <c r="EP25" s="16"/>
      <c r="EQ25" s="16"/>
      <c r="ER25" s="16"/>
      <c r="ES25" s="16"/>
      <c r="ET25" s="16"/>
      <c r="EU25" s="16"/>
      <c r="EV25" s="16"/>
      <c r="EW25" s="16"/>
      <c r="EX25" s="16"/>
      <c r="EY25" s="16"/>
      <c r="EZ25" s="11" t="str">
        <f t="shared" si="61"/>
        <v/>
      </c>
      <c r="FA25" s="11" t="str">
        <f t="shared" si="62"/>
        <v/>
      </c>
      <c r="FB25" s="11" t="str">
        <f t="shared" si="63"/>
        <v/>
      </c>
      <c r="FC25" s="11" t="str">
        <f t="shared" si="64"/>
        <v/>
      </c>
      <c r="FD25" s="11" t="str">
        <f t="shared" si="65"/>
        <v/>
      </c>
      <c r="FE25" s="11" t="str">
        <f t="shared" si="66"/>
        <v/>
      </c>
      <c r="FF25" s="11" t="str">
        <f t="shared" si="67"/>
        <v/>
      </c>
      <c r="FG25" s="11" t="str">
        <f t="shared" si="68"/>
        <v/>
      </c>
      <c r="FH25" s="11" t="str">
        <f t="shared" si="69"/>
        <v/>
      </c>
      <c r="FI25" s="11" t="str">
        <f t="shared" si="70"/>
        <v/>
      </c>
      <c r="FJ25" s="11" t="str">
        <f t="shared" si="71"/>
        <v/>
      </c>
      <c r="FK25" s="11" t="str">
        <f t="shared" si="72"/>
        <v/>
      </c>
      <c r="FL25" s="11" t="str">
        <f t="shared" si="73"/>
        <v/>
      </c>
      <c r="FM25" s="11" t="str">
        <f t="shared" si="74"/>
        <v/>
      </c>
      <c r="FN25" s="15"/>
      <c r="FO25" s="15"/>
      <c r="FP25" s="15"/>
      <c r="FQ25" s="15"/>
      <c r="FR25" s="15"/>
      <c r="FS25" s="15"/>
      <c r="FT25" s="15"/>
      <c r="FU25" s="15"/>
      <c r="FV25" s="15"/>
      <c r="FW25" s="15"/>
      <c r="FX25" s="15"/>
      <c r="FY25" s="15"/>
      <c r="FZ25" s="15"/>
      <c r="GA25" s="15"/>
      <c r="GB25" s="15"/>
      <c r="GC25" s="15"/>
      <c r="GD25" s="15"/>
      <c r="GE25" s="15"/>
      <c r="GF25" s="15"/>
      <c r="GG25" s="15"/>
      <c r="GH25" s="36" t="str">
        <f t="shared" si="75"/>
        <v/>
      </c>
      <c r="GI25" s="36" t="str">
        <f t="shared" si="76"/>
        <v/>
      </c>
      <c r="GJ25" s="36" t="str">
        <f t="shared" si="77"/>
        <v/>
      </c>
      <c r="GK25" s="36" t="str">
        <f t="shared" si="78"/>
        <v/>
      </c>
      <c r="GL25" s="36" t="str">
        <f t="shared" si="79"/>
        <v/>
      </c>
      <c r="GM25" s="36" t="str">
        <f t="shared" si="80"/>
        <v/>
      </c>
      <c r="GN25" s="36" t="str">
        <f t="shared" si="81"/>
        <v/>
      </c>
      <c r="GO25" s="36" t="str">
        <f t="shared" si="82"/>
        <v/>
      </c>
      <c r="GP25" s="36" t="str">
        <f t="shared" si="83"/>
        <v/>
      </c>
      <c r="GQ25" s="36" t="str">
        <f t="shared" si="84"/>
        <v/>
      </c>
      <c r="GR25" s="36" t="str">
        <f t="shared" si="85"/>
        <v/>
      </c>
      <c r="GS25" s="36" t="str">
        <f t="shared" si="86"/>
        <v/>
      </c>
      <c r="GT25" s="36" t="str">
        <f t="shared" si="87"/>
        <v/>
      </c>
      <c r="GU25" s="36" t="str">
        <f t="shared" si="88"/>
        <v/>
      </c>
      <c r="GV25" s="16"/>
      <c r="GW25" s="16"/>
      <c r="GX25" s="16"/>
      <c r="GY25" s="16"/>
      <c r="GZ25" s="16"/>
      <c r="HA25" s="16"/>
      <c r="HB25" s="16"/>
      <c r="HC25" s="16"/>
      <c r="HD25" s="16"/>
      <c r="HE25" s="16"/>
      <c r="HF25" s="16"/>
      <c r="HG25" s="16"/>
      <c r="HH25" s="16"/>
      <c r="HI25" s="16"/>
      <c r="HJ25" s="16"/>
      <c r="HK25" s="16"/>
      <c r="HL25" s="16"/>
      <c r="HM25" s="16"/>
      <c r="HN25" s="16"/>
      <c r="HO25" s="16"/>
      <c r="HP25" s="11" t="str">
        <f t="shared" si="89"/>
        <v/>
      </c>
      <c r="HQ25" s="11" t="str">
        <f t="shared" si="90"/>
        <v/>
      </c>
      <c r="HR25" s="11" t="str">
        <f t="shared" si="91"/>
        <v/>
      </c>
      <c r="HS25" s="11" t="str">
        <f t="shared" si="92"/>
        <v/>
      </c>
      <c r="HT25" s="11" t="str">
        <f t="shared" si="93"/>
        <v/>
      </c>
      <c r="HU25" s="11" t="str">
        <f t="shared" si="94"/>
        <v/>
      </c>
      <c r="HV25" s="11" t="str">
        <f t="shared" si="95"/>
        <v/>
      </c>
      <c r="HW25" s="11" t="str">
        <f t="shared" si="96"/>
        <v/>
      </c>
      <c r="HX25" s="11" t="str">
        <f t="shared" si="97"/>
        <v/>
      </c>
      <c r="HY25" s="11" t="str">
        <f t="shared" si="98"/>
        <v/>
      </c>
      <c r="HZ25" s="11" t="str">
        <f t="shared" si="99"/>
        <v/>
      </c>
      <c r="IA25" s="11" t="str">
        <f t="shared" si="100"/>
        <v/>
      </c>
      <c r="IB25" s="11" t="str">
        <f t="shared" si="101"/>
        <v/>
      </c>
      <c r="IC25" s="11" t="str">
        <f t="shared" si="102"/>
        <v/>
      </c>
      <c r="ID25" s="15"/>
      <c r="IE25" s="15"/>
      <c r="IF25" s="15"/>
      <c r="IG25" s="15"/>
      <c r="IH25" s="15"/>
      <c r="II25" s="15"/>
      <c r="IJ25" s="15"/>
      <c r="IK25" s="15"/>
      <c r="IL25" s="15"/>
      <c r="IM25" s="15"/>
      <c r="IN25" s="15"/>
      <c r="IO25" s="15"/>
      <c r="IP25" s="15"/>
      <c r="IQ25" s="15"/>
      <c r="IR25" s="15"/>
      <c r="IS25" s="15"/>
      <c r="IT25" s="15"/>
      <c r="IU25" s="15"/>
      <c r="IV25" s="15"/>
      <c r="IW25" s="15"/>
      <c r="IX25" s="36" t="str">
        <f t="shared" si="103"/>
        <v/>
      </c>
      <c r="IY25" s="36" t="str">
        <f t="shared" si="104"/>
        <v/>
      </c>
      <c r="IZ25" s="36" t="str">
        <f t="shared" si="105"/>
        <v/>
      </c>
      <c r="JA25" s="36" t="str">
        <f t="shared" si="106"/>
        <v/>
      </c>
      <c r="JB25" s="36" t="str">
        <f t="shared" si="107"/>
        <v/>
      </c>
      <c r="JC25" s="36" t="str">
        <f t="shared" si="108"/>
        <v/>
      </c>
      <c r="JD25" s="36" t="str">
        <f t="shared" si="109"/>
        <v/>
      </c>
      <c r="JE25" s="36" t="str">
        <f t="shared" si="110"/>
        <v/>
      </c>
      <c r="JF25" s="36" t="str">
        <f t="shared" si="111"/>
        <v/>
      </c>
      <c r="JG25" s="36" t="str">
        <f t="shared" si="112"/>
        <v/>
      </c>
      <c r="JH25" s="36" t="str">
        <f t="shared" si="113"/>
        <v/>
      </c>
      <c r="JI25" s="36" t="str">
        <f t="shared" si="114"/>
        <v/>
      </c>
      <c r="JJ25" s="36" t="str">
        <f t="shared" si="115"/>
        <v/>
      </c>
      <c r="JK25" s="36" t="str">
        <f t="shared" si="116"/>
        <v/>
      </c>
      <c r="JL25" s="16"/>
      <c r="JM25" s="16"/>
      <c r="JN25" s="16"/>
      <c r="JO25" s="16"/>
      <c r="JP25" s="16"/>
      <c r="JQ25" s="16"/>
      <c r="JR25" s="16"/>
      <c r="JS25" s="16"/>
      <c r="JT25" s="16"/>
      <c r="JU25" s="16"/>
      <c r="JV25" s="16"/>
      <c r="JW25" s="16"/>
      <c r="JX25" s="16"/>
      <c r="JY25" s="16"/>
      <c r="JZ25" s="16"/>
      <c r="KA25" s="16"/>
      <c r="KB25" s="16"/>
      <c r="KC25" s="16"/>
      <c r="KD25" s="16"/>
      <c r="KE25" s="16"/>
      <c r="KF25" s="11" t="str">
        <f t="shared" si="117"/>
        <v/>
      </c>
      <c r="KG25" s="11" t="str">
        <f t="shared" si="118"/>
        <v/>
      </c>
      <c r="KH25" s="11" t="str">
        <f t="shared" si="119"/>
        <v/>
      </c>
      <c r="KI25" s="11" t="str">
        <f t="shared" si="120"/>
        <v/>
      </c>
      <c r="KJ25" s="11" t="str">
        <f t="shared" si="121"/>
        <v/>
      </c>
      <c r="KK25" s="11" t="str">
        <f t="shared" si="122"/>
        <v/>
      </c>
      <c r="KL25" s="11" t="str">
        <f t="shared" si="123"/>
        <v/>
      </c>
      <c r="KM25" s="11" t="str">
        <f t="shared" si="124"/>
        <v/>
      </c>
      <c r="KN25" s="11" t="str">
        <f t="shared" si="125"/>
        <v/>
      </c>
      <c r="KO25" s="11" t="str">
        <f t="shared" si="126"/>
        <v/>
      </c>
      <c r="KP25" s="11" t="str">
        <f t="shared" si="127"/>
        <v/>
      </c>
      <c r="KQ25" s="11" t="str">
        <f t="shared" si="128"/>
        <v/>
      </c>
      <c r="KR25" s="11" t="str">
        <f t="shared" si="129"/>
        <v/>
      </c>
      <c r="KS25" s="11" t="str">
        <f t="shared" si="130"/>
        <v/>
      </c>
      <c r="KT25" s="15"/>
      <c r="KU25" s="15"/>
      <c r="KV25" s="15"/>
      <c r="KW25" s="15"/>
      <c r="KX25" s="15"/>
      <c r="KY25" s="15"/>
      <c r="KZ25" s="15"/>
      <c r="LA25" s="15"/>
      <c r="LB25" s="15"/>
      <c r="LC25" s="15"/>
      <c r="LD25" s="15"/>
      <c r="LE25" s="15"/>
      <c r="LF25" s="15"/>
      <c r="LG25" s="15"/>
      <c r="LH25" s="15"/>
      <c r="LI25" s="15"/>
      <c r="LJ25" s="15"/>
      <c r="LK25" s="15"/>
      <c r="LL25" s="15"/>
      <c r="LM25" s="15"/>
      <c r="LN25" s="36" t="str">
        <f t="shared" si="131"/>
        <v/>
      </c>
      <c r="LO25" s="36" t="str">
        <f t="shared" si="132"/>
        <v/>
      </c>
      <c r="LP25" s="36" t="str">
        <f t="shared" si="133"/>
        <v/>
      </c>
      <c r="LQ25" s="36" t="str">
        <f t="shared" si="134"/>
        <v/>
      </c>
      <c r="LR25" s="36" t="str">
        <f t="shared" si="135"/>
        <v/>
      </c>
      <c r="LS25" s="36" t="str">
        <f t="shared" si="136"/>
        <v/>
      </c>
      <c r="LT25" s="36" t="str">
        <f t="shared" si="137"/>
        <v/>
      </c>
      <c r="LU25" s="36" t="str">
        <f t="shared" si="138"/>
        <v/>
      </c>
      <c r="LV25" s="36" t="str">
        <f t="shared" si="139"/>
        <v/>
      </c>
      <c r="LW25" s="36" t="str">
        <f t="shared" si="140"/>
        <v/>
      </c>
      <c r="LX25" s="36" t="str">
        <f t="shared" si="141"/>
        <v/>
      </c>
      <c r="LY25" s="36" t="str">
        <f t="shared" si="142"/>
        <v/>
      </c>
      <c r="LZ25" s="36" t="str">
        <f t="shared" si="143"/>
        <v/>
      </c>
      <c r="MA25" s="36" t="str">
        <f t="shared" si="144"/>
        <v/>
      </c>
      <c r="MB25" s="16"/>
      <c r="MC25" s="16"/>
      <c r="MD25" s="16"/>
      <c r="ME25" s="16"/>
      <c r="MF25" s="16"/>
      <c r="MG25" s="16"/>
      <c r="MH25" s="16"/>
      <c r="MI25" s="16"/>
      <c r="MJ25" s="16"/>
      <c r="MK25" s="16"/>
      <c r="ML25" s="16"/>
      <c r="MM25" s="16"/>
      <c r="MN25" s="16"/>
      <c r="MO25" s="16"/>
      <c r="MP25" s="16"/>
      <c r="MQ25" s="16"/>
      <c r="MR25" s="16"/>
      <c r="MS25" s="16"/>
      <c r="MT25" s="16"/>
      <c r="MU25" s="16"/>
      <c r="MV25" s="11" t="str">
        <f t="shared" si="145"/>
        <v/>
      </c>
      <c r="MW25" s="11" t="str">
        <f t="shared" si="146"/>
        <v/>
      </c>
      <c r="MX25" s="11" t="str">
        <f t="shared" si="147"/>
        <v/>
      </c>
      <c r="MY25" s="11" t="str">
        <f t="shared" si="148"/>
        <v/>
      </c>
      <c r="MZ25" s="11" t="str">
        <f t="shared" si="149"/>
        <v/>
      </c>
      <c r="NA25" s="11" t="str">
        <f t="shared" si="150"/>
        <v/>
      </c>
      <c r="NB25" s="11" t="str">
        <f t="shared" si="151"/>
        <v/>
      </c>
      <c r="NC25" s="11" t="str">
        <f t="shared" si="152"/>
        <v/>
      </c>
      <c r="ND25" s="11" t="str">
        <f t="shared" si="153"/>
        <v/>
      </c>
      <c r="NE25" s="11" t="str">
        <f t="shared" si="154"/>
        <v/>
      </c>
      <c r="NF25" s="11" t="str">
        <f t="shared" si="155"/>
        <v/>
      </c>
      <c r="NG25" s="11" t="str">
        <f t="shared" si="156"/>
        <v/>
      </c>
      <c r="NH25" s="11" t="str">
        <f t="shared" si="157"/>
        <v/>
      </c>
      <c r="NI25" s="11" t="str">
        <f t="shared" si="158"/>
        <v/>
      </c>
      <c r="NJ25" s="15"/>
      <c r="NK25" s="15"/>
      <c r="NL25" s="15"/>
      <c r="NM25" s="15"/>
      <c r="NN25" s="15"/>
      <c r="NO25" s="15"/>
      <c r="NP25" s="15"/>
      <c r="NQ25" s="15"/>
      <c r="NR25" s="15"/>
      <c r="NS25" s="15"/>
      <c r="NT25" s="15"/>
      <c r="NU25" s="15"/>
      <c r="NV25" s="15"/>
      <c r="NW25" s="15"/>
      <c r="NX25" s="15"/>
      <c r="NY25" s="15"/>
      <c r="NZ25" s="15"/>
      <c r="OA25" s="15"/>
      <c r="OB25" s="15"/>
      <c r="OC25" s="15"/>
      <c r="OD25" s="36" t="str">
        <f t="shared" si="159"/>
        <v/>
      </c>
      <c r="OE25" s="36" t="str">
        <f t="shared" si="160"/>
        <v/>
      </c>
      <c r="OF25" s="36" t="str">
        <f t="shared" si="161"/>
        <v/>
      </c>
      <c r="OG25" s="36" t="str">
        <f t="shared" si="162"/>
        <v/>
      </c>
      <c r="OH25" s="36" t="str">
        <f t="shared" si="163"/>
        <v/>
      </c>
      <c r="OI25" s="36" t="str">
        <f t="shared" si="164"/>
        <v/>
      </c>
      <c r="OJ25" s="36" t="str">
        <f t="shared" si="165"/>
        <v/>
      </c>
      <c r="OK25" s="36" t="str">
        <f t="shared" si="166"/>
        <v/>
      </c>
      <c r="OL25" s="36" t="str">
        <f t="shared" si="167"/>
        <v/>
      </c>
      <c r="OM25" s="36" t="str">
        <f t="shared" si="168"/>
        <v/>
      </c>
      <c r="ON25" s="36" t="str">
        <f t="shared" si="169"/>
        <v/>
      </c>
      <c r="OO25" s="36" t="str">
        <f t="shared" si="170"/>
        <v/>
      </c>
      <c r="OP25" s="36" t="str">
        <f t="shared" si="171"/>
        <v/>
      </c>
      <c r="OQ25" s="36" t="str">
        <f t="shared" si="172"/>
        <v/>
      </c>
      <c r="OR25" s="16"/>
      <c r="OS25" s="16"/>
      <c r="OT25" s="16"/>
      <c r="OU25" s="16"/>
      <c r="OV25" s="16"/>
      <c r="OW25" s="16"/>
      <c r="OX25" s="16"/>
      <c r="OY25" s="16"/>
      <c r="OZ25" s="16"/>
      <c r="PA25" s="16"/>
      <c r="PB25" s="16"/>
      <c r="PC25" s="16"/>
      <c r="PD25" s="16"/>
      <c r="PE25" s="16"/>
      <c r="PF25" s="16"/>
      <c r="PG25" s="16"/>
      <c r="PH25" s="16"/>
      <c r="PI25" s="16"/>
      <c r="PJ25" s="16"/>
      <c r="PK25" s="16"/>
      <c r="PL25" s="11" t="str">
        <f t="shared" si="173"/>
        <v/>
      </c>
      <c r="PM25" s="11" t="str">
        <f t="shared" si="174"/>
        <v/>
      </c>
      <c r="PN25" s="11" t="str">
        <f t="shared" si="175"/>
        <v/>
      </c>
      <c r="PO25" s="11" t="str">
        <f t="shared" si="176"/>
        <v/>
      </c>
      <c r="PP25" s="11" t="str">
        <f t="shared" si="177"/>
        <v/>
      </c>
      <c r="PQ25" s="11" t="str">
        <f t="shared" si="178"/>
        <v/>
      </c>
      <c r="PR25" s="11" t="str">
        <f t="shared" si="179"/>
        <v/>
      </c>
      <c r="PS25" s="11" t="str">
        <f t="shared" si="180"/>
        <v/>
      </c>
      <c r="PT25" s="11" t="str">
        <f t="shared" si="181"/>
        <v/>
      </c>
      <c r="PU25" s="11" t="str">
        <f t="shared" si="182"/>
        <v/>
      </c>
      <c r="PV25" s="11" t="str">
        <f t="shared" si="183"/>
        <v/>
      </c>
      <c r="PW25" s="11" t="str">
        <f t="shared" si="184"/>
        <v/>
      </c>
      <c r="PX25" s="11" t="str">
        <f t="shared" si="185"/>
        <v/>
      </c>
      <c r="PY25" s="11" t="str">
        <f t="shared" si="186"/>
        <v/>
      </c>
      <c r="PZ25" s="15"/>
      <c r="QA25" s="15"/>
      <c r="QB25" s="15"/>
      <c r="QC25" s="15"/>
      <c r="QD25" s="15"/>
      <c r="QE25" s="15"/>
      <c r="QF25" s="15"/>
      <c r="QG25" s="15"/>
      <c r="QH25" s="15"/>
      <c r="QI25" s="15"/>
      <c r="QJ25" s="15"/>
      <c r="QK25" s="15"/>
      <c r="QL25" s="15"/>
      <c r="QM25" s="15"/>
      <c r="QN25" s="15"/>
      <c r="QO25" s="15"/>
      <c r="QP25" s="15"/>
      <c r="QQ25" s="15"/>
      <c r="QR25" s="15"/>
      <c r="QS25" s="15"/>
      <c r="QT25" s="36" t="str">
        <f t="shared" si="187"/>
        <v/>
      </c>
      <c r="QU25" s="36" t="str">
        <f t="shared" si="188"/>
        <v/>
      </c>
      <c r="QV25" s="36" t="str">
        <f t="shared" si="189"/>
        <v/>
      </c>
      <c r="QW25" s="36" t="str">
        <f t="shared" si="190"/>
        <v/>
      </c>
      <c r="QX25" s="36" t="str">
        <f t="shared" si="191"/>
        <v/>
      </c>
      <c r="QY25" s="36" t="str">
        <f t="shared" si="192"/>
        <v/>
      </c>
      <c r="QZ25" s="36" t="str">
        <f t="shared" si="193"/>
        <v/>
      </c>
      <c r="RA25" s="36" t="str">
        <f t="shared" si="194"/>
        <v/>
      </c>
      <c r="RB25" s="36" t="str">
        <f t="shared" si="195"/>
        <v/>
      </c>
      <c r="RC25" s="36" t="str">
        <f t="shared" si="196"/>
        <v/>
      </c>
      <c r="RD25" s="36" t="str">
        <f t="shared" si="197"/>
        <v/>
      </c>
      <c r="RE25" s="36" t="str">
        <f t="shared" si="198"/>
        <v/>
      </c>
      <c r="RF25" s="36" t="str">
        <f t="shared" si="199"/>
        <v/>
      </c>
      <c r="RG25" s="36" t="str">
        <f t="shared" si="200"/>
        <v/>
      </c>
      <c r="RH25" s="16"/>
      <c r="RI25" s="16"/>
      <c r="RJ25" s="16"/>
      <c r="RK25" s="16"/>
      <c r="RL25" s="16"/>
      <c r="RM25" s="16"/>
      <c r="RN25" s="16"/>
      <c r="RO25" s="16"/>
      <c r="RP25" s="16"/>
      <c r="RQ25" s="16"/>
      <c r="RR25" s="16"/>
      <c r="RS25" s="16"/>
      <c r="RT25" s="16"/>
      <c r="RU25" s="16"/>
      <c r="RV25" s="16"/>
      <c r="RW25" s="16"/>
      <c r="RX25" s="16"/>
      <c r="RY25" s="16"/>
      <c r="RZ25" s="16"/>
      <c r="SA25" s="16"/>
      <c r="SB25" s="11" t="str">
        <f t="shared" si="201"/>
        <v/>
      </c>
      <c r="SC25" s="11" t="str">
        <f t="shared" si="202"/>
        <v/>
      </c>
      <c r="SD25" s="11" t="str">
        <f t="shared" si="203"/>
        <v/>
      </c>
      <c r="SE25" s="11" t="str">
        <f t="shared" si="204"/>
        <v/>
      </c>
      <c r="SF25" s="11" t="str">
        <f t="shared" si="205"/>
        <v/>
      </c>
      <c r="SG25" s="11" t="str">
        <f t="shared" si="206"/>
        <v/>
      </c>
      <c r="SH25" s="11" t="str">
        <f t="shared" si="207"/>
        <v/>
      </c>
      <c r="SI25" s="11" t="str">
        <f t="shared" si="208"/>
        <v/>
      </c>
      <c r="SJ25" s="11" t="str">
        <f t="shared" si="209"/>
        <v/>
      </c>
      <c r="SK25" s="11" t="str">
        <f t="shared" si="210"/>
        <v/>
      </c>
      <c r="SL25" s="11" t="str">
        <f t="shared" si="211"/>
        <v/>
      </c>
      <c r="SM25" s="11" t="str">
        <f t="shared" si="212"/>
        <v/>
      </c>
      <c r="SN25" s="11" t="str">
        <f t="shared" si="213"/>
        <v/>
      </c>
      <c r="SO25" s="11" t="str">
        <f t="shared" si="214"/>
        <v/>
      </c>
      <c r="SP25" s="15"/>
      <c r="SQ25" s="15"/>
      <c r="SR25" s="15"/>
      <c r="SS25" s="15"/>
      <c r="ST25" s="15"/>
      <c r="SU25" s="15"/>
      <c r="SV25" s="15"/>
      <c r="SW25" s="15"/>
      <c r="SX25" s="15"/>
      <c r="SY25" s="15"/>
      <c r="SZ25" s="15"/>
      <c r="TA25" s="15"/>
      <c r="TB25" s="15"/>
      <c r="TC25" s="15"/>
      <c r="TD25" s="15"/>
      <c r="TE25" s="15"/>
      <c r="TF25" s="15"/>
      <c r="TG25" s="15"/>
      <c r="TH25" s="15"/>
      <c r="TI25" s="15"/>
      <c r="TJ25" s="36" t="str">
        <f t="shared" si="215"/>
        <v/>
      </c>
      <c r="TK25" s="36" t="str">
        <f t="shared" si="216"/>
        <v/>
      </c>
      <c r="TL25" s="36" t="str">
        <f t="shared" si="217"/>
        <v/>
      </c>
      <c r="TM25" s="36" t="str">
        <f t="shared" si="218"/>
        <v/>
      </c>
      <c r="TN25" s="36" t="str">
        <f t="shared" si="219"/>
        <v/>
      </c>
      <c r="TO25" s="36" t="str">
        <f t="shared" si="220"/>
        <v/>
      </c>
      <c r="TP25" s="36" t="str">
        <f t="shared" si="221"/>
        <v/>
      </c>
      <c r="TQ25" s="36" t="str">
        <f t="shared" si="222"/>
        <v/>
      </c>
      <c r="TR25" s="36" t="str">
        <f t="shared" si="223"/>
        <v/>
      </c>
      <c r="TS25" s="36" t="str">
        <f t="shared" si="224"/>
        <v/>
      </c>
      <c r="TT25" s="36" t="str">
        <f t="shared" si="225"/>
        <v/>
      </c>
      <c r="TU25" s="36" t="str">
        <f t="shared" si="226"/>
        <v/>
      </c>
      <c r="TV25" s="36" t="str">
        <f t="shared" si="227"/>
        <v/>
      </c>
      <c r="TW25" s="36" t="str">
        <f t="shared" si="228"/>
        <v/>
      </c>
      <c r="TX25" s="16"/>
      <c r="TY25" s="16"/>
      <c r="TZ25" s="16"/>
      <c r="UA25" s="16"/>
      <c r="UB25" s="16"/>
      <c r="UC25" s="16"/>
      <c r="UD25" s="16"/>
      <c r="UE25" s="16"/>
      <c r="UF25" s="16"/>
      <c r="UG25" s="16"/>
      <c r="UH25" s="16"/>
      <c r="UI25" s="16"/>
      <c r="UJ25" s="16"/>
      <c r="UK25" s="16"/>
      <c r="UL25" s="16"/>
      <c r="UM25" s="16"/>
      <c r="UN25" s="16"/>
      <c r="UO25" s="16"/>
      <c r="UP25" s="16"/>
      <c r="UQ25" s="16"/>
      <c r="UR25" s="11" t="str">
        <f t="shared" si="229"/>
        <v/>
      </c>
      <c r="US25" s="11" t="str">
        <f t="shared" si="230"/>
        <v/>
      </c>
      <c r="UT25" s="11" t="str">
        <f t="shared" si="231"/>
        <v/>
      </c>
      <c r="UU25" s="11" t="str">
        <f t="shared" si="232"/>
        <v/>
      </c>
      <c r="UV25" s="11" t="str">
        <f t="shared" si="233"/>
        <v/>
      </c>
      <c r="UW25" s="11" t="str">
        <f t="shared" si="234"/>
        <v/>
      </c>
      <c r="UX25" s="11" t="str">
        <f t="shared" si="235"/>
        <v/>
      </c>
      <c r="UY25" s="11" t="str">
        <f t="shared" si="236"/>
        <v/>
      </c>
      <c r="UZ25" s="11" t="str">
        <f t="shared" si="237"/>
        <v/>
      </c>
      <c r="VA25" s="11" t="str">
        <f t="shared" si="238"/>
        <v/>
      </c>
      <c r="VB25" s="11" t="str">
        <f t="shared" si="239"/>
        <v/>
      </c>
      <c r="VC25" s="11" t="str">
        <f t="shared" si="240"/>
        <v/>
      </c>
      <c r="VD25" s="11" t="str">
        <f t="shared" si="241"/>
        <v/>
      </c>
      <c r="VE25" s="11" t="str">
        <f t="shared" si="242"/>
        <v/>
      </c>
      <c r="VF25" s="15"/>
      <c r="VG25" s="15"/>
      <c r="VH25" s="15"/>
      <c r="VI25" s="15"/>
      <c r="VJ25" s="15"/>
      <c r="VK25" s="15"/>
      <c r="VL25" s="15"/>
      <c r="VM25" s="15"/>
      <c r="VN25" s="15"/>
      <c r="VO25" s="15"/>
      <c r="VP25" s="15"/>
      <c r="VQ25" s="15"/>
      <c r="VR25" s="15"/>
      <c r="VS25" s="15"/>
      <c r="VT25" s="15"/>
      <c r="VU25" s="15"/>
      <c r="VV25" s="15"/>
      <c r="VW25" s="15"/>
      <c r="VX25" s="15"/>
      <c r="VY25" s="15"/>
      <c r="VZ25" s="36" t="str">
        <f t="shared" si="243"/>
        <v/>
      </c>
      <c r="WA25" s="36" t="str">
        <f t="shared" si="244"/>
        <v/>
      </c>
      <c r="WB25" s="36" t="str">
        <f t="shared" si="245"/>
        <v/>
      </c>
      <c r="WC25" s="36" t="str">
        <f t="shared" si="246"/>
        <v/>
      </c>
      <c r="WD25" s="36" t="str">
        <f t="shared" si="247"/>
        <v/>
      </c>
      <c r="WE25" s="36" t="str">
        <f t="shared" si="248"/>
        <v/>
      </c>
      <c r="WF25" s="36" t="str">
        <f t="shared" si="249"/>
        <v/>
      </c>
      <c r="WG25" s="36" t="str">
        <f t="shared" si="250"/>
        <v/>
      </c>
      <c r="WH25" s="36" t="str">
        <f t="shared" si="251"/>
        <v/>
      </c>
      <c r="WI25" s="36" t="str">
        <f t="shared" si="252"/>
        <v/>
      </c>
      <c r="WJ25" s="36" t="str">
        <f t="shared" si="253"/>
        <v/>
      </c>
      <c r="WK25" s="36" t="str">
        <f t="shared" si="254"/>
        <v/>
      </c>
      <c r="WL25" s="36" t="str">
        <f t="shared" si="255"/>
        <v/>
      </c>
      <c r="WM25" s="36" t="str">
        <f t="shared" si="256"/>
        <v/>
      </c>
    </row>
    <row r="26" spans="1:611" x14ac:dyDescent="0.2">
      <c r="A26" s="4" t="str" cm="1">
        <f t="array" ref="A26">IF(AND(H26&lt;&gt;"",H26&lt;&gt;"No DD"),SUMPRODUCT((H$4:H$27&lt;&gt;"")*(H$4:H$27&lt;&gt;"No DD")*(E$4:E$27&gt;E26))+1,IF(H26="No DD",SUMPRODUCT((H$4:H$27="No DD")*(E$4:E$27&gt;E26))+1+SUMPRODUCT((H$4:H$27&lt;&gt;"")*(H$4:H$27&lt;&gt;"No DD")),""))</f>
        <v/>
      </c>
      <c r="B26" s="5" t="s">
        <v>94</v>
      </c>
      <c r="C26" s="4" t="s">
        <v>6</v>
      </c>
      <c r="D26" s="4">
        <v>2001</v>
      </c>
      <c r="E26" s="9">
        <f t="shared" si="0"/>
        <v>53.860005386003209</v>
      </c>
      <c r="F26" s="3" t="str">
        <f t="shared" si="1"/>
        <v/>
      </c>
      <c r="G26" s="3" t="str">
        <f t="shared" si="2"/>
        <v/>
      </c>
      <c r="H26" s="32" t="str">
        <f t="shared" si="3"/>
        <v/>
      </c>
      <c r="I26" s="3" t="str">
        <f t="shared" si="4"/>
        <v/>
      </c>
      <c r="J26" s="8">
        <f t="shared" si="5"/>
        <v>0</v>
      </c>
      <c r="K26" s="8" t="str">
        <f t="shared" si="6"/>
        <v/>
      </c>
      <c r="L26" s="8">
        <f>IFERROR(IF(J26=AR26,LARGE((AK26,AN26,BL26,BO26,BS26,CM26,CP26,CT26),1),IF(J26=BS26,LARGE((AK26,AN26,AR26,BL26,BO26,CM26,CP26,CT26),1),LARGE((AK26,AN26,AR26,BL26,BO26,BS26,CM26,CP26),1))),0)</f>
        <v>32.11</v>
      </c>
      <c r="M26" s="8" t="str">
        <f t="shared" si="7"/>
        <v>2025 Elite Canada</v>
      </c>
      <c r="N26" s="8">
        <f>IFERROR(IF(J26=AR26,LARGE((AK26,AN26,BL26,BO26,BS26,CM26,CP26,CT26),2),IF(J26=BS26,LARGE((AK26,AN26,AR26,BL26,BO26,CM26,CP26,CT26),2),LARGE((AK26,AN26,AR26,BL26,BO26,BS26,CM26,CP26),2))),0)</f>
        <v>21.75</v>
      </c>
      <c r="O26" s="8" t="str">
        <f t="shared" si="8"/>
        <v>2025 Elite Canada</v>
      </c>
      <c r="P26" s="8">
        <f t="shared" si="9"/>
        <v>0</v>
      </c>
      <c r="Q26" s="11" t="str">
        <f t="shared" si="10"/>
        <v/>
      </c>
      <c r="R26" s="8" t="str">
        <f t="shared" si="11"/>
        <v/>
      </c>
      <c r="S26" s="18">
        <v>9</v>
      </c>
      <c r="T26" s="18">
        <v>5.5</v>
      </c>
      <c r="U26" s="18">
        <v>7.7</v>
      </c>
      <c r="V26" s="18">
        <v>9.91</v>
      </c>
      <c r="W26" s="18">
        <v>0</v>
      </c>
      <c r="X26" s="18">
        <v>6.2</v>
      </c>
      <c r="Y26" s="18">
        <v>3.7</v>
      </c>
      <c r="Z26" s="18">
        <v>5.0999999999999996</v>
      </c>
      <c r="AA26" s="18">
        <v>6.75</v>
      </c>
      <c r="AB26" s="18">
        <v>0</v>
      </c>
      <c r="AC26" s="18"/>
      <c r="AD26" s="18"/>
      <c r="AE26" s="18"/>
      <c r="AF26" s="18"/>
      <c r="AG26" s="18"/>
      <c r="AH26" s="23"/>
      <c r="AI26" s="34">
        <f t="shared" si="12"/>
        <v>7.7</v>
      </c>
      <c r="AJ26" s="34">
        <f t="shared" si="13"/>
        <v>9.91</v>
      </c>
      <c r="AK26" s="36">
        <f t="shared" si="14"/>
        <v>32.11</v>
      </c>
      <c r="AL26" s="36">
        <f t="shared" si="15"/>
        <v>5.0999999999999996</v>
      </c>
      <c r="AM26" s="36">
        <f t="shared" si="16"/>
        <v>6.75</v>
      </c>
      <c r="AN26" s="36">
        <f t="shared" si="17"/>
        <v>21.75</v>
      </c>
      <c r="AO26" s="36">
        <f t="shared" si="18"/>
        <v>32.11</v>
      </c>
      <c r="AP26" s="36" t="str">
        <f t="shared" si="19"/>
        <v/>
      </c>
      <c r="AQ26" s="36" t="str">
        <f t="shared" si="20"/>
        <v/>
      </c>
      <c r="AR26" s="36" t="str">
        <f t="shared" si="21"/>
        <v/>
      </c>
      <c r="AS26" s="36">
        <f t="shared" si="22"/>
        <v>32.11</v>
      </c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4"/>
      <c r="BJ26" s="35" t="str">
        <f t="shared" si="23"/>
        <v/>
      </c>
      <c r="BK26" s="35" t="str">
        <f t="shared" si="24"/>
        <v/>
      </c>
      <c r="BL26" s="11" t="str">
        <f t="shared" si="25"/>
        <v/>
      </c>
      <c r="BM26" s="11" t="str">
        <f t="shared" si="26"/>
        <v/>
      </c>
      <c r="BN26" s="11" t="str">
        <f t="shared" si="27"/>
        <v/>
      </c>
      <c r="BO26" s="11" t="str">
        <f t="shared" si="28"/>
        <v/>
      </c>
      <c r="BP26" s="11" t="str">
        <f t="shared" si="29"/>
        <v/>
      </c>
      <c r="BQ26" s="11" t="str">
        <f t="shared" si="30"/>
        <v/>
      </c>
      <c r="BR26" s="11" t="str">
        <f t="shared" si="31"/>
        <v/>
      </c>
      <c r="BS26" s="11" t="str">
        <f t="shared" si="32"/>
        <v/>
      </c>
      <c r="BT26" s="11" t="str">
        <f t="shared" si="33"/>
        <v/>
      </c>
      <c r="BU26" s="18"/>
      <c r="BV26" s="18"/>
      <c r="BW26" s="18"/>
      <c r="BX26" s="18"/>
      <c r="BY26" s="18"/>
      <c r="BZ26" s="18"/>
      <c r="CA26" s="18"/>
      <c r="CB26" s="18"/>
      <c r="CC26" s="18"/>
      <c r="CD26" s="18"/>
      <c r="CE26" s="18"/>
      <c r="CF26" s="18"/>
      <c r="CG26" s="18"/>
      <c r="CH26" s="18"/>
      <c r="CI26" s="18"/>
      <c r="CJ26" s="23"/>
      <c r="CK26" s="34" t="str">
        <f t="shared" si="34"/>
        <v/>
      </c>
      <c r="CL26" s="34" t="str">
        <f t="shared" si="35"/>
        <v/>
      </c>
      <c r="CM26" s="36" t="str">
        <f t="shared" si="36"/>
        <v/>
      </c>
      <c r="CN26" s="36" t="str">
        <f t="shared" si="37"/>
        <v/>
      </c>
      <c r="CO26" s="36" t="str">
        <f t="shared" si="38"/>
        <v/>
      </c>
      <c r="CP26" s="36" t="str">
        <f t="shared" si="39"/>
        <v/>
      </c>
      <c r="CQ26" s="36" t="str">
        <f t="shared" si="40"/>
        <v/>
      </c>
      <c r="CR26" s="36" t="str">
        <f t="shared" si="41"/>
        <v/>
      </c>
      <c r="CS26" s="36" t="str">
        <f t="shared" si="42"/>
        <v/>
      </c>
      <c r="CT26" s="36" t="str">
        <f t="shared" si="43"/>
        <v/>
      </c>
      <c r="CU26" s="36" t="str">
        <f t="shared" si="44"/>
        <v/>
      </c>
      <c r="CV26" s="47" t="str">
        <f t="shared" si="45"/>
        <v/>
      </c>
      <c r="CW26" s="47" t="str">
        <f t="shared" si="46"/>
        <v/>
      </c>
      <c r="CX26" s="15"/>
      <c r="CY26" s="15"/>
      <c r="CZ26" s="15"/>
      <c r="DA26" s="15"/>
      <c r="DB26" s="15"/>
      <c r="DC26" s="15"/>
      <c r="DD26" s="15"/>
      <c r="DE26" s="15"/>
      <c r="DF26" s="15"/>
      <c r="DG26" s="15"/>
      <c r="DH26" s="15"/>
      <c r="DI26" s="15"/>
      <c r="DJ26" s="15"/>
      <c r="DK26" s="15"/>
      <c r="DL26" s="15"/>
      <c r="DM26" s="15"/>
      <c r="DN26" s="15"/>
      <c r="DO26" s="15"/>
      <c r="DP26" s="15"/>
      <c r="DQ26" s="15"/>
      <c r="DR26" s="36" t="str">
        <f t="shared" si="47"/>
        <v/>
      </c>
      <c r="DS26" s="36" t="str">
        <f t="shared" si="48"/>
        <v/>
      </c>
      <c r="DT26" s="36" t="str">
        <f t="shared" si="49"/>
        <v/>
      </c>
      <c r="DU26" s="36" t="str">
        <f t="shared" si="50"/>
        <v/>
      </c>
      <c r="DV26" s="36" t="str">
        <f t="shared" si="51"/>
        <v/>
      </c>
      <c r="DW26" s="36" t="str">
        <f t="shared" si="52"/>
        <v/>
      </c>
      <c r="DX26" s="36" t="str">
        <f t="shared" si="53"/>
        <v/>
      </c>
      <c r="DY26" s="36" t="str">
        <f t="shared" si="54"/>
        <v/>
      </c>
      <c r="DZ26" s="36" t="str">
        <f t="shared" si="55"/>
        <v/>
      </c>
      <c r="EA26" s="36" t="str">
        <f t="shared" si="56"/>
        <v/>
      </c>
      <c r="EB26" s="36" t="str">
        <f t="shared" si="57"/>
        <v/>
      </c>
      <c r="EC26" s="36" t="str">
        <f t="shared" si="58"/>
        <v/>
      </c>
      <c r="ED26" s="36" t="str">
        <f t="shared" si="59"/>
        <v/>
      </c>
      <c r="EE26" s="36" t="str">
        <f t="shared" si="60"/>
        <v/>
      </c>
      <c r="EF26" s="16"/>
      <c r="EG26" s="16"/>
      <c r="EH26" s="16"/>
      <c r="EI26" s="16"/>
      <c r="EJ26" s="16"/>
      <c r="EK26" s="16"/>
      <c r="EL26" s="16"/>
      <c r="EM26" s="16"/>
      <c r="EN26" s="16"/>
      <c r="EO26" s="16"/>
      <c r="EP26" s="16"/>
      <c r="EQ26" s="16"/>
      <c r="ER26" s="16"/>
      <c r="ES26" s="16"/>
      <c r="ET26" s="16"/>
      <c r="EU26" s="16"/>
      <c r="EV26" s="16"/>
      <c r="EW26" s="16"/>
      <c r="EX26" s="16"/>
      <c r="EY26" s="16"/>
      <c r="EZ26" s="11" t="str">
        <f t="shared" si="61"/>
        <v/>
      </c>
      <c r="FA26" s="11" t="str">
        <f t="shared" si="62"/>
        <v/>
      </c>
      <c r="FB26" s="11" t="str">
        <f t="shared" si="63"/>
        <v/>
      </c>
      <c r="FC26" s="11" t="str">
        <f t="shared" si="64"/>
        <v/>
      </c>
      <c r="FD26" s="11" t="str">
        <f t="shared" si="65"/>
        <v/>
      </c>
      <c r="FE26" s="11" t="str">
        <f t="shared" si="66"/>
        <v/>
      </c>
      <c r="FF26" s="11" t="str">
        <f t="shared" si="67"/>
        <v/>
      </c>
      <c r="FG26" s="11" t="str">
        <f t="shared" si="68"/>
        <v/>
      </c>
      <c r="FH26" s="11" t="str">
        <f t="shared" si="69"/>
        <v/>
      </c>
      <c r="FI26" s="11" t="str">
        <f t="shared" si="70"/>
        <v/>
      </c>
      <c r="FJ26" s="11" t="str">
        <f t="shared" si="71"/>
        <v/>
      </c>
      <c r="FK26" s="11" t="str">
        <f t="shared" si="72"/>
        <v/>
      </c>
      <c r="FL26" s="11" t="str">
        <f t="shared" si="73"/>
        <v/>
      </c>
      <c r="FM26" s="11" t="str">
        <f t="shared" si="74"/>
        <v/>
      </c>
      <c r="FN26" s="15"/>
      <c r="FO26" s="15"/>
      <c r="FP26" s="15"/>
      <c r="FQ26" s="15"/>
      <c r="FR26" s="15"/>
      <c r="FS26" s="15"/>
      <c r="FT26" s="15"/>
      <c r="FU26" s="15"/>
      <c r="FV26" s="15"/>
      <c r="FW26" s="15"/>
      <c r="FX26" s="15"/>
      <c r="FY26" s="15"/>
      <c r="FZ26" s="15"/>
      <c r="GA26" s="15"/>
      <c r="GB26" s="15"/>
      <c r="GC26" s="15"/>
      <c r="GD26" s="15"/>
      <c r="GE26" s="15"/>
      <c r="GF26" s="15"/>
      <c r="GG26" s="15"/>
      <c r="GH26" s="36" t="str">
        <f t="shared" si="75"/>
        <v/>
      </c>
      <c r="GI26" s="36" t="str">
        <f t="shared" si="76"/>
        <v/>
      </c>
      <c r="GJ26" s="36" t="str">
        <f t="shared" si="77"/>
        <v/>
      </c>
      <c r="GK26" s="36" t="str">
        <f t="shared" si="78"/>
        <v/>
      </c>
      <c r="GL26" s="36" t="str">
        <f t="shared" si="79"/>
        <v/>
      </c>
      <c r="GM26" s="36" t="str">
        <f t="shared" si="80"/>
        <v/>
      </c>
      <c r="GN26" s="36" t="str">
        <f t="shared" si="81"/>
        <v/>
      </c>
      <c r="GO26" s="36" t="str">
        <f t="shared" si="82"/>
        <v/>
      </c>
      <c r="GP26" s="36" t="str">
        <f t="shared" si="83"/>
        <v/>
      </c>
      <c r="GQ26" s="36" t="str">
        <f t="shared" si="84"/>
        <v/>
      </c>
      <c r="GR26" s="36" t="str">
        <f t="shared" si="85"/>
        <v/>
      </c>
      <c r="GS26" s="36" t="str">
        <f t="shared" si="86"/>
        <v/>
      </c>
      <c r="GT26" s="36" t="str">
        <f t="shared" si="87"/>
        <v/>
      </c>
      <c r="GU26" s="36" t="str">
        <f t="shared" si="88"/>
        <v/>
      </c>
      <c r="GV26" s="16"/>
      <c r="GW26" s="16"/>
      <c r="GX26" s="16"/>
      <c r="GY26" s="16"/>
      <c r="GZ26" s="16"/>
      <c r="HA26" s="16"/>
      <c r="HB26" s="16"/>
      <c r="HC26" s="16"/>
      <c r="HD26" s="16"/>
      <c r="HE26" s="16"/>
      <c r="HF26" s="16"/>
      <c r="HG26" s="16"/>
      <c r="HH26" s="16"/>
      <c r="HI26" s="16"/>
      <c r="HJ26" s="16"/>
      <c r="HK26" s="16"/>
      <c r="HL26" s="16"/>
      <c r="HM26" s="16"/>
      <c r="HN26" s="16"/>
      <c r="HO26" s="16"/>
      <c r="HP26" s="11" t="str">
        <f t="shared" si="89"/>
        <v/>
      </c>
      <c r="HQ26" s="11" t="str">
        <f t="shared" si="90"/>
        <v/>
      </c>
      <c r="HR26" s="11" t="str">
        <f t="shared" si="91"/>
        <v/>
      </c>
      <c r="HS26" s="11" t="str">
        <f t="shared" si="92"/>
        <v/>
      </c>
      <c r="HT26" s="11" t="str">
        <f t="shared" si="93"/>
        <v/>
      </c>
      <c r="HU26" s="11" t="str">
        <f t="shared" si="94"/>
        <v/>
      </c>
      <c r="HV26" s="11" t="str">
        <f t="shared" si="95"/>
        <v/>
      </c>
      <c r="HW26" s="11" t="str">
        <f t="shared" si="96"/>
        <v/>
      </c>
      <c r="HX26" s="11" t="str">
        <f t="shared" si="97"/>
        <v/>
      </c>
      <c r="HY26" s="11" t="str">
        <f t="shared" si="98"/>
        <v/>
      </c>
      <c r="HZ26" s="11" t="str">
        <f t="shared" si="99"/>
        <v/>
      </c>
      <c r="IA26" s="11" t="str">
        <f t="shared" si="100"/>
        <v/>
      </c>
      <c r="IB26" s="11" t="str">
        <f t="shared" si="101"/>
        <v/>
      </c>
      <c r="IC26" s="11" t="str">
        <f t="shared" si="102"/>
        <v/>
      </c>
      <c r="ID26" s="15"/>
      <c r="IE26" s="15"/>
      <c r="IF26" s="15"/>
      <c r="IG26" s="15"/>
      <c r="IH26" s="15"/>
      <c r="II26" s="15"/>
      <c r="IJ26" s="15"/>
      <c r="IK26" s="15"/>
      <c r="IL26" s="15"/>
      <c r="IM26" s="15"/>
      <c r="IN26" s="15"/>
      <c r="IO26" s="15"/>
      <c r="IP26" s="15"/>
      <c r="IQ26" s="15"/>
      <c r="IR26" s="15"/>
      <c r="IS26" s="15"/>
      <c r="IT26" s="15"/>
      <c r="IU26" s="15"/>
      <c r="IV26" s="15"/>
      <c r="IW26" s="15"/>
      <c r="IX26" s="36" t="str">
        <f t="shared" si="103"/>
        <v/>
      </c>
      <c r="IY26" s="36" t="str">
        <f t="shared" si="104"/>
        <v/>
      </c>
      <c r="IZ26" s="36" t="str">
        <f t="shared" si="105"/>
        <v/>
      </c>
      <c r="JA26" s="36" t="str">
        <f t="shared" si="106"/>
        <v/>
      </c>
      <c r="JB26" s="36" t="str">
        <f t="shared" si="107"/>
        <v/>
      </c>
      <c r="JC26" s="36" t="str">
        <f t="shared" si="108"/>
        <v/>
      </c>
      <c r="JD26" s="36" t="str">
        <f t="shared" si="109"/>
        <v/>
      </c>
      <c r="JE26" s="36" t="str">
        <f t="shared" si="110"/>
        <v/>
      </c>
      <c r="JF26" s="36" t="str">
        <f t="shared" si="111"/>
        <v/>
      </c>
      <c r="JG26" s="36" t="str">
        <f t="shared" si="112"/>
        <v/>
      </c>
      <c r="JH26" s="36" t="str">
        <f t="shared" si="113"/>
        <v/>
      </c>
      <c r="JI26" s="36" t="str">
        <f t="shared" si="114"/>
        <v/>
      </c>
      <c r="JJ26" s="36" t="str">
        <f t="shared" si="115"/>
        <v/>
      </c>
      <c r="JK26" s="36" t="str">
        <f t="shared" si="116"/>
        <v/>
      </c>
      <c r="JL26" s="16"/>
      <c r="JM26" s="16"/>
      <c r="JN26" s="16"/>
      <c r="JO26" s="16"/>
      <c r="JP26" s="16"/>
      <c r="JQ26" s="16"/>
      <c r="JR26" s="16"/>
      <c r="JS26" s="16"/>
      <c r="JT26" s="16"/>
      <c r="JU26" s="16"/>
      <c r="JV26" s="16"/>
      <c r="JW26" s="16"/>
      <c r="JX26" s="16"/>
      <c r="JY26" s="16"/>
      <c r="JZ26" s="16"/>
      <c r="KA26" s="16"/>
      <c r="KB26" s="16"/>
      <c r="KC26" s="16"/>
      <c r="KD26" s="16"/>
      <c r="KE26" s="16"/>
      <c r="KF26" s="11" t="str">
        <f t="shared" si="117"/>
        <v/>
      </c>
      <c r="KG26" s="11" t="str">
        <f t="shared" si="118"/>
        <v/>
      </c>
      <c r="KH26" s="11" t="str">
        <f t="shared" si="119"/>
        <v/>
      </c>
      <c r="KI26" s="11" t="str">
        <f t="shared" si="120"/>
        <v/>
      </c>
      <c r="KJ26" s="11" t="str">
        <f t="shared" si="121"/>
        <v/>
      </c>
      <c r="KK26" s="11" t="str">
        <f t="shared" si="122"/>
        <v/>
      </c>
      <c r="KL26" s="11" t="str">
        <f t="shared" si="123"/>
        <v/>
      </c>
      <c r="KM26" s="11" t="str">
        <f t="shared" si="124"/>
        <v/>
      </c>
      <c r="KN26" s="11" t="str">
        <f t="shared" si="125"/>
        <v/>
      </c>
      <c r="KO26" s="11" t="str">
        <f t="shared" si="126"/>
        <v/>
      </c>
      <c r="KP26" s="11" t="str">
        <f t="shared" si="127"/>
        <v/>
      </c>
      <c r="KQ26" s="11" t="str">
        <f t="shared" si="128"/>
        <v/>
      </c>
      <c r="KR26" s="11" t="str">
        <f t="shared" si="129"/>
        <v/>
      </c>
      <c r="KS26" s="11" t="str">
        <f t="shared" si="130"/>
        <v/>
      </c>
      <c r="KT26" s="15"/>
      <c r="KU26" s="15"/>
      <c r="KV26" s="15"/>
      <c r="KW26" s="15"/>
      <c r="KX26" s="15"/>
      <c r="KY26" s="15"/>
      <c r="KZ26" s="15"/>
      <c r="LA26" s="15"/>
      <c r="LB26" s="15"/>
      <c r="LC26" s="15"/>
      <c r="LD26" s="15"/>
      <c r="LE26" s="15"/>
      <c r="LF26" s="15"/>
      <c r="LG26" s="15"/>
      <c r="LH26" s="15"/>
      <c r="LI26" s="15"/>
      <c r="LJ26" s="15"/>
      <c r="LK26" s="15"/>
      <c r="LL26" s="15"/>
      <c r="LM26" s="15"/>
      <c r="LN26" s="36" t="str">
        <f t="shared" si="131"/>
        <v/>
      </c>
      <c r="LO26" s="36" t="str">
        <f t="shared" si="132"/>
        <v/>
      </c>
      <c r="LP26" s="36" t="str">
        <f t="shared" si="133"/>
        <v/>
      </c>
      <c r="LQ26" s="36" t="str">
        <f t="shared" si="134"/>
        <v/>
      </c>
      <c r="LR26" s="36" t="str">
        <f t="shared" si="135"/>
        <v/>
      </c>
      <c r="LS26" s="36" t="str">
        <f t="shared" si="136"/>
        <v/>
      </c>
      <c r="LT26" s="36" t="str">
        <f t="shared" si="137"/>
        <v/>
      </c>
      <c r="LU26" s="36" t="str">
        <f t="shared" si="138"/>
        <v/>
      </c>
      <c r="LV26" s="36" t="str">
        <f t="shared" si="139"/>
        <v/>
      </c>
      <c r="LW26" s="36" t="str">
        <f t="shared" si="140"/>
        <v/>
      </c>
      <c r="LX26" s="36" t="str">
        <f t="shared" si="141"/>
        <v/>
      </c>
      <c r="LY26" s="36" t="str">
        <f t="shared" si="142"/>
        <v/>
      </c>
      <c r="LZ26" s="36" t="str">
        <f t="shared" si="143"/>
        <v/>
      </c>
      <c r="MA26" s="36" t="str">
        <f t="shared" si="144"/>
        <v/>
      </c>
      <c r="MB26" s="16"/>
      <c r="MC26" s="16"/>
      <c r="MD26" s="16"/>
      <c r="ME26" s="16"/>
      <c r="MF26" s="16"/>
      <c r="MG26" s="16"/>
      <c r="MH26" s="16"/>
      <c r="MI26" s="16"/>
      <c r="MJ26" s="16"/>
      <c r="MK26" s="16"/>
      <c r="ML26" s="16"/>
      <c r="MM26" s="16"/>
      <c r="MN26" s="16"/>
      <c r="MO26" s="16"/>
      <c r="MP26" s="16"/>
      <c r="MQ26" s="16"/>
      <c r="MR26" s="16"/>
      <c r="MS26" s="16"/>
      <c r="MT26" s="16"/>
      <c r="MU26" s="16"/>
      <c r="MV26" s="11" t="str">
        <f t="shared" si="145"/>
        <v/>
      </c>
      <c r="MW26" s="11" t="str">
        <f t="shared" si="146"/>
        <v/>
      </c>
      <c r="MX26" s="11" t="str">
        <f t="shared" si="147"/>
        <v/>
      </c>
      <c r="MY26" s="11" t="str">
        <f t="shared" si="148"/>
        <v/>
      </c>
      <c r="MZ26" s="11" t="str">
        <f t="shared" si="149"/>
        <v/>
      </c>
      <c r="NA26" s="11" t="str">
        <f t="shared" si="150"/>
        <v/>
      </c>
      <c r="NB26" s="11" t="str">
        <f t="shared" si="151"/>
        <v/>
      </c>
      <c r="NC26" s="11" t="str">
        <f t="shared" si="152"/>
        <v/>
      </c>
      <c r="ND26" s="11" t="str">
        <f t="shared" si="153"/>
        <v/>
      </c>
      <c r="NE26" s="11" t="str">
        <f t="shared" si="154"/>
        <v/>
      </c>
      <c r="NF26" s="11" t="str">
        <f t="shared" si="155"/>
        <v/>
      </c>
      <c r="NG26" s="11" t="str">
        <f t="shared" si="156"/>
        <v/>
      </c>
      <c r="NH26" s="11" t="str">
        <f t="shared" si="157"/>
        <v/>
      </c>
      <c r="NI26" s="11" t="str">
        <f t="shared" si="158"/>
        <v/>
      </c>
      <c r="NJ26" s="15"/>
      <c r="NK26" s="15"/>
      <c r="NL26" s="15"/>
      <c r="NM26" s="15"/>
      <c r="NN26" s="15"/>
      <c r="NO26" s="15"/>
      <c r="NP26" s="15"/>
      <c r="NQ26" s="15"/>
      <c r="NR26" s="15"/>
      <c r="NS26" s="15"/>
      <c r="NT26" s="15"/>
      <c r="NU26" s="15"/>
      <c r="NV26" s="15"/>
      <c r="NW26" s="15"/>
      <c r="NX26" s="15"/>
      <c r="NY26" s="15"/>
      <c r="NZ26" s="15"/>
      <c r="OA26" s="15"/>
      <c r="OB26" s="15"/>
      <c r="OC26" s="15"/>
      <c r="OD26" s="36" t="str">
        <f t="shared" si="159"/>
        <v/>
      </c>
      <c r="OE26" s="36" t="str">
        <f t="shared" si="160"/>
        <v/>
      </c>
      <c r="OF26" s="36" t="str">
        <f t="shared" si="161"/>
        <v/>
      </c>
      <c r="OG26" s="36" t="str">
        <f t="shared" si="162"/>
        <v/>
      </c>
      <c r="OH26" s="36" t="str">
        <f t="shared" si="163"/>
        <v/>
      </c>
      <c r="OI26" s="36" t="str">
        <f t="shared" si="164"/>
        <v/>
      </c>
      <c r="OJ26" s="36" t="str">
        <f t="shared" si="165"/>
        <v/>
      </c>
      <c r="OK26" s="36" t="str">
        <f t="shared" si="166"/>
        <v/>
      </c>
      <c r="OL26" s="36" t="str">
        <f t="shared" si="167"/>
        <v/>
      </c>
      <c r="OM26" s="36" t="str">
        <f t="shared" si="168"/>
        <v/>
      </c>
      <c r="ON26" s="36" t="str">
        <f t="shared" si="169"/>
        <v/>
      </c>
      <c r="OO26" s="36" t="str">
        <f t="shared" si="170"/>
        <v/>
      </c>
      <c r="OP26" s="36" t="str">
        <f t="shared" si="171"/>
        <v/>
      </c>
      <c r="OQ26" s="36" t="str">
        <f t="shared" si="172"/>
        <v/>
      </c>
      <c r="OR26" s="16"/>
      <c r="OS26" s="16"/>
      <c r="OT26" s="16"/>
      <c r="OU26" s="16"/>
      <c r="OV26" s="16"/>
      <c r="OW26" s="16"/>
      <c r="OX26" s="16"/>
      <c r="OY26" s="16"/>
      <c r="OZ26" s="16"/>
      <c r="PA26" s="16"/>
      <c r="PB26" s="16"/>
      <c r="PC26" s="16"/>
      <c r="PD26" s="16"/>
      <c r="PE26" s="16"/>
      <c r="PF26" s="16"/>
      <c r="PG26" s="16"/>
      <c r="PH26" s="16"/>
      <c r="PI26" s="16"/>
      <c r="PJ26" s="16"/>
      <c r="PK26" s="16"/>
      <c r="PL26" s="11" t="str">
        <f t="shared" si="173"/>
        <v/>
      </c>
      <c r="PM26" s="11" t="str">
        <f t="shared" si="174"/>
        <v/>
      </c>
      <c r="PN26" s="11" t="str">
        <f t="shared" si="175"/>
        <v/>
      </c>
      <c r="PO26" s="11" t="str">
        <f t="shared" si="176"/>
        <v/>
      </c>
      <c r="PP26" s="11" t="str">
        <f t="shared" si="177"/>
        <v/>
      </c>
      <c r="PQ26" s="11" t="str">
        <f t="shared" si="178"/>
        <v/>
      </c>
      <c r="PR26" s="11" t="str">
        <f t="shared" si="179"/>
        <v/>
      </c>
      <c r="PS26" s="11" t="str">
        <f t="shared" si="180"/>
        <v/>
      </c>
      <c r="PT26" s="11" t="str">
        <f t="shared" si="181"/>
        <v/>
      </c>
      <c r="PU26" s="11" t="str">
        <f t="shared" si="182"/>
        <v/>
      </c>
      <c r="PV26" s="11" t="str">
        <f t="shared" si="183"/>
        <v/>
      </c>
      <c r="PW26" s="11" t="str">
        <f t="shared" si="184"/>
        <v/>
      </c>
      <c r="PX26" s="11" t="str">
        <f t="shared" si="185"/>
        <v/>
      </c>
      <c r="PY26" s="11" t="str">
        <f t="shared" si="186"/>
        <v/>
      </c>
      <c r="PZ26" s="15"/>
      <c r="QA26" s="15"/>
      <c r="QB26" s="15"/>
      <c r="QC26" s="15"/>
      <c r="QD26" s="15"/>
      <c r="QE26" s="15"/>
      <c r="QF26" s="15"/>
      <c r="QG26" s="15"/>
      <c r="QH26" s="15"/>
      <c r="QI26" s="15"/>
      <c r="QJ26" s="15"/>
      <c r="QK26" s="15"/>
      <c r="QL26" s="15"/>
      <c r="QM26" s="15"/>
      <c r="QN26" s="15"/>
      <c r="QO26" s="15"/>
      <c r="QP26" s="15"/>
      <c r="QQ26" s="15"/>
      <c r="QR26" s="15"/>
      <c r="QS26" s="15"/>
      <c r="QT26" s="36" t="str">
        <f t="shared" si="187"/>
        <v/>
      </c>
      <c r="QU26" s="36" t="str">
        <f t="shared" si="188"/>
        <v/>
      </c>
      <c r="QV26" s="36" t="str">
        <f t="shared" si="189"/>
        <v/>
      </c>
      <c r="QW26" s="36" t="str">
        <f t="shared" si="190"/>
        <v/>
      </c>
      <c r="QX26" s="36" t="str">
        <f t="shared" si="191"/>
        <v/>
      </c>
      <c r="QY26" s="36" t="str">
        <f t="shared" si="192"/>
        <v/>
      </c>
      <c r="QZ26" s="36" t="str">
        <f t="shared" si="193"/>
        <v/>
      </c>
      <c r="RA26" s="36" t="str">
        <f t="shared" si="194"/>
        <v/>
      </c>
      <c r="RB26" s="36" t="str">
        <f t="shared" si="195"/>
        <v/>
      </c>
      <c r="RC26" s="36" t="str">
        <f t="shared" si="196"/>
        <v/>
      </c>
      <c r="RD26" s="36" t="str">
        <f t="shared" si="197"/>
        <v/>
      </c>
      <c r="RE26" s="36" t="str">
        <f t="shared" si="198"/>
        <v/>
      </c>
      <c r="RF26" s="36" t="str">
        <f t="shared" si="199"/>
        <v/>
      </c>
      <c r="RG26" s="36" t="str">
        <f t="shared" si="200"/>
        <v/>
      </c>
      <c r="RH26" s="16"/>
      <c r="RI26" s="16"/>
      <c r="RJ26" s="16"/>
      <c r="RK26" s="16"/>
      <c r="RL26" s="16"/>
      <c r="RM26" s="16"/>
      <c r="RN26" s="16"/>
      <c r="RO26" s="16"/>
      <c r="RP26" s="16"/>
      <c r="RQ26" s="16"/>
      <c r="RR26" s="16"/>
      <c r="RS26" s="16"/>
      <c r="RT26" s="16"/>
      <c r="RU26" s="16"/>
      <c r="RV26" s="16"/>
      <c r="RW26" s="16"/>
      <c r="RX26" s="16"/>
      <c r="RY26" s="16"/>
      <c r="RZ26" s="16"/>
      <c r="SA26" s="16"/>
      <c r="SB26" s="11" t="str">
        <f t="shared" si="201"/>
        <v/>
      </c>
      <c r="SC26" s="11" t="str">
        <f t="shared" si="202"/>
        <v/>
      </c>
      <c r="SD26" s="11" t="str">
        <f t="shared" si="203"/>
        <v/>
      </c>
      <c r="SE26" s="11" t="str">
        <f t="shared" si="204"/>
        <v/>
      </c>
      <c r="SF26" s="11" t="str">
        <f t="shared" si="205"/>
        <v/>
      </c>
      <c r="SG26" s="11" t="str">
        <f t="shared" si="206"/>
        <v/>
      </c>
      <c r="SH26" s="11" t="str">
        <f t="shared" si="207"/>
        <v/>
      </c>
      <c r="SI26" s="11" t="str">
        <f t="shared" si="208"/>
        <v/>
      </c>
      <c r="SJ26" s="11" t="str">
        <f t="shared" si="209"/>
        <v/>
      </c>
      <c r="SK26" s="11" t="str">
        <f t="shared" si="210"/>
        <v/>
      </c>
      <c r="SL26" s="11" t="str">
        <f t="shared" si="211"/>
        <v/>
      </c>
      <c r="SM26" s="11" t="str">
        <f t="shared" si="212"/>
        <v/>
      </c>
      <c r="SN26" s="11" t="str">
        <f t="shared" si="213"/>
        <v/>
      </c>
      <c r="SO26" s="11" t="str">
        <f t="shared" si="214"/>
        <v/>
      </c>
      <c r="SP26" s="15"/>
      <c r="SQ26" s="15"/>
      <c r="SR26" s="15"/>
      <c r="SS26" s="15"/>
      <c r="ST26" s="15"/>
      <c r="SU26" s="15"/>
      <c r="SV26" s="15"/>
      <c r="SW26" s="15"/>
      <c r="SX26" s="15"/>
      <c r="SY26" s="15"/>
      <c r="SZ26" s="15"/>
      <c r="TA26" s="15"/>
      <c r="TB26" s="15"/>
      <c r="TC26" s="15"/>
      <c r="TD26" s="15"/>
      <c r="TE26" s="15"/>
      <c r="TF26" s="15"/>
      <c r="TG26" s="15"/>
      <c r="TH26" s="15"/>
      <c r="TI26" s="15"/>
      <c r="TJ26" s="36" t="str">
        <f t="shared" si="215"/>
        <v/>
      </c>
      <c r="TK26" s="36" t="str">
        <f t="shared" si="216"/>
        <v/>
      </c>
      <c r="TL26" s="36" t="str">
        <f t="shared" si="217"/>
        <v/>
      </c>
      <c r="TM26" s="36" t="str">
        <f t="shared" si="218"/>
        <v/>
      </c>
      <c r="TN26" s="36" t="str">
        <f t="shared" si="219"/>
        <v/>
      </c>
      <c r="TO26" s="36" t="str">
        <f t="shared" si="220"/>
        <v/>
      </c>
      <c r="TP26" s="36" t="str">
        <f t="shared" si="221"/>
        <v/>
      </c>
      <c r="TQ26" s="36" t="str">
        <f t="shared" si="222"/>
        <v/>
      </c>
      <c r="TR26" s="36" t="str">
        <f t="shared" si="223"/>
        <v/>
      </c>
      <c r="TS26" s="36" t="str">
        <f t="shared" si="224"/>
        <v/>
      </c>
      <c r="TT26" s="36" t="str">
        <f t="shared" si="225"/>
        <v/>
      </c>
      <c r="TU26" s="36" t="str">
        <f t="shared" si="226"/>
        <v/>
      </c>
      <c r="TV26" s="36" t="str">
        <f t="shared" si="227"/>
        <v/>
      </c>
      <c r="TW26" s="36" t="str">
        <f t="shared" si="228"/>
        <v/>
      </c>
      <c r="TX26" s="16"/>
      <c r="TY26" s="16"/>
      <c r="TZ26" s="16"/>
      <c r="UA26" s="16"/>
      <c r="UB26" s="16"/>
      <c r="UC26" s="16"/>
      <c r="UD26" s="16"/>
      <c r="UE26" s="16"/>
      <c r="UF26" s="16"/>
      <c r="UG26" s="16"/>
      <c r="UH26" s="16"/>
      <c r="UI26" s="16"/>
      <c r="UJ26" s="16"/>
      <c r="UK26" s="16"/>
      <c r="UL26" s="16"/>
      <c r="UM26" s="16"/>
      <c r="UN26" s="16"/>
      <c r="UO26" s="16"/>
      <c r="UP26" s="16"/>
      <c r="UQ26" s="16"/>
      <c r="UR26" s="11" t="str">
        <f t="shared" si="229"/>
        <v/>
      </c>
      <c r="US26" s="11" t="str">
        <f t="shared" si="230"/>
        <v/>
      </c>
      <c r="UT26" s="11" t="str">
        <f t="shared" si="231"/>
        <v/>
      </c>
      <c r="UU26" s="11" t="str">
        <f t="shared" si="232"/>
        <v/>
      </c>
      <c r="UV26" s="11" t="str">
        <f t="shared" si="233"/>
        <v/>
      </c>
      <c r="UW26" s="11" t="str">
        <f t="shared" si="234"/>
        <v/>
      </c>
      <c r="UX26" s="11" t="str">
        <f t="shared" si="235"/>
        <v/>
      </c>
      <c r="UY26" s="11" t="str">
        <f t="shared" si="236"/>
        <v/>
      </c>
      <c r="UZ26" s="11" t="str">
        <f t="shared" si="237"/>
        <v/>
      </c>
      <c r="VA26" s="11" t="str">
        <f t="shared" si="238"/>
        <v/>
      </c>
      <c r="VB26" s="11" t="str">
        <f t="shared" si="239"/>
        <v/>
      </c>
      <c r="VC26" s="11" t="str">
        <f t="shared" si="240"/>
        <v/>
      </c>
      <c r="VD26" s="11" t="str">
        <f t="shared" si="241"/>
        <v/>
      </c>
      <c r="VE26" s="11" t="str">
        <f t="shared" si="242"/>
        <v/>
      </c>
      <c r="VF26" s="15"/>
      <c r="VG26" s="15"/>
      <c r="VH26" s="15"/>
      <c r="VI26" s="15"/>
      <c r="VJ26" s="15"/>
      <c r="VK26" s="15"/>
      <c r="VL26" s="15"/>
      <c r="VM26" s="15"/>
      <c r="VN26" s="15"/>
      <c r="VO26" s="15"/>
      <c r="VP26" s="15"/>
      <c r="VQ26" s="15"/>
      <c r="VR26" s="15"/>
      <c r="VS26" s="15"/>
      <c r="VT26" s="15"/>
      <c r="VU26" s="15"/>
      <c r="VV26" s="15"/>
      <c r="VW26" s="15"/>
      <c r="VX26" s="15"/>
      <c r="VY26" s="15"/>
      <c r="VZ26" s="36" t="str">
        <f t="shared" si="243"/>
        <v/>
      </c>
      <c r="WA26" s="36" t="str">
        <f t="shared" si="244"/>
        <v/>
      </c>
      <c r="WB26" s="36" t="str">
        <f t="shared" si="245"/>
        <v/>
      </c>
      <c r="WC26" s="36" t="str">
        <f t="shared" si="246"/>
        <v/>
      </c>
      <c r="WD26" s="36" t="str">
        <f t="shared" si="247"/>
        <v/>
      </c>
      <c r="WE26" s="36" t="str">
        <f t="shared" si="248"/>
        <v/>
      </c>
      <c r="WF26" s="36" t="str">
        <f t="shared" si="249"/>
        <v/>
      </c>
      <c r="WG26" s="36" t="str">
        <f t="shared" si="250"/>
        <v/>
      </c>
      <c r="WH26" s="36" t="str">
        <f t="shared" si="251"/>
        <v/>
      </c>
      <c r="WI26" s="36" t="str">
        <f t="shared" si="252"/>
        <v/>
      </c>
      <c r="WJ26" s="36" t="str">
        <f t="shared" si="253"/>
        <v/>
      </c>
      <c r="WK26" s="36" t="str">
        <f t="shared" si="254"/>
        <v/>
      </c>
      <c r="WL26" s="36" t="str">
        <f t="shared" si="255"/>
        <v/>
      </c>
      <c r="WM26" s="36" t="str">
        <f t="shared" si="256"/>
        <v/>
      </c>
    </row>
    <row r="27" spans="1:611" x14ac:dyDescent="0.2">
      <c r="B27" s="5"/>
      <c r="D27" s="1"/>
    </row>
    <row r="28" spans="1:611" x14ac:dyDescent="0.2">
      <c r="G28" s="32"/>
      <c r="I28" s="32"/>
    </row>
    <row r="29" spans="1:611" x14ac:dyDescent="0.2">
      <c r="B29" s="19" t="s">
        <v>40</v>
      </c>
      <c r="C29" s="5"/>
      <c r="G29" s="3"/>
      <c r="AL29" s="37"/>
      <c r="AM29" s="37"/>
      <c r="AN29" s="37"/>
      <c r="AP29" s="28"/>
      <c r="AQ29" s="28"/>
      <c r="AS29" s="38">
        <v>15.9</v>
      </c>
      <c r="BM29" s="37"/>
      <c r="BN29" s="37"/>
      <c r="BO29" s="37"/>
      <c r="BQ29" s="28"/>
      <c r="BR29" s="28"/>
      <c r="BT29" s="38">
        <v>15.9</v>
      </c>
      <c r="CN29" s="37"/>
      <c r="CO29" s="37"/>
      <c r="CP29" s="37"/>
      <c r="CR29" s="28"/>
      <c r="CS29" s="28"/>
      <c r="CU29" s="38">
        <v>15.9</v>
      </c>
      <c r="DR29" s="5"/>
      <c r="DS29" s="5"/>
      <c r="EB29" s="2"/>
      <c r="EC29" s="2"/>
      <c r="EE29" s="38">
        <v>15.9</v>
      </c>
      <c r="EZ29" s="5"/>
      <c r="FA29" s="5"/>
      <c r="FJ29" s="2"/>
      <c r="FK29" s="2"/>
      <c r="FM29" s="38">
        <v>15.9</v>
      </c>
      <c r="GH29" s="5"/>
      <c r="GI29" s="5"/>
      <c r="GR29" s="2"/>
      <c r="GS29" s="2"/>
      <c r="GU29" s="38">
        <v>15.9</v>
      </c>
      <c r="HP29" s="5"/>
      <c r="HQ29" s="5"/>
      <c r="HZ29" s="2"/>
      <c r="IA29" s="2"/>
      <c r="IC29" s="38">
        <v>15.9</v>
      </c>
      <c r="IX29" s="5"/>
      <c r="IY29" s="5"/>
      <c r="JH29" s="2"/>
      <c r="JI29" s="2"/>
      <c r="JK29" s="38">
        <v>15.9</v>
      </c>
      <c r="KF29" s="5"/>
      <c r="KG29" s="5"/>
      <c r="KP29" s="2"/>
      <c r="KQ29" s="2"/>
      <c r="KS29" s="38">
        <v>15.9</v>
      </c>
      <c r="LN29" s="5"/>
      <c r="LO29" s="5"/>
      <c r="LX29" s="2"/>
      <c r="LY29" s="2"/>
      <c r="MA29" s="38">
        <v>15.9</v>
      </c>
      <c r="MV29" s="5"/>
      <c r="MW29" s="5"/>
      <c r="NF29" s="2"/>
      <c r="NG29" s="2"/>
      <c r="NI29" s="38">
        <v>15.9</v>
      </c>
      <c r="OD29" s="5"/>
      <c r="OE29" s="5"/>
      <c r="ON29" s="2"/>
      <c r="OO29" s="2"/>
      <c r="OQ29" s="38">
        <v>15.9</v>
      </c>
      <c r="PL29" s="5"/>
      <c r="PM29" s="5"/>
      <c r="PV29" s="2"/>
      <c r="PW29" s="2"/>
      <c r="PY29" s="38">
        <v>16.600000000000001</v>
      </c>
      <c r="QT29" s="5"/>
      <c r="QU29" s="5"/>
      <c r="RD29" s="2"/>
      <c r="RE29" s="2"/>
      <c r="RG29" s="38">
        <v>16.600000000000001</v>
      </c>
      <c r="SB29" s="5"/>
      <c r="SC29" s="5"/>
      <c r="SL29" s="2"/>
      <c r="SM29" s="2"/>
      <c r="SO29" s="38">
        <v>16.600000000000001</v>
      </c>
      <c r="TJ29" s="5"/>
      <c r="TK29" s="5"/>
      <c r="TT29" s="2"/>
      <c r="TU29" s="2"/>
      <c r="TW29" s="38">
        <v>16.600000000000001</v>
      </c>
      <c r="UR29" s="5"/>
      <c r="US29" s="5"/>
      <c r="VB29" s="2"/>
      <c r="VC29" s="2"/>
      <c r="VE29" s="38">
        <v>16.600000000000001</v>
      </c>
      <c r="VZ29" s="5"/>
      <c r="WA29" s="5"/>
      <c r="WJ29" s="2"/>
      <c r="WK29" s="2"/>
      <c r="WM29" s="38">
        <v>16.600000000000001</v>
      </c>
    </row>
    <row r="30" spans="1:611" hidden="1" x14ac:dyDescent="0.2">
      <c r="B30" s="26" t="s">
        <v>39</v>
      </c>
      <c r="C30" s="5"/>
      <c r="R30" s="2"/>
      <c r="AL30" s="37"/>
      <c r="AM30" s="37"/>
      <c r="AN30" s="37"/>
      <c r="AP30" s="28"/>
      <c r="AQ30" s="28"/>
      <c r="AS30" s="39">
        <v>1000</v>
      </c>
      <c r="BM30" s="37"/>
      <c r="BN30" s="37"/>
      <c r="BO30" s="37"/>
      <c r="BQ30" s="28"/>
      <c r="BR30" s="28"/>
      <c r="BT30" s="39">
        <v>1000</v>
      </c>
      <c r="CN30" s="37"/>
      <c r="CO30" s="37"/>
      <c r="CP30" s="37"/>
      <c r="CR30" s="28"/>
      <c r="CS30" s="28"/>
      <c r="CU30" s="39">
        <v>1000</v>
      </c>
      <c r="DR30" s="5"/>
      <c r="DS30" s="5"/>
      <c r="EB30" s="2"/>
      <c r="EC30" s="2"/>
      <c r="EE30" s="39">
        <v>1000</v>
      </c>
      <c r="EZ30" s="5"/>
      <c r="FA30" s="5"/>
      <c r="FJ30" s="2"/>
      <c r="FK30" s="2"/>
      <c r="FM30" s="39">
        <v>1000</v>
      </c>
      <c r="GH30" s="5"/>
      <c r="GI30" s="5"/>
      <c r="GR30" s="2"/>
      <c r="GS30" s="2"/>
      <c r="GU30" s="39">
        <v>1000</v>
      </c>
      <c r="HP30" s="5"/>
      <c r="HQ30" s="5"/>
      <c r="HZ30" s="2"/>
      <c r="IA30" s="2"/>
      <c r="IC30" s="39">
        <v>1000</v>
      </c>
      <c r="IX30" s="5"/>
      <c r="IY30" s="5"/>
      <c r="JH30" s="2"/>
      <c r="JI30" s="2"/>
      <c r="JK30" s="39">
        <v>1000</v>
      </c>
      <c r="KF30" s="5"/>
      <c r="KG30" s="5"/>
      <c r="KP30" s="2"/>
      <c r="KQ30" s="2"/>
      <c r="KS30" s="39">
        <v>1000</v>
      </c>
      <c r="LN30" s="5"/>
      <c r="LO30" s="5"/>
      <c r="LX30" s="2"/>
      <c r="LY30" s="2"/>
      <c r="MA30" s="39">
        <v>1000</v>
      </c>
      <c r="MV30" s="5"/>
      <c r="MW30" s="5"/>
      <c r="NF30" s="2"/>
      <c r="NG30" s="2"/>
      <c r="NI30" s="39">
        <v>1000</v>
      </c>
      <c r="OD30" s="5"/>
      <c r="OE30" s="5"/>
      <c r="ON30" s="2"/>
      <c r="OO30" s="2"/>
      <c r="OQ30" s="39">
        <v>1000</v>
      </c>
      <c r="PL30" s="5"/>
      <c r="PM30" s="5"/>
      <c r="PV30" s="2"/>
      <c r="PW30" s="2"/>
      <c r="PY30" s="39">
        <v>1000</v>
      </c>
      <c r="QT30" s="5"/>
      <c r="QU30" s="5"/>
      <c r="RD30" s="2"/>
      <c r="RE30" s="2"/>
      <c r="RG30" s="39">
        <v>1000</v>
      </c>
      <c r="SB30" s="5"/>
      <c r="SC30" s="5"/>
      <c r="SL30" s="2"/>
      <c r="SM30" s="2"/>
      <c r="SO30" s="39">
        <v>1000</v>
      </c>
      <c r="TJ30" s="5"/>
      <c r="TK30" s="5"/>
      <c r="TT30" s="2"/>
      <c r="TU30" s="2"/>
      <c r="TW30" s="39">
        <v>1000</v>
      </c>
      <c r="UR30" s="5"/>
      <c r="US30" s="5"/>
      <c r="VB30" s="2"/>
      <c r="VC30" s="2"/>
      <c r="VE30" s="39">
        <v>1000</v>
      </c>
      <c r="VZ30" s="5"/>
      <c r="WA30" s="5"/>
      <c r="WJ30" s="2"/>
      <c r="WK30" s="2"/>
      <c r="WM30" s="39">
        <v>1000</v>
      </c>
    </row>
    <row r="31" spans="1:611" hidden="1" x14ac:dyDescent="0.2">
      <c r="A31" s="5"/>
      <c r="B31" s="27" t="s">
        <v>50</v>
      </c>
      <c r="C31" s="5"/>
      <c r="E31" s="2"/>
      <c r="AL31" s="37"/>
      <c r="AM31" s="37"/>
      <c r="AN31" s="37"/>
      <c r="AO31" s="28"/>
      <c r="AP31" s="28"/>
      <c r="AQ31" s="28"/>
      <c r="AR31" s="28"/>
      <c r="AS31" s="40">
        <v>1000</v>
      </c>
      <c r="BM31" s="37"/>
      <c r="BN31" s="37"/>
      <c r="BO31" s="37"/>
      <c r="BQ31" s="28"/>
      <c r="BR31" s="28"/>
      <c r="BT31" s="40">
        <v>1000</v>
      </c>
      <c r="CN31" s="37"/>
      <c r="CO31" s="37"/>
      <c r="CP31" s="37"/>
      <c r="CQ31" s="28"/>
      <c r="CR31" s="28"/>
      <c r="CS31" s="28"/>
      <c r="CT31" s="28"/>
      <c r="CU31" s="40">
        <v>1000</v>
      </c>
      <c r="DR31" s="5"/>
      <c r="DS31" s="5"/>
      <c r="EB31" s="2"/>
      <c r="EC31" s="2"/>
      <c r="EE31" s="40">
        <v>0</v>
      </c>
      <c r="EZ31" s="5"/>
      <c r="FA31" s="5"/>
      <c r="FJ31" s="2"/>
      <c r="FK31" s="2"/>
      <c r="FM31" s="40">
        <v>0</v>
      </c>
      <c r="GH31" s="5"/>
      <c r="GI31" s="5"/>
      <c r="GR31" s="2"/>
      <c r="GS31" s="2"/>
      <c r="GU31" s="40">
        <v>0</v>
      </c>
      <c r="HP31" s="5"/>
      <c r="HQ31" s="5"/>
      <c r="HZ31" s="2"/>
      <c r="IA31" s="2"/>
      <c r="IC31" s="40">
        <v>0</v>
      </c>
      <c r="IX31" s="5"/>
      <c r="IY31" s="5"/>
      <c r="JH31" s="2"/>
      <c r="JI31" s="2"/>
      <c r="JK31" s="40">
        <v>0</v>
      </c>
      <c r="KF31" s="5"/>
      <c r="KG31" s="5"/>
      <c r="KP31" s="2"/>
      <c r="KQ31" s="2"/>
      <c r="KS31" s="40">
        <v>0</v>
      </c>
      <c r="LN31" s="5"/>
      <c r="LO31" s="5"/>
      <c r="LX31" s="2"/>
      <c r="LY31" s="2"/>
      <c r="MA31" s="40">
        <v>0</v>
      </c>
      <c r="MV31" s="5"/>
      <c r="MW31" s="5"/>
      <c r="NF31" s="2"/>
      <c r="NG31" s="2"/>
      <c r="NI31" s="40">
        <v>0</v>
      </c>
      <c r="OD31" s="5"/>
      <c r="OE31" s="5"/>
      <c r="ON31" s="2"/>
      <c r="OO31" s="2"/>
      <c r="OQ31" s="40">
        <v>0</v>
      </c>
      <c r="PL31" s="5"/>
      <c r="PM31" s="5"/>
      <c r="PV31" s="2"/>
      <c r="PW31" s="2"/>
      <c r="PY31" s="40">
        <v>0</v>
      </c>
      <c r="QT31" s="5"/>
      <c r="QU31" s="5"/>
      <c r="RD31" s="2"/>
      <c r="RE31" s="2"/>
      <c r="RG31" s="40">
        <v>0</v>
      </c>
      <c r="SB31" s="5"/>
      <c r="SC31" s="5"/>
      <c r="SL31" s="2"/>
      <c r="SM31" s="2"/>
      <c r="SO31" s="40">
        <v>0</v>
      </c>
      <c r="TJ31" s="5"/>
      <c r="TK31" s="5"/>
      <c r="TT31" s="2"/>
      <c r="TU31" s="2"/>
      <c r="TW31" s="40">
        <v>0</v>
      </c>
      <c r="UR31" s="5"/>
      <c r="US31" s="5"/>
      <c r="VB31" s="2"/>
      <c r="VC31" s="2"/>
      <c r="VE31" s="40">
        <v>0</v>
      </c>
      <c r="VZ31" s="5"/>
      <c r="WA31" s="5"/>
      <c r="WJ31" s="2"/>
      <c r="WK31" s="2"/>
      <c r="WM31" s="40">
        <v>0</v>
      </c>
    </row>
    <row r="32" spans="1:611" hidden="1" x14ac:dyDescent="0.2">
      <c r="A32" s="5"/>
      <c r="B32" s="31" t="s">
        <v>57</v>
      </c>
      <c r="C32" s="5"/>
      <c r="E32" s="2"/>
      <c r="AL32" s="37"/>
      <c r="AM32" s="37"/>
      <c r="AN32" s="37"/>
      <c r="AO32" s="28"/>
      <c r="AP32" s="28"/>
      <c r="AQ32" s="28"/>
      <c r="AR32" s="28"/>
      <c r="AS32" s="41">
        <v>1000</v>
      </c>
      <c r="BM32" s="37"/>
      <c r="BN32" s="37"/>
      <c r="BO32" s="37"/>
      <c r="BQ32" s="28"/>
      <c r="BR32" s="28"/>
      <c r="BT32" s="41">
        <v>1000</v>
      </c>
      <c r="CN32" s="37"/>
      <c r="CO32" s="37"/>
      <c r="CP32" s="37"/>
      <c r="CQ32" s="28"/>
      <c r="CR32" s="28"/>
      <c r="CS32" s="28"/>
      <c r="CT32" s="28"/>
      <c r="CU32" s="41">
        <v>1000</v>
      </c>
      <c r="DR32" s="5"/>
      <c r="DS32" s="5"/>
      <c r="EB32" s="2"/>
      <c r="EC32" s="2"/>
      <c r="EE32" s="41">
        <v>0</v>
      </c>
      <c r="EZ32" s="5"/>
      <c r="FA32" s="5"/>
      <c r="FJ32" s="2"/>
      <c r="FK32" s="2"/>
      <c r="FM32" s="41">
        <v>0</v>
      </c>
      <c r="GH32" s="5"/>
      <c r="GI32" s="5"/>
      <c r="GR32" s="2"/>
      <c r="GS32" s="2"/>
      <c r="GU32" s="41">
        <v>0</v>
      </c>
      <c r="HP32" s="5"/>
      <c r="HQ32" s="5"/>
      <c r="HZ32" s="2"/>
      <c r="IA32" s="2"/>
      <c r="IC32" s="41">
        <v>0</v>
      </c>
      <c r="IX32" s="5"/>
      <c r="IY32" s="5"/>
      <c r="JH32" s="2"/>
      <c r="JI32" s="2"/>
      <c r="JK32" s="41">
        <v>0</v>
      </c>
      <c r="KF32" s="5"/>
      <c r="KG32" s="5"/>
      <c r="KP32" s="2"/>
      <c r="KQ32" s="2"/>
      <c r="KS32" s="41">
        <v>0</v>
      </c>
      <c r="LN32" s="5"/>
      <c r="LO32" s="5"/>
      <c r="LX32" s="2"/>
      <c r="LY32" s="2"/>
      <c r="MA32" s="41">
        <v>0</v>
      </c>
      <c r="MV32" s="5"/>
      <c r="MW32" s="5"/>
      <c r="NF32" s="2"/>
      <c r="NG32" s="2"/>
      <c r="NI32" s="41">
        <v>0</v>
      </c>
      <c r="OD32" s="5"/>
      <c r="OE32" s="5"/>
      <c r="ON32" s="2"/>
      <c r="OO32" s="2"/>
      <c r="OQ32" s="41">
        <v>0</v>
      </c>
      <c r="PL32" s="5"/>
      <c r="PM32" s="5"/>
      <c r="PV32" s="2"/>
      <c r="PW32" s="2"/>
      <c r="PY32" s="41">
        <v>0</v>
      </c>
      <c r="QT32" s="5"/>
      <c r="QU32" s="5"/>
      <c r="RD32" s="2"/>
      <c r="RE32" s="2"/>
      <c r="RG32" s="41">
        <v>0</v>
      </c>
      <c r="SB32" s="5"/>
      <c r="SC32" s="5"/>
      <c r="SL32" s="2"/>
      <c r="SM32" s="2"/>
      <c r="SO32" s="41">
        <v>0</v>
      </c>
      <c r="TJ32" s="5"/>
      <c r="TK32" s="5"/>
      <c r="TT32" s="2"/>
      <c r="TU32" s="2"/>
      <c r="TW32" s="41">
        <v>0</v>
      </c>
      <c r="UR32" s="5"/>
      <c r="US32" s="5"/>
      <c r="VB32" s="2"/>
      <c r="VC32" s="2"/>
      <c r="VE32" s="41">
        <v>0</v>
      </c>
      <c r="VZ32" s="5"/>
      <c r="WA32" s="5"/>
      <c r="WJ32" s="2"/>
      <c r="WK32" s="2"/>
      <c r="WM32" s="41">
        <v>0</v>
      </c>
    </row>
    <row r="33" spans="1:611" x14ac:dyDescent="0.2">
      <c r="A33" s="5"/>
      <c r="B33" s="30" t="s">
        <v>37</v>
      </c>
      <c r="C33" s="5"/>
      <c r="AL33" s="37"/>
      <c r="AM33" s="37"/>
      <c r="AN33" s="37"/>
      <c r="AO33" s="28"/>
      <c r="AP33" s="28"/>
      <c r="AQ33" s="28"/>
      <c r="AR33" s="28"/>
      <c r="AS33" s="42">
        <v>54.9</v>
      </c>
      <c r="BM33" s="37"/>
      <c r="BN33" s="37"/>
      <c r="BO33" s="37"/>
      <c r="BQ33" s="28"/>
      <c r="BR33" s="28"/>
      <c r="BT33" s="42">
        <v>54.9</v>
      </c>
      <c r="CN33" s="37"/>
      <c r="CO33" s="37"/>
      <c r="CP33" s="37"/>
      <c r="CQ33" s="28"/>
      <c r="CR33" s="28"/>
      <c r="CS33" s="28"/>
      <c r="CT33" s="28"/>
      <c r="CU33" s="42">
        <v>54.9</v>
      </c>
      <c r="DR33" s="5"/>
      <c r="DS33" s="5"/>
      <c r="EB33" s="2"/>
      <c r="EC33" s="2"/>
      <c r="EE33" s="42">
        <v>54.9</v>
      </c>
      <c r="EZ33" s="5"/>
      <c r="FA33" s="5"/>
      <c r="FJ33" s="2"/>
      <c r="FK33" s="2"/>
      <c r="FM33" s="42">
        <v>54.9</v>
      </c>
      <c r="GH33" s="5"/>
      <c r="GI33" s="5"/>
      <c r="GR33" s="2"/>
      <c r="GS33" s="2"/>
      <c r="GU33" s="42">
        <v>54.9</v>
      </c>
      <c r="HP33" s="5"/>
      <c r="HQ33" s="5"/>
      <c r="HZ33" s="2"/>
      <c r="IA33" s="2"/>
      <c r="IC33" s="42">
        <v>54.9</v>
      </c>
      <c r="IX33" s="5"/>
      <c r="IY33" s="5"/>
      <c r="JH33" s="2"/>
      <c r="JI33" s="2"/>
      <c r="JK33" s="42">
        <v>54.9</v>
      </c>
      <c r="KF33" s="5"/>
      <c r="KG33" s="5"/>
      <c r="KP33" s="2"/>
      <c r="KQ33" s="2"/>
      <c r="KS33" s="42">
        <v>54.9</v>
      </c>
      <c r="LN33" s="5"/>
      <c r="LO33" s="5"/>
      <c r="LX33" s="2"/>
      <c r="LY33" s="2"/>
      <c r="MA33" s="42">
        <v>54.9</v>
      </c>
      <c r="MV33" s="5"/>
      <c r="MW33" s="5"/>
      <c r="NF33" s="2"/>
      <c r="NG33" s="2"/>
      <c r="NI33" s="42">
        <v>54.9</v>
      </c>
      <c r="OD33" s="5"/>
      <c r="OE33" s="5"/>
      <c r="ON33" s="2"/>
      <c r="OO33" s="2"/>
      <c r="OQ33" s="42">
        <v>54.9</v>
      </c>
      <c r="PL33" s="5"/>
      <c r="PM33" s="5"/>
      <c r="PV33" s="2"/>
      <c r="PW33" s="2"/>
      <c r="PY33" s="42">
        <v>56.6</v>
      </c>
      <c r="QT33" s="5"/>
      <c r="QU33" s="5"/>
      <c r="RD33" s="2"/>
      <c r="RE33" s="2"/>
      <c r="RG33" s="42">
        <v>56.6</v>
      </c>
      <c r="SB33" s="5"/>
      <c r="SC33" s="5"/>
      <c r="SL33" s="2"/>
      <c r="SM33" s="2"/>
      <c r="SO33" s="42">
        <v>56.6</v>
      </c>
      <c r="TJ33" s="5"/>
      <c r="TK33" s="5"/>
      <c r="TT33" s="2"/>
      <c r="TU33" s="2"/>
      <c r="TW33" s="42">
        <v>56.6</v>
      </c>
      <c r="UR33" s="5"/>
      <c r="US33" s="5"/>
      <c r="VB33" s="2"/>
      <c r="VC33" s="2"/>
      <c r="VE33" s="42">
        <v>56.6</v>
      </c>
      <c r="VZ33" s="5"/>
      <c r="WA33" s="5"/>
      <c r="WJ33" s="2"/>
      <c r="WK33" s="2"/>
      <c r="WM33" s="42">
        <v>56.6</v>
      </c>
    </row>
    <row r="34" spans="1:611" hidden="1" x14ac:dyDescent="0.2">
      <c r="A34" s="5"/>
      <c r="B34" s="20" t="s">
        <v>38</v>
      </c>
      <c r="C34" s="5"/>
      <c r="AL34" s="37"/>
      <c r="AM34" s="37"/>
      <c r="AN34" s="37"/>
      <c r="AO34" s="28"/>
      <c r="AP34" s="28"/>
      <c r="AQ34" s="28"/>
      <c r="AR34" s="28"/>
      <c r="AS34" s="43">
        <v>1000</v>
      </c>
      <c r="BM34" s="37"/>
      <c r="BN34" s="37"/>
      <c r="BO34" s="37"/>
      <c r="BQ34" s="28"/>
      <c r="BR34" s="28"/>
      <c r="BT34" s="43">
        <v>1000</v>
      </c>
      <c r="CN34" s="37"/>
      <c r="CO34" s="37"/>
      <c r="CP34" s="37"/>
      <c r="CQ34" s="28"/>
      <c r="CR34" s="28"/>
      <c r="CS34" s="28"/>
      <c r="CT34" s="28"/>
      <c r="CU34" s="43">
        <v>1000</v>
      </c>
      <c r="DR34" s="5"/>
      <c r="DS34" s="5"/>
      <c r="EB34" s="2"/>
      <c r="EC34" s="2"/>
      <c r="EE34" s="43">
        <v>1000</v>
      </c>
      <c r="EZ34" s="5"/>
      <c r="FA34" s="5"/>
      <c r="FJ34" s="2"/>
      <c r="FK34" s="2"/>
      <c r="FM34" s="43">
        <v>1000</v>
      </c>
      <c r="GH34" s="5"/>
      <c r="GI34" s="5"/>
      <c r="GR34" s="2"/>
      <c r="GS34" s="2"/>
      <c r="GU34" s="43">
        <v>1000</v>
      </c>
      <c r="HP34" s="5"/>
      <c r="HQ34" s="5"/>
      <c r="HZ34" s="2"/>
      <c r="IA34" s="2"/>
      <c r="IC34" s="43">
        <v>1000</v>
      </c>
      <c r="IX34" s="5"/>
      <c r="IY34" s="5"/>
      <c r="JH34" s="2"/>
      <c r="JI34" s="2"/>
      <c r="JK34" s="43">
        <v>1000</v>
      </c>
      <c r="KF34" s="5"/>
      <c r="KG34" s="5"/>
      <c r="KP34" s="2"/>
      <c r="KQ34" s="2"/>
      <c r="KS34" s="43">
        <v>1000</v>
      </c>
      <c r="LN34" s="5"/>
      <c r="LO34" s="5"/>
      <c r="LX34" s="2"/>
      <c r="LY34" s="2"/>
      <c r="MA34" s="43">
        <v>1000</v>
      </c>
      <c r="MV34" s="5"/>
      <c r="MW34" s="5"/>
      <c r="NF34" s="2"/>
      <c r="NG34" s="2"/>
      <c r="NI34" s="43">
        <v>1000</v>
      </c>
      <c r="OD34" s="5"/>
      <c r="OE34" s="5"/>
      <c r="ON34" s="2"/>
      <c r="OO34" s="2"/>
      <c r="OQ34" s="43">
        <v>1000</v>
      </c>
      <c r="PL34" s="5"/>
      <c r="PM34" s="5"/>
      <c r="PV34" s="2"/>
      <c r="PW34" s="2"/>
      <c r="PY34" s="43">
        <v>1000</v>
      </c>
      <c r="QT34" s="5"/>
      <c r="QU34" s="5"/>
      <c r="RD34" s="2"/>
      <c r="RE34" s="2"/>
      <c r="RG34" s="43">
        <v>1000</v>
      </c>
      <c r="SB34" s="5"/>
      <c r="SC34" s="5"/>
      <c r="SL34" s="2"/>
      <c r="SM34" s="2"/>
      <c r="SO34" s="43">
        <v>1000</v>
      </c>
      <c r="TJ34" s="5"/>
      <c r="TK34" s="5"/>
      <c r="TT34" s="2"/>
      <c r="TU34" s="2"/>
      <c r="TW34" s="43">
        <v>1000</v>
      </c>
      <c r="UR34" s="5"/>
      <c r="US34" s="5"/>
      <c r="VB34" s="2"/>
      <c r="VC34" s="2"/>
      <c r="VE34" s="43">
        <v>1000</v>
      </c>
      <c r="VZ34" s="5"/>
      <c r="WA34" s="5"/>
      <c r="WJ34" s="2"/>
      <c r="WK34" s="2"/>
      <c r="WM34" s="43">
        <v>1000</v>
      </c>
    </row>
    <row r="35" spans="1:611" hidden="1" x14ac:dyDescent="0.2">
      <c r="A35" s="5"/>
      <c r="B35" s="29" t="s">
        <v>49</v>
      </c>
      <c r="C35" s="5"/>
      <c r="AL35" s="37"/>
      <c r="AM35" s="37"/>
      <c r="AN35" s="37"/>
      <c r="AO35" s="28"/>
      <c r="AP35" s="28"/>
      <c r="AQ35" s="28"/>
      <c r="AR35" s="28"/>
      <c r="AS35" s="44">
        <v>1000</v>
      </c>
      <c r="BM35" s="37"/>
      <c r="BN35" s="37"/>
      <c r="BO35" s="37"/>
      <c r="BQ35" s="28"/>
      <c r="BR35" s="28"/>
      <c r="BT35" s="44">
        <v>1000</v>
      </c>
      <c r="CN35" s="37"/>
      <c r="CO35" s="37"/>
      <c r="CP35" s="37"/>
      <c r="CQ35" s="28"/>
      <c r="CR35" s="28"/>
      <c r="CS35" s="28"/>
      <c r="CT35" s="28"/>
      <c r="CU35" s="44">
        <v>1000</v>
      </c>
      <c r="DR35" s="5"/>
      <c r="DS35" s="5"/>
      <c r="EB35" s="2"/>
      <c r="EC35" s="2"/>
      <c r="ED35" s="33"/>
      <c r="EE35" s="44">
        <v>1000</v>
      </c>
      <c r="EZ35" s="5"/>
      <c r="FA35" s="5"/>
      <c r="FJ35" s="2"/>
      <c r="FK35" s="2"/>
      <c r="FL35" s="33"/>
      <c r="FM35" s="44">
        <v>1000</v>
      </c>
      <c r="GH35" s="5"/>
      <c r="GI35" s="5"/>
      <c r="GR35" s="2"/>
      <c r="GS35" s="2"/>
      <c r="GT35" s="33"/>
      <c r="GU35" s="44">
        <v>1000</v>
      </c>
      <c r="HP35" s="5"/>
      <c r="HQ35" s="5"/>
      <c r="HZ35" s="2"/>
      <c r="IA35" s="2"/>
      <c r="IB35" s="33"/>
      <c r="IC35" s="44">
        <v>1000</v>
      </c>
      <c r="IX35" s="5"/>
      <c r="IY35" s="5"/>
      <c r="JH35" s="2"/>
      <c r="JI35" s="2"/>
      <c r="JJ35" s="33"/>
      <c r="JK35" s="44">
        <v>1000</v>
      </c>
      <c r="KF35" s="5"/>
      <c r="KG35" s="5"/>
      <c r="KP35" s="2"/>
      <c r="KQ35" s="2"/>
      <c r="KR35" s="33"/>
      <c r="KS35" s="44">
        <v>1000</v>
      </c>
      <c r="LN35" s="5"/>
      <c r="LO35" s="5"/>
      <c r="LX35" s="2"/>
      <c r="LY35" s="2"/>
      <c r="LZ35" s="33"/>
      <c r="MA35" s="44">
        <v>1000</v>
      </c>
      <c r="MV35" s="5"/>
      <c r="MW35" s="5"/>
      <c r="NF35" s="2"/>
      <c r="NG35" s="2"/>
      <c r="NH35" s="33"/>
      <c r="NI35" s="44">
        <v>1000</v>
      </c>
      <c r="OD35" s="5"/>
      <c r="OE35" s="5"/>
      <c r="ON35" s="2"/>
      <c r="OO35" s="2"/>
      <c r="OP35" s="33"/>
      <c r="OQ35" s="44">
        <v>1000</v>
      </c>
      <c r="PL35" s="5"/>
      <c r="PM35" s="5"/>
      <c r="PV35" s="2"/>
      <c r="PW35" s="2"/>
      <c r="PX35" s="33"/>
      <c r="PY35" s="44">
        <v>1000</v>
      </c>
      <c r="QT35" s="5"/>
      <c r="QU35" s="5"/>
      <c r="RD35" s="2"/>
      <c r="RE35" s="2"/>
      <c r="RF35" s="33"/>
      <c r="RG35" s="44">
        <v>1000</v>
      </c>
      <c r="SB35" s="5"/>
      <c r="SC35" s="5"/>
      <c r="SL35" s="2"/>
      <c r="SM35" s="2"/>
      <c r="SN35" s="33"/>
      <c r="SO35" s="44">
        <v>1000</v>
      </c>
      <c r="TJ35" s="5"/>
      <c r="TK35" s="5"/>
      <c r="TT35" s="2"/>
      <c r="TU35" s="2"/>
      <c r="TV35" s="33"/>
      <c r="TW35" s="44">
        <v>1000</v>
      </c>
      <c r="UR35" s="5"/>
      <c r="US35" s="5"/>
      <c r="VB35" s="2"/>
      <c r="VC35" s="2"/>
      <c r="VD35" s="33"/>
      <c r="VE35" s="44">
        <v>1000</v>
      </c>
      <c r="VZ35" s="5"/>
      <c r="WA35" s="5"/>
      <c r="WJ35" s="2"/>
      <c r="WK35" s="2"/>
      <c r="WL35" s="33"/>
      <c r="WM35" s="44">
        <v>1000</v>
      </c>
    </row>
    <row r="36" spans="1:611" hidden="1" x14ac:dyDescent="0.2">
      <c r="A36" s="5"/>
      <c r="B36" s="21" t="s">
        <v>30</v>
      </c>
      <c r="C36" s="5"/>
      <c r="AL36" s="37"/>
      <c r="AM36" s="37"/>
      <c r="AN36" s="37"/>
      <c r="AO36" s="28"/>
      <c r="AP36" s="37"/>
      <c r="AQ36" s="37"/>
      <c r="AR36" s="28"/>
      <c r="AS36" s="45">
        <v>1000</v>
      </c>
      <c r="BM36" s="37"/>
      <c r="BN36" s="37"/>
      <c r="BO36" s="37"/>
      <c r="BQ36" s="37"/>
      <c r="BR36" s="28"/>
      <c r="BT36" s="45">
        <v>1000</v>
      </c>
      <c r="CN36" s="37"/>
      <c r="CO36" s="37"/>
      <c r="CP36" s="37"/>
      <c r="CQ36" s="28"/>
      <c r="CR36" s="37"/>
      <c r="CS36" s="28"/>
      <c r="CT36" s="28"/>
      <c r="CU36" s="45">
        <v>1000</v>
      </c>
      <c r="DR36" s="5"/>
      <c r="DS36" s="5"/>
      <c r="EB36" s="37"/>
      <c r="EC36" s="2"/>
      <c r="EE36" s="45">
        <v>1000</v>
      </c>
      <c r="EZ36" s="5"/>
      <c r="FA36" s="5"/>
      <c r="FJ36" s="37"/>
      <c r="FK36" s="2"/>
      <c r="FM36" s="45">
        <v>1000</v>
      </c>
      <c r="GH36" s="5"/>
      <c r="GI36" s="5"/>
      <c r="GR36" s="2"/>
      <c r="GS36" s="2"/>
      <c r="GU36" s="45">
        <v>1000</v>
      </c>
      <c r="HP36" s="5"/>
      <c r="HQ36" s="5"/>
      <c r="HZ36" s="37"/>
      <c r="IA36" s="2"/>
      <c r="IC36" s="45">
        <v>1000</v>
      </c>
      <c r="IX36" s="5"/>
      <c r="IY36" s="5"/>
      <c r="JH36" s="2"/>
      <c r="JI36" s="2"/>
      <c r="JK36" s="45">
        <v>1000</v>
      </c>
      <c r="KF36" s="5"/>
      <c r="KG36" s="5"/>
      <c r="KP36" s="2"/>
      <c r="KQ36" s="2"/>
      <c r="KS36" s="45">
        <v>1000</v>
      </c>
      <c r="LN36" s="5"/>
      <c r="LO36" s="5"/>
      <c r="LX36" s="2"/>
      <c r="LY36" s="2"/>
      <c r="MA36" s="45">
        <v>1000</v>
      </c>
      <c r="MV36" s="5"/>
      <c r="MW36" s="5"/>
      <c r="NF36" s="2"/>
      <c r="NG36" s="2"/>
      <c r="NI36" s="45">
        <v>1000</v>
      </c>
      <c r="OD36" s="5"/>
      <c r="OE36" s="5"/>
      <c r="ON36" s="2"/>
      <c r="OO36" s="2"/>
      <c r="OQ36" s="45">
        <v>1000</v>
      </c>
      <c r="PL36" s="5"/>
      <c r="PM36" s="5"/>
      <c r="PV36" s="2"/>
      <c r="PW36" s="2"/>
      <c r="PY36" s="45">
        <v>1000</v>
      </c>
      <c r="QT36" s="5"/>
      <c r="QU36" s="5"/>
      <c r="RD36" s="2"/>
      <c r="RE36" s="2"/>
      <c r="RG36" s="45">
        <v>1000</v>
      </c>
      <c r="SB36" s="5"/>
      <c r="SC36" s="5"/>
      <c r="SL36" s="2"/>
      <c r="SM36" s="2"/>
      <c r="SO36" s="45">
        <v>1000</v>
      </c>
      <c r="TJ36" s="5"/>
      <c r="TK36" s="5"/>
      <c r="TT36" s="2"/>
      <c r="TU36" s="2"/>
      <c r="TW36" s="45">
        <v>1000</v>
      </c>
      <c r="UR36" s="5"/>
      <c r="US36" s="5"/>
      <c r="VB36" s="2"/>
      <c r="VC36" s="2"/>
      <c r="VE36" s="45">
        <v>1000</v>
      </c>
      <c r="VZ36" s="5"/>
      <c r="WA36" s="5"/>
      <c r="WJ36" s="2"/>
      <c r="WK36" s="2"/>
      <c r="WM36" s="45">
        <v>1000</v>
      </c>
    </row>
    <row r="37" spans="1:611" x14ac:dyDescent="0.2">
      <c r="B37" s="25" t="s">
        <v>43</v>
      </c>
      <c r="C37" s="2"/>
      <c r="AO37" s="28"/>
      <c r="AR37" s="28"/>
      <c r="CQ37" s="28"/>
      <c r="CT37" s="28"/>
    </row>
    <row r="38" spans="1:611" x14ac:dyDescent="0.2">
      <c r="A38" s="5"/>
      <c r="B38" s="5"/>
      <c r="C38" s="17"/>
      <c r="AK38" s="28"/>
      <c r="AL38" s="28"/>
      <c r="AM38" s="28"/>
      <c r="AN38" s="28"/>
      <c r="AO38" s="28"/>
      <c r="AR38" s="28"/>
      <c r="CM38" s="28"/>
      <c r="CN38" s="28"/>
      <c r="CO38" s="28"/>
      <c r="CP38" s="28"/>
      <c r="CQ38" s="28"/>
      <c r="CT38" s="28"/>
    </row>
    <row r="39" spans="1:611" ht="17" x14ac:dyDescent="0.2">
      <c r="A39" s="5"/>
      <c r="B39" s="5"/>
      <c r="C39" s="17"/>
      <c r="P39" s="10"/>
      <c r="Q39" s="10"/>
      <c r="AK39" s="28"/>
      <c r="AL39" s="28"/>
      <c r="AM39" s="28"/>
      <c r="AN39" s="28"/>
      <c r="AO39" s="28"/>
      <c r="AR39" s="28"/>
      <c r="CM39" s="28"/>
      <c r="CN39" s="28"/>
      <c r="CO39" s="28"/>
      <c r="CP39" s="28"/>
      <c r="CQ39" s="28"/>
      <c r="CT39" s="28"/>
    </row>
    <row r="40" spans="1:611" ht="17" x14ac:dyDescent="0.2">
      <c r="A40" s="5"/>
      <c r="B40" s="5"/>
      <c r="C40" s="17"/>
      <c r="P40" s="10"/>
      <c r="AK40" s="28"/>
      <c r="AL40" s="28"/>
      <c r="AM40" s="28"/>
      <c r="AN40" s="28"/>
      <c r="AO40" s="28"/>
      <c r="AR40" s="28"/>
      <c r="CM40" s="28"/>
      <c r="CN40" s="28"/>
      <c r="CO40" s="28"/>
      <c r="CP40" s="28"/>
      <c r="CQ40" s="28"/>
      <c r="CT40" s="28"/>
    </row>
    <row r="41" spans="1:611" ht="17" x14ac:dyDescent="0.2">
      <c r="P41" s="10"/>
      <c r="Q41" s="10"/>
      <c r="AK41" s="28"/>
      <c r="AL41" s="28"/>
      <c r="AM41" s="28"/>
      <c r="AN41" s="28"/>
      <c r="AO41" s="28"/>
      <c r="AR41" s="28"/>
      <c r="CM41" s="28"/>
      <c r="CN41" s="28"/>
      <c r="CO41" s="28"/>
      <c r="CP41" s="28"/>
      <c r="CQ41" s="28"/>
      <c r="CT41" s="28"/>
    </row>
    <row r="42" spans="1:611" ht="17" x14ac:dyDescent="0.2">
      <c r="P42" s="10"/>
      <c r="Q42" s="10"/>
      <c r="AK42" s="28"/>
      <c r="AL42" s="28"/>
      <c r="AM42" s="28"/>
      <c r="AN42" s="28"/>
      <c r="AO42" s="28"/>
      <c r="AR42" s="28"/>
      <c r="CM42" s="28"/>
      <c r="CN42" s="28"/>
      <c r="CO42" s="28"/>
      <c r="CP42" s="28"/>
      <c r="CQ42" s="28"/>
      <c r="CT42" s="28"/>
    </row>
    <row r="43" spans="1:611" ht="17" x14ac:dyDescent="0.2">
      <c r="P43" s="10"/>
      <c r="Q43" s="10"/>
      <c r="AK43" s="28"/>
      <c r="AL43" s="28"/>
      <c r="AM43" s="28"/>
      <c r="AN43" s="28"/>
      <c r="AO43" s="28"/>
      <c r="AR43" s="28"/>
      <c r="CM43" s="28"/>
      <c r="CN43" s="28"/>
      <c r="CO43" s="28"/>
      <c r="CP43" s="28"/>
      <c r="CQ43" s="28"/>
      <c r="CT43" s="28"/>
    </row>
    <row r="44" spans="1:611" ht="17" x14ac:dyDescent="0.2">
      <c r="P44" s="10"/>
      <c r="Q44" s="10"/>
      <c r="R44" s="10"/>
    </row>
    <row r="45" spans="1:611" ht="17" x14ac:dyDescent="0.2">
      <c r="P45" s="10"/>
      <c r="Q45" s="10"/>
      <c r="R45" s="10"/>
    </row>
    <row r="46" spans="1:611" ht="17" x14ac:dyDescent="0.2">
      <c r="P46" s="10"/>
      <c r="Q46" s="10"/>
      <c r="R46" s="10"/>
    </row>
    <row r="47" spans="1:611" ht="17" x14ac:dyDescent="0.2">
      <c r="P47" s="10"/>
      <c r="Q47" s="10"/>
      <c r="R47" s="10"/>
    </row>
    <row r="48" spans="1:611" ht="17" x14ac:dyDescent="0.2">
      <c r="P48" s="10"/>
      <c r="Q48" s="10"/>
      <c r="R48" s="10"/>
    </row>
    <row r="49" spans="16:18" ht="17" x14ac:dyDescent="0.2">
      <c r="P49" s="10"/>
      <c r="Q49" s="10"/>
      <c r="R49" s="10"/>
    </row>
    <row r="50" spans="16:18" ht="17" x14ac:dyDescent="0.2">
      <c r="P50" s="10"/>
      <c r="Q50" s="10"/>
      <c r="R50" s="10"/>
    </row>
    <row r="51" spans="16:18" ht="17" x14ac:dyDescent="0.2">
      <c r="P51" s="10"/>
      <c r="Q51" s="10"/>
      <c r="R51" s="10"/>
    </row>
    <row r="52" spans="16:18" ht="17" x14ac:dyDescent="0.2">
      <c r="P52" s="10"/>
      <c r="Q52" s="10"/>
      <c r="R52" s="10"/>
    </row>
    <row r="53" spans="16:18" ht="17" x14ac:dyDescent="0.2">
      <c r="P53" s="10"/>
      <c r="Q53" s="10"/>
      <c r="R53" s="10"/>
    </row>
    <row r="54" spans="16:18" ht="17" x14ac:dyDescent="0.2">
      <c r="P54" s="10"/>
      <c r="Q54" s="10"/>
      <c r="R54" s="10"/>
    </row>
    <row r="55" spans="16:18" ht="17" x14ac:dyDescent="0.2">
      <c r="P55" s="10"/>
      <c r="Q55" s="10"/>
      <c r="R55" s="10"/>
    </row>
    <row r="56" spans="16:18" ht="17" x14ac:dyDescent="0.2">
      <c r="P56" s="10"/>
      <c r="Q56" s="10"/>
      <c r="R56" s="10"/>
    </row>
    <row r="57" spans="16:18" ht="17" x14ac:dyDescent="0.2">
      <c r="P57" s="10"/>
      <c r="Q57" s="10"/>
      <c r="R57" s="10"/>
    </row>
    <row r="58" spans="16:18" ht="17" x14ac:dyDescent="0.2">
      <c r="P58" s="10"/>
      <c r="Q58" s="10"/>
      <c r="R58" s="10"/>
    </row>
  </sheetData>
  <sheetProtection sheet="1" formatCells="0" formatColumns="0" formatRows="0"/>
  <autoFilter ref="A1:WM1" xr:uid="{00000000-0001-0000-0100-000000000000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9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4" showButton="0"/>
    <filterColumn colId="575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8" showButton="0"/>
    <filterColumn colId="609" showButton="0"/>
    <sortState xmlns:xlrd2="http://schemas.microsoft.com/office/spreadsheetml/2017/richdata2" ref="A6:WM26">
      <sortCondition descending="1" ref="F1:F27"/>
    </sortState>
  </autoFilter>
  <sortState xmlns:xlrd2="http://schemas.microsoft.com/office/spreadsheetml/2017/richdata2" ref="A1:O3">
    <sortCondition ref="A1"/>
  </sortState>
  <mergeCells count="106">
    <mergeCell ref="M1:M3"/>
    <mergeCell ref="N1:N3"/>
    <mergeCell ref="O1:O3"/>
    <mergeCell ref="CV1:CW1"/>
    <mergeCell ref="DH2:DL2"/>
    <mergeCell ref="DM2:DQ2"/>
    <mergeCell ref="BU1:CU1"/>
    <mergeCell ref="BU2:BY2"/>
    <mergeCell ref="A1:A3"/>
    <mergeCell ref="B1:B3"/>
    <mergeCell ref="C1:C3"/>
    <mergeCell ref="E1:E3"/>
    <mergeCell ref="F1:F3"/>
    <mergeCell ref="D1:D3"/>
    <mergeCell ref="S1:AS1"/>
    <mergeCell ref="AC2:AG2"/>
    <mergeCell ref="P1:P3"/>
    <mergeCell ref="R1:R3"/>
    <mergeCell ref="Q1:Q3"/>
    <mergeCell ref="S2:W2"/>
    <mergeCell ref="X2:AB2"/>
    <mergeCell ref="G1:G3"/>
    <mergeCell ref="H1:H3"/>
    <mergeCell ref="J1:J3"/>
    <mergeCell ref="I1:I3"/>
    <mergeCell ref="L1:L3"/>
    <mergeCell ref="K1:K3"/>
    <mergeCell ref="AY2:BC2"/>
    <mergeCell ref="BZ2:CD2"/>
    <mergeCell ref="CE2:CI2"/>
    <mergeCell ref="AT1:BT1"/>
    <mergeCell ref="AT2:AX2"/>
    <mergeCell ref="GV1:IC1"/>
    <mergeCell ref="FN2:FR2"/>
    <mergeCell ref="FS2:FW2"/>
    <mergeCell ref="FX2:GB2"/>
    <mergeCell ref="GC2:GG2"/>
    <mergeCell ref="HA2:HE2"/>
    <mergeCell ref="HF2:HJ2"/>
    <mergeCell ref="HK2:HO2"/>
    <mergeCell ref="FN1:GU1"/>
    <mergeCell ref="GV2:GZ2"/>
    <mergeCell ref="EF1:FM1"/>
    <mergeCell ref="EF2:EJ2"/>
    <mergeCell ref="EK2:EO2"/>
    <mergeCell ref="EP2:ET2"/>
    <mergeCell ref="EU2:EY2"/>
    <mergeCell ref="DC2:DG2"/>
    <mergeCell ref="CX1:EE1"/>
    <mergeCell ref="BD2:BH2"/>
    <mergeCell ref="CX2:DB2"/>
    <mergeCell ref="ID1:JK1"/>
    <mergeCell ref="JL1:KS1"/>
    <mergeCell ref="IS2:IW2"/>
    <mergeCell ref="JL2:JP2"/>
    <mergeCell ref="JQ2:JU2"/>
    <mergeCell ref="IN2:IR2"/>
    <mergeCell ref="II2:IM2"/>
    <mergeCell ref="ID2:IH2"/>
    <mergeCell ref="JV2:JZ2"/>
    <mergeCell ref="KA2:KE2"/>
    <mergeCell ref="KT2:KX2"/>
    <mergeCell ref="KY2:LC2"/>
    <mergeCell ref="LD2:LH2"/>
    <mergeCell ref="LI2:LM2"/>
    <mergeCell ref="MB2:MF2"/>
    <mergeCell ref="PG2:PK2"/>
    <mergeCell ref="PZ2:QD2"/>
    <mergeCell ref="QE2:QI2"/>
    <mergeCell ref="QJ2:QN2"/>
    <mergeCell ref="OR1:PY1"/>
    <mergeCell ref="PZ1:RG1"/>
    <mergeCell ref="NT2:NX2"/>
    <mergeCell ref="NY2:OC2"/>
    <mergeCell ref="OR2:OV2"/>
    <mergeCell ref="OW2:PA2"/>
    <mergeCell ref="PB2:PF2"/>
    <mergeCell ref="MG2:MK2"/>
    <mergeCell ref="ML2:MP2"/>
    <mergeCell ref="MQ2:MU2"/>
    <mergeCell ref="NJ2:NN2"/>
    <mergeCell ref="NO2:NS2"/>
    <mergeCell ref="KT1:MA1"/>
    <mergeCell ref="MB1:NI1"/>
    <mergeCell ref="VF1:WM1"/>
    <mergeCell ref="VF2:VJ2"/>
    <mergeCell ref="VK2:VO2"/>
    <mergeCell ref="VP2:VT2"/>
    <mergeCell ref="VU2:VY2"/>
    <mergeCell ref="QO2:QS2"/>
    <mergeCell ref="RH2:RL2"/>
    <mergeCell ref="RM2:RQ2"/>
    <mergeCell ref="RR2:RV2"/>
    <mergeCell ref="RW2:SA2"/>
    <mergeCell ref="SP1:TW1"/>
    <mergeCell ref="TE2:TI2"/>
    <mergeCell ref="SP2:ST2"/>
    <mergeCell ref="SU2:SY2"/>
    <mergeCell ref="SZ2:TD2"/>
    <mergeCell ref="TX1:VE1"/>
    <mergeCell ref="TX2:UB2"/>
    <mergeCell ref="UC2:UG2"/>
    <mergeCell ref="UH2:UL2"/>
    <mergeCell ref="UM2:UQ2"/>
    <mergeCell ref="RH1:SO1"/>
    <mergeCell ref="NJ1:OQ1"/>
  </mergeCells>
  <conditionalFormatting sqref="H1:H1048576">
    <cfRule type="containsText" dxfId="960" priority="259" operator="containsText" text="No DD">
      <formula>NOT(ISERROR(SEARCH("No DD",H1)))</formula>
    </cfRule>
    <cfRule type="containsText" dxfId="959" priority="260" operator="containsText" text="Merit">
      <formula>NOT(ISERROR(SEARCH("Merit",H1)))</formula>
    </cfRule>
    <cfRule type="containsText" dxfId="958" priority="261" operator="containsText" text="Excellence">
      <formula>NOT(ISERROR(SEARCH("Excellence",H1)))</formula>
    </cfRule>
    <cfRule type="containsText" dxfId="957" priority="262" operator="containsText" text="Worlds Team">
      <formula>NOT(ISERROR(SEARCH("Worlds Team",H1)))</formula>
    </cfRule>
    <cfRule type="containsText" dxfId="956" priority="263" operator="containsText" text="National Team">
      <formula>NOT(ISERROR(SEARCH("National Team",H1)))</formula>
    </cfRule>
  </conditionalFormatting>
  <conditionalFormatting sqref="S4:AS26">
    <cfRule type="expression" dxfId="955" priority="52" stopIfTrue="1">
      <formula>IF($AH4&lt;&gt;"",1,0)</formula>
    </cfRule>
  </conditionalFormatting>
  <conditionalFormatting sqref="AT4:BT26">
    <cfRule type="expression" dxfId="954" priority="240" stopIfTrue="1">
      <formula>IF($BI4&lt;&gt;"",1,0)</formula>
    </cfRule>
  </conditionalFormatting>
  <conditionalFormatting sqref="BU4:CU26">
    <cfRule type="expression" dxfId="953" priority="236" stopIfTrue="1">
      <formula>IF($CJ4&lt;&gt;"",1,0)</formula>
    </cfRule>
  </conditionalFormatting>
  <conditionalFormatting sqref="BQ37:BQ1048576 BJ1:BJ1048576 BM1:BM1048576 BQ1:BQ35">
    <cfRule type="cellIs" dxfId="952" priority="52662" operator="between">
      <formula>$BT$32</formula>
      <formula>1000</formula>
    </cfRule>
    <cfRule type="cellIs" dxfId="951" priority="52663" operator="between">
      <formula>$BT$31</formula>
      <formula>$BT$32</formula>
    </cfRule>
    <cfRule type="cellIs" dxfId="950" priority="52664" operator="between">
      <formula>$BT$30</formula>
      <formula>$BT$31</formula>
    </cfRule>
    <cfRule type="cellIs" dxfId="949" priority="52665" operator="between">
      <formula>$BT$29</formula>
      <formula>$BT$30</formula>
    </cfRule>
  </conditionalFormatting>
  <conditionalFormatting sqref="CR37:CR1048576 CK1:CK1048576 CN1:CN1048576 CR1:CR35">
    <cfRule type="cellIs" dxfId="948" priority="51539" operator="between">
      <formula>$CU$32</formula>
      <formula>1000</formula>
    </cfRule>
    <cfRule type="cellIs" dxfId="947" priority="51540" operator="between">
      <formula>$CU$31</formula>
      <formula>$CU$32</formula>
    </cfRule>
    <cfRule type="cellIs" dxfId="946" priority="51541" operator="between">
      <formula>$CU$30</formula>
      <formula>$CU$31</formula>
    </cfRule>
    <cfRule type="cellIs" dxfId="945" priority="51542" operator="between">
      <formula>$CU$29</formula>
      <formula>$CU$30</formula>
    </cfRule>
  </conditionalFormatting>
  <conditionalFormatting sqref="EB37:EB1048576 DR1:DR1048576 DU1:DU1048576 DY1:DY1048576 EB1:EB35">
    <cfRule type="cellIs" dxfId="944" priority="52693" operator="between">
      <formula>$EE$29</formula>
      <formula>$EE$30</formula>
    </cfRule>
  </conditionalFormatting>
  <conditionalFormatting sqref="FJ37:FJ1048576 EZ1:EZ1048576 FC1:FC1048576 FG1:FG1048576 FJ1:FJ35">
    <cfRule type="cellIs" dxfId="943" priority="223" operator="between">
      <formula>$FM$29</formula>
      <formula>$FM$30</formula>
    </cfRule>
  </conditionalFormatting>
  <conditionalFormatting sqref="HZ37:HZ1048576 HP1:HP1048576 HS1:HS1048576 HW1:HW1048576 HZ1:HZ35">
    <cfRule type="cellIs" dxfId="942" priority="191" operator="between">
      <formula>$IC$29</formula>
      <formula>$IC$30</formula>
    </cfRule>
  </conditionalFormatting>
  <conditionalFormatting sqref="AQ36 AI1:AI1048576 AL1:AL1048576 AP1:AP1048576">
    <cfRule type="cellIs" dxfId="941" priority="53" operator="between">
      <formula>$AS$32</formula>
      <formula>1000</formula>
    </cfRule>
    <cfRule type="cellIs" dxfId="940" priority="54" operator="between">
      <formula>$AS$31</formula>
      <formula>$AS$32</formula>
    </cfRule>
    <cfRule type="cellIs" dxfId="939" priority="55" operator="between">
      <formula>$AS$30</formula>
      <formula>$AS$31</formula>
    </cfRule>
    <cfRule type="cellIs" dxfId="938" priority="51305" operator="between">
      <formula>$AS$29</formula>
      <formula>$AS$30</formula>
    </cfRule>
  </conditionalFormatting>
  <conditionalFormatting sqref="BQ36">
    <cfRule type="cellIs" dxfId="937" priority="48" operator="between">
      <formula>$AS$32</formula>
      <formula>1000</formula>
    </cfRule>
    <cfRule type="cellIs" dxfId="936" priority="49" operator="between">
      <formula>$AS$31</formula>
      <formula>$AS$32</formula>
    </cfRule>
    <cfRule type="cellIs" dxfId="935" priority="50" operator="between">
      <formula>$AS$30</formula>
      <formula>$AS$31</formula>
    </cfRule>
    <cfRule type="cellIs" dxfId="934" priority="51" operator="between">
      <formula>$AS$29</formula>
      <formula>$AS$30</formula>
    </cfRule>
  </conditionalFormatting>
  <conditionalFormatting sqref="CR36">
    <cfRule type="cellIs" dxfId="933" priority="44" operator="between">
      <formula>$AS$32</formula>
      <formula>1000</formula>
    </cfRule>
    <cfRule type="cellIs" dxfId="932" priority="45" operator="between">
      <formula>$AS$31</formula>
      <formula>$AS$32</formula>
    </cfRule>
    <cfRule type="cellIs" dxfId="931" priority="46" operator="between">
      <formula>$AS$30</formula>
      <formula>$AS$31</formula>
    </cfRule>
    <cfRule type="cellIs" dxfId="930" priority="47" operator="between">
      <formula>$AS$29</formula>
      <formula>$AS$30</formula>
    </cfRule>
  </conditionalFormatting>
  <conditionalFormatting sqref="EB36">
    <cfRule type="cellIs" dxfId="929" priority="40" operator="between">
      <formula>$AS$32</formula>
      <formula>1000</formula>
    </cfRule>
    <cfRule type="cellIs" dxfId="928" priority="41" operator="between">
      <formula>$AS$31</formula>
      <formula>$AS$32</formula>
    </cfRule>
    <cfRule type="cellIs" dxfId="927" priority="42" operator="between">
      <formula>$AS$30</formula>
      <formula>$AS$31</formula>
    </cfRule>
    <cfRule type="cellIs" dxfId="926" priority="43" operator="between">
      <formula>$AS$29</formula>
      <formula>$AS$30</formula>
    </cfRule>
  </conditionalFormatting>
  <conditionalFormatting sqref="FJ36">
    <cfRule type="cellIs" dxfId="925" priority="36" operator="between">
      <formula>$AS$32</formula>
      <formula>1000</formula>
    </cfRule>
    <cfRule type="cellIs" dxfId="924" priority="37" operator="between">
      <formula>$AS$31</formula>
      <formula>$AS$32</formula>
    </cfRule>
    <cfRule type="cellIs" dxfId="923" priority="38" operator="between">
      <formula>$AS$30</formula>
      <formula>$AS$31</formula>
    </cfRule>
    <cfRule type="cellIs" dxfId="922" priority="39" operator="between">
      <formula>$AS$29</formula>
      <formula>$AS$30</formula>
    </cfRule>
  </conditionalFormatting>
  <conditionalFormatting sqref="HZ36">
    <cfRule type="cellIs" dxfId="921" priority="32" operator="between">
      <formula>$AS$32</formula>
      <formula>1000</formula>
    </cfRule>
    <cfRule type="cellIs" dxfId="920" priority="33" operator="between">
      <formula>$AS$31</formula>
      <formula>$AS$32</formula>
    </cfRule>
    <cfRule type="cellIs" dxfId="919" priority="34" operator="between">
      <formula>$AS$30</formula>
      <formula>$AS$31</formula>
    </cfRule>
    <cfRule type="cellIs" dxfId="918" priority="35" operator="between">
      <formula>$AS$29</formula>
      <formula>$AS$30</formula>
    </cfRule>
  </conditionalFormatting>
  <conditionalFormatting sqref="O1:O1048576 K1:K1048576 M1:M1048576">
    <cfRule type="expression" dxfId="917" priority="52681" stopIfTrue="1">
      <formula>IF(K1=$BU$1,1,0)</formula>
    </cfRule>
    <cfRule type="expression" dxfId="916" priority="52682">
      <formula>IF(K1=$AT$1,1,0)</formula>
    </cfRule>
    <cfRule type="expression" dxfId="915" priority="52683">
      <formula>IF(K1=$S$1,1,0)</formula>
    </cfRule>
  </conditionalFormatting>
  <conditionalFormatting sqref="A4:A1048576">
    <cfRule type="expression" dxfId="914" priority="31">
      <formula>AND(G4&lt;&gt;"",F4="")</formula>
    </cfRule>
    <cfRule type="expression" dxfId="913" priority="37593">
      <formula>IF(A4&gt;8,1,0)</formula>
    </cfRule>
  </conditionalFormatting>
  <conditionalFormatting sqref="CP1:CP1048576 AN1:AN1048576">
    <cfRule type="cellIs" dxfId="912" priority="151070" operator="between">
      <formula>AS$36</formula>
      <formula>1000</formula>
    </cfRule>
    <cfRule type="cellIs" dxfId="911" priority="151071" operator="between">
      <formula>AS$35</formula>
      <formula>AS$36</formula>
    </cfRule>
  </conditionalFormatting>
  <conditionalFormatting sqref="DW1:DW1048576 FE1:FE1048576 GM1:GM1048576 HU1:HU1048576 JC1:JC1048576 KK1:KK1048576 LS1:LS1048576 NA1:NA1048576 OI1:OI1048576 PQ1:PQ1048576 QY1:QY1048576 SG1:SG1048576 TO1:TO36 UW1:UW36 WE1:WE36">
    <cfRule type="cellIs" dxfId="910" priority="151082" operator="between">
      <formula>EE$36</formula>
      <formula>1000</formula>
    </cfRule>
    <cfRule type="cellIs" dxfId="909" priority="151083" operator="between">
      <formula>EE$35</formula>
      <formula>EE$36</formula>
    </cfRule>
  </conditionalFormatting>
  <conditionalFormatting sqref="AK1:AK1048576 AN1:AN1048576 AR1:AR1048576">
    <cfRule type="cellIs" dxfId="908" priority="151166" operator="between">
      <formula>$AS$36</formula>
      <formula>1000</formula>
    </cfRule>
    <cfRule type="cellIs" dxfId="907" priority="151167" operator="between">
      <formula>$AS$35</formula>
      <formula>$AS$36</formula>
    </cfRule>
    <cfRule type="cellIs" dxfId="906" priority="151168" operator="between">
      <formula>$AS$34</formula>
      <formula>$AS$35</formula>
    </cfRule>
    <cfRule type="cellIs" dxfId="905" priority="151169" operator="between">
      <formula>$AS$33</formula>
      <formula>$AS$34</formula>
    </cfRule>
  </conditionalFormatting>
  <conditionalFormatting sqref="BL1:BL1048576 BO1:BO1048576 BS1:BS1048576">
    <cfRule type="cellIs" dxfId="904" priority="151202" operator="between">
      <formula>$BT$36</formula>
      <formula>1000</formula>
    </cfRule>
    <cfRule type="cellIs" dxfId="903" priority="151203" operator="between">
      <formula>$BT$35</formula>
      <formula>$BT$36</formula>
    </cfRule>
    <cfRule type="cellIs" dxfId="902" priority="151204" operator="between">
      <formula>$BT$34</formula>
      <formula>$BT$35</formula>
    </cfRule>
    <cfRule type="cellIs" dxfId="901" priority="151205" operator="between">
      <formula>$BT$33</formula>
      <formula>$BT$34</formula>
    </cfRule>
  </conditionalFormatting>
  <conditionalFormatting sqref="CM1:CM1048576 CP1:CP1048576 CT1:CT1048576">
    <cfRule type="cellIs" dxfId="900" priority="151238" operator="between">
      <formula>$CU$36</formula>
      <formula>1000</formula>
    </cfRule>
    <cfRule type="cellIs" dxfId="899" priority="151239" operator="between">
      <formula>$CU$35</formula>
      <formula>$CU$36</formula>
    </cfRule>
    <cfRule type="cellIs" dxfId="898" priority="151240" operator="between">
      <formula>$CU$34</formula>
      <formula>$CU$35</formula>
    </cfRule>
    <cfRule type="cellIs" dxfId="897" priority="151241" operator="between">
      <formula>$CU$33</formula>
      <formula>$CU$34</formula>
    </cfRule>
  </conditionalFormatting>
  <conditionalFormatting sqref="MV1:MV1048576 MY1:MY1048576 NC1:NC1048576 NF1:NF1048576">
    <cfRule type="cellIs" dxfId="896" priority="151816" operator="between">
      <formula>$NI$29</formula>
      <formula>$NI$30</formula>
    </cfRule>
  </conditionalFormatting>
  <conditionalFormatting sqref="DT1:DT1048576 DW1:DW1048576 EA1:EA1048576 ED1:ED1048576">
    <cfRule type="cellIs" dxfId="895" priority="151286" operator="between">
      <formula>$EE$36</formula>
      <formula>1000</formula>
    </cfRule>
    <cfRule type="cellIs" dxfId="894" priority="151287" operator="between">
      <formula>$EE$35</formula>
      <formula>$EE$36</formula>
    </cfRule>
    <cfRule type="cellIs" dxfId="893" priority="151288" operator="between">
      <formula>$EE$34</formula>
      <formula>$EE$35</formula>
    </cfRule>
    <cfRule type="cellIs" dxfId="892" priority="151289" operator="between">
      <formula>$EE$33</formula>
      <formula>$EE$34</formula>
    </cfRule>
  </conditionalFormatting>
  <conditionalFormatting sqref="FB1:FB1048576 FE1:FE1048576 FI1:FI1048576 FL1:FL1048576">
    <cfRule type="cellIs" dxfId="891" priority="151334" operator="between">
      <formula>$FM$36</formula>
      <formula>1000</formula>
    </cfRule>
    <cfRule type="cellIs" dxfId="890" priority="151335" operator="between">
      <formula>$FM$35</formula>
      <formula>$FM$36</formula>
    </cfRule>
    <cfRule type="cellIs" dxfId="889" priority="151336" operator="between">
      <formula>$FM$34</formula>
      <formula>$FM$35</formula>
    </cfRule>
    <cfRule type="cellIs" dxfId="888" priority="151337" operator="between">
      <formula>$FM$33</formula>
      <formula>$FM$34</formula>
    </cfRule>
  </conditionalFormatting>
  <conditionalFormatting sqref="GH1:GH1048576 GK1:GK1048576 GO1:GO1048576 GR1:GR1048576">
    <cfRule type="cellIs" dxfId="887" priority="151384" stopIfTrue="1" operator="between">
      <formula>$GU$30</formula>
      <formula>1000</formula>
    </cfRule>
    <cfRule type="cellIs" dxfId="886" priority="151385" operator="between">
      <formula>$GU$29</formula>
      <formula>$GU$30</formula>
    </cfRule>
  </conditionalFormatting>
  <conditionalFormatting sqref="GJ1:GJ1048576 GM1:GM1048576 GQ1:GQ1048576 GT1:GT1048576">
    <cfRule type="cellIs" dxfId="885" priority="151430" operator="between">
      <formula>$GU$36</formula>
      <formula>1000</formula>
    </cfRule>
    <cfRule type="cellIs" dxfId="884" priority="151431" operator="between">
      <formula>$GU$35</formula>
      <formula>$GU$36</formula>
    </cfRule>
    <cfRule type="cellIs" dxfId="883" priority="151432" operator="between">
      <formula>$GU$34</formula>
      <formula>$GU$35</formula>
    </cfRule>
    <cfRule type="cellIs" dxfId="882" priority="151433" operator="between">
      <formula>$GU$33</formula>
      <formula>$GU$34</formula>
    </cfRule>
  </conditionalFormatting>
  <conditionalFormatting sqref="HR1:HR1048576 HU1:HU1048576 HY1:HY1048576 IB1:IB1048576">
    <cfRule type="cellIs" dxfId="881" priority="151478" operator="between">
      <formula>$IC$36</formula>
      <formula>1000</formula>
    </cfRule>
    <cfRule type="cellIs" dxfId="880" priority="151479" operator="between">
      <formula>$IC$35</formula>
      <formula>$IC$36</formula>
    </cfRule>
    <cfRule type="cellIs" dxfId="879" priority="151480" operator="between">
      <formula>$IC$34</formula>
      <formula>$IC$35</formula>
    </cfRule>
    <cfRule type="cellIs" dxfId="878" priority="151481" operator="between">
      <formula>$IC$33</formula>
      <formula>$IC$34</formula>
    </cfRule>
  </conditionalFormatting>
  <conditionalFormatting sqref="IX1:IX1048576 JA1:JA1048576 JE1:JE1048576 JH1:JH1048576">
    <cfRule type="cellIs" dxfId="877" priority="151528" stopIfTrue="1" operator="between">
      <formula>$JK$30</formula>
      <formula>1000</formula>
    </cfRule>
    <cfRule type="cellIs" dxfId="876" priority="151529" operator="between">
      <formula>$JK$29</formula>
      <formula>$JK$30</formula>
    </cfRule>
  </conditionalFormatting>
  <conditionalFormatting sqref="IZ1:IZ1048576 JC1:JC1048576 JG1:JG1048576 JJ1:JJ1048576">
    <cfRule type="cellIs" dxfId="875" priority="151574" operator="between">
      <formula>$JK$36</formula>
      <formula>1000</formula>
    </cfRule>
    <cfRule type="cellIs" dxfId="874" priority="151575" operator="between">
      <formula>$JK$35</formula>
      <formula>$JK$36</formula>
    </cfRule>
    <cfRule type="cellIs" dxfId="873" priority="151576" operator="between">
      <formula>$JK$34</formula>
      <formula>$JK$35</formula>
    </cfRule>
    <cfRule type="cellIs" dxfId="872" priority="151577" operator="between">
      <formula>$JK$33</formula>
      <formula>$JK$34</formula>
    </cfRule>
  </conditionalFormatting>
  <conditionalFormatting sqref="KF1:KF1048576 KI1:KI1048576 KM1:KM1048576 KP1:KP1048576">
    <cfRule type="cellIs" dxfId="871" priority="151624" stopIfTrue="1" operator="between">
      <formula>$KS$30</formula>
      <formula>1000</formula>
    </cfRule>
    <cfRule type="cellIs" dxfId="870" priority="151625" operator="between">
      <formula>$KS$29</formula>
      <formula>$KS$30</formula>
    </cfRule>
  </conditionalFormatting>
  <conditionalFormatting sqref="KH1:KH1048576 KK1:KK1048576 KO1:KO1048576 KR1:KR1048576">
    <cfRule type="cellIs" dxfId="869" priority="151670" operator="between">
      <formula>$KS$36</formula>
      <formula>1000</formula>
    </cfRule>
    <cfRule type="cellIs" dxfId="868" priority="151671" operator="between">
      <formula>$KS$35</formula>
      <formula>$KS$36</formula>
    </cfRule>
    <cfRule type="cellIs" dxfId="867" priority="151672" operator="between">
      <formula>$KS$34</formula>
      <formula>$KS$35</formula>
    </cfRule>
    <cfRule type="cellIs" dxfId="866" priority="151673" operator="between">
      <formula>$KS$33</formula>
      <formula>$KS$34</formula>
    </cfRule>
  </conditionalFormatting>
  <conditionalFormatting sqref="LN1:LN1048576 LQ1:LQ1048576 LU1:LU1048576 LX1:LX1048576">
    <cfRule type="cellIs" dxfId="865" priority="151720" stopIfTrue="1" operator="between">
      <formula>$MA$30</formula>
      <formula>1000</formula>
    </cfRule>
    <cfRule type="cellIs" dxfId="864" priority="151721" operator="between">
      <formula>$MA$29</formula>
      <formula>$MA$30</formula>
    </cfRule>
  </conditionalFormatting>
  <conditionalFormatting sqref="LP1:LP1048576 LS1:LS1048576 LW1:LW1048576 LZ1:LZ1048576">
    <cfRule type="cellIs" dxfId="863" priority="151766" operator="between">
      <formula>$MA$36</formula>
      <formula>1000</formula>
    </cfRule>
    <cfRule type="cellIs" dxfId="862" priority="151767" operator="between">
      <formula>$MA$35</formula>
      <formula>$MA$36</formula>
    </cfRule>
    <cfRule type="cellIs" dxfId="861" priority="151768" operator="between">
      <formula>$MA$34</formula>
      <formula>$MA$35</formula>
    </cfRule>
    <cfRule type="cellIs" dxfId="860" priority="151769" operator="between">
      <formula>$MA$33</formula>
      <formula>$MA$34</formula>
    </cfRule>
  </conditionalFormatting>
  <conditionalFormatting sqref="MV1:MV1048576 MY1:MY1048576 NC1:NC1048576">
    <cfRule type="cellIs" dxfId="859" priority="151815" operator="between">
      <formula>$NI$30</formula>
      <formula>1000</formula>
    </cfRule>
  </conditionalFormatting>
  <conditionalFormatting sqref="MX1:MX1048576 NA1:NA1048576 NE1:NE1048576 NH1:NH1048576">
    <cfRule type="cellIs" dxfId="858" priority="151841" operator="between">
      <formula>$NI$36</formula>
      <formula>1000</formula>
    </cfRule>
    <cfRule type="cellIs" dxfId="857" priority="151842" operator="between">
      <formula>$NI$35</formula>
      <formula>$NI$36</formula>
    </cfRule>
    <cfRule type="cellIs" dxfId="856" priority="151843" operator="between">
      <formula>$NI$34</formula>
      <formula>$NI$35</formula>
    </cfRule>
    <cfRule type="cellIs" dxfId="855" priority="151844" operator="between">
      <formula>$NI$33</formula>
      <formula>$NI$34</formula>
    </cfRule>
  </conditionalFormatting>
  <conditionalFormatting sqref="OD1:OD1048576 OG1:OG1048576 OK1:OK1048576 ON1:ON1048576">
    <cfRule type="cellIs" dxfId="854" priority="151891" stopIfTrue="1" operator="between">
      <formula>$OQ$30</formula>
      <formula>1000</formula>
    </cfRule>
    <cfRule type="cellIs" dxfId="853" priority="151892" operator="between">
      <formula>$OQ$29</formula>
      <formula>$OQ$30</formula>
    </cfRule>
  </conditionalFormatting>
  <conditionalFormatting sqref="OF1:OF1048576 OI1:OI1048576 OM1:OM1048576 OP1:OP1048576">
    <cfRule type="cellIs" dxfId="852" priority="151937" operator="between">
      <formula>$OQ$36</formula>
      <formula>1000</formula>
    </cfRule>
    <cfRule type="cellIs" dxfId="851" priority="151938" operator="between">
      <formula>$OQ$35</formula>
      <formula>$OQ$36</formula>
    </cfRule>
    <cfRule type="cellIs" dxfId="850" priority="151939" operator="between">
      <formula>$OQ$34</formula>
      <formula>$OQ$35</formula>
    </cfRule>
    <cfRule type="cellIs" dxfId="849" priority="151940" operator="between">
      <formula>$OQ$33</formula>
      <formula>$OQ$34</formula>
    </cfRule>
  </conditionalFormatting>
  <conditionalFormatting sqref="PL1:PL1048576 PO1:PO1048576 PS1:PS1048576 PV1:PV1048576">
    <cfRule type="cellIs" dxfId="848" priority="151987" stopIfTrue="1" operator="between">
      <formula>$PY$30</formula>
      <formula>1000</formula>
    </cfRule>
    <cfRule type="cellIs" dxfId="847" priority="151988" operator="between">
      <formula>$PY$29</formula>
      <formula>$PY$30</formula>
    </cfRule>
  </conditionalFormatting>
  <conditionalFormatting sqref="PN1:PN1048576 PQ1:PQ1048576 PU1:PU1048576 PX1:PX1048576">
    <cfRule type="cellIs" dxfId="846" priority="152033" operator="between">
      <formula>$PY$36</formula>
      <formula>1000</formula>
    </cfRule>
    <cfRule type="cellIs" dxfId="845" priority="152034" operator="between">
      <formula>$PY$35</formula>
      <formula>$PY$36</formula>
    </cfRule>
    <cfRule type="cellIs" dxfId="844" priority="152035" operator="between">
      <formula>$PY$34</formula>
      <formula>$PY$35</formula>
    </cfRule>
    <cfRule type="cellIs" dxfId="843" priority="152036" operator="between">
      <formula>$PY$33</formula>
      <formula>$PY$34</formula>
    </cfRule>
  </conditionalFormatting>
  <conditionalFormatting sqref="QT1:QT1048576 QW1:QW1048576 RA1:RA1048576 RD1:RD1048576">
    <cfRule type="cellIs" dxfId="842" priority="152083" stopIfTrue="1" operator="between">
      <formula>$RG$30</formula>
      <formula>1000</formula>
    </cfRule>
    <cfRule type="cellIs" dxfId="841" priority="152084" operator="between">
      <formula>$RG$29</formula>
      <formula>$RG$30</formula>
    </cfRule>
  </conditionalFormatting>
  <conditionalFormatting sqref="QV1:QV1048576 QY1:QY1048576 RC1:RC1048576 RF1:RF1048576">
    <cfRule type="cellIs" dxfId="840" priority="152129" operator="between">
      <formula>$RG$36</formula>
      <formula>1000</formula>
    </cfRule>
    <cfRule type="cellIs" dxfId="839" priority="152130" operator="between">
      <formula>$RG$35</formula>
      <formula>$RG$36</formula>
    </cfRule>
    <cfRule type="cellIs" dxfId="838" priority="152131" operator="between">
      <formula>$RG$34</formula>
      <formula>$RG$35</formula>
    </cfRule>
    <cfRule type="cellIs" dxfId="837" priority="152132" operator="between">
      <formula>$RG$33</formula>
      <formula>$RG$34</formula>
    </cfRule>
  </conditionalFormatting>
  <conditionalFormatting sqref="SB1:SB1048576 SE1:SE1048576 SI1:SI1048576 SL1:SL1048576 TJ1:TJ36 TM1:TM36 TQ1:TQ36 TT1:TT36 UR1:UR36 UU1:UU36 UY1:UY36 VB1:VB36 VZ1:VZ36 WC1:WC36 WG1:WG36 WJ1:WJ36">
    <cfRule type="cellIs" dxfId="836" priority="152179" operator="between">
      <formula>$SO$30</formula>
      <formula>1000</formula>
    </cfRule>
    <cfRule type="cellIs" dxfId="835" priority="152180" operator="between">
      <formula>$SO$29</formula>
      <formula>$SO$30</formula>
    </cfRule>
  </conditionalFormatting>
  <conditionalFormatting sqref="SD1:SD1048576 SG1:SG1048576 SK1:SK1048576 SN1:SN1048576 TL1:TL36 TO1:TO36 TS1:TS36 TV1:TV36 UT1:UT36 UW1:UW36 VA1:VA36 VD1:VD36 WB1:WB36 WE1:WE36 WI1:WI36 WL1:WL36">
    <cfRule type="cellIs" dxfId="834" priority="152321" operator="between">
      <formula>$SO$36</formula>
      <formula>1000</formula>
    </cfRule>
    <cfRule type="cellIs" dxfId="833" priority="152322" operator="between">
      <formula>$SO$35</formula>
      <formula>$SO$36</formula>
    </cfRule>
    <cfRule type="cellIs" dxfId="832" priority="152323" operator="between">
      <formula>$SO$34</formula>
      <formula>$SO$35</formula>
    </cfRule>
    <cfRule type="cellIs" dxfId="831" priority="152324" operator="between">
      <formula>$SO$33</formula>
      <formula>$SO$34</formula>
    </cfRule>
  </conditionalFormatting>
  <conditionalFormatting sqref="EB1:EB1048576 DR1:DR1048576 DU1:DU1048576 DY1:DY1048576">
    <cfRule type="cellIs" dxfId="830" priority="52692" stopIfTrue="1" operator="between">
      <formula>$EE$30</formula>
      <formula>1000</formula>
    </cfRule>
  </conditionalFormatting>
  <conditionalFormatting sqref="FJ1:FJ1048576 EZ1:EZ1048576 FC1:FC1048576 FG1:FG1048576">
    <cfRule type="cellIs" dxfId="829" priority="222" stopIfTrue="1" operator="between">
      <formula>$FM$30</formula>
      <formula>1000</formula>
    </cfRule>
  </conditionalFormatting>
  <conditionalFormatting sqref="HZ1:HZ1048576 HP1:HP1048576 HS1:HS1048576 HW1:HW1048576">
    <cfRule type="cellIs" dxfId="828" priority="190" stopIfTrue="1" operator="between">
      <formula>$IC$30</formula>
      <formula>1000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3453E-EC8C-3647-8471-484105C89E97}">
  <sheetPr codeName="Sheet6"/>
  <dimension ref="A1:WM46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7" max="7" width="10.83203125" customWidth="1"/>
    <col min="8" max="8" width="13.33203125" bestFit="1" customWidth="1"/>
    <col min="9" max="9" width="19" hidden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6" max="16" width="24.6640625" customWidth="1"/>
    <col min="17" max="17" width="13" customWidth="1"/>
    <col min="18" max="18" width="47" customWidth="1"/>
    <col min="19" max="34" width="10.83203125" hidden="1" customWidth="1"/>
    <col min="35" max="45" width="10.83203125" style="32" customWidth="1"/>
    <col min="46" max="61" width="10.83203125" hidden="1" customWidth="1"/>
    <col min="62" max="72" width="10.83203125" style="32" customWidth="1"/>
    <col min="73" max="88" width="10.83203125" hidden="1" customWidth="1"/>
    <col min="89" max="99" width="10.83203125" style="32" customWidth="1"/>
    <col min="100" max="101" width="12.83203125" style="32" customWidth="1"/>
    <col min="102" max="121" width="10.83203125" hidden="1" customWidth="1"/>
    <col min="122" max="134" width="10.83203125" customWidth="1"/>
    <col min="135" max="135" width="10.83203125" style="32" customWidth="1"/>
    <col min="136" max="155" width="10.83203125" hidden="1" customWidth="1"/>
    <col min="156" max="168" width="10.83203125" customWidth="1"/>
    <col min="169" max="169" width="10.83203125" style="32" customWidth="1"/>
    <col min="170" max="189" width="10.83203125" hidden="1" customWidth="1"/>
    <col min="190" max="202" width="10.83203125" customWidth="1"/>
    <col min="203" max="203" width="10.83203125" style="32" customWidth="1"/>
    <col min="204" max="223" width="10.83203125" hidden="1" customWidth="1"/>
    <col min="224" max="236" width="10.83203125" customWidth="1"/>
    <col min="237" max="237" width="10.83203125" style="32" customWidth="1"/>
    <col min="238" max="257" width="10.83203125" hidden="1" customWidth="1"/>
    <col min="258" max="270" width="10.83203125" customWidth="1"/>
    <col min="271" max="271" width="10.83203125" style="32" customWidth="1"/>
    <col min="272" max="291" width="10.83203125" hidden="1" customWidth="1"/>
    <col min="292" max="305" width="10.83203125" customWidth="1"/>
    <col min="306" max="325" width="10.83203125" hidden="1" customWidth="1"/>
    <col min="326" max="339" width="10.83203125" customWidth="1"/>
    <col min="340" max="359" width="10.83203125" hidden="1" customWidth="1"/>
    <col min="360" max="373" width="10.83203125" customWidth="1"/>
    <col min="374" max="393" width="10.83203125" hidden="1" customWidth="1"/>
    <col min="394" max="407" width="10.83203125" customWidth="1"/>
    <col min="408" max="427" width="10.83203125" hidden="1" customWidth="1"/>
    <col min="428" max="441" width="10.83203125" customWidth="1"/>
    <col min="442" max="536" width="10.83203125" hidden="1" customWidth="1"/>
    <col min="537" max="537" width="11.83203125" hidden="1" customWidth="1"/>
    <col min="538" max="538" width="12.83203125" hidden="1" customWidth="1"/>
    <col min="539" max="570" width="10.83203125" hidden="1" customWidth="1"/>
    <col min="571" max="571" width="11.83203125" hidden="1" customWidth="1"/>
    <col min="572" max="572" width="12.83203125" hidden="1" customWidth="1"/>
    <col min="573" max="604" width="10.83203125" hidden="1" customWidth="1"/>
    <col min="605" max="605" width="11.83203125" hidden="1" customWidth="1"/>
    <col min="606" max="606" width="12.83203125" hidden="1" customWidth="1"/>
    <col min="607" max="611" width="10.83203125" hidden="1" customWidth="1"/>
  </cols>
  <sheetData>
    <row r="1" spans="1:611" x14ac:dyDescent="0.2">
      <c r="A1" s="56" t="s">
        <v>1</v>
      </c>
      <c r="B1" s="56" t="s">
        <v>26</v>
      </c>
      <c r="C1" s="56" t="s">
        <v>0</v>
      </c>
      <c r="D1" s="56" t="s">
        <v>44</v>
      </c>
      <c r="E1" s="56" t="s">
        <v>2</v>
      </c>
      <c r="F1" s="60" t="s">
        <v>188</v>
      </c>
      <c r="G1" s="56" t="s">
        <v>9</v>
      </c>
      <c r="H1" s="56" t="s">
        <v>10</v>
      </c>
      <c r="I1" s="56" t="s">
        <v>61</v>
      </c>
      <c r="J1" s="57" t="s">
        <v>11</v>
      </c>
      <c r="K1" s="58" t="s">
        <v>28</v>
      </c>
      <c r="L1" s="57" t="s">
        <v>185</v>
      </c>
      <c r="M1" s="58" t="s">
        <v>28</v>
      </c>
      <c r="N1" s="57" t="s">
        <v>186</v>
      </c>
      <c r="O1" s="58" t="s">
        <v>28</v>
      </c>
      <c r="P1" s="61" t="s">
        <v>12</v>
      </c>
      <c r="Q1" s="58" t="s">
        <v>29</v>
      </c>
      <c r="R1" s="58" t="s">
        <v>28</v>
      </c>
      <c r="S1" s="52" t="s">
        <v>118</v>
      </c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52"/>
      <c r="AF1" s="52"/>
      <c r="AG1" s="52"/>
      <c r="AH1" s="52"/>
      <c r="AI1" s="52"/>
      <c r="AJ1" s="52"/>
      <c r="AK1" s="52"/>
      <c r="AL1" s="52"/>
      <c r="AM1" s="52"/>
      <c r="AN1" s="52"/>
      <c r="AO1" s="52"/>
      <c r="AP1" s="52"/>
      <c r="AQ1" s="52"/>
      <c r="AR1" s="52"/>
      <c r="AS1" s="52"/>
      <c r="AT1" s="53" t="s">
        <v>145</v>
      </c>
      <c r="AU1" s="53"/>
      <c r="AV1" s="53"/>
      <c r="AW1" s="53"/>
      <c r="AX1" s="53"/>
      <c r="AY1" s="53"/>
      <c r="AZ1" s="53"/>
      <c r="BA1" s="53"/>
      <c r="BB1" s="53"/>
      <c r="BC1" s="53"/>
      <c r="BD1" s="53"/>
      <c r="BE1" s="53"/>
      <c r="BF1" s="53"/>
      <c r="BG1" s="53"/>
      <c r="BH1" s="53"/>
      <c r="BI1" s="53"/>
      <c r="BJ1" s="53"/>
      <c r="BK1" s="53"/>
      <c r="BL1" s="53"/>
      <c r="BM1" s="53"/>
      <c r="BN1" s="53"/>
      <c r="BO1" s="53"/>
      <c r="BP1" s="53"/>
      <c r="BQ1" s="53"/>
      <c r="BR1" s="53"/>
      <c r="BS1" s="53"/>
      <c r="BT1" s="53"/>
      <c r="BU1" s="52" t="s">
        <v>161</v>
      </c>
      <c r="BV1" s="52"/>
      <c r="BW1" s="52"/>
      <c r="BX1" s="52"/>
      <c r="BY1" s="52"/>
      <c r="BZ1" s="52"/>
      <c r="CA1" s="52"/>
      <c r="CB1" s="52"/>
      <c r="CC1" s="52"/>
      <c r="CD1" s="52"/>
      <c r="CE1" s="52"/>
      <c r="CF1" s="52"/>
      <c r="CG1" s="52"/>
      <c r="CH1" s="52"/>
      <c r="CI1" s="52"/>
      <c r="CJ1" s="52"/>
      <c r="CK1" s="52"/>
      <c r="CL1" s="52"/>
      <c r="CM1" s="52"/>
      <c r="CN1" s="52"/>
      <c r="CO1" s="52"/>
      <c r="CP1" s="52"/>
      <c r="CQ1" s="52"/>
      <c r="CR1" s="52"/>
      <c r="CS1" s="52"/>
      <c r="CT1" s="52"/>
      <c r="CU1" s="52"/>
      <c r="CV1" s="59" t="s">
        <v>12</v>
      </c>
      <c r="CW1" s="59"/>
      <c r="CX1" s="52" t="s">
        <v>137</v>
      </c>
      <c r="CY1" s="52"/>
      <c r="CZ1" s="52"/>
      <c r="DA1" s="52"/>
      <c r="DB1" s="52"/>
      <c r="DC1" s="52"/>
      <c r="DD1" s="52"/>
      <c r="DE1" s="52"/>
      <c r="DF1" s="52"/>
      <c r="DG1" s="52"/>
      <c r="DH1" s="52"/>
      <c r="DI1" s="52"/>
      <c r="DJ1" s="52"/>
      <c r="DK1" s="52"/>
      <c r="DL1" s="52"/>
      <c r="DM1" s="52"/>
      <c r="DN1" s="52"/>
      <c r="DO1" s="52"/>
      <c r="DP1" s="52"/>
      <c r="DQ1" s="52"/>
      <c r="DR1" s="52"/>
      <c r="DS1" s="52"/>
      <c r="DT1" s="52"/>
      <c r="DU1" s="52"/>
      <c r="DV1" s="52"/>
      <c r="DW1" s="52"/>
      <c r="DX1" s="52"/>
      <c r="DY1" s="52"/>
      <c r="DZ1" s="52"/>
      <c r="EA1" s="52"/>
      <c r="EB1" s="52"/>
      <c r="EC1" s="52"/>
      <c r="ED1" s="52"/>
      <c r="EE1" s="52"/>
      <c r="EF1" s="53" t="s">
        <v>140</v>
      </c>
      <c r="EG1" s="53"/>
      <c r="EH1" s="53"/>
      <c r="EI1" s="53"/>
      <c r="EJ1" s="53"/>
      <c r="EK1" s="53"/>
      <c r="EL1" s="53"/>
      <c r="EM1" s="53"/>
      <c r="EN1" s="53"/>
      <c r="EO1" s="53"/>
      <c r="EP1" s="53"/>
      <c r="EQ1" s="53"/>
      <c r="ER1" s="53"/>
      <c r="ES1" s="53"/>
      <c r="ET1" s="53"/>
      <c r="EU1" s="53"/>
      <c r="EV1" s="53"/>
      <c r="EW1" s="53"/>
      <c r="EX1" s="53"/>
      <c r="EY1" s="53"/>
      <c r="EZ1" s="53"/>
      <c r="FA1" s="53"/>
      <c r="FB1" s="53"/>
      <c r="FC1" s="53"/>
      <c r="FD1" s="53"/>
      <c r="FE1" s="53"/>
      <c r="FF1" s="53"/>
      <c r="FG1" s="53"/>
      <c r="FH1" s="53"/>
      <c r="FI1" s="53"/>
      <c r="FJ1" s="53"/>
      <c r="FK1" s="53"/>
      <c r="FL1" s="53"/>
      <c r="FM1" s="53"/>
      <c r="FN1" s="52" t="s">
        <v>152</v>
      </c>
      <c r="FO1" s="52"/>
      <c r="FP1" s="52"/>
      <c r="FQ1" s="52"/>
      <c r="FR1" s="52"/>
      <c r="FS1" s="52"/>
      <c r="FT1" s="52"/>
      <c r="FU1" s="52"/>
      <c r="FV1" s="52"/>
      <c r="FW1" s="52"/>
      <c r="FX1" s="52"/>
      <c r="FY1" s="52"/>
      <c r="FZ1" s="52"/>
      <c r="GA1" s="52"/>
      <c r="GB1" s="52"/>
      <c r="GC1" s="52"/>
      <c r="GD1" s="52"/>
      <c r="GE1" s="52"/>
      <c r="GF1" s="52"/>
      <c r="GG1" s="52"/>
      <c r="GH1" s="52"/>
      <c r="GI1" s="52"/>
      <c r="GJ1" s="52"/>
      <c r="GK1" s="52"/>
      <c r="GL1" s="52"/>
      <c r="GM1" s="52"/>
      <c r="GN1" s="52"/>
      <c r="GO1" s="52"/>
      <c r="GP1" s="52"/>
      <c r="GQ1" s="52"/>
      <c r="GR1" s="52"/>
      <c r="GS1" s="52"/>
      <c r="GT1" s="52"/>
      <c r="GU1" s="52"/>
      <c r="GV1" s="53" t="s">
        <v>155</v>
      </c>
      <c r="GW1" s="53"/>
      <c r="GX1" s="53"/>
      <c r="GY1" s="53"/>
      <c r="GZ1" s="53"/>
      <c r="HA1" s="53"/>
      <c r="HB1" s="53"/>
      <c r="HC1" s="53"/>
      <c r="HD1" s="53"/>
      <c r="HE1" s="53"/>
      <c r="HF1" s="53"/>
      <c r="HG1" s="53"/>
      <c r="HH1" s="53"/>
      <c r="HI1" s="53"/>
      <c r="HJ1" s="53"/>
      <c r="HK1" s="53"/>
      <c r="HL1" s="53"/>
      <c r="HM1" s="53"/>
      <c r="HN1" s="53"/>
      <c r="HO1" s="53"/>
      <c r="HP1" s="53"/>
      <c r="HQ1" s="53"/>
      <c r="HR1" s="53"/>
      <c r="HS1" s="53"/>
      <c r="HT1" s="53"/>
      <c r="HU1" s="53"/>
      <c r="HV1" s="53"/>
      <c r="HW1" s="53"/>
      <c r="HX1" s="53"/>
      <c r="HY1" s="53"/>
      <c r="HZ1" s="53"/>
      <c r="IA1" s="53"/>
      <c r="IB1" s="53"/>
      <c r="IC1" s="53"/>
      <c r="ID1" s="52" t="s">
        <v>156</v>
      </c>
      <c r="IE1" s="52"/>
      <c r="IF1" s="52"/>
      <c r="IG1" s="52"/>
      <c r="IH1" s="52"/>
      <c r="II1" s="52"/>
      <c r="IJ1" s="52"/>
      <c r="IK1" s="52"/>
      <c r="IL1" s="52"/>
      <c r="IM1" s="52"/>
      <c r="IN1" s="52"/>
      <c r="IO1" s="52"/>
      <c r="IP1" s="52"/>
      <c r="IQ1" s="52"/>
      <c r="IR1" s="52"/>
      <c r="IS1" s="52"/>
      <c r="IT1" s="52"/>
      <c r="IU1" s="52"/>
      <c r="IV1" s="52"/>
      <c r="IW1" s="52"/>
      <c r="IX1" s="52"/>
      <c r="IY1" s="52"/>
      <c r="IZ1" s="52"/>
      <c r="JA1" s="52"/>
      <c r="JB1" s="52"/>
      <c r="JC1" s="52"/>
      <c r="JD1" s="52"/>
      <c r="JE1" s="52"/>
      <c r="JF1" s="52"/>
      <c r="JG1" s="52"/>
      <c r="JH1" s="52"/>
      <c r="JI1" s="52"/>
      <c r="JJ1" s="52"/>
      <c r="JK1" s="52"/>
      <c r="JL1" s="53" t="s">
        <v>164</v>
      </c>
      <c r="JM1" s="53"/>
      <c r="JN1" s="53"/>
      <c r="JO1" s="53"/>
      <c r="JP1" s="53"/>
      <c r="JQ1" s="53"/>
      <c r="JR1" s="53"/>
      <c r="JS1" s="53"/>
      <c r="JT1" s="53"/>
      <c r="JU1" s="53"/>
      <c r="JV1" s="53"/>
      <c r="JW1" s="53"/>
      <c r="JX1" s="53"/>
      <c r="JY1" s="53"/>
      <c r="JZ1" s="53"/>
      <c r="KA1" s="53"/>
      <c r="KB1" s="53"/>
      <c r="KC1" s="53"/>
      <c r="KD1" s="53"/>
      <c r="KE1" s="53"/>
      <c r="KF1" s="53"/>
      <c r="KG1" s="53"/>
      <c r="KH1" s="53"/>
      <c r="KI1" s="53"/>
      <c r="KJ1" s="53"/>
      <c r="KK1" s="53"/>
      <c r="KL1" s="53"/>
      <c r="KM1" s="53"/>
      <c r="KN1" s="53"/>
      <c r="KO1" s="53"/>
      <c r="KP1" s="53"/>
      <c r="KQ1" s="53"/>
      <c r="KR1" s="53"/>
      <c r="KS1" s="53"/>
      <c r="KT1" s="52" t="s">
        <v>173</v>
      </c>
      <c r="KU1" s="52"/>
      <c r="KV1" s="52"/>
      <c r="KW1" s="52"/>
      <c r="KX1" s="52"/>
      <c r="KY1" s="52"/>
      <c r="KZ1" s="52"/>
      <c r="LA1" s="52"/>
      <c r="LB1" s="52"/>
      <c r="LC1" s="52"/>
      <c r="LD1" s="52"/>
      <c r="LE1" s="52"/>
      <c r="LF1" s="52"/>
      <c r="LG1" s="52"/>
      <c r="LH1" s="52"/>
      <c r="LI1" s="52"/>
      <c r="LJ1" s="52"/>
      <c r="LK1" s="52"/>
      <c r="LL1" s="52"/>
      <c r="LM1" s="52"/>
      <c r="LN1" s="52"/>
      <c r="LO1" s="52"/>
      <c r="LP1" s="52"/>
      <c r="LQ1" s="52"/>
      <c r="LR1" s="52"/>
      <c r="LS1" s="52"/>
      <c r="LT1" s="52"/>
      <c r="LU1" s="52"/>
      <c r="LV1" s="52"/>
      <c r="LW1" s="52"/>
      <c r="LX1" s="52"/>
      <c r="LY1" s="52"/>
      <c r="LZ1" s="52"/>
      <c r="MA1" s="52"/>
      <c r="MB1" s="53" t="s">
        <v>176</v>
      </c>
      <c r="MC1" s="53"/>
      <c r="MD1" s="53"/>
      <c r="ME1" s="53"/>
      <c r="MF1" s="53"/>
      <c r="MG1" s="53"/>
      <c r="MH1" s="53"/>
      <c r="MI1" s="53"/>
      <c r="MJ1" s="53"/>
      <c r="MK1" s="53"/>
      <c r="ML1" s="53"/>
      <c r="MM1" s="53"/>
      <c r="MN1" s="53"/>
      <c r="MO1" s="53"/>
      <c r="MP1" s="53"/>
      <c r="MQ1" s="53"/>
      <c r="MR1" s="53"/>
      <c r="MS1" s="53"/>
      <c r="MT1" s="53"/>
      <c r="MU1" s="53"/>
      <c r="MV1" s="53"/>
      <c r="MW1" s="53"/>
      <c r="MX1" s="53"/>
      <c r="MY1" s="53"/>
      <c r="MZ1" s="53"/>
      <c r="NA1" s="53"/>
      <c r="NB1" s="53"/>
      <c r="NC1" s="53"/>
      <c r="ND1" s="53"/>
      <c r="NE1" s="53"/>
      <c r="NF1" s="53"/>
      <c r="NG1" s="53"/>
      <c r="NH1" s="53"/>
      <c r="NI1" s="53"/>
      <c r="NJ1" s="52" t="s">
        <v>177</v>
      </c>
      <c r="NK1" s="52"/>
      <c r="NL1" s="52"/>
      <c r="NM1" s="52"/>
      <c r="NN1" s="52"/>
      <c r="NO1" s="52"/>
      <c r="NP1" s="52"/>
      <c r="NQ1" s="52"/>
      <c r="NR1" s="52"/>
      <c r="NS1" s="52"/>
      <c r="NT1" s="52"/>
      <c r="NU1" s="52"/>
      <c r="NV1" s="52"/>
      <c r="NW1" s="52"/>
      <c r="NX1" s="52"/>
      <c r="NY1" s="52"/>
      <c r="NZ1" s="52"/>
      <c r="OA1" s="52"/>
      <c r="OB1" s="52"/>
      <c r="OC1" s="52"/>
      <c r="OD1" s="52"/>
      <c r="OE1" s="52"/>
      <c r="OF1" s="52"/>
      <c r="OG1" s="52"/>
      <c r="OH1" s="52"/>
      <c r="OI1" s="52"/>
      <c r="OJ1" s="52"/>
      <c r="OK1" s="52"/>
      <c r="OL1" s="52"/>
      <c r="OM1" s="52"/>
      <c r="ON1" s="52"/>
      <c r="OO1" s="52"/>
      <c r="OP1" s="52"/>
      <c r="OQ1" s="52"/>
      <c r="OR1" s="53" t="s">
        <v>182</v>
      </c>
      <c r="OS1" s="53"/>
      <c r="OT1" s="53"/>
      <c r="OU1" s="53"/>
      <c r="OV1" s="53"/>
      <c r="OW1" s="53"/>
      <c r="OX1" s="53"/>
      <c r="OY1" s="53"/>
      <c r="OZ1" s="53"/>
      <c r="PA1" s="53"/>
      <c r="PB1" s="53"/>
      <c r="PC1" s="53"/>
      <c r="PD1" s="53"/>
      <c r="PE1" s="53"/>
      <c r="PF1" s="53"/>
      <c r="PG1" s="53"/>
      <c r="PH1" s="53"/>
      <c r="PI1" s="53"/>
      <c r="PJ1" s="53"/>
      <c r="PK1" s="53"/>
      <c r="PL1" s="53"/>
      <c r="PM1" s="53"/>
      <c r="PN1" s="53"/>
      <c r="PO1" s="53"/>
      <c r="PP1" s="53"/>
      <c r="PQ1" s="53"/>
      <c r="PR1" s="53"/>
      <c r="PS1" s="53"/>
      <c r="PT1" s="53"/>
      <c r="PU1" s="53"/>
      <c r="PV1" s="53"/>
      <c r="PW1" s="53"/>
      <c r="PX1" s="53"/>
      <c r="PY1" s="53"/>
      <c r="PZ1" s="52"/>
      <c r="QA1" s="52"/>
      <c r="QB1" s="52"/>
      <c r="QC1" s="52"/>
      <c r="QD1" s="52"/>
      <c r="QE1" s="52"/>
      <c r="QF1" s="52"/>
      <c r="QG1" s="52"/>
      <c r="QH1" s="52"/>
      <c r="QI1" s="52"/>
      <c r="QJ1" s="52"/>
      <c r="QK1" s="52"/>
      <c r="QL1" s="52"/>
      <c r="QM1" s="52"/>
      <c r="QN1" s="52"/>
      <c r="QO1" s="52"/>
      <c r="QP1" s="52"/>
      <c r="QQ1" s="52"/>
      <c r="QR1" s="52"/>
      <c r="QS1" s="52"/>
      <c r="QT1" s="52"/>
      <c r="QU1" s="52"/>
      <c r="QV1" s="52"/>
      <c r="QW1" s="52"/>
      <c r="QX1" s="52"/>
      <c r="QY1" s="52"/>
      <c r="QZ1" s="52"/>
      <c r="RA1" s="52"/>
      <c r="RB1" s="52"/>
      <c r="RC1" s="52"/>
      <c r="RD1" s="52"/>
      <c r="RE1" s="52"/>
      <c r="RF1" s="52"/>
      <c r="RG1" s="52"/>
      <c r="RH1" s="53"/>
      <c r="RI1" s="53"/>
      <c r="RJ1" s="53"/>
      <c r="RK1" s="53"/>
      <c r="RL1" s="53"/>
      <c r="RM1" s="53"/>
      <c r="RN1" s="53"/>
      <c r="RO1" s="53"/>
      <c r="RP1" s="53"/>
      <c r="RQ1" s="53"/>
      <c r="RR1" s="53"/>
      <c r="RS1" s="53"/>
      <c r="RT1" s="53"/>
      <c r="RU1" s="53"/>
      <c r="RV1" s="53"/>
      <c r="RW1" s="53"/>
      <c r="RX1" s="53"/>
      <c r="RY1" s="53"/>
      <c r="RZ1" s="53"/>
      <c r="SA1" s="53"/>
      <c r="SB1" s="53"/>
      <c r="SC1" s="53"/>
      <c r="SD1" s="53"/>
      <c r="SE1" s="53"/>
      <c r="SF1" s="53"/>
      <c r="SG1" s="53"/>
      <c r="SH1" s="53"/>
      <c r="SI1" s="53"/>
      <c r="SJ1" s="53"/>
      <c r="SK1" s="53"/>
      <c r="SL1" s="53"/>
      <c r="SM1" s="53"/>
      <c r="SN1" s="53"/>
      <c r="SO1" s="53"/>
      <c r="SP1" s="52"/>
      <c r="SQ1" s="52"/>
      <c r="SR1" s="52"/>
      <c r="SS1" s="52"/>
      <c r="ST1" s="52"/>
      <c r="SU1" s="52"/>
      <c r="SV1" s="52"/>
      <c r="SW1" s="52"/>
      <c r="SX1" s="52"/>
      <c r="SY1" s="52"/>
      <c r="SZ1" s="52"/>
      <c r="TA1" s="52"/>
      <c r="TB1" s="52"/>
      <c r="TC1" s="52"/>
      <c r="TD1" s="52"/>
      <c r="TE1" s="52"/>
      <c r="TF1" s="52"/>
      <c r="TG1" s="52"/>
      <c r="TH1" s="52"/>
      <c r="TI1" s="52"/>
      <c r="TJ1" s="52"/>
      <c r="TK1" s="52"/>
      <c r="TL1" s="52"/>
      <c r="TM1" s="52"/>
      <c r="TN1" s="52"/>
      <c r="TO1" s="52"/>
      <c r="TP1" s="52"/>
      <c r="TQ1" s="52"/>
      <c r="TR1" s="52"/>
      <c r="TS1" s="52"/>
      <c r="TT1" s="52"/>
      <c r="TU1" s="52"/>
      <c r="TV1" s="52"/>
      <c r="TW1" s="52"/>
      <c r="TX1" s="53"/>
      <c r="TY1" s="53"/>
      <c r="TZ1" s="53"/>
      <c r="UA1" s="53"/>
      <c r="UB1" s="53"/>
      <c r="UC1" s="53"/>
      <c r="UD1" s="53"/>
      <c r="UE1" s="53"/>
      <c r="UF1" s="53"/>
      <c r="UG1" s="53"/>
      <c r="UH1" s="53"/>
      <c r="UI1" s="53"/>
      <c r="UJ1" s="53"/>
      <c r="UK1" s="53"/>
      <c r="UL1" s="53"/>
      <c r="UM1" s="53"/>
      <c r="UN1" s="53"/>
      <c r="UO1" s="53"/>
      <c r="UP1" s="53"/>
      <c r="UQ1" s="53"/>
      <c r="UR1" s="53"/>
      <c r="US1" s="53"/>
      <c r="UT1" s="53"/>
      <c r="UU1" s="53"/>
      <c r="UV1" s="53"/>
      <c r="UW1" s="53"/>
      <c r="UX1" s="53"/>
      <c r="UY1" s="53"/>
      <c r="UZ1" s="53"/>
      <c r="VA1" s="53"/>
      <c r="VB1" s="53"/>
      <c r="VC1" s="53"/>
      <c r="VD1" s="53"/>
      <c r="VE1" s="53"/>
      <c r="VF1" s="52"/>
      <c r="VG1" s="52"/>
      <c r="VH1" s="52"/>
      <c r="VI1" s="52"/>
      <c r="VJ1" s="52"/>
      <c r="VK1" s="52"/>
      <c r="VL1" s="52"/>
      <c r="VM1" s="52"/>
      <c r="VN1" s="52"/>
      <c r="VO1" s="52"/>
      <c r="VP1" s="52"/>
      <c r="VQ1" s="52"/>
      <c r="VR1" s="52"/>
      <c r="VS1" s="52"/>
      <c r="VT1" s="52"/>
      <c r="VU1" s="52"/>
      <c r="VV1" s="52"/>
      <c r="VW1" s="52"/>
      <c r="VX1" s="52"/>
      <c r="VY1" s="52"/>
      <c r="VZ1" s="52"/>
      <c r="WA1" s="52"/>
      <c r="WB1" s="52"/>
      <c r="WC1" s="52"/>
      <c r="WD1" s="52"/>
      <c r="WE1" s="52"/>
      <c r="WF1" s="52"/>
      <c r="WG1" s="52"/>
      <c r="WH1" s="52"/>
      <c r="WI1" s="52"/>
      <c r="WJ1" s="52"/>
      <c r="WK1" s="52"/>
      <c r="WL1" s="52"/>
      <c r="WM1" s="52"/>
    </row>
    <row r="2" spans="1:611" x14ac:dyDescent="0.2">
      <c r="A2" s="56"/>
      <c r="B2" s="56"/>
      <c r="C2" s="56"/>
      <c r="D2" s="56"/>
      <c r="E2" s="56"/>
      <c r="F2" s="60"/>
      <c r="G2" s="56"/>
      <c r="H2" s="56"/>
      <c r="I2" s="56"/>
      <c r="J2" s="57"/>
      <c r="K2" s="58"/>
      <c r="L2" s="57"/>
      <c r="M2" s="58"/>
      <c r="N2" s="57"/>
      <c r="O2" s="58"/>
      <c r="P2" s="61"/>
      <c r="Q2" s="58"/>
      <c r="R2" s="58"/>
      <c r="S2" s="54" t="s">
        <v>17</v>
      </c>
      <c r="T2" s="54"/>
      <c r="U2" s="54"/>
      <c r="V2" s="54"/>
      <c r="W2" s="54"/>
      <c r="X2" s="54" t="s">
        <v>18</v>
      </c>
      <c r="Y2" s="54"/>
      <c r="Z2" s="54"/>
      <c r="AA2" s="54"/>
      <c r="AB2" s="54"/>
      <c r="AC2" s="54" t="s">
        <v>21</v>
      </c>
      <c r="AD2" s="54"/>
      <c r="AE2" s="54"/>
      <c r="AF2" s="54"/>
      <c r="AG2" s="54"/>
      <c r="AH2" s="14"/>
      <c r="AI2" s="14" t="s">
        <v>67</v>
      </c>
      <c r="AJ2" s="14" t="s">
        <v>68</v>
      </c>
      <c r="AK2" s="14" t="s">
        <v>19</v>
      </c>
      <c r="AL2" s="14" t="s">
        <v>58</v>
      </c>
      <c r="AM2" s="14" t="s">
        <v>69</v>
      </c>
      <c r="AN2" s="14" t="s">
        <v>20</v>
      </c>
      <c r="AO2" s="14" t="s">
        <v>22</v>
      </c>
      <c r="AP2" s="14" t="s">
        <v>70</v>
      </c>
      <c r="AQ2" s="14" t="s">
        <v>71</v>
      </c>
      <c r="AR2" s="14" t="s">
        <v>21</v>
      </c>
      <c r="AS2" s="14" t="s">
        <v>16</v>
      </c>
      <c r="AT2" s="55" t="s">
        <v>17</v>
      </c>
      <c r="AU2" s="55"/>
      <c r="AV2" s="55"/>
      <c r="AW2" s="55"/>
      <c r="AX2" s="55"/>
      <c r="AY2" s="55" t="s">
        <v>18</v>
      </c>
      <c r="AZ2" s="55"/>
      <c r="BA2" s="55"/>
      <c r="BB2" s="55"/>
      <c r="BC2" s="55"/>
      <c r="BD2" s="55" t="s">
        <v>21</v>
      </c>
      <c r="BE2" s="55"/>
      <c r="BF2" s="55"/>
      <c r="BG2" s="55"/>
      <c r="BH2" s="55"/>
      <c r="BI2" s="13"/>
      <c r="BJ2" s="13" t="s">
        <v>67</v>
      </c>
      <c r="BK2" s="13" t="s">
        <v>68</v>
      </c>
      <c r="BL2" s="13" t="s">
        <v>19</v>
      </c>
      <c r="BM2" s="13" t="s">
        <v>58</v>
      </c>
      <c r="BN2" s="13" t="s">
        <v>69</v>
      </c>
      <c r="BO2" s="13" t="s">
        <v>20</v>
      </c>
      <c r="BP2" s="13" t="s">
        <v>22</v>
      </c>
      <c r="BQ2" s="13" t="s">
        <v>70</v>
      </c>
      <c r="BR2" s="13" t="s">
        <v>71</v>
      </c>
      <c r="BS2" s="13" t="s">
        <v>21</v>
      </c>
      <c r="BT2" s="13" t="s">
        <v>16</v>
      </c>
      <c r="BU2" s="54" t="s">
        <v>17</v>
      </c>
      <c r="BV2" s="54"/>
      <c r="BW2" s="54"/>
      <c r="BX2" s="54"/>
      <c r="BY2" s="54"/>
      <c r="BZ2" s="54" t="s">
        <v>18</v>
      </c>
      <c r="CA2" s="54"/>
      <c r="CB2" s="54"/>
      <c r="CC2" s="54"/>
      <c r="CD2" s="54"/>
      <c r="CE2" s="54" t="s">
        <v>21</v>
      </c>
      <c r="CF2" s="54"/>
      <c r="CG2" s="54"/>
      <c r="CH2" s="54"/>
      <c r="CI2" s="54"/>
      <c r="CJ2" s="14"/>
      <c r="CK2" s="14" t="s">
        <v>67</v>
      </c>
      <c r="CL2" s="14" t="s">
        <v>68</v>
      </c>
      <c r="CM2" s="14" t="s">
        <v>19</v>
      </c>
      <c r="CN2" s="14" t="s">
        <v>58</v>
      </c>
      <c r="CO2" s="14" t="s">
        <v>69</v>
      </c>
      <c r="CP2" s="14" t="s">
        <v>20</v>
      </c>
      <c r="CQ2" s="14" t="s">
        <v>22</v>
      </c>
      <c r="CR2" s="14" t="s">
        <v>70</v>
      </c>
      <c r="CS2" s="14" t="s">
        <v>71</v>
      </c>
      <c r="CT2" s="14" t="s">
        <v>21</v>
      </c>
      <c r="CU2" s="14" t="s">
        <v>16</v>
      </c>
      <c r="CV2" s="46" t="s">
        <v>21</v>
      </c>
      <c r="CW2" s="46" t="s">
        <v>187</v>
      </c>
      <c r="CX2" s="54" t="s">
        <v>17</v>
      </c>
      <c r="CY2" s="54"/>
      <c r="CZ2" s="54"/>
      <c r="DA2" s="54"/>
      <c r="DB2" s="54"/>
      <c r="DC2" s="54" t="s">
        <v>18</v>
      </c>
      <c r="DD2" s="54"/>
      <c r="DE2" s="54"/>
      <c r="DF2" s="54"/>
      <c r="DG2" s="54"/>
      <c r="DH2" s="54" t="s">
        <v>72</v>
      </c>
      <c r="DI2" s="54"/>
      <c r="DJ2" s="54"/>
      <c r="DK2" s="54"/>
      <c r="DL2" s="54"/>
      <c r="DM2" s="54" t="s">
        <v>21</v>
      </c>
      <c r="DN2" s="54"/>
      <c r="DO2" s="54"/>
      <c r="DP2" s="54"/>
      <c r="DQ2" s="54"/>
      <c r="DR2" s="14" t="s">
        <v>67</v>
      </c>
      <c r="DS2" s="14" t="s">
        <v>68</v>
      </c>
      <c r="DT2" s="14" t="s">
        <v>19</v>
      </c>
      <c r="DU2" s="14" t="s">
        <v>58</v>
      </c>
      <c r="DV2" s="14" t="s">
        <v>69</v>
      </c>
      <c r="DW2" s="14" t="s">
        <v>20</v>
      </c>
      <c r="DX2" s="14" t="s">
        <v>22</v>
      </c>
      <c r="DY2" s="14" t="s">
        <v>73</v>
      </c>
      <c r="DZ2" s="14" t="s">
        <v>74</v>
      </c>
      <c r="EA2" s="14" t="s">
        <v>72</v>
      </c>
      <c r="EB2" s="14" t="s">
        <v>70</v>
      </c>
      <c r="EC2" s="14" t="s">
        <v>71</v>
      </c>
      <c r="ED2" s="14" t="s">
        <v>21</v>
      </c>
      <c r="EE2" s="14" t="s">
        <v>16</v>
      </c>
      <c r="EF2" s="55" t="s">
        <v>17</v>
      </c>
      <c r="EG2" s="55"/>
      <c r="EH2" s="55"/>
      <c r="EI2" s="55"/>
      <c r="EJ2" s="55"/>
      <c r="EK2" s="55" t="s">
        <v>18</v>
      </c>
      <c r="EL2" s="55"/>
      <c r="EM2" s="55"/>
      <c r="EN2" s="55"/>
      <c r="EO2" s="55"/>
      <c r="EP2" s="55" t="s">
        <v>72</v>
      </c>
      <c r="EQ2" s="55"/>
      <c r="ER2" s="55"/>
      <c r="ES2" s="55"/>
      <c r="ET2" s="55"/>
      <c r="EU2" s="55" t="s">
        <v>21</v>
      </c>
      <c r="EV2" s="55"/>
      <c r="EW2" s="55"/>
      <c r="EX2" s="55"/>
      <c r="EY2" s="55"/>
      <c r="EZ2" s="13" t="s">
        <v>67</v>
      </c>
      <c r="FA2" s="13" t="s">
        <v>68</v>
      </c>
      <c r="FB2" s="13" t="s">
        <v>19</v>
      </c>
      <c r="FC2" s="13" t="s">
        <v>58</v>
      </c>
      <c r="FD2" s="13" t="s">
        <v>69</v>
      </c>
      <c r="FE2" s="13" t="s">
        <v>20</v>
      </c>
      <c r="FF2" s="13" t="s">
        <v>22</v>
      </c>
      <c r="FG2" s="13" t="s">
        <v>73</v>
      </c>
      <c r="FH2" s="13" t="s">
        <v>74</v>
      </c>
      <c r="FI2" s="13" t="s">
        <v>72</v>
      </c>
      <c r="FJ2" s="13" t="s">
        <v>70</v>
      </c>
      <c r="FK2" s="13" t="s">
        <v>71</v>
      </c>
      <c r="FL2" s="13" t="s">
        <v>21</v>
      </c>
      <c r="FM2" s="13" t="s">
        <v>16</v>
      </c>
      <c r="FN2" s="54" t="s">
        <v>17</v>
      </c>
      <c r="FO2" s="54"/>
      <c r="FP2" s="54"/>
      <c r="FQ2" s="54"/>
      <c r="FR2" s="54"/>
      <c r="FS2" s="54" t="s">
        <v>18</v>
      </c>
      <c r="FT2" s="54"/>
      <c r="FU2" s="54"/>
      <c r="FV2" s="54"/>
      <c r="FW2" s="54"/>
      <c r="FX2" s="54" t="s">
        <v>72</v>
      </c>
      <c r="FY2" s="54"/>
      <c r="FZ2" s="54"/>
      <c r="GA2" s="54"/>
      <c r="GB2" s="54"/>
      <c r="GC2" s="54" t="s">
        <v>21</v>
      </c>
      <c r="GD2" s="54"/>
      <c r="GE2" s="54"/>
      <c r="GF2" s="54"/>
      <c r="GG2" s="54"/>
      <c r="GH2" s="14" t="s">
        <v>67</v>
      </c>
      <c r="GI2" s="14" t="s">
        <v>68</v>
      </c>
      <c r="GJ2" s="14" t="s">
        <v>19</v>
      </c>
      <c r="GK2" s="14" t="s">
        <v>58</v>
      </c>
      <c r="GL2" s="14" t="s">
        <v>69</v>
      </c>
      <c r="GM2" s="14" t="s">
        <v>20</v>
      </c>
      <c r="GN2" s="14" t="s">
        <v>22</v>
      </c>
      <c r="GO2" s="14" t="s">
        <v>73</v>
      </c>
      <c r="GP2" s="14" t="s">
        <v>74</v>
      </c>
      <c r="GQ2" s="14" t="s">
        <v>72</v>
      </c>
      <c r="GR2" s="14" t="s">
        <v>70</v>
      </c>
      <c r="GS2" s="14" t="s">
        <v>71</v>
      </c>
      <c r="GT2" s="14" t="s">
        <v>21</v>
      </c>
      <c r="GU2" s="14" t="s">
        <v>16</v>
      </c>
      <c r="GV2" s="55" t="s">
        <v>17</v>
      </c>
      <c r="GW2" s="55"/>
      <c r="GX2" s="55"/>
      <c r="GY2" s="55"/>
      <c r="GZ2" s="55"/>
      <c r="HA2" s="55" t="s">
        <v>18</v>
      </c>
      <c r="HB2" s="55"/>
      <c r="HC2" s="55"/>
      <c r="HD2" s="55"/>
      <c r="HE2" s="55"/>
      <c r="HF2" s="55" t="s">
        <v>72</v>
      </c>
      <c r="HG2" s="55"/>
      <c r="HH2" s="55"/>
      <c r="HI2" s="55"/>
      <c r="HJ2" s="55"/>
      <c r="HK2" s="55" t="s">
        <v>21</v>
      </c>
      <c r="HL2" s="55"/>
      <c r="HM2" s="55"/>
      <c r="HN2" s="55"/>
      <c r="HO2" s="55"/>
      <c r="HP2" s="13" t="s">
        <v>67</v>
      </c>
      <c r="HQ2" s="13" t="s">
        <v>68</v>
      </c>
      <c r="HR2" s="13" t="s">
        <v>19</v>
      </c>
      <c r="HS2" s="13" t="s">
        <v>58</v>
      </c>
      <c r="HT2" s="13" t="s">
        <v>69</v>
      </c>
      <c r="HU2" s="13" t="s">
        <v>20</v>
      </c>
      <c r="HV2" s="13" t="s">
        <v>22</v>
      </c>
      <c r="HW2" s="13" t="s">
        <v>73</v>
      </c>
      <c r="HX2" s="13" t="s">
        <v>74</v>
      </c>
      <c r="HY2" s="13" t="s">
        <v>72</v>
      </c>
      <c r="HZ2" s="13" t="s">
        <v>70</v>
      </c>
      <c r="IA2" s="13" t="s">
        <v>71</v>
      </c>
      <c r="IB2" s="13" t="s">
        <v>21</v>
      </c>
      <c r="IC2" s="13" t="s">
        <v>16</v>
      </c>
      <c r="ID2" s="54" t="s">
        <v>17</v>
      </c>
      <c r="IE2" s="54"/>
      <c r="IF2" s="54"/>
      <c r="IG2" s="54"/>
      <c r="IH2" s="54"/>
      <c r="II2" s="54" t="s">
        <v>18</v>
      </c>
      <c r="IJ2" s="54"/>
      <c r="IK2" s="54"/>
      <c r="IL2" s="54"/>
      <c r="IM2" s="54"/>
      <c r="IN2" s="54" t="s">
        <v>72</v>
      </c>
      <c r="IO2" s="54"/>
      <c r="IP2" s="54"/>
      <c r="IQ2" s="54"/>
      <c r="IR2" s="54"/>
      <c r="IS2" s="54" t="s">
        <v>21</v>
      </c>
      <c r="IT2" s="54"/>
      <c r="IU2" s="54"/>
      <c r="IV2" s="54"/>
      <c r="IW2" s="54"/>
      <c r="IX2" s="14" t="s">
        <v>67</v>
      </c>
      <c r="IY2" s="14" t="s">
        <v>68</v>
      </c>
      <c r="IZ2" s="14" t="s">
        <v>19</v>
      </c>
      <c r="JA2" s="14" t="s">
        <v>58</v>
      </c>
      <c r="JB2" s="14" t="s">
        <v>69</v>
      </c>
      <c r="JC2" s="14" t="s">
        <v>20</v>
      </c>
      <c r="JD2" s="14" t="s">
        <v>22</v>
      </c>
      <c r="JE2" s="14" t="s">
        <v>73</v>
      </c>
      <c r="JF2" s="14" t="s">
        <v>74</v>
      </c>
      <c r="JG2" s="14" t="s">
        <v>72</v>
      </c>
      <c r="JH2" s="14" t="s">
        <v>70</v>
      </c>
      <c r="JI2" s="14" t="s">
        <v>71</v>
      </c>
      <c r="JJ2" s="14" t="s">
        <v>21</v>
      </c>
      <c r="JK2" s="14" t="s">
        <v>16</v>
      </c>
      <c r="JL2" s="55" t="s">
        <v>17</v>
      </c>
      <c r="JM2" s="55"/>
      <c r="JN2" s="55"/>
      <c r="JO2" s="55"/>
      <c r="JP2" s="55"/>
      <c r="JQ2" s="55" t="s">
        <v>18</v>
      </c>
      <c r="JR2" s="55"/>
      <c r="JS2" s="55"/>
      <c r="JT2" s="55"/>
      <c r="JU2" s="55"/>
      <c r="JV2" s="55" t="s">
        <v>72</v>
      </c>
      <c r="JW2" s="55"/>
      <c r="JX2" s="55"/>
      <c r="JY2" s="55"/>
      <c r="JZ2" s="55"/>
      <c r="KA2" s="55" t="s">
        <v>21</v>
      </c>
      <c r="KB2" s="55"/>
      <c r="KC2" s="55"/>
      <c r="KD2" s="55"/>
      <c r="KE2" s="55"/>
      <c r="KF2" s="13" t="s">
        <v>67</v>
      </c>
      <c r="KG2" s="13" t="s">
        <v>68</v>
      </c>
      <c r="KH2" s="13" t="s">
        <v>19</v>
      </c>
      <c r="KI2" s="13" t="s">
        <v>58</v>
      </c>
      <c r="KJ2" s="13" t="s">
        <v>69</v>
      </c>
      <c r="KK2" s="13" t="s">
        <v>20</v>
      </c>
      <c r="KL2" s="13" t="s">
        <v>22</v>
      </c>
      <c r="KM2" s="13" t="s">
        <v>73</v>
      </c>
      <c r="KN2" s="13" t="s">
        <v>74</v>
      </c>
      <c r="KO2" s="13" t="s">
        <v>72</v>
      </c>
      <c r="KP2" s="13" t="s">
        <v>70</v>
      </c>
      <c r="KQ2" s="13" t="s">
        <v>71</v>
      </c>
      <c r="KR2" s="13" t="s">
        <v>21</v>
      </c>
      <c r="KS2" s="13" t="s">
        <v>16</v>
      </c>
      <c r="KT2" s="54" t="s">
        <v>17</v>
      </c>
      <c r="KU2" s="54"/>
      <c r="KV2" s="54"/>
      <c r="KW2" s="54"/>
      <c r="KX2" s="54"/>
      <c r="KY2" s="54" t="s">
        <v>18</v>
      </c>
      <c r="KZ2" s="54"/>
      <c r="LA2" s="54"/>
      <c r="LB2" s="54"/>
      <c r="LC2" s="54"/>
      <c r="LD2" s="54" t="s">
        <v>72</v>
      </c>
      <c r="LE2" s="54"/>
      <c r="LF2" s="54"/>
      <c r="LG2" s="54"/>
      <c r="LH2" s="54"/>
      <c r="LI2" s="54" t="s">
        <v>21</v>
      </c>
      <c r="LJ2" s="54"/>
      <c r="LK2" s="54"/>
      <c r="LL2" s="54"/>
      <c r="LM2" s="54"/>
      <c r="LN2" s="14" t="s">
        <v>67</v>
      </c>
      <c r="LO2" s="14" t="s">
        <v>68</v>
      </c>
      <c r="LP2" s="14" t="s">
        <v>19</v>
      </c>
      <c r="LQ2" s="14" t="s">
        <v>58</v>
      </c>
      <c r="LR2" s="14" t="s">
        <v>69</v>
      </c>
      <c r="LS2" s="14" t="s">
        <v>20</v>
      </c>
      <c r="LT2" s="14" t="s">
        <v>22</v>
      </c>
      <c r="LU2" s="14" t="s">
        <v>73</v>
      </c>
      <c r="LV2" s="14" t="s">
        <v>74</v>
      </c>
      <c r="LW2" s="14" t="s">
        <v>72</v>
      </c>
      <c r="LX2" s="14" t="s">
        <v>70</v>
      </c>
      <c r="LY2" s="14" t="s">
        <v>71</v>
      </c>
      <c r="LZ2" s="14" t="s">
        <v>21</v>
      </c>
      <c r="MA2" s="14" t="s">
        <v>16</v>
      </c>
      <c r="MB2" s="55" t="s">
        <v>17</v>
      </c>
      <c r="MC2" s="55"/>
      <c r="MD2" s="55"/>
      <c r="ME2" s="55"/>
      <c r="MF2" s="55"/>
      <c r="MG2" s="55" t="s">
        <v>18</v>
      </c>
      <c r="MH2" s="55"/>
      <c r="MI2" s="55"/>
      <c r="MJ2" s="55"/>
      <c r="MK2" s="55"/>
      <c r="ML2" s="55" t="s">
        <v>72</v>
      </c>
      <c r="MM2" s="55"/>
      <c r="MN2" s="55"/>
      <c r="MO2" s="55"/>
      <c r="MP2" s="55"/>
      <c r="MQ2" s="55" t="s">
        <v>21</v>
      </c>
      <c r="MR2" s="55"/>
      <c r="MS2" s="55"/>
      <c r="MT2" s="55"/>
      <c r="MU2" s="55"/>
      <c r="MV2" s="13" t="s">
        <v>67</v>
      </c>
      <c r="MW2" s="13" t="s">
        <v>68</v>
      </c>
      <c r="MX2" s="13" t="s">
        <v>19</v>
      </c>
      <c r="MY2" s="13" t="s">
        <v>58</v>
      </c>
      <c r="MZ2" s="13" t="s">
        <v>69</v>
      </c>
      <c r="NA2" s="13" t="s">
        <v>20</v>
      </c>
      <c r="NB2" s="13" t="s">
        <v>22</v>
      </c>
      <c r="NC2" s="13" t="s">
        <v>73</v>
      </c>
      <c r="ND2" s="13" t="s">
        <v>74</v>
      </c>
      <c r="NE2" s="13" t="s">
        <v>72</v>
      </c>
      <c r="NF2" s="13" t="s">
        <v>70</v>
      </c>
      <c r="NG2" s="13" t="s">
        <v>71</v>
      </c>
      <c r="NH2" s="13" t="s">
        <v>21</v>
      </c>
      <c r="NI2" s="13" t="s">
        <v>16</v>
      </c>
      <c r="NJ2" s="54" t="s">
        <v>17</v>
      </c>
      <c r="NK2" s="54"/>
      <c r="NL2" s="54"/>
      <c r="NM2" s="54"/>
      <c r="NN2" s="54"/>
      <c r="NO2" s="54" t="s">
        <v>18</v>
      </c>
      <c r="NP2" s="54"/>
      <c r="NQ2" s="54"/>
      <c r="NR2" s="54"/>
      <c r="NS2" s="54"/>
      <c r="NT2" s="54" t="s">
        <v>72</v>
      </c>
      <c r="NU2" s="54"/>
      <c r="NV2" s="54"/>
      <c r="NW2" s="54"/>
      <c r="NX2" s="54"/>
      <c r="NY2" s="54" t="s">
        <v>21</v>
      </c>
      <c r="NZ2" s="54"/>
      <c r="OA2" s="54"/>
      <c r="OB2" s="54"/>
      <c r="OC2" s="54"/>
      <c r="OD2" s="14" t="s">
        <v>67</v>
      </c>
      <c r="OE2" s="14" t="s">
        <v>68</v>
      </c>
      <c r="OF2" s="14" t="s">
        <v>19</v>
      </c>
      <c r="OG2" s="14" t="s">
        <v>58</v>
      </c>
      <c r="OH2" s="14" t="s">
        <v>69</v>
      </c>
      <c r="OI2" s="14" t="s">
        <v>20</v>
      </c>
      <c r="OJ2" s="14" t="s">
        <v>22</v>
      </c>
      <c r="OK2" s="14" t="s">
        <v>73</v>
      </c>
      <c r="OL2" s="14" t="s">
        <v>74</v>
      </c>
      <c r="OM2" s="14" t="s">
        <v>72</v>
      </c>
      <c r="ON2" s="14" t="s">
        <v>70</v>
      </c>
      <c r="OO2" s="14" t="s">
        <v>71</v>
      </c>
      <c r="OP2" s="14" t="s">
        <v>21</v>
      </c>
      <c r="OQ2" s="14" t="s">
        <v>16</v>
      </c>
      <c r="OR2" s="55" t="s">
        <v>17</v>
      </c>
      <c r="OS2" s="55"/>
      <c r="OT2" s="55"/>
      <c r="OU2" s="55"/>
      <c r="OV2" s="55"/>
      <c r="OW2" s="55" t="s">
        <v>18</v>
      </c>
      <c r="OX2" s="55"/>
      <c r="OY2" s="55"/>
      <c r="OZ2" s="55"/>
      <c r="PA2" s="55"/>
      <c r="PB2" s="55" t="s">
        <v>72</v>
      </c>
      <c r="PC2" s="55"/>
      <c r="PD2" s="55"/>
      <c r="PE2" s="55"/>
      <c r="PF2" s="55"/>
      <c r="PG2" s="55" t="s">
        <v>21</v>
      </c>
      <c r="PH2" s="55"/>
      <c r="PI2" s="55"/>
      <c r="PJ2" s="55"/>
      <c r="PK2" s="55"/>
      <c r="PL2" s="13" t="s">
        <v>67</v>
      </c>
      <c r="PM2" s="13" t="s">
        <v>68</v>
      </c>
      <c r="PN2" s="13" t="s">
        <v>19</v>
      </c>
      <c r="PO2" s="13" t="s">
        <v>58</v>
      </c>
      <c r="PP2" s="13" t="s">
        <v>69</v>
      </c>
      <c r="PQ2" s="13" t="s">
        <v>20</v>
      </c>
      <c r="PR2" s="13" t="s">
        <v>22</v>
      </c>
      <c r="PS2" s="13" t="s">
        <v>73</v>
      </c>
      <c r="PT2" s="13" t="s">
        <v>74</v>
      </c>
      <c r="PU2" s="13" t="s">
        <v>72</v>
      </c>
      <c r="PV2" s="13" t="s">
        <v>70</v>
      </c>
      <c r="PW2" s="13" t="s">
        <v>71</v>
      </c>
      <c r="PX2" s="13" t="s">
        <v>21</v>
      </c>
      <c r="PY2" s="13" t="s">
        <v>16</v>
      </c>
      <c r="PZ2" s="54" t="s">
        <v>17</v>
      </c>
      <c r="QA2" s="54"/>
      <c r="QB2" s="54"/>
      <c r="QC2" s="54"/>
      <c r="QD2" s="54"/>
      <c r="QE2" s="54" t="s">
        <v>18</v>
      </c>
      <c r="QF2" s="54"/>
      <c r="QG2" s="54"/>
      <c r="QH2" s="54"/>
      <c r="QI2" s="54"/>
      <c r="QJ2" s="54" t="s">
        <v>72</v>
      </c>
      <c r="QK2" s="54"/>
      <c r="QL2" s="54"/>
      <c r="QM2" s="54"/>
      <c r="QN2" s="54"/>
      <c r="QO2" s="54" t="s">
        <v>21</v>
      </c>
      <c r="QP2" s="54"/>
      <c r="QQ2" s="54"/>
      <c r="QR2" s="54"/>
      <c r="QS2" s="54"/>
      <c r="QT2" s="14" t="s">
        <v>67</v>
      </c>
      <c r="QU2" s="14" t="s">
        <v>68</v>
      </c>
      <c r="QV2" s="14" t="s">
        <v>19</v>
      </c>
      <c r="QW2" s="14" t="s">
        <v>58</v>
      </c>
      <c r="QX2" s="14" t="s">
        <v>69</v>
      </c>
      <c r="QY2" s="14" t="s">
        <v>20</v>
      </c>
      <c r="QZ2" s="14" t="s">
        <v>22</v>
      </c>
      <c r="RA2" s="14" t="s">
        <v>73</v>
      </c>
      <c r="RB2" s="14" t="s">
        <v>74</v>
      </c>
      <c r="RC2" s="14" t="s">
        <v>72</v>
      </c>
      <c r="RD2" s="14" t="s">
        <v>70</v>
      </c>
      <c r="RE2" s="14" t="s">
        <v>71</v>
      </c>
      <c r="RF2" s="14" t="s">
        <v>21</v>
      </c>
      <c r="RG2" s="14" t="s">
        <v>16</v>
      </c>
      <c r="RH2" s="55" t="s">
        <v>17</v>
      </c>
      <c r="RI2" s="55"/>
      <c r="RJ2" s="55"/>
      <c r="RK2" s="55"/>
      <c r="RL2" s="55"/>
      <c r="RM2" s="55" t="s">
        <v>18</v>
      </c>
      <c r="RN2" s="55"/>
      <c r="RO2" s="55"/>
      <c r="RP2" s="55"/>
      <c r="RQ2" s="55"/>
      <c r="RR2" s="55" t="s">
        <v>72</v>
      </c>
      <c r="RS2" s="55"/>
      <c r="RT2" s="55"/>
      <c r="RU2" s="55"/>
      <c r="RV2" s="55"/>
      <c r="RW2" s="55" t="s">
        <v>21</v>
      </c>
      <c r="RX2" s="55"/>
      <c r="RY2" s="55"/>
      <c r="RZ2" s="55"/>
      <c r="SA2" s="55"/>
      <c r="SB2" s="13" t="s">
        <v>67</v>
      </c>
      <c r="SC2" s="13" t="s">
        <v>68</v>
      </c>
      <c r="SD2" s="13" t="s">
        <v>19</v>
      </c>
      <c r="SE2" s="13" t="s">
        <v>58</v>
      </c>
      <c r="SF2" s="13" t="s">
        <v>69</v>
      </c>
      <c r="SG2" s="13" t="s">
        <v>20</v>
      </c>
      <c r="SH2" s="13" t="s">
        <v>22</v>
      </c>
      <c r="SI2" s="13" t="s">
        <v>73</v>
      </c>
      <c r="SJ2" s="13" t="s">
        <v>74</v>
      </c>
      <c r="SK2" s="13" t="s">
        <v>72</v>
      </c>
      <c r="SL2" s="13" t="s">
        <v>70</v>
      </c>
      <c r="SM2" s="13" t="s">
        <v>71</v>
      </c>
      <c r="SN2" s="13" t="s">
        <v>21</v>
      </c>
      <c r="SO2" s="13" t="s">
        <v>16</v>
      </c>
      <c r="SP2" s="54" t="s">
        <v>17</v>
      </c>
      <c r="SQ2" s="54"/>
      <c r="SR2" s="54"/>
      <c r="SS2" s="54"/>
      <c r="ST2" s="54"/>
      <c r="SU2" s="54" t="s">
        <v>18</v>
      </c>
      <c r="SV2" s="54"/>
      <c r="SW2" s="54"/>
      <c r="SX2" s="54"/>
      <c r="SY2" s="54"/>
      <c r="SZ2" s="54" t="s">
        <v>72</v>
      </c>
      <c r="TA2" s="54"/>
      <c r="TB2" s="54"/>
      <c r="TC2" s="54"/>
      <c r="TD2" s="54"/>
      <c r="TE2" s="54" t="s">
        <v>21</v>
      </c>
      <c r="TF2" s="54"/>
      <c r="TG2" s="54"/>
      <c r="TH2" s="54"/>
      <c r="TI2" s="54"/>
      <c r="TJ2" s="14" t="s">
        <v>67</v>
      </c>
      <c r="TK2" s="14" t="s">
        <v>68</v>
      </c>
      <c r="TL2" s="14" t="s">
        <v>19</v>
      </c>
      <c r="TM2" s="14" t="s">
        <v>58</v>
      </c>
      <c r="TN2" s="14" t="s">
        <v>69</v>
      </c>
      <c r="TO2" s="14" t="s">
        <v>20</v>
      </c>
      <c r="TP2" s="14" t="s">
        <v>22</v>
      </c>
      <c r="TQ2" s="14" t="s">
        <v>73</v>
      </c>
      <c r="TR2" s="14" t="s">
        <v>74</v>
      </c>
      <c r="TS2" s="14" t="s">
        <v>72</v>
      </c>
      <c r="TT2" s="14" t="s">
        <v>70</v>
      </c>
      <c r="TU2" s="14" t="s">
        <v>71</v>
      </c>
      <c r="TV2" s="14" t="s">
        <v>21</v>
      </c>
      <c r="TW2" s="14" t="s">
        <v>16</v>
      </c>
      <c r="TX2" s="55" t="s">
        <v>17</v>
      </c>
      <c r="TY2" s="55"/>
      <c r="TZ2" s="55"/>
      <c r="UA2" s="55"/>
      <c r="UB2" s="55"/>
      <c r="UC2" s="55" t="s">
        <v>18</v>
      </c>
      <c r="UD2" s="55"/>
      <c r="UE2" s="55"/>
      <c r="UF2" s="55"/>
      <c r="UG2" s="55"/>
      <c r="UH2" s="55" t="s">
        <v>72</v>
      </c>
      <c r="UI2" s="55"/>
      <c r="UJ2" s="55"/>
      <c r="UK2" s="55"/>
      <c r="UL2" s="55"/>
      <c r="UM2" s="55" t="s">
        <v>21</v>
      </c>
      <c r="UN2" s="55"/>
      <c r="UO2" s="55"/>
      <c r="UP2" s="55"/>
      <c r="UQ2" s="55"/>
      <c r="UR2" s="13" t="s">
        <v>67</v>
      </c>
      <c r="US2" s="13" t="s">
        <v>68</v>
      </c>
      <c r="UT2" s="13" t="s">
        <v>19</v>
      </c>
      <c r="UU2" s="13" t="s">
        <v>58</v>
      </c>
      <c r="UV2" s="13" t="s">
        <v>69</v>
      </c>
      <c r="UW2" s="13" t="s">
        <v>20</v>
      </c>
      <c r="UX2" s="13" t="s">
        <v>22</v>
      </c>
      <c r="UY2" s="13" t="s">
        <v>73</v>
      </c>
      <c r="UZ2" s="13" t="s">
        <v>74</v>
      </c>
      <c r="VA2" s="13" t="s">
        <v>72</v>
      </c>
      <c r="VB2" s="13" t="s">
        <v>70</v>
      </c>
      <c r="VC2" s="13" t="s">
        <v>71</v>
      </c>
      <c r="VD2" s="13" t="s">
        <v>21</v>
      </c>
      <c r="VE2" s="13" t="s">
        <v>16</v>
      </c>
      <c r="VF2" s="54" t="s">
        <v>17</v>
      </c>
      <c r="VG2" s="54"/>
      <c r="VH2" s="54"/>
      <c r="VI2" s="54"/>
      <c r="VJ2" s="54"/>
      <c r="VK2" s="54" t="s">
        <v>18</v>
      </c>
      <c r="VL2" s="54"/>
      <c r="VM2" s="54"/>
      <c r="VN2" s="54"/>
      <c r="VO2" s="54"/>
      <c r="VP2" s="54" t="s">
        <v>72</v>
      </c>
      <c r="VQ2" s="54"/>
      <c r="VR2" s="54"/>
      <c r="VS2" s="54"/>
      <c r="VT2" s="54"/>
      <c r="VU2" s="54" t="s">
        <v>21</v>
      </c>
      <c r="VV2" s="54"/>
      <c r="VW2" s="54"/>
      <c r="VX2" s="54"/>
      <c r="VY2" s="54"/>
      <c r="VZ2" s="14" t="s">
        <v>67</v>
      </c>
      <c r="WA2" s="14" t="s">
        <v>68</v>
      </c>
      <c r="WB2" s="14" t="s">
        <v>19</v>
      </c>
      <c r="WC2" s="14" t="s">
        <v>58</v>
      </c>
      <c r="WD2" s="14" t="s">
        <v>69</v>
      </c>
      <c r="WE2" s="14" t="s">
        <v>20</v>
      </c>
      <c r="WF2" s="14" t="s">
        <v>22</v>
      </c>
      <c r="WG2" s="14" t="s">
        <v>73</v>
      </c>
      <c r="WH2" s="14" t="s">
        <v>74</v>
      </c>
      <c r="WI2" s="14" t="s">
        <v>72</v>
      </c>
      <c r="WJ2" s="14" t="s">
        <v>70</v>
      </c>
      <c r="WK2" s="14" t="s">
        <v>71</v>
      </c>
      <c r="WL2" s="14" t="s">
        <v>21</v>
      </c>
      <c r="WM2" s="14" t="s">
        <v>16</v>
      </c>
    </row>
    <row r="3" spans="1:611" x14ac:dyDescent="0.2">
      <c r="A3" s="56"/>
      <c r="B3" s="56"/>
      <c r="C3" s="56"/>
      <c r="D3" s="56"/>
      <c r="E3" s="56"/>
      <c r="F3" s="60"/>
      <c r="G3" s="56"/>
      <c r="H3" s="56"/>
      <c r="I3" s="56"/>
      <c r="J3" s="57"/>
      <c r="K3" s="58"/>
      <c r="L3" s="57"/>
      <c r="M3" s="58"/>
      <c r="N3" s="57"/>
      <c r="O3" s="58"/>
      <c r="P3" s="61"/>
      <c r="Q3" s="58"/>
      <c r="R3" s="58"/>
      <c r="S3" s="14" t="s">
        <v>13</v>
      </c>
      <c r="T3" s="14" t="s">
        <v>14</v>
      </c>
      <c r="U3" s="14" t="s">
        <v>8</v>
      </c>
      <c r="V3" s="14" t="s">
        <v>15</v>
      </c>
      <c r="W3" s="14" t="s">
        <v>27</v>
      </c>
      <c r="X3" s="14" t="s">
        <v>13</v>
      </c>
      <c r="Y3" s="14" t="s">
        <v>14</v>
      </c>
      <c r="Z3" s="14" t="s">
        <v>8</v>
      </c>
      <c r="AA3" s="14" t="s">
        <v>15</v>
      </c>
      <c r="AB3" s="14" t="s">
        <v>27</v>
      </c>
      <c r="AC3" s="14" t="s">
        <v>13</v>
      </c>
      <c r="AD3" s="14" t="s">
        <v>14</v>
      </c>
      <c r="AE3" s="14" t="s">
        <v>8</v>
      </c>
      <c r="AF3" s="14" t="s">
        <v>15</v>
      </c>
      <c r="AG3" s="14" t="s">
        <v>27</v>
      </c>
      <c r="AH3" s="14" t="s">
        <v>41</v>
      </c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3" t="s">
        <v>13</v>
      </c>
      <c r="AU3" s="13" t="s">
        <v>14</v>
      </c>
      <c r="AV3" s="13" t="s">
        <v>8</v>
      </c>
      <c r="AW3" s="13" t="s">
        <v>15</v>
      </c>
      <c r="AX3" s="13" t="s">
        <v>27</v>
      </c>
      <c r="AY3" s="13" t="s">
        <v>13</v>
      </c>
      <c r="AZ3" s="13" t="s">
        <v>14</v>
      </c>
      <c r="BA3" s="13" t="s">
        <v>8</v>
      </c>
      <c r="BB3" s="13" t="s">
        <v>15</v>
      </c>
      <c r="BC3" s="13" t="s">
        <v>27</v>
      </c>
      <c r="BD3" s="13" t="s">
        <v>13</v>
      </c>
      <c r="BE3" s="13" t="s">
        <v>14</v>
      </c>
      <c r="BF3" s="13" t="s">
        <v>8</v>
      </c>
      <c r="BG3" s="13" t="s">
        <v>15</v>
      </c>
      <c r="BH3" s="13" t="s">
        <v>27</v>
      </c>
      <c r="BI3" s="13" t="s">
        <v>41</v>
      </c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4" t="s">
        <v>13</v>
      </c>
      <c r="BV3" s="14" t="s">
        <v>14</v>
      </c>
      <c r="BW3" s="14" t="s">
        <v>8</v>
      </c>
      <c r="BX3" s="14" t="s">
        <v>15</v>
      </c>
      <c r="BY3" s="14" t="s">
        <v>27</v>
      </c>
      <c r="BZ3" s="14" t="s">
        <v>13</v>
      </c>
      <c r="CA3" s="14" t="s">
        <v>14</v>
      </c>
      <c r="CB3" s="14" t="s">
        <v>8</v>
      </c>
      <c r="CC3" s="14" t="s">
        <v>15</v>
      </c>
      <c r="CD3" s="14" t="s">
        <v>27</v>
      </c>
      <c r="CE3" s="14" t="s">
        <v>13</v>
      </c>
      <c r="CF3" s="14" t="s">
        <v>14</v>
      </c>
      <c r="CG3" s="14" t="s">
        <v>8</v>
      </c>
      <c r="CH3" s="14" t="s">
        <v>15</v>
      </c>
      <c r="CI3" s="14" t="s">
        <v>27</v>
      </c>
      <c r="CJ3" s="14" t="s">
        <v>41</v>
      </c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46"/>
      <c r="CW3" s="46"/>
      <c r="CX3" s="14" t="s">
        <v>13</v>
      </c>
      <c r="CY3" s="14" t="s">
        <v>14</v>
      </c>
      <c r="CZ3" s="14" t="s">
        <v>8</v>
      </c>
      <c r="DA3" s="14" t="s">
        <v>15</v>
      </c>
      <c r="DB3" s="14" t="s">
        <v>27</v>
      </c>
      <c r="DC3" s="14" t="s">
        <v>13</v>
      </c>
      <c r="DD3" s="14" t="s">
        <v>14</v>
      </c>
      <c r="DE3" s="14" t="s">
        <v>8</v>
      </c>
      <c r="DF3" s="14" t="s">
        <v>15</v>
      </c>
      <c r="DG3" s="14" t="s">
        <v>27</v>
      </c>
      <c r="DH3" s="14" t="s">
        <v>13</v>
      </c>
      <c r="DI3" s="14" t="s">
        <v>14</v>
      </c>
      <c r="DJ3" s="14" t="s">
        <v>8</v>
      </c>
      <c r="DK3" s="14" t="s">
        <v>15</v>
      </c>
      <c r="DL3" s="14" t="s">
        <v>27</v>
      </c>
      <c r="DM3" s="14" t="s">
        <v>13</v>
      </c>
      <c r="DN3" s="14" t="s">
        <v>14</v>
      </c>
      <c r="DO3" s="14" t="s">
        <v>8</v>
      </c>
      <c r="DP3" s="14" t="s">
        <v>15</v>
      </c>
      <c r="DQ3" s="14" t="s">
        <v>27</v>
      </c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6"/>
      <c r="ED3" s="6"/>
      <c r="EE3" s="14"/>
      <c r="EF3" s="13" t="s">
        <v>13</v>
      </c>
      <c r="EG3" s="13" t="s">
        <v>14</v>
      </c>
      <c r="EH3" s="13" t="s">
        <v>8</v>
      </c>
      <c r="EI3" s="13" t="s">
        <v>15</v>
      </c>
      <c r="EJ3" s="13" t="s">
        <v>27</v>
      </c>
      <c r="EK3" s="13" t="s">
        <v>13</v>
      </c>
      <c r="EL3" s="13" t="s">
        <v>14</v>
      </c>
      <c r="EM3" s="13" t="s">
        <v>8</v>
      </c>
      <c r="EN3" s="13" t="s">
        <v>15</v>
      </c>
      <c r="EO3" s="13" t="s">
        <v>27</v>
      </c>
      <c r="EP3" s="13" t="s">
        <v>13</v>
      </c>
      <c r="EQ3" s="13" t="s">
        <v>14</v>
      </c>
      <c r="ER3" s="13" t="s">
        <v>8</v>
      </c>
      <c r="ES3" s="13" t="s">
        <v>15</v>
      </c>
      <c r="ET3" s="13" t="s">
        <v>27</v>
      </c>
      <c r="EU3" s="13" t="s">
        <v>13</v>
      </c>
      <c r="EV3" s="13" t="s">
        <v>14</v>
      </c>
      <c r="EW3" s="13" t="s">
        <v>8</v>
      </c>
      <c r="EX3" s="13" t="s">
        <v>15</v>
      </c>
      <c r="EY3" s="13" t="s">
        <v>27</v>
      </c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13"/>
      <c r="FN3" s="14" t="s">
        <v>13</v>
      </c>
      <c r="FO3" s="14" t="s">
        <v>14</v>
      </c>
      <c r="FP3" s="14" t="s">
        <v>8</v>
      </c>
      <c r="FQ3" s="14" t="s">
        <v>15</v>
      </c>
      <c r="FR3" s="14" t="s">
        <v>27</v>
      </c>
      <c r="FS3" s="14" t="s">
        <v>13</v>
      </c>
      <c r="FT3" s="14" t="s">
        <v>14</v>
      </c>
      <c r="FU3" s="14" t="s">
        <v>8</v>
      </c>
      <c r="FV3" s="14" t="s">
        <v>15</v>
      </c>
      <c r="FW3" s="14" t="s">
        <v>27</v>
      </c>
      <c r="FX3" s="14" t="s">
        <v>13</v>
      </c>
      <c r="FY3" s="14" t="s">
        <v>14</v>
      </c>
      <c r="FZ3" s="14" t="s">
        <v>8</v>
      </c>
      <c r="GA3" s="14" t="s">
        <v>15</v>
      </c>
      <c r="GB3" s="14" t="s">
        <v>27</v>
      </c>
      <c r="GC3" s="14" t="s">
        <v>13</v>
      </c>
      <c r="GD3" s="14" t="s">
        <v>14</v>
      </c>
      <c r="GE3" s="14" t="s">
        <v>8</v>
      </c>
      <c r="GF3" s="14" t="s">
        <v>15</v>
      </c>
      <c r="GG3" s="14" t="s">
        <v>27</v>
      </c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6"/>
      <c r="GT3" s="6"/>
      <c r="GU3" s="14"/>
      <c r="GV3" s="13" t="s">
        <v>13</v>
      </c>
      <c r="GW3" s="13" t="s">
        <v>14</v>
      </c>
      <c r="GX3" s="13" t="s">
        <v>8</v>
      </c>
      <c r="GY3" s="13" t="s">
        <v>15</v>
      </c>
      <c r="GZ3" s="13" t="s">
        <v>27</v>
      </c>
      <c r="HA3" s="13" t="s">
        <v>13</v>
      </c>
      <c r="HB3" s="13" t="s">
        <v>14</v>
      </c>
      <c r="HC3" s="13" t="s">
        <v>8</v>
      </c>
      <c r="HD3" s="13" t="s">
        <v>15</v>
      </c>
      <c r="HE3" s="13" t="s">
        <v>27</v>
      </c>
      <c r="HF3" s="13" t="s">
        <v>13</v>
      </c>
      <c r="HG3" s="13" t="s">
        <v>14</v>
      </c>
      <c r="HH3" s="13" t="s">
        <v>8</v>
      </c>
      <c r="HI3" s="13" t="s">
        <v>15</v>
      </c>
      <c r="HJ3" s="13" t="s">
        <v>27</v>
      </c>
      <c r="HK3" s="13" t="s">
        <v>13</v>
      </c>
      <c r="HL3" s="13" t="s">
        <v>14</v>
      </c>
      <c r="HM3" s="13" t="s">
        <v>8</v>
      </c>
      <c r="HN3" s="13" t="s">
        <v>15</v>
      </c>
      <c r="HO3" s="13" t="s">
        <v>27</v>
      </c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7"/>
      <c r="IB3" s="7"/>
      <c r="IC3" s="13"/>
      <c r="ID3" s="14" t="s">
        <v>13</v>
      </c>
      <c r="IE3" s="14" t="s">
        <v>14</v>
      </c>
      <c r="IF3" s="14" t="s">
        <v>8</v>
      </c>
      <c r="IG3" s="14" t="s">
        <v>15</v>
      </c>
      <c r="IH3" s="14" t="s">
        <v>27</v>
      </c>
      <c r="II3" s="14" t="s">
        <v>13</v>
      </c>
      <c r="IJ3" s="14" t="s">
        <v>14</v>
      </c>
      <c r="IK3" s="14" t="s">
        <v>8</v>
      </c>
      <c r="IL3" s="14" t="s">
        <v>15</v>
      </c>
      <c r="IM3" s="14" t="s">
        <v>27</v>
      </c>
      <c r="IN3" s="14" t="s">
        <v>13</v>
      </c>
      <c r="IO3" s="14" t="s">
        <v>14</v>
      </c>
      <c r="IP3" s="14" t="s">
        <v>8</v>
      </c>
      <c r="IQ3" s="14" t="s">
        <v>15</v>
      </c>
      <c r="IR3" s="14" t="s">
        <v>27</v>
      </c>
      <c r="IS3" s="14" t="s">
        <v>13</v>
      </c>
      <c r="IT3" s="14" t="s">
        <v>14</v>
      </c>
      <c r="IU3" s="14" t="s">
        <v>8</v>
      </c>
      <c r="IV3" s="14" t="s">
        <v>15</v>
      </c>
      <c r="IW3" s="14" t="s">
        <v>27</v>
      </c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6"/>
      <c r="JJ3" s="6"/>
      <c r="JK3" s="14"/>
      <c r="JL3" s="13" t="s">
        <v>13</v>
      </c>
      <c r="JM3" s="13" t="s">
        <v>14</v>
      </c>
      <c r="JN3" s="13" t="s">
        <v>8</v>
      </c>
      <c r="JO3" s="13" t="s">
        <v>15</v>
      </c>
      <c r="JP3" s="13" t="s">
        <v>27</v>
      </c>
      <c r="JQ3" s="13" t="s">
        <v>13</v>
      </c>
      <c r="JR3" s="13" t="s">
        <v>14</v>
      </c>
      <c r="JS3" s="13" t="s">
        <v>8</v>
      </c>
      <c r="JT3" s="13" t="s">
        <v>15</v>
      </c>
      <c r="JU3" s="13" t="s">
        <v>27</v>
      </c>
      <c r="JV3" s="13" t="s">
        <v>13</v>
      </c>
      <c r="JW3" s="13" t="s">
        <v>14</v>
      </c>
      <c r="JX3" s="13" t="s">
        <v>8</v>
      </c>
      <c r="JY3" s="13" t="s">
        <v>15</v>
      </c>
      <c r="JZ3" s="13" t="s">
        <v>27</v>
      </c>
      <c r="KA3" s="13" t="s">
        <v>13</v>
      </c>
      <c r="KB3" s="13" t="s">
        <v>14</v>
      </c>
      <c r="KC3" s="13" t="s">
        <v>8</v>
      </c>
      <c r="KD3" s="13" t="s">
        <v>15</v>
      </c>
      <c r="KE3" s="13" t="s">
        <v>27</v>
      </c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7"/>
      <c r="KS3" s="7"/>
      <c r="KT3" s="14" t="s">
        <v>13</v>
      </c>
      <c r="KU3" s="14" t="s">
        <v>14</v>
      </c>
      <c r="KV3" s="14" t="s">
        <v>8</v>
      </c>
      <c r="KW3" s="14" t="s">
        <v>15</v>
      </c>
      <c r="KX3" s="14" t="s">
        <v>27</v>
      </c>
      <c r="KY3" s="14" t="s">
        <v>13</v>
      </c>
      <c r="KZ3" s="14" t="s">
        <v>14</v>
      </c>
      <c r="LA3" s="14" t="s">
        <v>8</v>
      </c>
      <c r="LB3" s="14" t="s">
        <v>15</v>
      </c>
      <c r="LC3" s="14" t="s">
        <v>27</v>
      </c>
      <c r="LD3" s="14" t="s">
        <v>13</v>
      </c>
      <c r="LE3" s="14" t="s">
        <v>14</v>
      </c>
      <c r="LF3" s="14" t="s">
        <v>8</v>
      </c>
      <c r="LG3" s="14" t="s">
        <v>15</v>
      </c>
      <c r="LH3" s="14" t="s">
        <v>27</v>
      </c>
      <c r="LI3" s="14" t="s">
        <v>13</v>
      </c>
      <c r="LJ3" s="14" t="s">
        <v>14</v>
      </c>
      <c r="LK3" s="14" t="s">
        <v>8</v>
      </c>
      <c r="LL3" s="14" t="s">
        <v>15</v>
      </c>
      <c r="LM3" s="14" t="s">
        <v>27</v>
      </c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6"/>
      <c r="MA3" s="6"/>
      <c r="MB3" s="13" t="s">
        <v>13</v>
      </c>
      <c r="MC3" s="13" t="s">
        <v>14</v>
      </c>
      <c r="MD3" s="13" t="s">
        <v>8</v>
      </c>
      <c r="ME3" s="13" t="s">
        <v>15</v>
      </c>
      <c r="MF3" s="13" t="s">
        <v>27</v>
      </c>
      <c r="MG3" s="13" t="s">
        <v>13</v>
      </c>
      <c r="MH3" s="13" t="s">
        <v>14</v>
      </c>
      <c r="MI3" s="13" t="s">
        <v>8</v>
      </c>
      <c r="MJ3" s="13" t="s">
        <v>15</v>
      </c>
      <c r="MK3" s="13" t="s">
        <v>27</v>
      </c>
      <c r="ML3" s="13" t="s">
        <v>13</v>
      </c>
      <c r="MM3" s="13" t="s">
        <v>14</v>
      </c>
      <c r="MN3" s="13" t="s">
        <v>8</v>
      </c>
      <c r="MO3" s="13" t="s">
        <v>15</v>
      </c>
      <c r="MP3" s="13" t="s">
        <v>27</v>
      </c>
      <c r="MQ3" s="13" t="s">
        <v>13</v>
      </c>
      <c r="MR3" s="13" t="s">
        <v>14</v>
      </c>
      <c r="MS3" s="13" t="s">
        <v>8</v>
      </c>
      <c r="MT3" s="13" t="s">
        <v>15</v>
      </c>
      <c r="MU3" s="13" t="s">
        <v>27</v>
      </c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7"/>
      <c r="NI3" s="7"/>
      <c r="NJ3" s="14" t="s">
        <v>13</v>
      </c>
      <c r="NK3" s="14" t="s">
        <v>14</v>
      </c>
      <c r="NL3" s="14" t="s">
        <v>8</v>
      </c>
      <c r="NM3" s="14" t="s">
        <v>15</v>
      </c>
      <c r="NN3" s="14" t="s">
        <v>27</v>
      </c>
      <c r="NO3" s="14" t="s">
        <v>13</v>
      </c>
      <c r="NP3" s="14" t="s">
        <v>14</v>
      </c>
      <c r="NQ3" s="14" t="s">
        <v>8</v>
      </c>
      <c r="NR3" s="14" t="s">
        <v>15</v>
      </c>
      <c r="NS3" s="14" t="s">
        <v>27</v>
      </c>
      <c r="NT3" s="14" t="s">
        <v>13</v>
      </c>
      <c r="NU3" s="14" t="s">
        <v>14</v>
      </c>
      <c r="NV3" s="14" t="s">
        <v>8</v>
      </c>
      <c r="NW3" s="14" t="s">
        <v>15</v>
      </c>
      <c r="NX3" s="14" t="s">
        <v>27</v>
      </c>
      <c r="NY3" s="14" t="s">
        <v>13</v>
      </c>
      <c r="NZ3" s="14" t="s">
        <v>14</v>
      </c>
      <c r="OA3" s="14" t="s">
        <v>8</v>
      </c>
      <c r="OB3" s="14" t="s">
        <v>15</v>
      </c>
      <c r="OC3" s="14" t="s">
        <v>27</v>
      </c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6"/>
      <c r="OQ3" s="6"/>
      <c r="OR3" s="13" t="s">
        <v>13</v>
      </c>
      <c r="OS3" s="13" t="s">
        <v>14</v>
      </c>
      <c r="OT3" s="13" t="s">
        <v>8</v>
      </c>
      <c r="OU3" s="13" t="s">
        <v>15</v>
      </c>
      <c r="OV3" s="13" t="s">
        <v>27</v>
      </c>
      <c r="OW3" s="13" t="s">
        <v>13</v>
      </c>
      <c r="OX3" s="13" t="s">
        <v>14</v>
      </c>
      <c r="OY3" s="13" t="s">
        <v>8</v>
      </c>
      <c r="OZ3" s="13" t="s">
        <v>15</v>
      </c>
      <c r="PA3" s="13" t="s">
        <v>27</v>
      </c>
      <c r="PB3" s="13" t="s">
        <v>13</v>
      </c>
      <c r="PC3" s="13" t="s">
        <v>14</v>
      </c>
      <c r="PD3" s="13" t="s">
        <v>8</v>
      </c>
      <c r="PE3" s="13" t="s">
        <v>15</v>
      </c>
      <c r="PF3" s="13" t="s">
        <v>27</v>
      </c>
      <c r="PG3" s="13" t="s">
        <v>13</v>
      </c>
      <c r="PH3" s="13" t="s">
        <v>14</v>
      </c>
      <c r="PI3" s="13" t="s">
        <v>8</v>
      </c>
      <c r="PJ3" s="13" t="s">
        <v>15</v>
      </c>
      <c r="PK3" s="13" t="s">
        <v>27</v>
      </c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7"/>
      <c r="PY3" s="7"/>
      <c r="PZ3" s="14" t="s">
        <v>13</v>
      </c>
      <c r="QA3" s="14" t="s">
        <v>14</v>
      </c>
      <c r="QB3" s="14" t="s">
        <v>8</v>
      </c>
      <c r="QC3" s="14" t="s">
        <v>15</v>
      </c>
      <c r="QD3" s="14" t="s">
        <v>27</v>
      </c>
      <c r="QE3" s="14" t="s">
        <v>13</v>
      </c>
      <c r="QF3" s="14" t="s">
        <v>14</v>
      </c>
      <c r="QG3" s="14" t="s">
        <v>8</v>
      </c>
      <c r="QH3" s="14" t="s">
        <v>15</v>
      </c>
      <c r="QI3" s="14" t="s">
        <v>27</v>
      </c>
      <c r="QJ3" s="14" t="s">
        <v>13</v>
      </c>
      <c r="QK3" s="14" t="s">
        <v>14</v>
      </c>
      <c r="QL3" s="14" t="s">
        <v>8</v>
      </c>
      <c r="QM3" s="14" t="s">
        <v>15</v>
      </c>
      <c r="QN3" s="14" t="s">
        <v>27</v>
      </c>
      <c r="QO3" s="14" t="s">
        <v>13</v>
      </c>
      <c r="QP3" s="14" t="s">
        <v>14</v>
      </c>
      <c r="QQ3" s="14" t="s">
        <v>8</v>
      </c>
      <c r="QR3" s="14" t="s">
        <v>15</v>
      </c>
      <c r="QS3" s="14" t="s">
        <v>27</v>
      </c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6"/>
      <c r="RG3" s="6"/>
      <c r="RH3" s="13" t="s">
        <v>13</v>
      </c>
      <c r="RI3" s="13" t="s">
        <v>14</v>
      </c>
      <c r="RJ3" s="13" t="s">
        <v>8</v>
      </c>
      <c r="RK3" s="13" t="s">
        <v>15</v>
      </c>
      <c r="RL3" s="13" t="s">
        <v>27</v>
      </c>
      <c r="RM3" s="13" t="s">
        <v>13</v>
      </c>
      <c r="RN3" s="13" t="s">
        <v>14</v>
      </c>
      <c r="RO3" s="13" t="s">
        <v>8</v>
      </c>
      <c r="RP3" s="13" t="s">
        <v>15</v>
      </c>
      <c r="RQ3" s="13" t="s">
        <v>27</v>
      </c>
      <c r="RR3" s="13" t="s">
        <v>13</v>
      </c>
      <c r="RS3" s="13" t="s">
        <v>14</v>
      </c>
      <c r="RT3" s="13" t="s">
        <v>8</v>
      </c>
      <c r="RU3" s="13" t="s">
        <v>15</v>
      </c>
      <c r="RV3" s="13" t="s">
        <v>27</v>
      </c>
      <c r="RW3" s="13" t="s">
        <v>13</v>
      </c>
      <c r="RX3" s="13" t="s">
        <v>14</v>
      </c>
      <c r="RY3" s="13" t="s">
        <v>8</v>
      </c>
      <c r="RZ3" s="13" t="s">
        <v>15</v>
      </c>
      <c r="SA3" s="13" t="s">
        <v>27</v>
      </c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7"/>
      <c r="SO3" s="7"/>
      <c r="SP3" s="14" t="s">
        <v>13</v>
      </c>
      <c r="SQ3" s="14" t="s">
        <v>14</v>
      </c>
      <c r="SR3" s="14" t="s">
        <v>8</v>
      </c>
      <c r="SS3" s="14" t="s">
        <v>15</v>
      </c>
      <c r="ST3" s="14" t="s">
        <v>27</v>
      </c>
      <c r="SU3" s="14" t="s">
        <v>13</v>
      </c>
      <c r="SV3" s="14" t="s">
        <v>14</v>
      </c>
      <c r="SW3" s="14" t="s">
        <v>8</v>
      </c>
      <c r="SX3" s="14" t="s">
        <v>15</v>
      </c>
      <c r="SY3" s="14" t="s">
        <v>27</v>
      </c>
      <c r="SZ3" s="14" t="s">
        <v>13</v>
      </c>
      <c r="TA3" s="14" t="s">
        <v>14</v>
      </c>
      <c r="TB3" s="14" t="s">
        <v>8</v>
      </c>
      <c r="TC3" s="14" t="s">
        <v>15</v>
      </c>
      <c r="TD3" s="14" t="s">
        <v>27</v>
      </c>
      <c r="TE3" s="14" t="s">
        <v>13</v>
      </c>
      <c r="TF3" s="14" t="s">
        <v>14</v>
      </c>
      <c r="TG3" s="14" t="s">
        <v>8</v>
      </c>
      <c r="TH3" s="14" t="s">
        <v>15</v>
      </c>
      <c r="TI3" s="14" t="s">
        <v>27</v>
      </c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6"/>
      <c r="TW3" s="6"/>
      <c r="TX3" s="13" t="s">
        <v>13</v>
      </c>
      <c r="TY3" s="13" t="s">
        <v>14</v>
      </c>
      <c r="TZ3" s="13" t="s">
        <v>8</v>
      </c>
      <c r="UA3" s="13" t="s">
        <v>15</v>
      </c>
      <c r="UB3" s="13" t="s">
        <v>27</v>
      </c>
      <c r="UC3" s="13" t="s">
        <v>13</v>
      </c>
      <c r="UD3" s="13" t="s">
        <v>14</v>
      </c>
      <c r="UE3" s="13" t="s">
        <v>8</v>
      </c>
      <c r="UF3" s="13" t="s">
        <v>15</v>
      </c>
      <c r="UG3" s="13" t="s">
        <v>27</v>
      </c>
      <c r="UH3" s="13" t="s">
        <v>13</v>
      </c>
      <c r="UI3" s="13" t="s">
        <v>14</v>
      </c>
      <c r="UJ3" s="13" t="s">
        <v>8</v>
      </c>
      <c r="UK3" s="13" t="s">
        <v>15</v>
      </c>
      <c r="UL3" s="13" t="s">
        <v>27</v>
      </c>
      <c r="UM3" s="13" t="s">
        <v>13</v>
      </c>
      <c r="UN3" s="13" t="s">
        <v>14</v>
      </c>
      <c r="UO3" s="13" t="s">
        <v>8</v>
      </c>
      <c r="UP3" s="13" t="s">
        <v>15</v>
      </c>
      <c r="UQ3" s="13" t="s">
        <v>27</v>
      </c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7"/>
      <c r="VE3" s="7"/>
      <c r="VF3" s="14" t="s">
        <v>13</v>
      </c>
      <c r="VG3" s="14" t="s">
        <v>14</v>
      </c>
      <c r="VH3" s="14" t="s">
        <v>8</v>
      </c>
      <c r="VI3" s="14" t="s">
        <v>15</v>
      </c>
      <c r="VJ3" s="14" t="s">
        <v>27</v>
      </c>
      <c r="VK3" s="14" t="s">
        <v>13</v>
      </c>
      <c r="VL3" s="14" t="s">
        <v>14</v>
      </c>
      <c r="VM3" s="14" t="s">
        <v>8</v>
      </c>
      <c r="VN3" s="14" t="s">
        <v>15</v>
      </c>
      <c r="VO3" s="14" t="s">
        <v>27</v>
      </c>
      <c r="VP3" s="14" t="s">
        <v>13</v>
      </c>
      <c r="VQ3" s="14" t="s">
        <v>14</v>
      </c>
      <c r="VR3" s="14" t="s">
        <v>8</v>
      </c>
      <c r="VS3" s="14" t="s">
        <v>15</v>
      </c>
      <c r="VT3" s="14" t="s">
        <v>27</v>
      </c>
      <c r="VU3" s="14" t="s">
        <v>13</v>
      </c>
      <c r="VV3" s="14" t="s">
        <v>14</v>
      </c>
      <c r="VW3" s="14" t="s">
        <v>8</v>
      </c>
      <c r="VX3" s="14" t="s">
        <v>15</v>
      </c>
      <c r="VY3" s="14" t="s">
        <v>27</v>
      </c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6"/>
      <c r="WM3" s="6"/>
    </row>
    <row r="4" spans="1:611" x14ac:dyDescent="0.2">
      <c r="A4" s="4" cm="1">
        <f t="array" ref="A4">IF(AND(H4&lt;&gt;"",H4&lt;&gt;"No DD"),SUMPRODUCT((H$4:H$15&lt;&gt;"")*(H$4:H$15&lt;&gt;"No DD")*(E$4:E$15&gt;E4))+1,IF(H4="No DD",SUMPRODUCT((H$4:H$15="No DD")*(E$4:E$15&gt;E4))+1+SUMPRODUCT((H$4:H$15&lt;&gt;"")*(H$4:H$15&lt;&gt;"No DD")),""))</f>
        <v>1</v>
      </c>
      <c r="B4" s="5" t="s">
        <v>23</v>
      </c>
      <c r="C4" s="4" t="s">
        <v>7</v>
      </c>
      <c r="D4" s="4">
        <v>1998</v>
      </c>
      <c r="E4" s="9">
        <f t="shared" ref="E4:E14" si="0">J4+L4+N4+P4+(J4+L4+N4)*0.0000001+MAX(J4,L4)*0.0000000000001</f>
        <v>170.37001701800568</v>
      </c>
      <c r="F4" s="3" t="str">
        <f t="shared" ref="F4:F14" si="1">IF(OR(AND(AI4&gt;=AS$17,AI4&lt;&gt;"",AK4&gt;=AS$21,AK4&lt;&gt;"",AH4=""),AND(AL4&gt;=AS$17,AL4&lt;&gt;"",AN4&gt;=AS$21,AN4&lt;&gt;"",AH4=""),AND(AP4&gt;=AS$17,AP4&lt;&gt;"",AR4&gt;=AS$21,AR4&lt;&gt;"",AH4=""),AND(BJ4&gt;=BT$17,BJ4&lt;&gt;"",BL4&gt;=BT$21,BL4&lt;&gt;"",BI4=""),AND(BM4&gt;=BT$17,BM4&lt;&gt;"",BO4&gt;=BT$21,BO4&lt;&gt;"",BI4=""),AND(BQ4&gt;=BT$17,BQ4&lt;&gt;"",BS4&gt;=BT$21,BS4&lt;&gt;"",BI4=""),AND(CK4&gt;=CU$17,CK4&lt;&gt;"",CM4&gt;=CU$21,CM4&lt;&gt;"",CJ4=""),AND(CN4&gt;=CU$17,CN4&lt;&gt;"",CP4&gt;=CU$21,CP4&lt;&gt;"",CJ4=""),AND(CR4&gt;=CU$17,CR4&lt;&gt;"",CT4&gt;=CU$21,CT4&lt;&gt;"",CJ4=""),AND(DR4&gt;=EE$17,DR4&lt;&gt;"",DT4&gt;=EE$21,DT4&lt;&gt;""),AND(DU4&gt;=EE$17,DU4&lt;&gt;"",DW4&gt;=EE$21,DW4&lt;&gt;""),AND(DY4&gt;=EE$17,DY4&lt;&gt;"",EA4&gt;=EE$21,EA4&lt;&gt;""),AND(EB4&gt;=EE$17,EB4&lt;&gt;"",ED4&gt;=EE$21,ED4&lt;&gt;""),AND(EZ4&gt;=FM$17,EZ4&lt;&gt;"",FB4&gt;=FM$21,FB4&lt;&gt;""),AND(FC4&gt;=FM$17,FC4&lt;&gt;"",FE4&gt;=FM$21,FE4&lt;&gt;""),AND(FG4&gt;=FM$17,FG4&lt;&gt;"",FI4&gt;=FM$21,FI4&lt;&gt;""),AND(FJ4&gt;=FM$17,FJ4&lt;&gt;"",FL4&gt;=FM$21,FL4&lt;&gt;""),AND(GH4&gt;=GU$17,GH4&lt;&gt;"",GJ4&gt;=GU$21,GJ4&lt;&gt;""),AND(GK4&gt;=GU$17,GK4&lt;&gt;"",GM4&gt;=GU$21,GM4&lt;&gt;""),AND(GO4&gt;=GU$17,GO4&lt;&gt;"",GQ4&gt;=GU$21,GQ4&lt;&gt;""),AND(GR4&gt;=GU$17,GR4&lt;&gt;"",GT4&gt;=GU$21,GT4&lt;&gt;""),AND(HP4&gt;=IC$17,HP4&lt;&gt;"",HR4&gt;=IC$21,HR4&lt;&gt;""),AND(HS4&gt;=IC$17,HS4&lt;&gt;"",HU4&gt;=IC$21,HU4&lt;&gt;""),AND(HW4&gt;=IC$17,HW4&lt;&gt;"",HY4&gt;=IC$21,HY4&lt;&gt;""),AND(HZ4&gt;=IC$17,HZ4&lt;&gt;"",IB4&gt;=IC$21,IB4&lt;&gt;""),AND(IX4&gt;=JK$17,IX4&lt;&gt;"",IZ4&gt;=JK$21,IZ4&lt;&gt;""),AND(JA4&gt;=JK$17,JA4&lt;&gt;"",JC4&gt;=JK$21,JC4&lt;&gt;""),AND(JE4&gt;=JK$17,JE4&lt;&gt;"",JG4&gt;=JK$21,JG4&lt;&gt;""),AND(JH4&gt;=JK$17,JH4&lt;&gt;"",JJ4&gt;=JK$21,JJ4&lt;&gt;""),AND(KF4&gt;=KS$17,KF4&lt;&gt;"",KH4&gt;=KS$21,KH4&lt;&gt;""),AND(KI4&gt;=KS$17,KI4&lt;&gt;"",KK4&gt;=KS$21,KK4&lt;&gt;""),AND(KM4&gt;=KS$17,KM4&lt;&gt;"",KO4&gt;=KS$21,KO4&lt;&gt;""),AND(KP4&gt;=KS$17,KP4&lt;&gt;"",KR4&gt;=KS$21,KR4&lt;&gt;""),AND(LN4&gt;=MA$17,LN4&lt;&gt;"",LP4&gt;=MA$21,LP4&lt;&gt;""),AND(LQ4&gt;=MA$17,LQ4&lt;&gt;"",LS4&gt;=MA$21,LS4&lt;&gt;""),AND(LU4&gt;=MA$17,LU4&lt;&gt;"",LW4&gt;=MA$21,LW4&lt;&gt;""),AND(LX4&gt;=MA$17,LX4&lt;&gt;"",LZ4&gt;=MA$21,LZ4&lt;&gt;""),AND(MV4&gt;=NI$17,MV4&lt;&gt;"",MX4&gt;=NI$21,MX4&lt;&gt;""),AND(MY4&gt;=NI$17,MY4&lt;&gt;"",NA4&gt;=NI$21,NA4&lt;&gt;""),AND(NC4&gt;=NI$17,NC4&lt;&gt;"",NE4&gt;=NI$21,NE4&lt;&gt;""),AND(NF4&gt;=NI$17,NF4&lt;&gt;"",NH4&gt;=NI$21,NH4&lt;&gt;""),AND(OD4&gt;=OQ$17,OD4&lt;&gt;"",OF4&gt;=OQ$21,OF4&lt;&gt;""),AND(OG4&gt;=OQ$17,OG4&lt;&gt;"",OI4&gt;=OQ$21,OI4&lt;&gt;""),AND(OK4&gt;=OQ$17,OK4&lt;&gt;"",OM4&gt;=OQ$21,OM4&lt;&gt;""),AND(ON4&gt;=OQ$17,ON4&lt;&gt;"",OP4&gt;=OQ$21,OP4&lt;&gt;""),AND(PL4&gt;=PY$17,PL4&lt;&gt;"",PN4&gt;=PY$21,PN4&lt;&gt;""),AND(PO4&gt;=PY$17,PO4&lt;&gt;"",PQ4&gt;=PY$21,PQ4&lt;&gt;""),AND(PS4&gt;=PY$17,PS4&lt;&gt;"",PU4&gt;=PY$21,PU4&lt;&gt;""),AND(PV4&gt;=PY$17,PV4&lt;&gt;"",PX4&gt;=PY$21,PX4&lt;&gt;""),AND(QT4&gt;=RG$17,QT4&lt;&gt;"",QV4&gt;=RG$21,QV4&lt;&gt;""),AND(QW4&gt;=RG$17,QW4&lt;&gt;"",QY4&gt;=RG$21,QY4&lt;&gt;""),AND(RA4&gt;=RG$17,RA4&lt;&gt;"",RC4&gt;=RG$21,RC4&lt;&gt;""),AND(RD4&gt;=RG$17,RD4&lt;&gt;"",RF4&gt;=RG$21,RF4&lt;&gt;""),AND(SB4&gt;=SO$17,SB4&lt;&gt;"",SD4&gt;=SO$21,SD4&lt;&gt;""),AND(SE4&gt;=SO$17,SE4&lt;&gt;"",SG4&gt;=SO$21,SG4&lt;&gt;""),AND(SI4&gt;=SO$17,SI4&lt;&gt;"",SK4&gt;=SO$21,SK4&lt;&gt;""),AND(SL4&gt;=SO$17,SL4&lt;&gt;"",SN4&gt;=SO$21,SN4&lt;&gt;""),AND(TJ4&gt;=TW$17,TJ4&lt;&gt;"",TL4&gt;=TW$21,TL4&lt;&gt;""),AND(TM4&gt;=TW$17,TM4&lt;&gt;"",TO4&gt;=TW$21,TO4&lt;&gt;""),AND(TQ4&gt;=TW$17,TQ4&lt;&gt;"",TS4&gt;=TW$21,TXQ4&lt;&gt;""),AND(TT4&gt;=TW$17,TT4&lt;&gt;"",TV4&gt;=TW$21,TV4&lt;&gt;""),AND(UR4&gt;=VE$17,UR4&lt;&gt;"",UT4&gt;=VE$21,UT4&lt;&gt;""),AND(UU4&gt;=VE$17,UU4&lt;&gt;"",UW4&gt;=VE$21,UW4&lt;&gt;""),AND(UY4&gt;=VE$17,UY4&lt;&gt;"",VA4&gt;=VE$21,VA4&lt;&gt;""),AND(VB4&gt;=VE$17,VB4&lt;&gt;"",VD4&gt;=VE$21,VD4&lt;&gt;""),AND(VZ4&gt;=WM$17,VZ4&lt;&gt;"",WB4&gt;=WM$21,WB4&lt;&gt;""),AND(WC4&gt;=WM$17,WC4&lt;&gt;"",WE4&gt;=WM$21,WE4&lt;&gt;""),AND(WG4&gt;=WM$17,WG4&lt;&gt;"",WI4&gt;=WM$21,WI4&lt;&gt;""),AND(WJ4&gt;=WM$17,WJ4&lt;&gt;"",WL4&gt;=WM$21,WL4&lt;&gt;"")),"P","")</f>
        <v>P</v>
      </c>
      <c r="G4" s="3" t="str">
        <f t="shared" ref="G4:G14" si="2">IF(OR(AND(AK4&gt;=AS$21,AK4&lt;&gt;"",AH4=""),AND(AN4&gt;=AS$21,AN4&lt;&gt;"",AH4=""),AND(AR4&gt;=AS$21,AR4&lt;&gt;"",AH4=""),AND(BL4&gt;=BT$21,BL4&lt;&gt;"",BI4=""),AND(BO4&gt;=BT$21,BO4&lt;&gt;"",BI4=""),AND(BS4&gt;=BT$21,BS4&lt;&gt;"",BI4=""),AND(CM4&gt;=CU$21,CM4&lt;&gt;"",CJ4=""),AND(CP4&gt;=CU$21,CP4&lt;&gt;"",CJ4=""),AND(CT4&gt;=CU$21,CT4&lt;&gt;"",CJ4=""),AND(DT4&gt;=EE$21,DT4&lt;&gt;""),AND(DW4&gt;=EE$21,DW4&lt;&gt;""),AND(EA4&gt;=EE$21,EA4&lt;&gt;""),AND(ED4&gt;=EE$21,ED4&lt;&gt;""),AND(FB4&gt;=FM$21,FB4&lt;&gt;""),AND(FE4&gt;=FM$21,FE4&lt;&gt;""),AND(FI4&gt;=FM$21,FI4&lt;&gt;""),AND(FL4&gt;=FM$21,FL4&lt;&gt;""),AND(GJ4&gt;=GU$21,GJ4&lt;&gt;""),AND(GM4&gt;=GU$21,GM4&lt;&gt;""),AND(GQ4&gt;=GU$21,GQ4&lt;&gt;""),AND(GT4&gt;=GU$21,GT4&lt;&gt;""),AND(HR4&gt;=IC$21,HR4&lt;&gt;""),AND(HU4&gt;=IC$21,HU4&lt;&gt;""),AND(HY4&gt;=IC$21,HY4&lt;&gt;""),AND(IB4&gt;=IC$21,IB4&lt;&gt;""),AND(IZ4&gt;=JK$21,IZ4&lt;&gt;""),AND(JC4&gt;=JK$21,JC4&lt;&gt;""),AND(JG4&gt;=JK$21,JG4&lt;&gt;""),AND(JJ4&gt;=JK$21,JJ4&lt;&gt;""),AND(KH4&gt;=KS$21,KH4&lt;&gt;""),AND(KK4&gt;=KS$21,KK4&lt;&gt;""),AND(KO4&gt;=KS$21,KO4&lt;&gt;""),AND(KR4&gt;=KS$21,KR4&lt;&gt;""),AND(LP4&gt;=MA$21,LP4&lt;&gt;""),AND(LS4&gt;=MA$21,LS4&lt;&gt;""),AND(LW4&gt;=MA$21,LW4&lt;&gt;""),AND(LZ4&gt;=MA$21,LZ4&lt;&gt;""),AND(MX4&gt;=NI$21,MX4&lt;&gt;""),AND(NA4&gt;=NI$21,NA4&lt;&gt;""),AND(NE4&gt;=NI$21,NE4&lt;&gt;""),AND(NH4&gt;=NI$21,NH4&lt;&gt;""),AND(OF4&gt;=OQ$21,OF4&lt;&gt;""),AND(OI4&gt;=OQ$21,OI4&lt;&gt;""),AND(OM4&gt;=OQ$21,OM4&lt;&gt;""),AND(OP4&gt;=OQ$21,OP4&lt;&gt;""),AND(PN4&gt;=PY$21,PN4&lt;&gt;""),AND(PQ4&gt;=PY$21,PQ4&lt;&gt;""),AND(PU4&gt;=PY$21,PU4&lt;&gt;""),AND(PX4&gt;=PY$21,PX4&lt;&gt;""),AND(QV4&gt;=RG$21,QV4&lt;&gt;""),AND(QY4&gt;=RG$21,QY4&lt;&gt;""),AND(RC4&gt;=RG$21,RC4&lt;&gt;""),AND(RF4&gt;=RG$21,RF4&lt;&gt;""),AND(SD4&gt;=SO$21,SD4&lt;&gt;""),AND(SG4&gt;=SO$21,SG4&lt;&gt;""),AND(SK4&gt;=SO$21,SK4&lt;&gt;""),AND(SN4&gt;=SO$21,SN4&lt;&gt;""),AND(TL4&gt;=TW$21,TL4&lt;&gt;""),AND(TO4&gt;=TW$21,TO4&lt;&gt;""),AND(TS4&gt;=TW$21,TXQ4&lt;&gt;""),AND(TV4&gt;=TW$21,TV4&lt;&gt;""),AND(UT4&gt;=VE$21,UT4&lt;&gt;""),AND(UW4&gt;=VE$21,UW4&lt;&gt;""),AND(VA4&gt;=VE$21,VA4&lt;&gt;""),AND(VD4&gt;=VE$21,VD4&lt;&gt;""),AND(WB4&gt;=WM$21,WB4&lt;&gt;""),AND(WE4&gt;=WM$21,WE4&lt;&gt;""),AND(WI4&gt;=WM$21,WI4&lt;&gt;""),AND(WL4&gt;=WM$21,WL4&lt;&gt;"")),"P","")</f>
        <v>P</v>
      </c>
      <c r="H4" s="32" t="str">
        <f t="shared" ref="H4:H14" si="3">IF(AND(G4="P",F4=""),"No DD",IF(OR(AND(AI4&gt;=AS$20,AI4&lt;&gt;"",AK4&gt;=AS$24,AK4&lt;&gt;"",AH4=""),AND(AL4&gt;=AS$20,AL4&lt;&gt;"",AN4&gt;=AS$24,AN4&lt;&gt;"",AH4=""),AND(AP4&gt;=AS$20,AP4&lt;&gt;"",AR4&gt;=AS$24,AR4&lt;&gt;"",AH4=""),AND(BJ4&gt;=BT$20,BJ4&lt;&gt;"",BL4&gt;=BT$24,BL4&lt;&gt;"",BI4=""),AND(BM4&gt;=BT$20,BM4&lt;&gt;"",BO4&gt;=BT$24,BO4&lt;&gt;"",BI4=""),AND(BQ4&gt;=BT$20,BQ4&lt;&gt;"",BS4&gt;=BT$24,BS4&lt;&gt;"",BI4=""),AND(CK4&gt;=CU$20,CK4&lt;&gt;"",CM4&gt;=CU$24,CM4&lt;&gt;"",CJ4=""),AND(CN4&gt;=CU$20,CN4&lt;&gt;"",CP4&gt;=CU$24,CP4&lt;&gt;"",CJ4=""),AND(CR4&gt;=CU$20,CR4&lt;&gt;"",CT4&gt;=CU$24,CT4&lt;&gt;"",CJ4=""),AND(DR4&gt;=EE$20,DR4&lt;&gt;"",DT4&gt;=EE$24,DT4&lt;&gt;""),AND(DU4&gt;=EE$20,DU4&lt;&gt;"",DW4&gt;=EE$24,DW4&lt;&gt;""),AND(DY4&gt;=EE$20,DY4&lt;&gt;"",EA4&gt;=EE$24,EA4&lt;&gt;""),AND(EB4&gt;=EE$20,EB4&lt;&gt;"",ED4&gt;=EE$24,ED4&lt;&gt;""),AND(EZ4&gt;=FM$20,EZ4&lt;&gt;"",FB4&gt;=FM$24,FB4&lt;&gt;""),AND(FC4&gt;=FM$20,FC4&lt;&gt;"",FE4&gt;=FM$24,FE4&lt;&gt;""),AND(FG4&gt;=FM$20,FG4&lt;&gt;"",FI4&gt;=FM$24,FI4&lt;&gt;""),AND(FJ4&gt;=FM$20,FJ4&lt;&gt;"",FL4&gt;=FM$24,FL4&lt;&gt;""),AND(GH4&gt;=GU$20,GH4&lt;&gt;"",GJ4&gt;=GU$24,GJ4&lt;&gt;""),AND(GK4&gt;=GU$20,GK4&lt;&gt;"",GM4&gt;=GU$24,GM4&lt;&gt;""),AND(GO4&gt;=GU$20,GO4&lt;&gt;"",GQ4&gt;=GU$24,GQ4&lt;&gt;""),AND(GR4&gt;=GU$20,GR4&lt;&gt;"",GT4&gt;=GU$24,GT4&lt;&gt;""),AND(HP4&gt;=IC$20,HP4&lt;&gt;"",HR4&gt;=IC$24,HR4&lt;&gt;""),AND(HS4&gt;=IC$20,HS4&lt;&gt;"",HU4&gt;=IC$24,HU4&lt;&gt;""),AND(HW4&gt;=IC$20,HW4&lt;&gt;"",HY4&gt;=IC$24,HY4&lt;&gt;""),AND(HZ4&gt;=IC$20,HZ4&lt;&gt;"",IB4&gt;=IC$24,IB4&lt;&gt;""),AND(IX4&gt;=JK$20,IX4&lt;&gt;"",IZ4&gt;=JK$24,IZ4&lt;&gt;""),AND(JA4&gt;=JK$20,JA4&lt;&gt;"",JC4&gt;=JK$24,JC4&lt;&gt;""),AND(JE4&gt;=JK$20,JE4&lt;&gt;"",JG4&gt;=JK$24,JG4&lt;&gt;""),AND(JH4&gt;=JK$20,JH4&lt;&gt;"",JJ4&gt;=JK$24,JJ4&lt;&gt;""),AND(KF4&gt;=KS$20,KF4&lt;&gt;"",KH4&gt;=KS$24,KH4&lt;&gt;""),AND(KI4&gt;=KS$20,KI4&lt;&gt;"",KK4&gt;=KS$24,KK4&lt;&gt;""),AND(KM4&gt;=KS$20,KM4&lt;&gt;"",KO4&gt;=KS$24,KO4&lt;&gt;""),AND(KP4&gt;=KS$20,KP4&lt;&gt;"",KR4&gt;=KS$24,KR4&lt;&gt;""),AND(LN4&gt;=MA$20,LN4&lt;&gt;"",LP4&gt;=MA$24,LP4&lt;&gt;""),AND(LQ4&gt;=MA$20,LQ4&lt;&gt;"",LS4&gt;=MA$24,LS4&lt;&gt;""),AND(LU4&gt;=MA$20,LU4&lt;&gt;"",LW4&gt;=MA$24,LW4&lt;&gt;""),AND(LX4&gt;=MA$20,LX4&lt;&gt;"",LZ4&gt;=MA$24,LZ4&lt;&gt;""),AND(MV4&gt;=NI$20,MV4&lt;&gt;"",MX4&gt;=NI$24,MX4&lt;&gt;""),AND(MY4&gt;=NI$20,MY4&lt;&gt;"",NA4&gt;=NI$24,NA4&lt;&gt;""),AND(NC4&gt;=NI$20,NC4&lt;&gt;"",NE4&gt;=NI$24,NE4&lt;&gt;""),AND(NF4&gt;=NI$20,NF4&lt;&gt;"",NH4&gt;=NI$24,NH4&lt;&gt;""),AND(OD4&gt;=OQ$20,OD4&lt;&gt;"",OF4&gt;=OQ$24,OF4&lt;&gt;""),AND(OG4&gt;=OQ$20,OG4&lt;&gt;"",OI4&gt;=OQ$24,OI4&lt;&gt;""),AND(OK4&gt;=OQ$20,OK4&lt;&gt;"",OM4&gt;=OQ$24,OM4&lt;&gt;""),AND(ON4&gt;=OQ$20,ON4&lt;&gt;"",OP4&gt;=OQ$24,OP4&lt;&gt;""),AND(PL4&gt;=PY$20,PL4&lt;&gt;"",PN4&gt;=PY$24,PN4&lt;&gt;""),AND(PO4&gt;=PY$20,PO4&lt;&gt;"",PQ4&gt;=PY$24,PQ4&lt;&gt;""),AND(PS4&gt;=PY$20,PS4&lt;&gt;"",PU4&gt;=PY$24,PU4&lt;&gt;""),AND(PV4&gt;=PY$20,PV4&lt;&gt;"",PX4&gt;=PY$24,PX4&lt;&gt;""),AND(QT4&gt;=RG$20,QT4&lt;&gt;"",QV4&gt;=RG$24,QV4&lt;&gt;""),AND(QW4&gt;=RG$20,QW4&lt;&gt;"",QY4&gt;=RG$24,QY4&lt;&gt;""),AND(RA4&gt;=RG$20,RA4&lt;&gt;"",RC4&gt;=RG$24,RC4&lt;&gt;""),AND(RD4&gt;=RG$20,RD4&lt;&gt;"",RF4&gt;=RG$24,RF4&lt;&gt;""),AND(SB4&gt;=SO$20,SB4&lt;&gt;"",SD4&gt;=SO$24,SD4&lt;&gt;""),AND(SE4&gt;=SO$20,SE4&lt;&gt;"",SG4&gt;=SO$24,SG4&lt;&gt;""),AND(SI4&gt;=SO$20,SI4&lt;&gt;"",SK4&gt;=SO$24,SK4&lt;&gt;""),AND(SL4&gt;=SO$20,SL4&lt;&gt;"",SN4&gt;=SO$24,SN4&lt;&gt;""),AND(TJ4&gt;=TW$20,TJ4&lt;&gt;"",TL4&gt;=TW$24,TL4&lt;&gt;""),AND(TM4&gt;=TW$20,TM4&lt;&gt;"",TO4&gt;=TW$24,TO4&lt;&gt;""),AND(TQ4&gt;=TW$20,TQ4&lt;&gt;"",TS4&gt;=TW$344,TXQ4&lt;&gt;""),AND(TT4&gt;=TW$20,TT4&lt;&gt;"",TV4&gt;=TW$24,TV4&lt;&gt;""),AND(UR4&gt;=VE$20,UR4&lt;&gt;"",UT4&gt;=VE$24,UT4&lt;&gt;""),AND(UU4&gt;=VE$20,UU4&lt;&gt;"",UW4&gt;=VE$24,UW4&lt;&gt;""),AND(UY4&gt;=VE$20,UY4&lt;&gt;"",VA4&gt;=VE$24,VA4&lt;&gt;""),AND(VB4&gt;=VE$20,VB4&lt;&gt;"",VD4&gt;=VE$24,VD4&lt;&gt;""),AND(VZ4&gt;=WM$20,VZ4&lt;&gt;"",WB4&gt;=WM$24,WB4&lt;&gt;""),AND(WC4&gt;=WM$20,WC4&lt;&gt;"",WE4&gt;=WM$24,WE4&lt;&gt;""),AND(WG4&gt;=WM$20,WG4&lt;&gt;"",WI4&gt;=WM$24,WI4&lt;&gt;""),AND(WJ4&gt;=WM$20,WJ4&lt;&gt;"",WL4&gt;=WM$24,WL4&lt;&gt;"")),"Merit",IF(OR(AND(AI4&gt;=AS$19,AI4&lt;&gt;"",AK4&gt;=AS$23,AK4&lt;&gt;"",AH4=""),AND(AL4&gt;=AS$19,AL4&lt;&gt;"",AN4&gt;=AS$23,AN4&lt;&gt;"",AH4=""),AND(AP4&gt;=AS$19,AP4&lt;&gt;"",AR4&gt;=AS$23,AR4&lt;&gt;"",AH4=""),AND(BJ4&gt;=BT$19,BJ4&lt;&gt;"",BL4&gt;=BT$23,BL4&lt;&gt;"",BI4=""),AND(BM4&gt;=BT$19,BM4&lt;&gt;"",BO4&gt;=BT$23,BO4&lt;&gt;"",BI4=""),AND(BQ4&gt;=BT$19,BQ4&lt;&gt;"",BS4&gt;=BT$23,BS4&lt;&gt;"",BI4=""),AND(CK4&gt;=CU$19,CK4&lt;&gt;"",CM4&gt;=CU$23,CM4&lt;&gt;"",CJ4=""),AND(CN4&gt;=CU$19,CN4&lt;&gt;"",CP4&gt;=CU$23,CP4&lt;&gt;"",CJ4=""),AND(CR4&gt;=CU$19,CR4&lt;&gt;"",CT4&gt;=CU$23,CT4&lt;&gt;"",CJ4=""),AND(DR4&gt;=EE$19,DR4&lt;&gt;"",DT4&gt;=EE$23,DT4&lt;&gt;""),AND(DU4&gt;=EE$19,DU4&lt;&gt;"",DW4&gt;=EE$23,DW4&lt;&gt;""),AND(DY4&gt;=EE$19,DY4&lt;&gt;"",EA4&gt;=EE$23,EA4&lt;&gt;""),AND(EB4&gt;=EE$19,EB4&lt;&gt;"",ED4&gt;=EE$23,ED4&lt;&gt;""),AND(EZ4&gt;=FM$19,EZ4&lt;&gt;"",FB4&gt;=FM$23,FB4&lt;&gt;""),AND(FC4&gt;=FM$19,FC4&lt;&gt;"",FE4&gt;=FM$23,FE4&lt;&gt;""),AND(FG4&gt;=FM$19,FG4&lt;&gt;"",FI4&gt;=FM$23,FI4&lt;&gt;""),AND(FJ4&gt;=FM$19,FJ4&lt;&gt;"",FL4&gt;=FM$23,FL4&lt;&gt;""),AND(GH4&gt;=GU$19,GH4&lt;&gt;"",GJ4&gt;=GU$23,GJ4&lt;&gt;""),AND(GK4&gt;=GU$19,GK4&lt;&gt;"",GM4&gt;=GU$23,GM4&lt;&gt;""),AND(GO4&gt;=GU$19,GO4&lt;&gt;"",GQ4&gt;=GU$23,GQ4&lt;&gt;""),AND(GR4&gt;=GU$19,GR4&lt;&gt;"",GT4&gt;=GU$23,GT4&lt;&gt;""),AND(HP4&gt;=IC$19,HP4&lt;&gt;"",HR4&gt;=IC$23,HR4&lt;&gt;""),AND(HS4&gt;=IC$19,HS4&lt;&gt;"",HU4&gt;=IC$23,HU4&lt;&gt;""),AND(HW4&gt;=IC$19,HW4&lt;&gt;"",HY4&gt;=IC$23,HY4&lt;&gt;""),AND(HZ4&gt;=IC$19,HZ4&lt;&gt;"",IB4&gt;=IC$23,IB4&lt;&gt;""),AND(IX4&gt;=JK$19,IX4&lt;&gt;"",IZ4&gt;=JK$23,IZ4&lt;&gt;""),AND(JA4&gt;=JK$19,JA4&lt;&gt;"",JC4&gt;=JK$23,JC4&lt;&gt;""),AND(JE4&gt;=JK$19,JE4&lt;&gt;"",JG4&gt;=JK$23,JG4&lt;&gt;""),AND(JH4&gt;=JK$19,JH4&lt;&gt;"",JJ4&gt;=JK$23,JJ4&lt;&gt;""),AND(KF4&gt;=KS$19,KF4&lt;&gt;"",KH4&gt;=KS$23,KH4&lt;&gt;""),AND(KI4&gt;=KS$19,KI4&lt;&gt;"",KK4&gt;=KS$23,KK4&lt;&gt;""),AND(KM4&gt;=KS$19,KM4&lt;&gt;"",KO4&gt;=KS$23,KO4&lt;&gt;""),AND(KP4&gt;=KS$19,KP4&lt;&gt;"",KR4&gt;=KS$23,KR4&lt;&gt;""),AND(LN4&gt;=MA$19,LN4&lt;&gt;"",LP4&gt;=MA$23,LP4&lt;&gt;""),AND(LQ4&gt;=MA$19,LQ4&lt;&gt;"",LS4&gt;=MA$23,LS4&lt;&gt;""),AND(LU4&gt;=MA$19,LU4&lt;&gt;"",LW4&gt;=MA$23,LW4&lt;&gt;""),AND(LX4&gt;=MA$19,LX4&lt;&gt;"",LZ4&gt;=MA$23,LZ4&lt;&gt;""),AND(MV4&gt;=NI$19,MV4&lt;&gt;"",MX4&gt;=NI$23,MX4&lt;&gt;""),AND(MY4&gt;=NI$19,MY4&lt;&gt;"",NA4&gt;=NI$23,NA4&lt;&gt;""),AND(NC4&gt;=NI$19,NC4&lt;&gt;"",NE4&gt;=NI$23,NE4&lt;&gt;""),AND(NF4&gt;=NI$19,NF4&lt;&gt;"",NH4&gt;=NI$23,NH4&lt;&gt;""),AND(OD4&gt;=OQ$19,OD4&lt;&gt;"",OF4&gt;=OQ$23,OF4&lt;&gt;""),AND(OG4&gt;=OQ$19,OG4&lt;&gt;"",OI4&gt;=OQ$23,OI4&lt;&gt;""),AND(OK4&gt;=OQ$19,OK4&lt;&gt;"",OM4&gt;=OQ$23,OM4&lt;&gt;""),AND(ON4&gt;=OQ$19,ON4&lt;&gt;"",OP4&gt;=OQ$23,OP4&lt;&gt;""),AND(PL4&gt;=PY$19,PL4&lt;&gt;"",PN4&gt;=PY$23,PN4&lt;&gt;""),AND(PO4&gt;=PY$19,PO4&lt;&gt;"",PQ4&gt;=PY$23,PQ4&lt;&gt;""),AND(PS4&gt;=PY$19,PS4&lt;&gt;"",PU4&gt;=PY$23,PU4&lt;&gt;""),AND(PV4&gt;=PY$19,PV4&lt;&gt;"",PX4&gt;=PY$23,PX4&lt;&gt;""),AND(QT4&gt;=RG$19,QT4&lt;&gt;"",QV4&gt;=RG$23,QV4&lt;&gt;""),AND(QW4&gt;=RG$19,QW4&lt;&gt;"",QY4&gt;=RG$23,QY4&lt;&gt;""),AND(RA4&gt;=RG$19,RA4&lt;&gt;"",RC4&gt;=RG$23,RC4&lt;&gt;""),AND(RD4&gt;=RG$19,RD4&lt;&gt;"",RF4&gt;=RG$23,RF4&lt;&gt;""),AND(SB4&gt;=SO$19,SB4&lt;&gt;"",SD4&gt;=SO$23,SD4&lt;&gt;""),AND(SE4&gt;=SO$19,SE4&lt;&gt;"",SG4&gt;=SO$23,SG4&lt;&gt;""),AND(SI4&gt;=SO$19,SI4&lt;&gt;"",SK4&gt;=SO$23,SK4&lt;&gt;""),AND(SL4&gt;=SO$19,SL4&lt;&gt;"",SN4&gt;=SO$23,SN4&lt;&gt;""),AND(TJ4&gt;=TW$19,TJ4&lt;&gt;"",TL4&gt;=TW$23,TL4&lt;&gt;""),AND(TM4&gt;=TW$19,TM4&lt;&gt;"",TO4&gt;=TW$23,TO4&lt;&gt;""),AND(TQ4&gt;=TW$19,TQ4&lt;&gt;"",TS4&gt;=TW$23,TXQ4&lt;&gt;""),AND(TT4&gt;=TW$19,TT4&lt;&gt;"",TV4&gt;=TW$23,TV4&lt;&gt;""),AND(UR4&gt;=VE$19,UR4&lt;&gt;"",UT4&gt;=VE$23,UT4&lt;&gt;""),AND(UU4&gt;=VE$19,UU4&lt;&gt;"",UW4&gt;=VE$23,UW4&lt;&gt;""),AND(UY4&gt;=VE$19,UY4&lt;&gt;"",VA4&gt;=VE$23,VA4&lt;&gt;""),AND(VB4&gt;=VE$19,VB4&lt;&gt;"",VD4&gt;=VE$23,VD4&lt;&gt;""),AND(VZ4&gt;=WM$19,VZ4&lt;&gt;"",WB4&gt;=WM$23,WB4&lt;&gt;""),AND(WC4&gt;=WM$19,WC4&lt;&gt;"",WE4&gt;=WM$23,WE4&lt;&gt;""),AND(WG4&gt;=WM$19,WG4&lt;&gt;"",WI4&gt;=WM$23,WI4&lt;&gt;""),AND(WJ4&gt;=WM$19,WJ4&lt;&gt;"",WL4&gt;=WM$23,WL4&lt;&gt;"")),"Excellence",IF(I4="P","Worlds Team",IF(F4="P","National Team","")))))</f>
        <v>National Team</v>
      </c>
      <c r="I4" s="3" t="str">
        <f t="shared" ref="I4:I14" si="4">IF(OR(AND(AI4&gt;=AS$18,AI4&lt;&gt;"",AK4&gt;=AS$22,AK4&lt;&gt;"",AH4=""),AND(AL4&gt;=AS$18,AL4&lt;&gt;"",AN4&gt;=AS$22,AN4&lt;&gt;"",AH4=""),AND(AP4&gt;=AS$18,AP4&lt;&gt;"",AR4&gt;=AS$22,AR4&lt;&gt;"",AH4=""),AND(BJ4&gt;=BT$18,BJ4&lt;&gt;"",BL4&gt;=BT$22,BL4&lt;&gt;"",BI4=""),AND(BM4&gt;=BT$18,BM4&lt;&gt;"",BO4&gt;=BT$22,BO4&lt;&gt;"",BI4=""),AND(BQ4&gt;=BT$18,BQ4&lt;&gt;"",BS4&gt;=BT$22,BS4&lt;&gt;"",BI4=""),AND(CK4&gt;=CU$18,CK4&lt;&gt;"",CM4&gt;=CU$22,CM4&lt;&gt;"",CJ4=""),AND(CN4&gt;=CU$18,CN4&lt;&gt;"",CP4&gt;=CU$22,CP4&lt;&gt;"",CJ4=""),AND(CR4&gt;=CU$18,CR4&lt;&gt;"",CT4&gt;=CU$22,CT4&lt;&gt;"",CJ4=""),AND(DR4&gt;=EE$18,DR4&lt;&gt;"",DT4&gt;=EE$22,DT4&lt;&gt;""),AND(DU4&gt;=EE$18,DU4&lt;&gt;"",DW4&gt;=EE$22,DW4&lt;&gt;""),AND(DY4&gt;=EE$18,DY4&lt;&gt;"",EA4&gt;=EE$22,EA4&lt;&gt;""),AND(EB4&gt;=EE$18,EB4&lt;&gt;"",ED4&gt;=EE$22,ED4&lt;&gt;""),AND(EZ4&gt;=FM$18,EZ4&lt;&gt;"",FB4&gt;=FM$22,FB4&lt;&gt;""),AND(FC4&gt;=FM$18,FC4&lt;&gt;"",FE4&gt;=FM$22,FE4&lt;&gt;""),AND(FG4&gt;=FM$18,FG4&lt;&gt;"",FI4&gt;=FM$22,FI4&lt;&gt;""),AND(FJ4&gt;=FM$18,FJ4&lt;&gt;"",FL4&gt;=FM$22,FL4&lt;&gt;""),AND(GH4&gt;=GU$18,GH4&lt;&gt;"",GJ4&gt;=GU$22,GJ4&lt;&gt;""),AND(GK4&gt;=GU$18,GK4&lt;&gt;"",GM4&gt;=GU$22,GM4&lt;&gt;""),AND(GO4&gt;=GU$18,GO4&lt;&gt;"",GQ4&gt;=GU$22,GQ4&lt;&gt;""),AND(GR4&gt;=GU$18,GR4&lt;&gt;"",GT4&gt;=GU$22,GT4&lt;&gt;""),AND(HP4&gt;=IC$18,HP4&lt;&gt;"",HR4&gt;=IC$22,HR4&lt;&gt;""),AND(HS4&gt;=IC$18,HS4&lt;&gt;"",HU4&gt;=IC$22,HU4&lt;&gt;""),AND(HW4&gt;=IC$18,HW4&lt;&gt;"",HY4&gt;=IC$22,HY4&lt;&gt;""),AND(HZ4&gt;=IC$18,HZ4&lt;&gt;"",IB4&gt;=IC$22,IB4&lt;&gt;""),AND(IX4&gt;=JK$18,IX4&lt;&gt;"",IZ4&gt;=JK$22,IZ4&lt;&gt;""),AND(JA4&gt;=JK$18,JA4&lt;&gt;"",JC4&gt;=JK$22,JC4&lt;&gt;""),AND(JE4&gt;=JK$18,JE4&lt;&gt;"",JG4&gt;=JK$22,JG4&lt;&gt;""),AND(JH4&gt;=JK$18,JH4&lt;&gt;"",JJ4&gt;=JK$22,JJ4&lt;&gt;""),AND(KF4&gt;=KS$18,KF4&lt;&gt;"",KH4&gt;=KS$22,KH4&lt;&gt;""),AND(KI4&gt;=KS$18,KI4&lt;&gt;"",KK4&gt;=KS$22,KK4&lt;&gt;""),AND(KM4&gt;=KS$18,KM4&lt;&gt;"",KO4&gt;=KS$22,KO4&lt;&gt;""),AND(KP4&gt;=KS$18,KP4&lt;&gt;"",KR4&gt;=KS$22,KR4&lt;&gt;""),AND(LN4&gt;=MA$18,LN4&lt;&gt;"",LP4&gt;=MA$22,LP4&lt;&gt;""),AND(LQ4&gt;=MA$18,LQ4&lt;&gt;"",LS4&gt;=MA$22,LS4&lt;&gt;""),AND(LU4&gt;=MA$18,LU4&lt;&gt;"",LW4&gt;=MA$22,LW4&lt;&gt;""),AND(LX4&gt;=MA$18,LX4&lt;&gt;"",LZ4&gt;=MA$22,LZ4&lt;&gt;""),AND(MV4&gt;=NI$18,MV4&lt;&gt;"",MX4&gt;=NI$22,MX4&lt;&gt;""),AND(MY4&gt;=NI$18,MY4&lt;&gt;"",NA4&gt;=NI$22,NA4&lt;&gt;""),AND(NC4&gt;=NI$18,NC4&lt;&gt;"",NE4&gt;=NI$22,NE4&lt;&gt;""),AND(NF4&gt;=NI$18,NF4&lt;&gt;"",NH4&gt;=NI$22,NH4&lt;&gt;""),AND(OD4&gt;=OQ$18,OD4&lt;&gt;"",OF4&gt;=OQ$22,OF4&lt;&gt;""),AND(OG4&gt;=OQ$18,OG4&lt;&gt;"",OI4&gt;=OQ$22,OI4&lt;&gt;""),AND(OK4&gt;=OQ$18,OK4&lt;&gt;"",OM4&gt;=OQ$22,OM4&lt;&gt;""),AND(ON4&gt;=OQ$18,ON4&lt;&gt;"",OP4&gt;=OQ$22,OP4&lt;&gt;""),AND(PL4&gt;=PY$18,PL4&lt;&gt;"",PN4&gt;=PY$22,PN4&lt;&gt;""),AND(PO4&gt;=PY$18,PO4&lt;&gt;"",PQ4&gt;=PY$22,PQ4&lt;&gt;""),AND(PS4&gt;=PY$18,PS4&lt;&gt;"",PU4&gt;=PY$22,PU4&lt;&gt;""),AND(PV4&gt;=PY$18,PV4&lt;&gt;"",PX4&gt;=PY$22,PX4&lt;&gt;""),AND(QT4&gt;=RG$18,QT4&lt;&gt;"",QV4&gt;=RG$22,QV4&lt;&gt;""),AND(QW4&gt;=RG$18,QW4&lt;&gt;"",QY4&gt;=RG$22,QY4&lt;&gt;""),AND(RA4&gt;=RG$18,RA4&lt;&gt;"",RC4&gt;=RG$22,RC4&lt;&gt;""),AND(RD4&gt;=RG$18,RD4&lt;&gt;"",RF4&gt;=RG$22,RF4&lt;&gt;""),AND(SB4&gt;=SO$18,SB4&lt;&gt;"",SD4&gt;=SO$22,SD4&lt;&gt;""),AND(SE4&gt;=SO$18,SE4&lt;&gt;"",SG4&gt;=SO$22,SG4&lt;&gt;""),AND(SI4&gt;=SO$18,SI4&lt;&gt;"",SK4&gt;=SO$22,SK4&lt;&gt;""),AND(SL4&gt;=SO$18,SL4&lt;&gt;"",SN4&gt;=SO$22,SN4&lt;&gt;""),AND(TJ4&gt;=TW$18,TJ4&lt;&gt;"",TL4&gt;=TW$22,TL4&lt;&gt;""),AND(TM4&gt;=TW$18,TM4&lt;&gt;"",TO4&gt;=TW$22,TO4&lt;&gt;""),AND(TQ4&gt;=TW$18,TQ4&lt;&gt;"",TS4&gt;=TW$22,TXQ4&lt;&gt;""),AND(TT4&gt;=TW$18,TT4&lt;&gt;"",TV4&gt;=TW$22,TV4&lt;&gt;""),AND(UR4&gt;=VE$18,UR4&lt;&gt;"",UT4&gt;=VE$22,UT4&lt;&gt;""),AND(UU4&gt;=VE$18,UU4&lt;&gt;"",UW4&gt;=VE$22,UW4&lt;&gt;""),AND(UY4&gt;=VE$18,UY4&lt;&gt;"",VA4&gt;=VE$22,VA4&lt;&gt;""),AND(VB4&gt;=VE$18,VB4&lt;&gt;"",VD4&gt;=VE$22,VD4&lt;&gt;""),AND(VZ4&gt;=WM$18,VZ4&lt;&gt;"",WB4&gt;=WM$22,WB4&lt;&gt;""),AND(WC4&gt;=WM$18,WC4&lt;&gt;"",WE4&gt;=WM$22,WE4&lt;&gt;""),AND(WG4&gt;=WM$18,WG4&lt;&gt;"",WI4&gt;=WM$22,WI4&lt;&gt;""),AND(WJ4&gt;=WM$18,WJ4&lt;&gt;"",WL4&gt;=WM$22,WL4&lt;&gt;"")),"P","")</f>
        <v/>
      </c>
      <c r="J4" s="8">
        <f t="shared" ref="J4:J14" si="5">IF(MAX(AR4,BS4,CT4)&gt;0,MAX(AR4,BS4,CT4),0)</f>
        <v>56.61999999999999</v>
      </c>
      <c r="K4" s="8" t="str">
        <f t="shared" ref="K4:K14" si="6">IF(J4="","",IF(J4=CT4,$BU$1,IF(J4=BS4,$AT$1,IF(J4=AR4,$S$1,""))))</f>
        <v>2025 Nationals</v>
      </c>
      <c r="L4" s="8">
        <f>IFERROR(IF(J4=AR4,LARGE((AK4,AN4,BL4,BO4,BS4,CM4,CP4,CT4),1),IF(J4=BS4,LARGE((AK4,AN4,AR4,BL4,BO4,CM4,CP4,CT4),1),LARGE((AK4,AN4,AR4,BL4,BO4,BS4,CM4,CP4),1))),0)</f>
        <v>56.94</v>
      </c>
      <c r="M4" s="8" t="str">
        <f t="shared" ref="M4:M14" si="7">IF(L4="","",IF(OR(L4=CM4,L4=CP4,L4=CT4),$BU$1,IF(OR(L4=BL4,L4=BO4,L4=BS4),$AT$1,IF(OR(L4=AK4,L4=AN4,L4=AR4),$S$1,""))))</f>
        <v>2025 Elite Canada</v>
      </c>
      <c r="N4" s="8">
        <f>IFERROR(IF(J4=AR4,LARGE((AK4,AN4,BL4,BO4,BS4,CM4,CP4,CT4),2),IF(J4=BS4,LARGE((AK4,AN4,AR4,BL4,BO4,CM4,CP4,CT4),2),LARGE((AK4,AN4,AR4,BL4,BO4,BS4,CM4,CP4),2))),0)</f>
        <v>56.620000000000005</v>
      </c>
      <c r="O4" s="8" t="str">
        <f t="shared" ref="O4:O14" si="8">IF(L4="","",IF(OR(N4=CM4,N4=CP4,N4=CT4),$BU$1,IF(OR(N4=BL4,N4=BO4,N4=BS4),$AT$1,IF(OR(N4=AK4,N4=AN4,N4=AR4),$S$1,""))))</f>
        <v>2025 3rd Domestic Trial</v>
      </c>
      <c r="P4" s="8">
        <f t="shared" ref="P4:P14" si="9">IF(MAX(CV4,CW4)&gt;0,MAX(CV4,CW4),0)</f>
        <v>0.19000000000000483</v>
      </c>
      <c r="Q4" s="11" t="str">
        <f t="shared" ref="Q4:Q14" si="10">IF(P4=0,"",IF(P4=CV4,"("&amp;CV$2&amp;")",IF(P4=CW4,"("&amp;CW$2&amp;")")))</f>
        <v>(Final)</v>
      </c>
      <c r="R4" s="8" t="str">
        <f t="shared" ref="R4:R14" si="11">IF(P4=0,"",IF(P4=CV4,IF(P4+IF(J4="",0,J4)=MAX(WI4,WL4),$VF$1,IF(P4+IF(J4="",0,J4)=MAX(VA4,VD4),$TX$1,IF(P4+IF(J4="",0,J4)=MAX(TS4,TV4),$SP$1,IF(P4+IF(J4="",0,J4)=MAX(SK4,SN4),$RH$1,IF(P4+IF(J4="",0,J4)=MAX(RC4,RF4),$PZ$1,IF(P4+IF(J4="",0,J4)=MAX(PU4,PX4),$OR$1,IF(P4+IF(J4="",0,J4)=MAX(OM4,OP4),$NJ$1,IF(P4+IF(J4="",0,J4)=MAX(NE4,NH4),$MB$1,IF(P4+IF(J4="",0,J4)=MAX(LW4,LZ4),$KT$1,IF(P4+IF(J4="",0,J4)=MAX(KO4,KR4),$JL$1,IF(P4+IF(J4="",0,J4)=MAX(JG4,JJ4),$ID$1,IF(P4+IF(J4="",0,J4)=MAX(HY4,IB4),$GV$1,IF(P4+IF(J4="",0,J4)=MAX(GQ4,GT4),$FN$1,IF(P4+IF(J4="",0,J4)=MAX(FI4,FL4),$EF$1,IF(P4+IF(J4="",0,J4)=MAX(EA4,ED4),$CX$1))))))))))))))),IF(P4+MAX(N4,0)=MAX(WF4,WI4,WL4),$VF$1,IF(P4+MAX(N4,0)=MAX(UX4,VA4,VD4),$TX$1,IF(P4+MAX(N4,0)=MAX(TP4,TS4,TV4),$SP$1,IF(P4+MAX(N4,0)=MAX(SH4,SK4,SN4),$RH$1,IF(P4+MAX(N4,0)=MAX(QZ4,RC4,RF4),$PZ$1,IF(P4+MAX(N4,0)=MAX(PR4,PU4,PX4),$OR$1,IF(P4+MAX(N4,0)=MAX(OJ4,OM4,OP4),$NJ$1,IF(P4+MAX(N4,0)=MAX(NB4,NE4,NH4),$MB$1,IF(P4+MAX(N4,0)=MAX(LT4,LW4,LZ4),$KT$1,IF(P4+MAX(N4,0)=MAX(KL4,KO4,KR4),$JL$1,IF(P4+MAX(N4,0)=MAX(JD4,JG4,JJ4),$ID$1,IF(P4+MAX(N4,0)=MAX(HV4,HY4,IB4),$GV$1,IF(P4+MAX(N4,0)=MAX(GN4,GQ4,GT4),$FN$1,IF(P4+MAX(N4,0)=MAX(FF4,FI4,FL4),$EF$1,IF(P4+MAX(N4,0)=MAX(DX4,EA4,ED4),$CX$1)))))))))))))))))</f>
        <v>2025 Worlds (Nov 9)</v>
      </c>
      <c r="S4" s="18">
        <v>17.7</v>
      </c>
      <c r="T4" s="18">
        <v>9.1</v>
      </c>
      <c r="U4" s="18">
        <v>14.9</v>
      </c>
      <c r="V4" s="18">
        <v>15.24</v>
      </c>
      <c r="W4" s="18">
        <v>0</v>
      </c>
      <c r="X4" s="18">
        <v>17</v>
      </c>
      <c r="Y4" s="18">
        <v>9.3000000000000007</v>
      </c>
      <c r="Z4" s="18">
        <v>14.9</v>
      </c>
      <c r="AA4" s="18">
        <v>14.91</v>
      </c>
      <c r="AB4" s="18">
        <v>0</v>
      </c>
      <c r="AC4" s="18">
        <v>16.5</v>
      </c>
      <c r="AD4" s="18">
        <v>9.6</v>
      </c>
      <c r="AE4" s="18">
        <v>14.5</v>
      </c>
      <c r="AF4" s="18">
        <v>15.01</v>
      </c>
      <c r="AG4" s="18">
        <v>0</v>
      </c>
      <c r="AH4" s="23"/>
      <c r="AI4" s="34">
        <f t="shared" ref="AI4:AI14" si="12">IF(U4&gt;0,U4,"")</f>
        <v>14.9</v>
      </c>
      <c r="AJ4" s="34">
        <f t="shared" ref="AJ4:AJ14" si="13">IF(V4&gt;0,V4,"")</f>
        <v>15.24</v>
      </c>
      <c r="AK4" s="36">
        <f t="shared" ref="AK4:AK14" si="14">IF(SUM(S4:V4)-W4&gt;0,SUM(S4:V4)-W4,"")</f>
        <v>56.94</v>
      </c>
      <c r="AL4" s="36">
        <f t="shared" ref="AL4:AL14" si="15">IF(Z4&gt;0,Z4,"")</f>
        <v>14.9</v>
      </c>
      <c r="AM4" s="36">
        <f t="shared" ref="AM4:AM14" si="16">IF(AA4&gt;0,AA4,"")</f>
        <v>14.91</v>
      </c>
      <c r="AN4" s="36">
        <f t="shared" ref="AN4:AN14" si="17">IF(SUM(X4:AA4)-AB4&gt;0,SUM(X4:AA4)-AB4,"")</f>
        <v>56.11</v>
      </c>
      <c r="AO4" s="36">
        <f t="shared" ref="AO4:AO14" si="18">IF(AK4="","",MAX(AK4,AN4))</f>
        <v>56.94</v>
      </c>
      <c r="AP4" s="36">
        <f t="shared" ref="AP4:AP14" si="19">IF(AE4&gt;0,AE4,"")</f>
        <v>14.5</v>
      </c>
      <c r="AQ4" s="36">
        <f t="shared" ref="AQ4:AQ14" si="20">IF(AF4&gt;0,AF4,"")</f>
        <v>15.01</v>
      </c>
      <c r="AR4" s="36">
        <f t="shared" ref="AR4:AR14" si="21">IF(SUM(AC4:AF4)-AG4&gt;0,SUM(AC4:AF4)-AG4,"")</f>
        <v>55.61</v>
      </c>
      <c r="AS4" s="36">
        <f t="shared" ref="AS4:AS14" si="22">IF(SUM(AO4,AR4)&gt;0,SUM(AO4,AR4),"")</f>
        <v>112.55</v>
      </c>
      <c r="AT4" s="22">
        <v>17</v>
      </c>
      <c r="AU4" s="22">
        <v>9.3000000000000007</v>
      </c>
      <c r="AV4" s="22">
        <v>14.9</v>
      </c>
      <c r="AW4" s="22">
        <v>15.1</v>
      </c>
      <c r="AX4" s="22">
        <v>0</v>
      </c>
      <c r="AY4" s="22">
        <v>3.8</v>
      </c>
      <c r="AZ4" s="22">
        <v>2</v>
      </c>
      <c r="BA4" s="22">
        <v>3.3</v>
      </c>
      <c r="BB4" s="22">
        <v>3.31</v>
      </c>
      <c r="BC4" s="22">
        <v>0</v>
      </c>
      <c r="BD4" s="22">
        <v>16.7</v>
      </c>
      <c r="BE4" s="22">
        <v>9.6</v>
      </c>
      <c r="BF4" s="22">
        <v>15.5</v>
      </c>
      <c r="BG4" s="22">
        <v>15.02</v>
      </c>
      <c r="BH4" s="22">
        <v>0.2</v>
      </c>
      <c r="BI4" s="24"/>
      <c r="BJ4" s="35">
        <f t="shared" ref="BJ4:BJ14" si="23">IF(AV4&gt;0,AV4,"")</f>
        <v>14.9</v>
      </c>
      <c r="BK4" s="35">
        <f t="shared" ref="BK4:BK14" si="24">IF(AW4&gt;0,AW4,"")</f>
        <v>15.1</v>
      </c>
      <c r="BL4" s="11">
        <f t="shared" ref="BL4:BL14" si="25">IF(SUM(AT4:AW4)-AX4&gt;0,SUM(AT4:AW4)-AX4,"")</f>
        <v>56.300000000000004</v>
      </c>
      <c r="BM4" s="11">
        <f t="shared" ref="BM4:BM14" si="26">IF(BA4&gt;0,BA4,"")</f>
        <v>3.3</v>
      </c>
      <c r="BN4" s="11">
        <f t="shared" ref="BN4:BN14" si="27">IF(BB4&gt;0,BB4,"")</f>
        <v>3.31</v>
      </c>
      <c r="BO4" s="11">
        <f t="shared" ref="BO4:BO14" si="28">IF(SUM(AY4:BB4)-BC4&gt;0,SUM(AY4:BB4)-BC4,"")</f>
        <v>12.41</v>
      </c>
      <c r="BP4" s="11">
        <f t="shared" ref="BP4:BP14" si="29">IF(BL4="","",MAX(BL4,BO4))</f>
        <v>56.300000000000004</v>
      </c>
      <c r="BQ4" s="11">
        <f t="shared" ref="BQ4:BQ14" si="30">IF(BF4&gt;0,BF4,"")</f>
        <v>15.5</v>
      </c>
      <c r="BR4" s="11">
        <f t="shared" ref="BR4:BR14" si="31">IF(BG4&gt;0,BG4,"")</f>
        <v>15.02</v>
      </c>
      <c r="BS4" s="11">
        <f t="shared" ref="BS4:BS14" si="32">IF(SUM(BD4:BG4)-BH4&gt;0,SUM(BD4:BG4)-BH4,"")</f>
        <v>56.61999999999999</v>
      </c>
      <c r="BT4" s="11">
        <f t="shared" ref="BT4:BT14" si="33">IF(SUM(BP4,BS4)&gt;0,SUM(BP4,BS4),"")</f>
        <v>112.91999999999999</v>
      </c>
      <c r="BU4" s="18">
        <v>17.350000000000001</v>
      </c>
      <c r="BV4" s="18">
        <v>9.1999999999999993</v>
      </c>
      <c r="BW4" s="18">
        <v>14.9</v>
      </c>
      <c r="BX4" s="18">
        <v>15.17</v>
      </c>
      <c r="BY4" s="18">
        <v>0</v>
      </c>
      <c r="BZ4" s="18">
        <v>10.4</v>
      </c>
      <c r="CA4" s="18">
        <v>5.65</v>
      </c>
      <c r="CB4" s="18">
        <v>9.1</v>
      </c>
      <c r="CC4" s="18">
        <v>9.11</v>
      </c>
      <c r="CD4" s="18">
        <v>0</v>
      </c>
      <c r="CE4" s="18">
        <v>16.600000000000001</v>
      </c>
      <c r="CF4" s="18">
        <v>9.6</v>
      </c>
      <c r="CG4" s="18">
        <v>15</v>
      </c>
      <c r="CH4" s="18">
        <v>15.015000000000001</v>
      </c>
      <c r="CI4" s="18">
        <v>0.1</v>
      </c>
      <c r="CJ4" s="23" t="s">
        <v>42</v>
      </c>
      <c r="CK4" s="34">
        <f t="shared" ref="CK4:CK14" si="34">IF(BW4&gt;0,BW4,"")</f>
        <v>14.9</v>
      </c>
      <c r="CL4" s="34">
        <f t="shared" ref="CL4:CL14" si="35">IF(BX4&gt;0,BX4,"")</f>
        <v>15.17</v>
      </c>
      <c r="CM4" s="36">
        <f t="shared" ref="CM4:CM14" si="36">IF(SUM(BU4:BX4)-BY4&gt;0,SUM(BU4:BX4)-BY4,"")</f>
        <v>56.620000000000005</v>
      </c>
      <c r="CN4" s="36">
        <f t="shared" ref="CN4:CN14" si="37">IF(CB4&gt;0,CB4,"")</f>
        <v>9.1</v>
      </c>
      <c r="CO4" s="36">
        <f t="shared" ref="CO4:CO14" si="38">IF(CC4&gt;0,CC4,"")</f>
        <v>9.11</v>
      </c>
      <c r="CP4" s="36">
        <f t="shared" ref="CP4:CP14" si="39">IF(SUM(BZ4:CC4)-CD4&gt;0,SUM(BZ4:CC4)-CD4,"")</f>
        <v>34.26</v>
      </c>
      <c r="CQ4" s="36">
        <f t="shared" ref="CQ4:CQ14" si="40">IF(CM4="","",MAX(CM4,CP4))</f>
        <v>56.620000000000005</v>
      </c>
      <c r="CR4" s="36">
        <f t="shared" ref="CR4:CR14" si="41">IF(CG4&gt;0,CG4,"")</f>
        <v>15</v>
      </c>
      <c r="CS4" s="36">
        <f t="shared" ref="CS4:CS14" si="42">IF(CH4&gt;0,CH4,"")</f>
        <v>15.015000000000001</v>
      </c>
      <c r="CT4" s="36">
        <f t="shared" ref="CT4:CT14" si="43">IF(SUM(CE4:CH4)-CI4&gt;0,SUM(CE4:CH4)-CI4,"")</f>
        <v>56.115000000000002</v>
      </c>
      <c r="CU4" s="36">
        <f t="shared" ref="CU4:CU14" si="44">IF(SUM(CQ4,CT4)&gt;0,SUM(CQ4,CT4),"")</f>
        <v>112.73500000000001</v>
      </c>
      <c r="CV4" s="47">
        <f t="shared" ref="CV4:CV14" si="45">IF(MAX(EA4,ED4,FI4,FL4,GQ4,GT4,HY4,IB4,JG4,JJ4,KO4,KR4,LW4,LZ4,NE4,NH4,OM4,OP4,PU4,PX4,RC4,RF4,SK4,SN4,TS4,TV4,VA4,VD4,WI4,WL4)-IF(J4="",0,J4)&gt;0.001,MAX(EA4,ED4,FI4,FL4,GQ4,GT4,HY4,IB4,JG4,JJ4,KO4,KR4,LW4,LZ4,NE4,NH4,OM4,OP4,PU4,PX4,RC4,RF4,SK4,SN4,TS4,TV4,VA4,VD4,WI4,WL4)-IF(J4="",0,J4),"")</f>
        <v>0.19000000000000483</v>
      </c>
      <c r="CW4" s="47">
        <f t="shared" ref="CW4:CW14" si="46">IF(MAX(DX4,EA4,ED4,FF4,FI4,FL4,GN4,GQ4,GT4,HV4,HY4,IB4,JD4,JG4,JJ4,KL4,KO4,KR4,LT4,LW4,LZ4,NB4,NE4,NH4,OJ4,OM4,OP4,PR4,PU4,PX4,QZ4,RC4,RF4,SH4,SK4,SN4,TP4,TS4,TV4,UX4,VA4,VD4,WF4,WI4,WL4)-MAX(N4,0)&gt;0.001,MAX(DX4,EA4,ED4,FF4,FI4,FL4,GN4,GQ4,GT4,HV4,HY4,IB4,JD4,JG4,JJ4,KL4,KO4,KR4,LT4,LW4,LZ4,NB4,NE4,NH4,OJ4,OM4,OP4,PR4,PU4,PX4,QZ4,RC4,RF4,SH4,SK4,SN4,TP4,TS4,TV4,UX4,VA4,VD4,WF4,WI4,WL4)-MAX(N4,0),"")</f>
        <v>0.18999999999999062</v>
      </c>
      <c r="CX4" s="15">
        <v>15.8</v>
      </c>
      <c r="CY4" s="15">
        <v>9.4</v>
      </c>
      <c r="CZ4" s="15">
        <v>13.6</v>
      </c>
      <c r="DA4" s="15">
        <v>14.94</v>
      </c>
      <c r="DB4" s="15">
        <v>0.2</v>
      </c>
      <c r="DC4" s="15">
        <v>16.600000000000001</v>
      </c>
      <c r="DD4" s="15">
        <v>9.6999999999999993</v>
      </c>
      <c r="DE4" s="15">
        <v>14.5</v>
      </c>
      <c r="DF4" s="15">
        <v>15.22</v>
      </c>
      <c r="DG4" s="15">
        <v>0</v>
      </c>
      <c r="DH4" s="15">
        <v>16.399999999999999</v>
      </c>
      <c r="DI4" s="15">
        <v>9.6</v>
      </c>
      <c r="DJ4" s="15">
        <v>14.9</v>
      </c>
      <c r="DK4" s="15">
        <v>15.01</v>
      </c>
      <c r="DL4" s="15">
        <v>0</v>
      </c>
      <c r="DM4" s="15">
        <v>16.100000000000001</v>
      </c>
      <c r="DN4" s="15">
        <v>9.4</v>
      </c>
      <c r="DO4" s="15">
        <v>14.9</v>
      </c>
      <c r="DP4" s="15">
        <v>14.91</v>
      </c>
      <c r="DQ4" s="15">
        <v>0</v>
      </c>
      <c r="DR4" s="36">
        <f t="shared" ref="DR4:DR14" si="47">IF(CZ4&gt;0,CZ4,"")</f>
        <v>13.6</v>
      </c>
      <c r="DS4" s="36">
        <f t="shared" ref="DS4:DS14" si="48">IF(DA4&gt;0,DA4,"")</f>
        <v>14.94</v>
      </c>
      <c r="DT4" s="36">
        <f t="shared" ref="DT4:DT14" si="49">IF(SUM(CX4:DA4)-DB4&gt;0,SUM(CX4:DA4)-DB4,"")</f>
        <v>53.54</v>
      </c>
      <c r="DU4" s="36">
        <f t="shared" ref="DU4:DU14" si="50">IF(DE4&gt;0,DE4,"")</f>
        <v>14.5</v>
      </c>
      <c r="DV4" s="36">
        <f t="shared" ref="DV4:DV14" si="51">IF(DF4&gt;0,DF4,"")</f>
        <v>15.22</v>
      </c>
      <c r="DW4" s="36">
        <f t="shared" ref="DW4:DW14" si="52">IF(SUM(DC4:DF4)-DG4&gt;0,SUM(DC4:DF4)-DG4,"")</f>
        <v>56.019999999999996</v>
      </c>
      <c r="DX4" s="36">
        <f t="shared" ref="DX4:DX14" si="53">IF(MAX(DT4,DW4)&gt;0,MAX(DT4,DW4),"")</f>
        <v>56.019999999999996</v>
      </c>
      <c r="DY4" s="36">
        <f t="shared" ref="DY4:DY14" si="54">IF(DJ4&gt;0,DJ4,"")</f>
        <v>14.9</v>
      </c>
      <c r="DZ4" s="36">
        <f t="shared" ref="DZ4:DZ14" si="55">IF(DK4&gt;0,DK4,"")</f>
        <v>15.01</v>
      </c>
      <c r="EA4" s="36">
        <f t="shared" ref="EA4:EA14" si="56">IF(SUM(DH4:DK4)-DL4&gt;0,SUM(DH4:DK4)-DL4,"")</f>
        <v>55.91</v>
      </c>
      <c r="EB4" s="36">
        <f t="shared" ref="EB4:EB14" si="57">IF(DO4&gt;0,DO4,"")</f>
        <v>14.9</v>
      </c>
      <c r="EC4" s="36">
        <f t="shared" ref="EC4:EC14" si="58">IF(DP4&gt;0,DP4,"")</f>
        <v>14.91</v>
      </c>
      <c r="ED4" s="36">
        <f t="shared" ref="ED4:ED14" si="59">IF(SUM(DM4:DP4)-DQ4&gt;0,SUM(DM4:DP4)-DQ4,"")</f>
        <v>55.31</v>
      </c>
      <c r="EE4" s="36">
        <f t="shared" ref="EE4:EE14" si="60">IF(SUM(DX4,EA4,ED4)&gt;0,SUM(DX4,EA4,ED4),"")</f>
        <v>167.24</v>
      </c>
      <c r="EF4" s="16"/>
      <c r="EG4" s="16"/>
      <c r="EH4" s="16"/>
      <c r="EI4" s="16"/>
      <c r="EJ4" s="16"/>
      <c r="EK4" s="16"/>
      <c r="EL4" s="16"/>
      <c r="EM4" s="16"/>
      <c r="EN4" s="16"/>
      <c r="EO4" s="16"/>
      <c r="EP4" s="16"/>
      <c r="EQ4" s="16"/>
      <c r="ER4" s="16"/>
      <c r="ES4" s="16"/>
      <c r="ET4" s="16"/>
      <c r="EU4" s="16"/>
      <c r="EV4" s="16"/>
      <c r="EW4" s="16"/>
      <c r="EX4" s="16"/>
      <c r="EY4" s="16"/>
      <c r="EZ4" s="11" t="str">
        <f t="shared" ref="EZ4:EZ14" si="61">IF(EH4&gt;0,EH4,"")</f>
        <v/>
      </c>
      <c r="FA4" s="11" t="str">
        <f t="shared" ref="FA4:FA14" si="62">IF(EI4&gt;0,EI4,"")</f>
        <v/>
      </c>
      <c r="FB4" s="11" t="str">
        <f t="shared" ref="FB4:FB14" si="63">IF(SUM(EF4:EI4)-EJ4&gt;0,SUM(EF4:EI4)-EJ4,"")</f>
        <v/>
      </c>
      <c r="FC4" s="11" t="str">
        <f t="shared" ref="FC4:FC14" si="64">IF(EM4&gt;0,EM4,"")</f>
        <v/>
      </c>
      <c r="FD4" s="11" t="str">
        <f t="shared" ref="FD4:FD14" si="65">IF(EN4&gt;0,EN4,"")</f>
        <v/>
      </c>
      <c r="FE4" s="11" t="str">
        <f t="shared" ref="FE4:FE14" si="66">IF(SUM(EK4:EN4)-EO4&gt;0,SUM(EK4:EN4)-EO4,"")</f>
        <v/>
      </c>
      <c r="FF4" s="11" t="str">
        <f t="shared" ref="FF4:FF14" si="67">IF(MAX(FB4,FE4)&gt;0,MAX(FB4,FE4),"")</f>
        <v/>
      </c>
      <c r="FG4" s="11" t="str">
        <f t="shared" ref="FG4:FG14" si="68">IF(ER4&gt;0,ER4,"")</f>
        <v/>
      </c>
      <c r="FH4" s="11" t="str">
        <f t="shared" ref="FH4:FH14" si="69">IF(ES4&gt;0,ES4,"")</f>
        <v/>
      </c>
      <c r="FI4" s="11" t="str">
        <f t="shared" ref="FI4:FI14" si="70">IF(SUM(EP4:ES4)-ET4&gt;0,SUM(EP4:ES4)-ET4,"")</f>
        <v/>
      </c>
      <c r="FJ4" s="11" t="str">
        <f t="shared" ref="FJ4:FJ14" si="71">IF(EW4&gt;0,EW4,"")</f>
        <v/>
      </c>
      <c r="FK4" s="11" t="str">
        <f t="shared" ref="FK4:FK14" si="72">IF(EX4&gt;0,EX4,"")</f>
        <v/>
      </c>
      <c r="FL4" s="11" t="str">
        <f t="shared" ref="FL4:FL14" si="73">IF(SUM(EU4:EX4)-EY4&gt;0,SUM(EU4:EX4)-EY4,"")</f>
        <v/>
      </c>
      <c r="FM4" s="11" t="str">
        <f t="shared" ref="FM4:FM14" si="74">IF(SUM(FF4,FI4,FL4)&gt;0,SUM(FF4,FI4,FL4),"")</f>
        <v/>
      </c>
      <c r="FN4" s="15">
        <v>15.9</v>
      </c>
      <c r="FO4" s="15">
        <v>9.1999999999999993</v>
      </c>
      <c r="FP4" s="15">
        <v>14.9</v>
      </c>
      <c r="FQ4" s="15">
        <v>15.22</v>
      </c>
      <c r="FR4" s="15">
        <v>0</v>
      </c>
      <c r="FS4" s="15">
        <v>16.5</v>
      </c>
      <c r="FT4" s="15">
        <v>9.6999999999999993</v>
      </c>
      <c r="FU4" s="15">
        <v>14.9</v>
      </c>
      <c r="FV4" s="15">
        <v>15.24</v>
      </c>
      <c r="FW4" s="15">
        <v>0</v>
      </c>
      <c r="FX4" s="15">
        <v>16.3</v>
      </c>
      <c r="FY4" s="15">
        <v>9.6</v>
      </c>
      <c r="FZ4" s="15">
        <v>14.9</v>
      </c>
      <c r="GA4" s="15">
        <v>15.17</v>
      </c>
      <c r="GB4" s="15">
        <v>0.2</v>
      </c>
      <c r="GC4" s="15">
        <v>15.9</v>
      </c>
      <c r="GD4" s="15">
        <v>9.5</v>
      </c>
      <c r="GE4" s="15">
        <v>15.5</v>
      </c>
      <c r="GF4" s="15">
        <v>14.83</v>
      </c>
      <c r="GG4" s="15">
        <v>0</v>
      </c>
      <c r="GH4" s="36">
        <f t="shared" ref="GH4:GH14" si="75">IF(FP4&gt;0,FP4,"")</f>
        <v>14.9</v>
      </c>
      <c r="GI4" s="36">
        <f t="shared" ref="GI4:GI14" si="76">IF(FQ4&gt;0,FQ4,"")</f>
        <v>15.22</v>
      </c>
      <c r="GJ4" s="36">
        <f t="shared" ref="GJ4:GJ14" si="77">IF(SUM(FN4:FQ4)-FR4&gt;0,SUM(FN4:FQ4)-FR4,"")</f>
        <v>55.22</v>
      </c>
      <c r="GK4" s="36">
        <f t="shared" ref="GK4:GK14" si="78">IF(FU4&gt;0,FU4,"")</f>
        <v>14.9</v>
      </c>
      <c r="GL4" s="36">
        <f t="shared" ref="GL4:GL14" si="79">IF(FV4&gt;0,FV4,"")</f>
        <v>15.24</v>
      </c>
      <c r="GM4" s="36">
        <f t="shared" ref="GM4:GM14" si="80">IF(SUM(FS4:FV4)-FW4&gt;0,SUM(FS4:FV4)-FW4,"")</f>
        <v>56.34</v>
      </c>
      <c r="GN4" s="36">
        <f t="shared" ref="GN4:GN14" si="81">IF(MAX(GJ4,GM4)&gt;0,MAX(GJ4,GM4),"")</f>
        <v>56.34</v>
      </c>
      <c r="GO4" s="36">
        <f t="shared" ref="GO4:GO14" si="82">IF(FZ4&gt;0,FZ4,"")</f>
        <v>14.9</v>
      </c>
      <c r="GP4" s="36">
        <f t="shared" ref="GP4:GP14" si="83">IF(GA4&gt;0,GA4,"")</f>
        <v>15.17</v>
      </c>
      <c r="GQ4" s="36">
        <f t="shared" ref="GQ4:GQ14" si="84">IF(SUM(FX4:GA4)-GB4&gt;0,SUM(FX4:GA4)-GB4,"")</f>
        <v>55.769999999999996</v>
      </c>
      <c r="GR4" s="36">
        <f t="shared" ref="GR4:GR14" si="85">IF(GE4&gt;0,GE4,"")</f>
        <v>15.5</v>
      </c>
      <c r="GS4" s="36">
        <f t="shared" ref="GS4:GS14" si="86">IF(GF4&gt;0,GF4,"")</f>
        <v>14.83</v>
      </c>
      <c r="GT4" s="36">
        <f t="shared" ref="GT4:GT14" si="87">IF(SUM(GC4:GF4)-GG4&gt;0,SUM(GC4:GF4)-GG4,"")</f>
        <v>55.73</v>
      </c>
      <c r="GU4" s="36">
        <f t="shared" ref="GU4:GU14" si="88">IF(SUM(GN4,GQ4,GT4)&gt;0,SUM(GN4,GQ4,GT4),"")</f>
        <v>167.84</v>
      </c>
      <c r="GV4" s="16"/>
      <c r="GW4" s="16"/>
      <c r="GX4" s="16"/>
      <c r="GY4" s="16"/>
      <c r="GZ4" s="16"/>
      <c r="HA4" s="16"/>
      <c r="HB4" s="16"/>
      <c r="HC4" s="16"/>
      <c r="HD4" s="16"/>
      <c r="HE4" s="16"/>
      <c r="HF4" s="16"/>
      <c r="HG4" s="16"/>
      <c r="HH4" s="16"/>
      <c r="HI4" s="16"/>
      <c r="HJ4" s="16"/>
      <c r="HK4" s="16"/>
      <c r="HL4" s="16"/>
      <c r="HM4" s="16"/>
      <c r="HN4" s="16"/>
      <c r="HO4" s="16"/>
      <c r="HP4" s="11" t="str">
        <f t="shared" ref="HP4:HP14" si="89">IF(GX4&gt;0,GX4,"")</f>
        <v/>
      </c>
      <c r="HQ4" s="11" t="str">
        <f t="shared" ref="HQ4:HQ14" si="90">IF(GY4&gt;0,GY4,"")</f>
        <v/>
      </c>
      <c r="HR4" s="11" t="str">
        <f t="shared" ref="HR4:HR14" si="91">IF(SUM(GV4:GY4)-GZ4&gt;0,SUM(GV4:GY4)-GZ4,"")</f>
        <v/>
      </c>
      <c r="HS4" s="11" t="str">
        <f t="shared" ref="HS4:HS14" si="92">IF(HC4&gt;0,HC4,"")</f>
        <v/>
      </c>
      <c r="HT4" s="11" t="str">
        <f t="shared" ref="HT4:HT14" si="93">IF(HD4&gt;0,HD4,"")</f>
        <v/>
      </c>
      <c r="HU4" s="11" t="str">
        <f t="shared" ref="HU4:HU14" si="94">IF(SUM(HA4:HD4)-HE4&gt;0,SUM(HA4:HD4)-HE4,"")</f>
        <v/>
      </c>
      <c r="HV4" s="11" t="str">
        <f t="shared" ref="HV4:HV14" si="95">IF(MAX(HR4,HU4)&gt;0,MAX(HR4,HU4),"")</f>
        <v/>
      </c>
      <c r="HW4" s="11" t="str">
        <f t="shared" ref="HW4:HW14" si="96">IF(HH4&gt;0,HH4,"")</f>
        <v/>
      </c>
      <c r="HX4" s="11" t="str">
        <f t="shared" ref="HX4:HX14" si="97">IF(HI4&gt;0,HI4,"")</f>
        <v/>
      </c>
      <c r="HY4" s="11" t="str">
        <f t="shared" ref="HY4:HY14" si="98">IF(SUM(HF4:HI4)-HJ4&gt;0,SUM(HF4:HI4)-HJ4,"")</f>
        <v/>
      </c>
      <c r="HZ4" s="11" t="str">
        <f t="shared" ref="HZ4:HZ14" si="99">IF(HM4&gt;0,HM4,"")</f>
        <v/>
      </c>
      <c r="IA4" s="11" t="str">
        <f t="shared" ref="IA4:IA14" si="100">IF(HN4&gt;0,HN4,"")</f>
        <v/>
      </c>
      <c r="IB4" s="11" t="str">
        <f t="shared" ref="IB4:IB14" si="101">IF(SUM(HK4:HN4)-HO4&gt;0,SUM(HK4:HN4)-HO4,"")</f>
        <v/>
      </c>
      <c r="IC4" s="11" t="str">
        <f t="shared" ref="IC4:IC14" si="102">IF(SUM(HV4,HY4,IB4)&gt;0,SUM(HV4,HY4,IB4),"")</f>
        <v/>
      </c>
      <c r="ID4" s="15"/>
      <c r="IE4" s="15"/>
      <c r="IF4" s="15"/>
      <c r="IG4" s="15"/>
      <c r="IH4" s="15"/>
      <c r="II4" s="15"/>
      <c r="IJ4" s="15"/>
      <c r="IK4" s="15"/>
      <c r="IL4" s="15"/>
      <c r="IM4" s="15"/>
      <c r="IN4" s="15"/>
      <c r="IO4" s="15"/>
      <c r="IP4" s="15"/>
      <c r="IQ4" s="15"/>
      <c r="IR4" s="15"/>
      <c r="IS4" s="15"/>
      <c r="IT4" s="15"/>
      <c r="IU4" s="15"/>
      <c r="IV4" s="15"/>
      <c r="IW4" s="15"/>
      <c r="IX4" s="36" t="str">
        <f t="shared" ref="IX4:IX14" si="103">IF(IF4&gt;0,IF4,"")</f>
        <v/>
      </c>
      <c r="IY4" s="36" t="str">
        <f t="shared" ref="IY4:IY14" si="104">IF(IG4&gt;0,IG4,"")</f>
        <v/>
      </c>
      <c r="IZ4" s="36" t="str">
        <f t="shared" ref="IZ4:IZ14" si="105">IF(SUM(ID4:IG4)-IH4&gt;0,SUM(ID4:IG4)-IH4,"")</f>
        <v/>
      </c>
      <c r="JA4" s="36" t="str">
        <f t="shared" ref="JA4:JA14" si="106">IF(IK4&gt;0,IK4,"")</f>
        <v/>
      </c>
      <c r="JB4" s="36" t="str">
        <f t="shared" ref="JB4:JB14" si="107">IF(IL4&gt;0,IL4,"")</f>
        <v/>
      </c>
      <c r="JC4" s="36" t="str">
        <f t="shared" ref="JC4:JC14" si="108">IF(SUM(II4:IL4)-IM4&gt;0,SUM(II4:IL4)-IM4,"")</f>
        <v/>
      </c>
      <c r="JD4" s="36" t="str">
        <f t="shared" ref="JD4:JD14" si="109">IF(MAX(IZ4,JC4)&gt;0,MAX(IZ4,JC4),"")</f>
        <v/>
      </c>
      <c r="JE4" s="36" t="str">
        <f t="shared" ref="JE4:JE14" si="110">IF(IP4&gt;0,IP4,"")</f>
        <v/>
      </c>
      <c r="JF4" s="36" t="str">
        <f t="shared" ref="JF4:JF14" si="111">IF(IQ4&gt;0,IQ4,"")</f>
        <v/>
      </c>
      <c r="JG4" s="36" t="str">
        <f t="shared" ref="JG4:JG14" si="112">IF(SUM(IN4:IQ4)-IR4&gt;0,SUM(IN4:IQ4)-IR4,"")</f>
        <v/>
      </c>
      <c r="JH4" s="36" t="str">
        <f t="shared" ref="JH4:JH14" si="113">IF(IU4&gt;0,IU4,"")</f>
        <v/>
      </c>
      <c r="JI4" s="36" t="str">
        <f t="shared" ref="JI4:JI14" si="114">IF(IV4&gt;0,IV4,"")</f>
        <v/>
      </c>
      <c r="JJ4" s="36" t="str">
        <f t="shared" ref="JJ4:JJ14" si="115">IF(SUM(IS4:IV4)-IW4&gt;0,SUM(IS4:IV4)-IW4,"")</f>
        <v/>
      </c>
      <c r="JK4" s="36" t="str">
        <f t="shared" ref="JK4:JK14" si="116">IF(SUM(JD4,JG4,JJ4)&gt;0,SUM(JD4,JG4,JJ4),"")</f>
        <v/>
      </c>
      <c r="JL4" s="16">
        <v>16.600000000000001</v>
      </c>
      <c r="JM4" s="16">
        <v>9.3000000000000007</v>
      </c>
      <c r="JN4" s="16">
        <v>14.9</v>
      </c>
      <c r="JO4" s="16">
        <v>15.06</v>
      </c>
      <c r="JP4" s="16">
        <v>0</v>
      </c>
      <c r="JQ4" s="16"/>
      <c r="JR4" s="16"/>
      <c r="JS4" s="16"/>
      <c r="JT4" s="16"/>
      <c r="JU4" s="16"/>
      <c r="JV4" s="16"/>
      <c r="JW4" s="16"/>
      <c r="JX4" s="16"/>
      <c r="JY4" s="16"/>
      <c r="JZ4" s="16"/>
      <c r="KA4" s="16">
        <v>16.399999999999999</v>
      </c>
      <c r="KB4" s="16">
        <v>9.1999999999999993</v>
      </c>
      <c r="KC4" s="16">
        <v>14.9</v>
      </c>
      <c r="KD4" s="16">
        <v>15.25</v>
      </c>
      <c r="KE4" s="16">
        <v>0</v>
      </c>
      <c r="KF4" s="11">
        <f t="shared" ref="KF4:KF14" si="117">IF(JN4&gt;0,JN4,"")</f>
        <v>14.9</v>
      </c>
      <c r="KG4" s="11">
        <f t="shared" ref="KG4:KG14" si="118">IF(JO4&gt;0,JO4,"")</f>
        <v>15.06</v>
      </c>
      <c r="KH4" s="11">
        <f t="shared" ref="KH4:KH14" si="119">IF(SUM(JL4:JO4)-JP4&gt;0,SUM(JL4:JO4)-JP4,"")</f>
        <v>55.860000000000007</v>
      </c>
      <c r="KI4" s="11" t="str">
        <f t="shared" ref="KI4:KI14" si="120">IF(JS4&gt;0,JS4,"")</f>
        <v/>
      </c>
      <c r="KJ4" s="11" t="str">
        <f t="shared" ref="KJ4:KJ14" si="121">IF(JT4&gt;0,JT4,"")</f>
        <v/>
      </c>
      <c r="KK4" s="11" t="str">
        <f t="shared" ref="KK4:KK14" si="122">IF(SUM(JQ4:JT4)-JU4&gt;0,SUM(JQ4:JT4)-JU4,"")</f>
        <v/>
      </c>
      <c r="KL4" s="11">
        <f t="shared" ref="KL4:KL14" si="123">IF(MAX(KH4,KK4)&gt;0,MAX(KH4,KK4),"")</f>
        <v>55.860000000000007</v>
      </c>
      <c r="KM4" s="11" t="str">
        <f t="shared" ref="KM4:KM14" si="124">IF(JX4&gt;0,JX4,"")</f>
        <v/>
      </c>
      <c r="KN4" s="11" t="str">
        <f t="shared" ref="KN4:KN14" si="125">IF(JY4&gt;0,JY4,"")</f>
        <v/>
      </c>
      <c r="KO4" s="11" t="str">
        <f t="shared" ref="KO4:KO14" si="126">IF(SUM(JV4:JY4)-JZ4&gt;0,SUM(JV4:JY4)-JZ4,"")</f>
        <v/>
      </c>
      <c r="KP4" s="11">
        <f t="shared" ref="KP4:KP14" si="127">IF(KC4&gt;0,KC4,"")</f>
        <v>14.9</v>
      </c>
      <c r="KQ4" s="11">
        <f t="shared" ref="KQ4:KQ14" si="128">IF(KD4&gt;0,KD4,"")</f>
        <v>15.25</v>
      </c>
      <c r="KR4" s="11">
        <f t="shared" ref="KR4:KR14" si="129">IF(SUM(KA4:KD4)-KE4&gt;0,SUM(KA4:KD4)-KE4,"")</f>
        <v>55.75</v>
      </c>
      <c r="KS4" s="11">
        <f t="shared" ref="KS4:KS14" si="130">IF(SUM(KL4,KO4,KR4)&gt;0,SUM(KL4,KO4,KR4),"")</f>
        <v>111.61000000000001</v>
      </c>
      <c r="KT4" s="15">
        <v>16.2</v>
      </c>
      <c r="KU4" s="15">
        <v>9.4</v>
      </c>
      <c r="KV4" s="15">
        <v>14.9</v>
      </c>
      <c r="KW4" s="15">
        <v>15.05</v>
      </c>
      <c r="KX4" s="15">
        <v>0</v>
      </c>
      <c r="KY4" s="15">
        <v>16.3</v>
      </c>
      <c r="KZ4" s="15">
        <v>9.5</v>
      </c>
      <c r="LA4" s="15">
        <v>14.9</v>
      </c>
      <c r="LB4" s="15">
        <v>15.52</v>
      </c>
      <c r="LC4" s="15">
        <v>0</v>
      </c>
      <c r="LD4" s="15">
        <v>15.6</v>
      </c>
      <c r="LE4" s="15">
        <v>9.4</v>
      </c>
      <c r="LF4" s="15">
        <v>14.5</v>
      </c>
      <c r="LG4" s="15">
        <v>15.01</v>
      </c>
      <c r="LH4" s="15">
        <v>0</v>
      </c>
      <c r="LI4" s="15">
        <v>16</v>
      </c>
      <c r="LJ4" s="15">
        <v>9.6</v>
      </c>
      <c r="LK4" s="15">
        <v>14.9</v>
      </c>
      <c r="LL4" s="15">
        <v>15.28</v>
      </c>
      <c r="LM4" s="15">
        <v>0</v>
      </c>
      <c r="LN4" s="36">
        <f t="shared" ref="LN4:LN14" si="131">IF(KV4&gt;0,KV4,"")</f>
        <v>14.9</v>
      </c>
      <c r="LO4" s="36">
        <f t="shared" ref="LO4:LO14" si="132">IF(KW4&gt;0,KW4,"")</f>
        <v>15.05</v>
      </c>
      <c r="LP4" s="36">
        <f t="shared" ref="LP4:LP14" si="133">IF(SUM(KT4:KW4)-KX4&gt;0,SUM(KT4:KW4)-KX4,"")</f>
        <v>55.55</v>
      </c>
      <c r="LQ4" s="36">
        <f t="shared" ref="LQ4:LQ14" si="134">IF(LA4&gt;0,LA4,"")</f>
        <v>14.9</v>
      </c>
      <c r="LR4" s="36">
        <f t="shared" ref="LR4:LR14" si="135">IF(LB4&gt;0,LB4,"")</f>
        <v>15.52</v>
      </c>
      <c r="LS4" s="36">
        <f t="shared" ref="LS4:LS14" si="136">IF(SUM(KY4:LB4)-LC4&gt;0,SUM(KY4:LB4)-LC4,"")</f>
        <v>56.22</v>
      </c>
      <c r="LT4" s="36">
        <f t="shared" ref="LT4:LT14" si="137">IF(MAX(LP4,LS4)&gt;0,MAX(LP4,LS4),"")</f>
        <v>56.22</v>
      </c>
      <c r="LU4" s="36">
        <f t="shared" ref="LU4:LU14" si="138">IF(LF4&gt;0,LF4,"")</f>
        <v>14.5</v>
      </c>
      <c r="LV4" s="36">
        <f t="shared" ref="LV4:LV14" si="139">IF(LG4&gt;0,LG4,"")</f>
        <v>15.01</v>
      </c>
      <c r="LW4" s="36">
        <f t="shared" ref="LW4:LW14" si="140">IF(SUM(LD4:LG4)-LH4&gt;0,SUM(LD4:LG4)-LH4,"")</f>
        <v>54.51</v>
      </c>
      <c r="LX4" s="36">
        <f t="shared" ref="LX4:LX14" si="141">IF(LK4&gt;0,LK4,"")</f>
        <v>14.9</v>
      </c>
      <c r="LY4" s="36">
        <f t="shared" ref="LY4:LY14" si="142">IF(LL4&gt;0,LL4,"")</f>
        <v>15.28</v>
      </c>
      <c r="LZ4" s="36">
        <f t="shared" ref="LZ4:LZ14" si="143">IF(SUM(LI4:LL4)-LM4&gt;0,SUM(LI4:LL4)-LM4,"")</f>
        <v>55.78</v>
      </c>
      <c r="MA4" s="36">
        <f t="shared" ref="MA4:MA14" si="144">IF(SUM(LT4,LW4,LZ4)&gt;0,SUM(LT4,LW4,LZ4),"")</f>
        <v>166.51</v>
      </c>
      <c r="MB4" s="16">
        <v>15.5</v>
      </c>
      <c r="MC4" s="16">
        <v>9.5</v>
      </c>
      <c r="MD4" s="16">
        <v>14.9</v>
      </c>
      <c r="ME4" s="16">
        <v>14.84</v>
      </c>
      <c r="MF4" s="16">
        <v>0</v>
      </c>
      <c r="MG4" s="16">
        <v>16.3</v>
      </c>
      <c r="MH4" s="16">
        <v>9.5</v>
      </c>
      <c r="MI4" s="16">
        <v>14.9</v>
      </c>
      <c r="MJ4" s="16">
        <v>15.08</v>
      </c>
      <c r="MK4" s="16">
        <v>0</v>
      </c>
      <c r="ML4" s="16">
        <v>16.2</v>
      </c>
      <c r="MM4" s="16">
        <v>9.1</v>
      </c>
      <c r="MN4" s="16">
        <v>14.9</v>
      </c>
      <c r="MO4" s="16">
        <v>15.29</v>
      </c>
      <c r="MP4" s="16">
        <v>0</v>
      </c>
      <c r="MQ4" s="16">
        <v>16.3</v>
      </c>
      <c r="MR4" s="16">
        <v>10</v>
      </c>
      <c r="MS4" s="16">
        <v>15.5</v>
      </c>
      <c r="MT4" s="16">
        <v>15.01</v>
      </c>
      <c r="MU4" s="16">
        <v>0</v>
      </c>
      <c r="MV4" s="11">
        <f t="shared" ref="MV4:MV14" si="145">IF(MD4&gt;0,MD4,"")</f>
        <v>14.9</v>
      </c>
      <c r="MW4" s="11">
        <f t="shared" ref="MW4:MW14" si="146">IF(ME4&gt;0,ME4,"")</f>
        <v>14.84</v>
      </c>
      <c r="MX4" s="11">
        <f t="shared" ref="MX4:MX14" si="147">IF(SUM(MB4:ME4)-MF4&gt;0,SUM(MB4:ME4)-MF4,"")</f>
        <v>54.739999999999995</v>
      </c>
      <c r="MY4" s="11">
        <f t="shared" ref="MY4:MY14" si="148">IF(MI4&gt;0,MI4,"")</f>
        <v>14.9</v>
      </c>
      <c r="MZ4" s="11">
        <f t="shared" ref="MZ4:MZ14" si="149">IF(MJ4&gt;0,MJ4,"")</f>
        <v>15.08</v>
      </c>
      <c r="NA4" s="11">
        <f t="shared" ref="NA4:NA14" si="150">IF(SUM(MG4:MJ4)-MK4&gt;0,SUM(MG4:MJ4)-MK4,"")</f>
        <v>55.78</v>
      </c>
      <c r="NB4" s="11">
        <f t="shared" ref="NB4:NB14" si="151">IF(MAX(MX4,NA4)&gt;0,MAX(MX4,NA4),"")</f>
        <v>55.78</v>
      </c>
      <c r="NC4" s="11">
        <f t="shared" ref="NC4:NC14" si="152">IF(MN4&gt;0,MN4,"")</f>
        <v>14.9</v>
      </c>
      <c r="ND4" s="11">
        <f t="shared" ref="ND4:ND14" si="153">IF(MO4&gt;0,MO4,"")</f>
        <v>15.29</v>
      </c>
      <c r="NE4" s="11">
        <f t="shared" ref="NE4:NE14" si="154">IF(SUM(ML4:MO4)-MP4&gt;0,SUM(ML4:MO4)-MP4,"")</f>
        <v>55.489999999999995</v>
      </c>
      <c r="NF4" s="11">
        <f t="shared" ref="NF4:NF14" si="155">IF(MS4&gt;0,MS4,"")</f>
        <v>15.5</v>
      </c>
      <c r="NG4" s="11">
        <f t="shared" ref="NG4:NG14" si="156">IF(MT4&gt;0,MT4,"")</f>
        <v>15.01</v>
      </c>
      <c r="NH4" s="11">
        <f t="shared" ref="NH4:NH14" si="157">IF(SUM(MQ4:MT4)-MU4&gt;0,SUM(MQ4:MT4)-MU4,"")</f>
        <v>56.809999999999995</v>
      </c>
      <c r="NI4" s="11">
        <f t="shared" ref="NI4:NI14" si="158">IF(SUM(NB4,NE4,NH4)&gt;0,SUM(NB4,NE4,NH4),"")</f>
        <v>168.07999999999998</v>
      </c>
      <c r="NJ4" s="15"/>
      <c r="NK4" s="15"/>
      <c r="NL4" s="15"/>
      <c r="NM4" s="15"/>
      <c r="NN4" s="15"/>
      <c r="NO4" s="15"/>
      <c r="NP4" s="15"/>
      <c r="NQ4" s="15"/>
      <c r="NR4" s="15"/>
      <c r="NS4" s="15"/>
      <c r="NT4" s="15"/>
      <c r="NU4" s="15"/>
      <c r="NV4" s="15"/>
      <c r="NW4" s="15"/>
      <c r="NX4" s="15"/>
      <c r="NY4" s="15">
        <v>16.3</v>
      </c>
      <c r="NZ4" s="15">
        <v>9</v>
      </c>
      <c r="OA4" s="15">
        <v>14.5</v>
      </c>
      <c r="OB4" s="15">
        <v>15.33</v>
      </c>
      <c r="OC4" s="15">
        <v>0</v>
      </c>
      <c r="OD4" s="36" t="str">
        <f t="shared" ref="OD4:OD14" si="159">IF(NL4&gt;0,NL4,"")</f>
        <v/>
      </c>
      <c r="OE4" s="36" t="str">
        <f t="shared" ref="OE4:OE14" si="160">IF(NM4&gt;0,NM4,"")</f>
        <v/>
      </c>
      <c r="OF4" s="36" t="str">
        <f t="shared" ref="OF4:OF14" si="161">IF(SUM(NJ4:NM4)-NN4&gt;0,SUM(NJ4:NM4)-NN4,"")</f>
        <v/>
      </c>
      <c r="OG4" s="36" t="str">
        <f t="shared" ref="OG4:OG14" si="162">IF(NQ4&gt;0,NQ4,"")</f>
        <v/>
      </c>
      <c r="OH4" s="36" t="str">
        <f t="shared" ref="OH4:OH14" si="163">IF(NR4&gt;0,NR4,"")</f>
        <v/>
      </c>
      <c r="OI4" s="36" t="str">
        <f t="shared" ref="OI4:OI14" si="164">IF(SUM(NO4:NR4)-NS4&gt;0,SUM(NO4:NR4)-NS4,"")</f>
        <v/>
      </c>
      <c r="OJ4" s="36" t="str">
        <f t="shared" ref="OJ4:OJ14" si="165">IF(MAX(OF4,OI4)&gt;0,MAX(OF4,OI4),"")</f>
        <v/>
      </c>
      <c r="OK4" s="36" t="str">
        <f t="shared" ref="OK4:OK14" si="166">IF(NV4&gt;0,NV4,"")</f>
        <v/>
      </c>
      <c r="OL4" s="36" t="str">
        <f t="shared" ref="OL4:OL14" si="167">IF(NW4&gt;0,NW4,"")</f>
        <v/>
      </c>
      <c r="OM4" s="36" t="str">
        <f t="shared" ref="OM4:OM14" si="168">IF(SUM(NT4:NW4)-NX4&gt;0,SUM(NT4:NW4)-NX4,"")</f>
        <v/>
      </c>
      <c r="ON4" s="36">
        <f t="shared" ref="ON4:ON14" si="169">IF(OA4&gt;0,OA4,"")</f>
        <v>14.5</v>
      </c>
      <c r="OO4" s="36">
        <f t="shared" ref="OO4:OO14" si="170">IF(OB4&gt;0,OB4,"")</f>
        <v>15.33</v>
      </c>
      <c r="OP4" s="36">
        <f t="shared" ref="OP4:OP14" si="171">IF(SUM(NY4:OB4)-OC4&gt;0,SUM(NY4:OB4)-OC4,"")</f>
        <v>55.129999999999995</v>
      </c>
      <c r="OQ4" s="36">
        <f t="shared" ref="OQ4:OQ14" si="172">IF(SUM(OJ4,OM4,OP4)&gt;0,SUM(OJ4,OM4,OP4),"")</f>
        <v>55.129999999999995</v>
      </c>
      <c r="OR4" s="16"/>
      <c r="OS4" s="16"/>
      <c r="OT4" s="16"/>
      <c r="OU4" s="16"/>
      <c r="OV4" s="16"/>
      <c r="OW4" s="16"/>
      <c r="OX4" s="16"/>
      <c r="OY4" s="16"/>
      <c r="OZ4" s="16"/>
      <c r="PA4" s="16"/>
      <c r="PB4" s="16"/>
      <c r="PC4" s="16"/>
      <c r="PD4" s="16"/>
      <c r="PE4" s="16"/>
      <c r="PF4" s="16"/>
      <c r="PG4" s="16"/>
      <c r="PH4" s="16"/>
      <c r="PI4" s="16"/>
      <c r="PJ4" s="16"/>
      <c r="PK4" s="16"/>
      <c r="PL4" s="11" t="str">
        <f t="shared" ref="PL4:PL14" si="173">IF(OT4&gt;0,OT4,"")</f>
        <v/>
      </c>
      <c r="PM4" s="11" t="str">
        <f t="shared" ref="PM4:PM14" si="174">IF(OU4&gt;0,OU4,"")</f>
        <v/>
      </c>
      <c r="PN4" s="11" t="str">
        <f t="shared" ref="PN4:PN14" si="175">IF(SUM(OR4:OU4)-OV4&gt;0,SUM(OR4:OU4)-OV4,"")</f>
        <v/>
      </c>
      <c r="PO4" s="11" t="str">
        <f t="shared" ref="PO4:PO14" si="176">IF(OY4&gt;0,OY4,"")</f>
        <v/>
      </c>
      <c r="PP4" s="11" t="str">
        <f t="shared" ref="PP4:PP14" si="177">IF(OZ4&gt;0,OZ4,"")</f>
        <v/>
      </c>
      <c r="PQ4" s="11" t="str">
        <f t="shared" ref="PQ4:PQ14" si="178">IF(SUM(OW4:OZ4)-PA4&gt;0,SUM(OW4:OZ4)-PA4,"")</f>
        <v/>
      </c>
      <c r="PR4" s="11" t="str">
        <f t="shared" ref="PR4:PR14" si="179">IF(MAX(PN4,PQ4)&gt;0,MAX(PN4,PQ4),"")</f>
        <v/>
      </c>
      <c r="PS4" s="11" t="str">
        <f t="shared" ref="PS4:PS14" si="180">IF(PD4&gt;0,PD4,"")</f>
        <v/>
      </c>
      <c r="PT4" s="11" t="str">
        <f t="shared" ref="PT4:PT14" si="181">IF(PE4&gt;0,PE4,"")</f>
        <v/>
      </c>
      <c r="PU4" s="11" t="str">
        <f t="shared" ref="PU4:PU14" si="182">IF(SUM(PB4:PE4)-PF4&gt;0,SUM(PB4:PE4)-PF4,"")</f>
        <v/>
      </c>
      <c r="PV4" s="11" t="str">
        <f t="shared" ref="PV4:PV14" si="183">IF(PI4&gt;0,PI4,"")</f>
        <v/>
      </c>
      <c r="PW4" s="11" t="str">
        <f t="shared" ref="PW4:PW14" si="184">IF(PJ4&gt;0,PJ4,"")</f>
        <v/>
      </c>
      <c r="PX4" s="11" t="str">
        <f t="shared" ref="PX4:PX14" si="185">IF(SUM(PG4:PJ4)-PK4&gt;0,SUM(PG4:PJ4)-PK4,"")</f>
        <v/>
      </c>
      <c r="PY4" s="11" t="str">
        <f t="shared" ref="PY4:PY14" si="186">IF(SUM(PR4,PU4,PX4)&gt;0,SUM(PR4,PU4,PX4),"")</f>
        <v/>
      </c>
      <c r="PZ4" s="15"/>
      <c r="QA4" s="15"/>
      <c r="QB4" s="15"/>
      <c r="QC4" s="15"/>
      <c r="QD4" s="15"/>
      <c r="QE4" s="15"/>
      <c r="QF4" s="15"/>
      <c r="QG4" s="15"/>
      <c r="QH4" s="15"/>
      <c r="QI4" s="15"/>
      <c r="QJ4" s="15"/>
      <c r="QK4" s="15"/>
      <c r="QL4" s="15"/>
      <c r="QM4" s="15"/>
      <c r="QN4" s="15"/>
      <c r="QO4" s="15"/>
      <c r="QP4" s="15"/>
      <c r="QQ4" s="15"/>
      <c r="QR4" s="15"/>
      <c r="QS4" s="15"/>
      <c r="QT4" s="36" t="str">
        <f t="shared" ref="QT4:QT14" si="187">IF(QB4&gt;0,QB4,"")</f>
        <v/>
      </c>
      <c r="QU4" s="36" t="str">
        <f t="shared" ref="QU4:QU14" si="188">IF(QC4&gt;0,QC4,"")</f>
        <v/>
      </c>
      <c r="QV4" s="36" t="str">
        <f t="shared" ref="QV4:QV14" si="189">IF(SUM(PZ4:QC4)-QD4&gt;0,SUM(PZ4:QC4)-QD4,"")</f>
        <v/>
      </c>
      <c r="QW4" s="36" t="str">
        <f t="shared" ref="QW4:QW14" si="190">IF(QG4&gt;0,QG4,"")</f>
        <v/>
      </c>
      <c r="QX4" s="36" t="str">
        <f t="shared" ref="QX4:QX14" si="191">IF(QH4&gt;0,QH4,"")</f>
        <v/>
      </c>
      <c r="QY4" s="36" t="str">
        <f t="shared" ref="QY4:QY14" si="192">IF(SUM(QE4:QH4)-QI4&gt;0,SUM(QE4:QH4)-QI4,"")</f>
        <v/>
      </c>
      <c r="QZ4" s="36" t="str">
        <f t="shared" ref="QZ4:QZ14" si="193">IF(MAX(QV4,QY4)&gt;0,MAX(QV4,QY4),"")</f>
        <v/>
      </c>
      <c r="RA4" s="36" t="str">
        <f t="shared" ref="RA4:RA14" si="194">IF(QL4&gt;0,QL4,"")</f>
        <v/>
      </c>
      <c r="RB4" s="36" t="str">
        <f t="shared" ref="RB4:RB14" si="195">IF(QM4&gt;0,QM4,"")</f>
        <v/>
      </c>
      <c r="RC4" s="36" t="str">
        <f t="shared" ref="RC4:RC14" si="196">IF(SUM(QJ4:QM4)-QN4&gt;0,SUM(QJ4:QM4)-QN4,"")</f>
        <v/>
      </c>
      <c r="RD4" s="36" t="str">
        <f t="shared" ref="RD4:RD14" si="197">IF(QQ4&gt;0,QQ4,"")</f>
        <v/>
      </c>
      <c r="RE4" s="36" t="str">
        <f t="shared" ref="RE4:RE14" si="198">IF(QR4&gt;0,QR4,"")</f>
        <v/>
      </c>
      <c r="RF4" s="36" t="str">
        <f t="shared" ref="RF4:RF14" si="199">IF(SUM(QO4:QR4)-QS4&gt;0,SUM(QO4:QR4)-QS4,"")</f>
        <v/>
      </c>
      <c r="RG4" s="36" t="str">
        <f t="shared" ref="RG4:RG14" si="200">IF(SUM(QZ4,RC4,RF4)&gt;0,SUM(QZ4,RC4,RF4),"")</f>
        <v/>
      </c>
      <c r="RH4" s="16"/>
      <c r="RI4" s="16"/>
      <c r="RJ4" s="16"/>
      <c r="RK4" s="16"/>
      <c r="RL4" s="16"/>
      <c r="RM4" s="16"/>
      <c r="RN4" s="16"/>
      <c r="RO4" s="16"/>
      <c r="RP4" s="16"/>
      <c r="RQ4" s="16"/>
      <c r="RR4" s="16"/>
      <c r="RS4" s="16"/>
      <c r="RT4" s="16"/>
      <c r="RU4" s="16"/>
      <c r="RV4" s="16"/>
      <c r="RW4" s="16"/>
      <c r="RX4" s="16"/>
      <c r="RY4" s="16"/>
      <c r="RZ4" s="16"/>
      <c r="SA4" s="16"/>
      <c r="SB4" s="11" t="str">
        <f t="shared" ref="SB4:SB14" si="201">IF(RJ4&gt;0,RJ4,"")</f>
        <v/>
      </c>
      <c r="SC4" s="11" t="str">
        <f t="shared" ref="SC4:SC14" si="202">IF(RK4&gt;0,RK4,"")</f>
        <v/>
      </c>
      <c r="SD4" s="11" t="str">
        <f t="shared" ref="SD4:SD14" si="203">IF(SUM(RH4:RK4)-RL4&gt;0,SUM(RH4:RK4)-RL4,"")</f>
        <v/>
      </c>
      <c r="SE4" s="11" t="str">
        <f t="shared" ref="SE4:SE14" si="204">IF(RO4&gt;0,RO4,"")</f>
        <v/>
      </c>
      <c r="SF4" s="11" t="str">
        <f t="shared" ref="SF4:SF14" si="205">IF(RP4&gt;0,RP4,"")</f>
        <v/>
      </c>
      <c r="SG4" s="11" t="str">
        <f t="shared" ref="SG4:SG14" si="206">IF(SUM(RM4:RP4)-RQ4&gt;0,SUM(RM4:RP4)-RQ4,"")</f>
        <v/>
      </c>
      <c r="SH4" s="11" t="str">
        <f t="shared" ref="SH4:SH14" si="207">IF(MAX(SD4,SG4)&gt;0,MAX(SD4,SG4),"")</f>
        <v/>
      </c>
      <c r="SI4" s="11" t="str">
        <f t="shared" ref="SI4:SI14" si="208">IF(RT4&gt;0,RT4,"")</f>
        <v/>
      </c>
      <c r="SJ4" s="11" t="str">
        <f t="shared" ref="SJ4:SJ14" si="209">IF(RU4&gt;0,RU4,"")</f>
        <v/>
      </c>
      <c r="SK4" s="11" t="str">
        <f t="shared" ref="SK4:SK14" si="210">IF(SUM(RR4:RU4)-RV4&gt;0,SUM(RR4:RU4)-RV4,"")</f>
        <v/>
      </c>
      <c r="SL4" s="11" t="str">
        <f t="shared" ref="SL4:SL14" si="211">IF(RY4&gt;0,RY4,"")</f>
        <v/>
      </c>
      <c r="SM4" s="11" t="str">
        <f t="shared" ref="SM4:SM14" si="212">IF(RZ4&gt;0,RZ4,"")</f>
        <v/>
      </c>
      <c r="SN4" s="11" t="str">
        <f t="shared" ref="SN4:SN14" si="213">IF(SUM(RW4:RZ4)-SA4&gt;0,SUM(RW4:RZ4)-SA4,"")</f>
        <v/>
      </c>
      <c r="SO4" s="11" t="str">
        <f t="shared" ref="SO4:SO14" si="214">IF(SUM(SH4,SK4,SN4)&gt;0,SUM(SH4,SK4,SN4),"")</f>
        <v/>
      </c>
      <c r="SP4" s="15"/>
      <c r="SQ4" s="15"/>
      <c r="SR4" s="15"/>
      <c r="SS4" s="15"/>
      <c r="ST4" s="15"/>
      <c r="SU4" s="15"/>
      <c r="SV4" s="15"/>
      <c r="SW4" s="15"/>
      <c r="SX4" s="15"/>
      <c r="SY4" s="15"/>
      <c r="SZ4" s="15"/>
      <c r="TA4" s="15"/>
      <c r="TB4" s="15"/>
      <c r="TC4" s="15"/>
      <c r="TD4" s="15"/>
      <c r="TE4" s="15"/>
      <c r="TF4" s="15"/>
      <c r="TG4" s="15"/>
      <c r="TH4" s="15"/>
      <c r="TI4" s="15"/>
      <c r="TJ4" s="36" t="str">
        <f t="shared" ref="TJ4:TJ14" si="215">IF(SR4&gt;0,SR4,"")</f>
        <v/>
      </c>
      <c r="TK4" s="36" t="str">
        <f t="shared" ref="TK4:TK14" si="216">IF(SS4&gt;0,SS4,"")</f>
        <v/>
      </c>
      <c r="TL4" s="36" t="str">
        <f t="shared" ref="TL4:TL14" si="217">IF(SUM(SP4:SS4)-ST4&gt;0,SUM(SP4:SS4)-ST4,"")</f>
        <v/>
      </c>
      <c r="TM4" s="36" t="str">
        <f t="shared" ref="TM4:TM14" si="218">IF(SW4&gt;0,SW4,"")</f>
        <v/>
      </c>
      <c r="TN4" s="36" t="str">
        <f t="shared" ref="TN4:TN14" si="219">IF(SX4&gt;0,SX4,"")</f>
        <v/>
      </c>
      <c r="TO4" s="36" t="str">
        <f t="shared" ref="TO4:TO14" si="220">IF(SUM(SU4:SX4)-SY4&gt;0,SUM(SU4:SX4)-SY4,"")</f>
        <v/>
      </c>
      <c r="TP4" s="36" t="str">
        <f t="shared" ref="TP4:TP14" si="221">IF(MAX(TL4,TO4)&gt;0,MAX(TL4,TO4),"")</f>
        <v/>
      </c>
      <c r="TQ4" s="36" t="str">
        <f t="shared" ref="TQ4:TQ14" si="222">IF(TB4&gt;0,TB4,"")</f>
        <v/>
      </c>
      <c r="TR4" s="36" t="str">
        <f t="shared" ref="TR4:TR14" si="223">IF(TC4&gt;0,TC4,"")</f>
        <v/>
      </c>
      <c r="TS4" s="36" t="str">
        <f t="shared" ref="TS4:TS14" si="224">IF(SUM(SZ4:TC4)-TD4&gt;0,SUM(SZ4:TC4)-TD4,"")</f>
        <v/>
      </c>
      <c r="TT4" s="36" t="str">
        <f t="shared" ref="TT4:TT14" si="225">IF(TG4&gt;0,TG4,"")</f>
        <v/>
      </c>
      <c r="TU4" s="36" t="str">
        <f t="shared" ref="TU4:TU14" si="226">IF(TH4&gt;0,TH4,"")</f>
        <v/>
      </c>
      <c r="TV4" s="36" t="str">
        <f t="shared" ref="TV4:TV14" si="227">IF(SUM(TE4:TH4)-TI4&gt;0,SUM(TE4:TH4)-TI4,"")</f>
        <v/>
      </c>
      <c r="TW4" s="36" t="str">
        <f t="shared" ref="TW4:TW14" si="228">IF(SUM(TP4,TS4,TV4)&gt;0,SUM(TP4,TS4,TV4),"")</f>
        <v/>
      </c>
      <c r="TX4" s="16"/>
      <c r="TY4" s="16"/>
      <c r="TZ4" s="16"/>
      <c r="UA4" s="16"/>
      <c r="UB4" s="16"/>
      <c r="UC4" s="16"/>
      <c r="UD4" s="16"/>
      <c r="UE4" s="16"/>
      <c r="UF4" s="16"/>
      <c r="UG4" s="16"/>
      <c r="UH4" s="16"/>
      <c r="UI4" s="16"/>
      <c r="UJ4" s="16"/>
      <c r="UK4" s="16"/>
      <c r="UL4" s="16"/>
      <c r="UM4" s="16"/>
      <c r="UN4" s="16"/>
      <c r="UO4" s="16"/>
      <c r="UP4" s="16"/>
      <c r="UQ4" s="16"/>
      <c r="UR4" s="11" t="str">
        <f t="shared" ref="UR4:UR14" si="229">IF(TZ4&gt;0,TZ4,"")</f>
        <v/>
      </c>
      <c r="US4" s="11" t="str">
        <f t="shared" ref="US4:US14" si="230">IF(UA4&gt;0,UA4,"")</f>
        <v/>
      </c>
      <c r="UT4" s="11" t="str">
        <f t="shared" ref="UT4:UT14" si="231">IF(SUM(TX4:UA4)-UB4&gt;0,SUM(TX4:UA4)-UB4,"")</f>
        <v/>
      </c>
      <c r="UU4" s="11" t="str">
        <f t="shared" ref="UU4:UU14" si="232">IF(UE4&gt;0,UE4,"")</f>
        <v/>
      </c>
      <c r="UV4" s="11" t="str">
        <f t="shared" ref="UV4:UV14" si="233">IF(UF4&gt;0,UF4,"")</f>
        <v/>
      </c>
      <c r="UW4" s="11" t="str">
        <f t="shared" ref="UW4:UW14" si="234">IF(SUM(UC4:UF4)-UG4&gt;0,SUM(UC4:UF4)-UG4,"")</f>
        <v/>
      </c>
      <c r="UX4" s="11" t="str">
        <f t="shared" ref="UX4:UX14" si="235">IF(MAX(UT4,UW4)&gt;0,MAX(UT4,UW4),"")</f>
        <v/>
      </c>
      <c r="UY4" s="11" t="str">
        <f t="shared" ref="UY4:UY14" si="236">IF(UJ4&gt;0,UJ4,"")</f>
        <v/>
      </c>
      <c r="UZ4" s="11" t="str">
        <f t="shared" ref="UZ4:UZ14" si="237">IF(UK4&gt;0,UK4,"")</f>
        <v/>
      </c>
      <c r="VA4" s="11" t="str">
        <f t="shared" ref="VA4:VA14" si="238">IF(SUM(UH4:UK4)-UL4&gt;0,SUM(UH4:UK4)-UL4,"")</f>
        <v/>
      </c>
      <c r="VB4" s="11" t="str">
        <f t="shared" ref="VB4:VB14" si="239">IF(UO4&gt;0,UO4,"")</f>
        <v/>
      </c>
      <c r="VC4" s="11" t="str">
        <f t="shared" ref="VC4:VC14" si="240">IF(UP4&gt;0,UP4,"")</f>
        <v/>
      </c>
      <c r="VD4" s="11" t="str">
        <f t="shared" ref="VD4:VD14" si="241">IF(SUM(UM4:UP4)-UQ4&gt;0,SUM(UM4:UP4)-UQ4,"")</f>
        <v/>
      </c>
      <c r="VE4" s="11" t="str">
        <f t="shared" ref="VE4:VE14" si="242">IF(SUM(UX4,VA4,VD4)&gt;0,SUM(UX4,VA4,VD4),"")</f>
        <v/>
      </c>
      <c r="VF4" s="15"/>
      <c r="VG4" s="15"/>
      <c r="VH4" s="15"/>
      <c r="VI4" s="15"/>
      <c r="VJ4" s="15"/>
      <c r="VK4" s="15"/>
      <c r="VL4" s="15"/>
      <c r="VM4" s="15"/>
      <c r="VN4" s="15"/>
      <c r="VO4" s="15"/>
      <c r="VP4" s="15"/>
      <c r="VQ4" s="15"/>
      <c r="VR4" s="15"/>
      <c r="VS4" s="15"/>
      <c r="VT4" s="15"/>
      <c r="VU4" s="15"/>
      <c r="VV4" s="15"/>
      <c r="VW4" s="15"/>
      <c r="VX4" s="15"/>
      <c r="VY4" s="15"/>
      <c r="VZ4" s="36" t="str">
        <f t="shared" ref="VZ4:VZ14" si="243">IF(VH4&gt;0,VH4,"")</f>
        <v/>
      </c>
      <c r="WA4" s="36" t="str">
        <f t="shared" ref="WA4:WA14" si="244">IF(VI4&gt;0,VI4,"")</f>
        <v/>
      </c>
      <c r="WB4" s="36" t="str">
        <f t="shared" ref="WB4:WB14" si="245">IF(SUM(VF4:VI4)-VJ4&gt;0,SUM(VF4:VI4)-VJ4,"")</f>
        <v/>
      </c>
      <c r="WC4" s="36" t="str">
        <f t="shared" ref="WC4:WC14" si="246">IF(VM4&gt;0,VM4,"")</f>
        <v/>
      </c>
      <c r="WD4" s="36" t="str">
        <f t="shared" ref="WD4:WD14" si="247">IF(VN4&gt;0,VN4,"")</f>
        <v/>
      </c>
      <c r="WE4" s="36" t="str">
        <f t="shared" ref="WE4:WE14" si="248">IF(SUM(VK4:VN4)-VO4&gt;0,SUM(VK4:VN4)-VO4,"")</f>
        <v/>
      </c>
      <c r="WF4" s="36" t="str">
        <f t="shared" ref="WF4:WF14" si="249">IF(MAX(WB4,WE4)&gt;0,MAX(WB4,WE4),"")</f>
        <v/>
      </c>
      <c r="WG4" s="36" t="str">
        <f t="shared" ref="WG4:WG14" si="250">IF(VR4&gt;0,VR4,"")</f>
        <v/>
      </c>
      <c r="WH4" s="36" t="str">
        <f t="shared" ref="WH4:WH14" si="251">IF(VS4&gt;0,VS4,"")</f>
        <v/>
      </c>
      <c r="WI4" s="36" t="str">
        <f t="shared" ref="WI4:WI14" si="252">IF(SUM(VP4:VS4)-VT4&gt;0,SUM(VP4:VS4)-VT4,"")</f>
        <v/>
      </c>
      <c r="WJ4" s="36" t="str">
        <f t="shared" ref="WJ4:WJ14" si="253">IF(VW4&gt;0,VW4,"")</f>
        <v/>
      </c>
      <c r="WK4" s="36" t="str">
        <f t="shared" ref="WK4:WK14" si="254">IF(VX4&gt;0,VX4,"")</f>
        <v/>
      </c>
      <c r="WL4" s="36" t="str">
        <f t="shared" ref="WL4:WL14" si="255">IF(SUM(VU4:VX4)-VY4&gt;0,SUM(VU4:VX4)-VY4,"")</f>
        <v/>
      </c>
      <c r="WM4" s="36" t="str">
        <f t="shared" ref="WM4:WM14" si="256">IF(SUM(WF4,WI4,WL4)&gt;0,SUM(WF4,WI4,WL4),"")</f>
        <v/>
      </c>
    </row>
    <row r="5" spans="1:611" x14ac:dyDescent="0.2">
      <c r="A5" s="4" cm="1">
        <f t="array" ref="A5">IF(AND(H5&lt;&gt;"",H5&lt;&gt;"No DD"),SUMPRODUCT((H$4:H$15&lt;&gt;"")*(H$4:H$15&lt;&gt;"No DD")*(E$4:E$15&gt;E5))+1,IF(H5="No DD",SUMPRODUCT((H$4:H$15="No DD")*(E$4:E$15&gt;E5))+1+SUMPRODUCT((H$4:H$15&lt;&gt;"")*(H$4:H$15&lt;&gt;"No DD")),""))</f>
        <v>2</v>
      </c>
      <c r="B5" s="5" t="s">
        <v>76</v>
      </c>
      <c r="C5" s="4" t="s">
        <v>3</v>
      </c>
      <c r="D5" s="4">
        <v>2001</v>
      </c>
      <c r="E5" s="9">
        <f t="shared" si="0"/>
        <v>163.61001636100553</v>
      </c>
      <c r="F5" s="3" t="str">
        <f t="shared" si="1"/>
        <v>P</v>
      </c>
      <c r="G5" s="3" t="str">
        <f t="shared" si="2"/>
        <v>P</v>
      </c>
      <c r="H5" s="32" t="str">
        <f t="shared" si="3"/>
        <v>National Team</v>
      </c>
      <c r="I5" s="3" t="str">
        <f t="shared" si="4"/>
        <v/>
      </c>
      <c r="J5" s="8">
        <f t="shared" si="5"/>
        <v>55.029999999999994</v>
      </c>
      <c r="K5" s="8" t="str">
        <f t="shared" si="6"/>
        <v>2025 3rd Domestic Trial</v>
      </c>
      <c r="L5" s="8">
        <f>IFERROR(IF(J5=AR5,LARGE((AK5,AN5,BL5,BO5,BS5,CM5,CP5,CT5),1),IF(J5=BS5,LARGE((AK5,AN5,AR5,BL5,BO5,CM5,CP5,CT5),1),LARGE((AK5,AN5,AR5,BL5,BO5,BS5,CM5,CP5),1))),0)</f>
        <v>54.510000000000005</v>
      </c>
      <c r="M5" s="8" t="str">
        <f t="shared" si="7"/>
        <v>2025 3rd Domestic Trial</v>
      </c>
      <c r="N5" s="8">
        <f>IFERROR(IF(J5=AR5,LARGE((AK5,AN5,BL5,BO5,BS5,CM5,CP5,CT5),2),IF(J5=BS5,LARGE((AK5,AN5,AR5,BL5,BO5,CM5,CP5,CT5),2),LARGE((AK5,AN5,AR5,BL5,BO5,BS5,CM5,CP5),2))),0)</f>
        <v>54.070000000000007</v>
      </c>
      <c r="O5" s="8" t="str">
        <f t="shared" si="8"/>
        <v>2025 3rd Domestic Trial</v>
      </c>
      <c r="P5" s="8">
        <f t="shared" si="9"/>
        <v>0</v>
      </c>
      <c r="Q5" s="11" t="str">
        <f t="shared" si="10"/>
        <v/>
      </c>
      <c r="R5" s="8" t="str">
        <f t="shared" si="11"/>
        <v/>
      </c>
      <c r="S5" s="18">
        <v>15.7</v>
      </c>
      <c r="T5" s="18">
        <v>8.8000000000000007</v>
      </c>
      <c r="U5" s="18">
        <v>14.3</v>
      </c>
      <c r="V5" s="18">
        <v>14.75</v>
      </c>
      <c r="W5" s="18">
        <v>0</v>
      </c>
      <c r="X5" s="18">
        <v>14.7</v>
      </c>
      <c r="Y5" s="18">
        <v>9.1</v>
      </c>
      <c r="Z5" s="18">
        <v>14.3</v>
      </c>
      <c r="AA5" s="18">
        <v>14.91</v>
      </c>
      <c r="AB5" s="18">
        <v>0.4</v>
      </c>
      <c r="AC5" s="18">
        <v>14.1</v>
      </c>
      <c r="AD5" s="18">
        <v>9</v>
      </c>
      <c r="AE5" s="18">
        <v>14.3</v>
      </c>
      <c r="AF5" s="18">
        <v>14.76</v>
      </c>
      <c r="AG5" s="18">
        <v>0</v>
      </c>
      <c r="AH5" s="23"/>
      <c r="AI5" s="34">
        <f t="shared" si="12"/>
        <v>14.3</v>
      </c>
      <c r="AJ5" s="34">
        <f t="shared" si="13"/>
        <v>14.75</v>
      </c>
      <c r="AK5" s="36">
        <f t="shared" si="14"/>
        <v>53.55</v>
      </c>
      <c r="AL5" s="36">
        <f t="shared" si="15"/>
        <v>14.3</v>
      </c>
      <c r="AM5" s="36">
        <f t="shared" si="16"/>
        <v>14.91</v>
      </c>
      <c r="AN5" s="36">
        <f t="shared" si="17"/>
        <v>52.609999999999992</v>
      </c>
      <c r="AO5" s="36">
        <f t="shared" si="18"/>
        <v>53.55</v>
      </c>
      <c r="AP5" s="36">
        <f t="shared" si="19"/>
        <v>14.3</v>
      </c>
      <c r="AQ5" s="36">
        <f t="shared" si="20"/>
        <v>14.76</v>
      </c>
      <c r="AR5" s="36">
        <f t="shared" si="21"/>
        <v>52.160000000000004</v>
      </c>
      <c r="AS5" s="36">
        <f t="shared" si="22"/>
        <v>105.71000000000001</v>
      </c>
      <c r="AT5" s="22">
        <v>2.2999999999999998</v>
      </c>
      <c r="AU5" s="22">
        <v>1.7</v>
      </c>
      <c r="AV5" s="22">
        <v>3.3</v>
      </c>
      <c r="AW5" s="22">
        <v>3.13</v>
      </c>
      <c r="AX5" s="22">
        <v>0</v>
      </c>
      <c r="AY5" s="22">
        <v>13.4</v>
      </c>
      <c r="AZ5" s="22">
        <v>8.9</v>
      </c>
      <c r="BA5" s="22">
        <v>12</v>
      </c>
      <c r="BB5" s="22">
        <v>13.95</v>
      </c>
      <c r="BC5" s="22">
        <v>0.7</v>
      </c>
      <c r="BD5" s="22">
        <v>14.9</v>
      </c>
      <c r="BE5" s="22">
        <v>8.9</v>
      </c>
      <c r="BF5" s="22">
        <v>14.3</v>
      </c>
      <c r="BG5" s="22">
        <v>14.72</v>
      </c>
      <c r="BH5" s="22">
        <v>0.6</v>
      </c>
      <c r="BI5" s="24"/>
      <c r="BJ5" s="35">
        <f t="shared" si="23"/>
        <v>3.3</v>
      </c>
      <c r="BK5" s="35">
        <f t="shared" si="24"/>
        <v>3.13</v>
      </c>
      <c r="BL5" s="11">
        <f t="shared" si="25"/>
        <v>10.43</v>
      </c>
      <c r="BM5" s="11">
        <f t="shared" si="26"/>
        <v>12</v>
      </c>
      <c r="BN5" s="11">
        <f t="shared" si="27"/>
        <v>13.95</v>
      </c>
      <c r="BO5" s="11">
        <f t="shared" si="28"/>
        <v>47.55</v>
      </c>
      <c r="BP5" s="11">
        <f t="shared" si="29"/>
        <v>47.55</v>
      </c>
      <c r="BQ5" s="11">
        <f t="shared" si="30"/>
        <v>14.3</v>
      </c>
      <c r="BR5" s="11">
        <f t="shared" si="31"/>
        <v>14.72</v>
      </c>
      <c r="BS5" s="11">
        <f t="shared" si="32"/>
        <v>52.22</v>
      </c>
      <c r="BT5" s="11">
        <f t="shared" si="33"/>
        <v>99.77</v>
      </c>
      <c r="BU5" s="18">
        <v>15.2</v>
      </c>
      <c r="BV5" s="18">
        <v>8.9</v>
      </c>
      <c r="BW5" s="18">
        <v>14.3</v>
      </c>
      <c r="BX5" s="18">
        <v>15.67</v>
      </c>
      <c r="BY5" s="18">
        <v>0</v>
      </c>
      <c r="BZ5" s="18">
        <v>14.3</v>
      </c>
      <c r="CA5" s="18">
        <v>9.3000000000000007</v>
      </c>
      <c r="CB5" s="18">
        <v>14.9</v>
      </c>
      <c r="CC5" s="18">
        <v>16.010000000000002</v>
      </c>
      <c r="CD5" s="18">
        <v>0</v>
      </c>
      <c r="CE5" s="18">
        <v>15.1</v>
      </c>
      <c r="CF5" s="18">
        <v>9.1999999999999993</v>
      </c>
      <c r="CG5" s="18">
        <v>14.3</v>
      </c>
      <c r="CH5" s="18">
        <v>16.43</v>
      </c>
      <c r="CI5" s="18">
        <v>0</v>
      </c>
      <c r="CJ5" s="23"/>
      <c r="CK5" s="34">
        <f t="shared" si="34"/>
        <v>14.3</v>
      </c>
      <c r="CL5" s="34">
        <f t="shared" si="35"/>
        <v>15.67</v>
      </c>
      <c r="CM5" s="36">
        <f t="shared" si="36"/>
        <v>54.070000000000007</v>
      </c>
      <c r="CN5" s="36">
        <f t="shared" si="37"/>
        <v>14.9</v>
      </c>
      <c r="CO5" s="36">
        <f t="shared" si="38"/>
        <v>16.010000000000002</v>
      </c>
      <c r="CP5" s="36">
        <f t="shared" si="39"/>
        <v>54.510000000000005</v>
      </c>
      <c r="CQ5" s="36">
        <f t="shared" si="40"/>
        <v>54.510000000000005</v>
      </c>
      <c r="CR5" s="36">
        <f t="shared" si="41"/>
        <v>14.3</v>
      </c>
      <c r="CS5" s="36">
        <f t="shared" si="42"/>
        <v>16.43</v>
      </c>
      <c r="CT5" s="36">
        <f t="shared" si="43"/>
        <v>55.029999999999994</v>
      </c>
      <c r="CU5" s="36">
        <f t="shared" si="44"/>
        <v>109.53999999999999</v>
      </c>
      <c r="CV5" s="47" t="str">
        <f t="shared" si="45"/>
        <v/>
      </c>
      <c r="CW5" s="47" t="str">
        <f t="shared" si="46"/>
        <v/>
      </c>
      <c r="CX5" s="15"/>
      <c r="CY5" s="15"/>
      <c r="CZ5" s="15"/>
      <c r="DA5" s="15"/>
      <c r="DB5" s="15"/>
      <c r="DC5" s="15"/>
      <c r="DD5" s="15"/>
      <c r="DE5" s="15"/>
      <c r="DF5" s="15"/>
      <c r="DG5" s="15"/>
      <c r="DH5" s="15"/>
      <c r="DI5" s="15"/>
      <c r="DJ5" s="15"/>
      <c r="DK5" s="15"/>
      <c r="DL5" s="15"/>
      <c r="DM5" s="15"/>
      <c r="DN5" s="15"/>
      <c r="DO5" s="15"/>
      <c r="DP5" s="15"/>
      <c r="DQ5" s="15"/>
      <c r="DR5" s="36" t="str">
        <f t="shared" si="47"/>
        <v/>
      </c>
      <c r="DS5" s="36" t="str">
        <f t="shared" si="48"/>
        <v/>
      </c>
      <c r="DT5" s="36" t="str">
        <f t="shared" si="49"/>
        <v/>
      </c>
      <c r="DU5" s="36" t="str">
        <f t="shared" si="50"/>
        <v/>
      </c>
      <c r="DV5" s="36" t="str">
        <f t="shared" si="51"/>
        <v/>
      </c>
      <c r="DW5" s="36" t="str">
        <f t="shared" si="52"/>
        <v/>
      </c>
      <c r="DX5" s="36" t="str">
        <f t="shared" si="53"/>
        <v/>
      </c>
      <c r="DY5" s="36" t="str">
        <f t="shared" si="54"/>
        <v/>
      </c>
      <c r="DZ5" s="36" t="str">
        <f t="shared" si="55"/>
        <v/>
      </c>
      <c r="EA5" s="36" t="str">
        <f t="shared" si="56"/>
        <v/>
      </c>
      <c r="EB5" s="36" t="str">
        <f t="shared" si="57"/>
        <v/>
      </c>
      <c r="EC5" s="36" t="str">
        <f t="shared" si="58"/>
        <v/>
      </c>
      <c r="ED5" s="36" t="str">
        <f t="shared" si="59"/>
        <v/>
      </c>
      <c r="EE5" s="36" t="str">
        <f t="shared" si="60"/>
        <v/>
      </c>
      <c r="EF5" s="16"/>
      <c r="EG5" s="16"/>
      <c r="EH5" s="16"/>
      <c r="EI5" s="16"/>
      <c r="EJ5" s="16"/>
      <c r="EK5" s="16"/>
      <c r="EL5" s="16"/>
      <c r="EM5" s="16"/>
      <c r="EN5" s="16"/>
      <c r="EO5" s="16"/>
      <c r="EP5" s="16"/>
      <c r="EQ5" s="16"/>
      <c r="ER5" s="16"/>
      <c r="ES5" s="16"/>
      <c r="ET5" s="16"/>
      <c r="EU5" s="16"/>
      <c r="EV5" s="16"/>
      <c r="EW5" s="16"/>
      <c r="EX5" s="16"/>
      <c r="EY5" s="16"/>
      <c r="EZ5" s="11" t="str">
        <f t="shared" si="61"/>
        <v/>
      </c>
      <c r="FA5" s="11" t="str">
        <f t="shared" si="62"/>
        <v/>
      </c>
      <c r="FB5" s="11" t="str">
        <f t="shared" si="63"/>
        <v/>
      </c>
      <c r="FC5" s="11" t="str">
        <f t="shared" si="64"/>
        <v/>
      </c>
      <c r="FD5" s="11" t="str">
        <f t="shared" si="65"/>
        <v/>
      </c>
      <c r="FE5" s="11" t="str">
        <f t="shared" si="66"/>
        <v/>
      </c>
      <c r="FF5" s="11" t="str">
        <f t="shared" si="67"/>
        <v/>
      </c>
      <c r="FG5" s="11" t="str">
        <f t="shared" si="68"/>
        <v/>
      </c>
      <c r="FH5" s="11" t="str">
        <f t="shared" si="69"/>
        <v/>
      </c>
      <c r="FI5" s="11" t="str">
        <f t="shared" si="70"/>
        <v/>
      </c>
      <c r="FJ5" s="11" t="str">
        <f t="shared" si="71"/>
        <v/>
      </c>
      <c r="FK5" s="11" t="str">
        <f t="shared" si="72"/>
        <v/>
      </c>
      <c r="FL5" s="11" t="str">
        <f t="shared" si="73"/>
        <v/>
      </c>
      <c r="FM5" s="11" t="str">
        <f t="shared" si="74"/>
        <v/>
      </c>
      <c r="FN5" s="15"/>
      <c r="FO5" s="15"/>
      <c r="FP5" s="15"/>
      <c r="FQ5" s="15"/>
      <c r="FR5" s="15"/>
      <c r="FS5" s="15"/>
      <c r="FT5" s="15"/>
      <c r="FU5" s="15"/>
      <c r="FV5" s="15"/>
      <c r="FW5" s="15"/>
      <c r="FX5" s="15"/>
      <c r="FY5" s="15"/>
      <c r="FZ5" s="15"/>
      <c r="GA5" s="15"/>
      <c r="GB5" s="15"/>
      <c r="GC5" s="15"/>
      <c r="GD5" s="15"/>
      <c r="GE5" s="15"/>
      <c r="GF5" s="15"/>
      <c r="GG5" s="15"/>
      <c r="GH5" s="36" t="str">
        <f t="shared" si="75"/>
        <v/>
      </c>
      <c r="GI5" s="36" t="str">
        <f t="shared" si="76"/>
        <v/>
      </c>
      <c r="GJ5" s="36" t="str">
        <f t="shared" si="77"/>
        <v/>
      </c>
      <c r="GK5" s="36" t="str">
        <f t="shared" si="78"/>
        <v/>
      </c>
      <c r="GL5" s="36" t="str">
        <f t="shared" si="79"/>
        <v/>
      </c>
      <c r="GM5" s="36" t="str">
        <f t="shared" si="80"/>
        <v/>
      </c>
      <c r="GN5" s="36" t="str">
        <f t="shared" si="81"/>
        <v/>
      </c>
      <c r="GO5" s="36" t="str">
        <f t="shared" si="82"/>
        <v/>
      </c>
      <c r="GP5" s="36" t="str">
        <f t="shared" si="83"/>
        <v/>
      </c>
      <c r="GQ5" s="36" t="str">
        <f t="shared" si="84"/>
        <v/>
      </c>
      <c r="GR5" s="36" t="str">
        <f t="shared" si="85"/>
        <v/>
      </c>
      <c r="GS5" s="36" t="str">
        <f t="shared" si="86"/>
        <v/>
      </c>
      <c r="GT5" s="36" t="str">
        <f t="shared" si="87"/>
        <v/>
      </c>
      <c r="GU5" s="36" t="str">
        <f t="shared" si="88"/>
        <v/>
      </c>
      <c r="GV5" s="16"/>
      <c r="GW5" s="16"/>
      <c r="GX5" s="16"/>
      <c r="GY5" s="16"/>
      <c r="GZ5" s="16"/>
      <c r="HA5" s="16"/>
      <c r="HB5" s="16"/>
      <c r="HC5" s="16"/>
      <c r="HD5" s="16"/>
      <c r="HE5" s="16"/>
      <c r="HF5" s="16"/>
      <c r="HG5" s="16"/>
      <c r="HH5" s="16"/>
      <c r="HI5" s="16"/>
      <c r="HJ5" s="16"/>
      <c r="HK5" s="16"/>
      <c r="HL5" s="16"/>
      <c r="HM5" s="16"/>
      <c r="HN5" s="16"/>
      <c r="HO5" s="16"/>
      <c r="HP5" s="11" t="str">
        <f t="shared" si="89"/>
        <v/>
      </c>
      <c r="HQ5" s="11" t="str">
        <f t="shared" si="90"/>
        <v/>
      </c>
      <c r="HR5" s="11" t="str">
        <f t="shared" si="91"/>
        <v/>
      </c>
      <c r="HS5" s="11" t="str">
        <f t="shared" si="92"/>
        <v/>
      </c>
      <c r="HT5" s="11" t="str">
        <f t="shared" si="93"/>
        <v/>
      </c>
      <c r="HU5" s="11" t="str">
        <f t="shared" si="94"/>
        <v/>
      </c>
      <c r="HV5" s="11" t="str">
        <f t="shared" si="95"/>
        <v/>
      </c>
      <c r="HW5" s="11" t="str">
        <f t="shared" si="96"/>
        <v/>
      </c>
      <c r="HX5" s="11" t="str">
        <f t="shared" si="97"/>
        <v/>
      </c>
      <c r="HY5" s="11" t="str">
        <f t="shared" si="98"/>
        <v/>
      </c>
      <c r="HZ5" s="11" t="str">
        <f t="shared" si="99"/>
        <v/>
      </c>
      <c r="IA5" s="11" t="str">
        <f t="shared" si="100"/>
        <v/>
      </c>
      <c r="IB5" s="11" t="str">
        <f t="shared" si="101"/>
        <v/>
      </c>
      <c r="IC5" s="11" t="str">
        <f t="shared" si="102"/>
        <v/>
      </c>
      <c r="ID5" s="15"/>
      <c r="IE5" s="15"/>
      <c r="IF5" s="15"/>
      <c r="IG5" s="15"/>
      <c r="IH5" s="15"/>
      <c r="II5" s="15"/>
      <c r="IJ5" s="15"/>
      <c r="IK5" s="15"/>
      <c r="IL5" s="15"/>
      <c r="IM5" s="15"/>
      <c r="IN5" s="15"/>
      <c r="IO5" s="15"/>
      <c r="IP5" s="15"/>
      <c r="IQ5" s="15"/>
      <c r="IR5" s="15"/>
      <c r="IS5" s="15"/>
      <c r="IT5" s="15"/>
      <c r="IU5" s="15"/>
      <c r="IV5" s="15"/>
      <c r="IW5" s="15"/>
      <c r="IX5" s="36" t="str">
        <f t="shared" si="103"/>
        <v/>
      </c>
      <c r="IY5" s="36" t="str">
        <f t="shared" si="104"/>
        <v/>
      </c>
      <c r="IZ5" s="36" t="str">
        <f t="shared" si="105"/>
        <v/>
      </c>
      <c r="JA5" s="36" t="str">
        <f t="shared" si="106"/>
        <v/>
      </c>
      <c r="JB5" s="36" t="str">
        <f t="shared" si="107"/>
        <v/>
      </c>
      <c r="JC5" s="36" t="str">
        <f t="shared" si="108"/>
        <v/>
      </c>
      <c r="JD5" s="36" t="str">
        <f t="shared" si="109"/>
        <v/>
      </c>
      <c r="JE5" s="36" t="str">
        <f t="shared" si="110"/>
        <v/>
      </c>
      <c r="JF5" s="36" t="str">
        <f t="shared" si="111"/>
        <v/>
      </c>
      <c r="JG5" s="36" t="str">
        <f t="shared" si="112"/>
        <v/>
      </c>
      <c r="JH5" s="36" t="str">
        <f t="shared" si="113"/>
        <v/>
      </c>
      <c r="JI5" s="36" t="str">
        <f t="shared" si="114"/>
        <v/>
      </c>
      <c r="JJ5" s="36" t="str">
        <f t="shared" si="115"/>
        <v/>
      </c>
      <c r="JK5" s="36" t="str">
        <f t="shared" si="116"/>
        <v/>
      </c>
      <c r="JL5" s="16">
        <v>14.6</v>
      </c>
      <c r="JM5" s="16">
        <v>9.6</v>
      </c>
      <c r="JN5" s="16">
        <v>14.3</v>
      </c>
      <c r="JO5" s="16">
        <v>15.18</v>
      </c>
      <c r="JP5" s="16">
        <v>0.2</v>
      </c>
      <c r="JQ5" s="16">
        <v>1.4</v>
      </c>
      <c r="JR5" s="16">
        <v>1</v>
      </c>
      <c r="JS5" s="16">
        <v>2</v>
      </c>
      <c r="JT5" s="16">
        <v>1.68</v>
      </c>
      <c r="JU5" s="16">
        <v>0</v>
      </c>
      <c r="JV5" s="16"/>
      <c r="JW5" s="16"/>
      <c r="JX5" s="16"/>
      <c r="JY5" s="16"/>
      <c r="JZ5" s="16"/>
      <c r="KA5" s="16"/>
      <c r="KB5" s="16"/>
      <c r="KC5" s="16"/>
      <c r="KD5" s="16"/>
      <c r="KE5" s="16"/>
      <c r="KF5" s="11">
        <f t="shared" si="117"/>
        <v>14.3</v>
      </c>
      <c r="KG5" s="11">
        <f t="shared" si="118"/>
        <v>15.18</v>
      </c>
      <c r="KH5" s="11">
        <f t="shared" si="119"/>
        <v>53.48</v>
      </c>
      <c r="KI5" s="11">
        <f t="shared" si="120"/>
        <v>2</v>
      </c>
      <c r="KJ5" s="11">
        <f t="shared" si="121"/>
        <v>1.68</v>
      </c>
      <c r="KK5" s="11">
        <f t="shared" si="122"/>
        <v>6.08</v>
      </c>
      <c r="KL5" s="11">
        <f t="shared" si="123"/>
        <v>53.48</v>
      </c>
      <c r="KM5" s="11" t="str">
        <f t="shared" si="124"/>
        <v/>
      </c>
      <c r="KN5" s="11" t="str">
        <f t="shared" si="125"/>
        <v/>
      </c>
      <c r="KO5" s="11" t="str">
        <f t="shared" si="126"/>
        <v/>
      </c>
      <c r="KP5" s="11" t="str">
        <f t="shared" si="127"/>
        <v/>
      </c>
      <c r="KQ5" s="11" t="str">
        <f t="shared" si="128"/>
        <v/>
      </c>
      <c r="KR5" s="11" t="str">
        <f t="shared" si="129"/>
        <v/>
      </c>
      <c r="KS5" s="11">
        <f t="shared" si="130"/>
        <v>53.48</v>
      </c>
      <c r="KT5" s="15">
        <v>11.2</v>
      </c>
      <c r="KU5" s="15">
        <v>7.5</v>
      </c>
      <c r="KV5" s="15">
        <v>11</v>
      </c>
      <c r="KW5" s="15">
        <v>11.88</v>
      </c>
      <c r="KX5" s="15">
        <v>0</v>
      </c>
      <c r="KY5" s="15">
        <v>0</v>
      </c>
      <c r="KZ5" s="15">
        <v>0</v>
      </c>
      <c r="LA5" s="15">
        <v>0</v>
      </c>
      <c r="LB5" s="15">
        <v>0</v>
      </c>
      <c r="LC5" s="15">
        <v>0</v>
      </c>
      <c r="LD5" s="15"/>
      <c r="LE5" s="15"/>
      <c r="LF5" s="15"/>
      <c r="LG5" s="15"/>
      <c r="LH5" s="15"/>
      <c r="LI5" s="15"/>
      <c r="LJ5" s="15"/>
      <c r="LK5" s="15"/>
      <c r="LL5" s="15"/>
      <c r="LM5" s="15"/>
      <c r="LN5" s="36">
        <f t="shared" si="131"/>
        <v>11</v>
      </c>
      <c r="LO5" s="36">
        <f t="shared" si="132"/>
        <v>11.88</v>
      </c>
      <c r="LP5" s="36">
        <f t="shared" si="133"/>
        <v>41.58</v>
      </c>
      <c r="LQ5" s="36" t="str">
        <f t="shared" si="134"/>
        <v/>
      </c>
      <c r="LR5" s="36" t="str">
        <f t="shared" si="135"/>
        <v/>
      </c>
      <c r="LS5" s="36" t="str">
        <f t="shared" si="136"/>
        <v/>
      </c>
      <c r="LT5" s="36">
        <f t="shared" si="137"/>
        <v>41.58</v>
      </c>
      <c r="LU5" s="36" t="str">
        <f t="shared" si="138"/>
        <v/>
      </c>
      <c r="LV5" s="36" t="str">
        <f t="shared" si="139"/>
        <v/>
      </c>
      <c r="LW5" s="36" t="str">
        <f t="shared" si="140"/>
        <v/>
      </c>
      <c r="LX5" s="36" t="str">
        <f t="shared" si="141"/>
        <v/>
      </c>
      <c r="LY5" s="36" t="str">
        <f t="shared" si="142"/>
        <v/>
      </c>
      <c r="LZ5" s="36" t="str">
        <f t="shared" si="143"/>
        <v/>
      </c>
      <c r="MA5" s="36">
        <f t="shared" si="144"/>
        <v>41.58</v>
      </c>
      <c r="MB5" s="16">
        <v>14.3</v>
      </c>
      <c r="MC5" s="16">
        <v>9.3000000000000007</v>
      </c>
      <c r="MD5" s="16">
        <v>14.3</v>
      </c>
      <c r="ME5" s="16">
        <v>15.03</v>
      </c>
      <c r="MF5" s="16">
        <v>0</v>
      </c>
      <c r="MG5" s="16">
        <v>13.6</v>
      </c>
      <c r="MH5" s="16">
        <v>8.8000000000000007</v>
      </c>
      <c r="MI5" s="16">
        <v>14.3</v>
      </c>
      <c r="MJ5" s="16">
        <v>15.65</v>
      </c>
      <c r="MK5" s="16">
        <v>0</v>
      </c>
      <c r="ML5" s="16"/>
      <c r="MM5" s="16"/>
      <c r="MN5" s="16"/>
      <c r="MO5" s="16"/>
      <c r="MP5" s="16"/>
      <c r="MQ5" s="16"/>
      <c r="MR5" s="16"/>
      <c r="MS5" s="16"/>
      <c r="MT5" s="16"/>
      <c r="MU5" s="16"/>
      <c r="MV5" s="11">
        <f t="shared" si="145"/>
        <v>14.3</v>
      </c>
      <c r="MW5" s="11">
        <f t="shared" si="146"/>
        <v>15.03</v>
      </c>
      <c r="MX5" s="11">
        <f t="shared" si="147"/>
        <v>52.930000000000007</v>
      </c>
      <c r="MY5" s="11">
        <f t="shared" si="148"/>
        <v>14.3</v>
      </c>
      <c r="MZ5" s="11">
        <f t="shared" si="149"/>
        <v>15.65</v>
      </c>
      <c r="NA5" s="11">
        <f t="shared" si="150"/>
        <v>52.35</v>
      </c>
      <c r="NB5" s="11">
        <f t="shared" si="151"/>
        <v>52.930000000000007</v>
      </c>
      <c r="NC5" s="11" t="str">
        <f t="shared" si="152"/>
        <v/>
      </c>
      <c r="ND5" s="11" t="str">
        <f t="shared" si="153"/>
        <v/>
      </c>
      <c r="NE5" s="11" t="str">
        <f t="shared" si="154"/>
        <v/>
      </c>
      <c r="NF5" s="11" t="str">
        <f t="shared" si="155"/>
        <v/>
      </c>
      <c r="NG5" s="11" t="str">
        <f t="shared" si="156"/>
        <v/>
      </c>
      <c r="NH5" s="11" t="str">
        <f t="shared" si="157"/>
        <v/>
      </c>
      <c r="NI5" s="11">
        <f t="shared" si="158"/>
        <v>52.930000000000007</v>
      </c>
      <c r="NJ5" s="15"/>
      <c r="NK5" s="15"/>
      <c r="NL5" s="15"/>
      <c r="NM5" s="15"/>
      <c r="NN5" s="15"/>
      <c r="NO5" s="15"/>
      <c r="NP5" s="15"/>
      <c r="NQ5" s="15"/>
      <c r="NR5" s="15"/>
      <c r="NS5" s="15"/>
      <c r="NT5" s="15"/>
      <c r="NU5" s="15"/>
      <c r="NV5" s="15"/>
      <c r="NW5" s="15"/>
      <c r="NX5" s="15"/>
      <c r="NY5" s="15">
        <v>13.8</v>
      </c>
      <c r="NZ5" s="15">
        <v>9.1999999999999993</v>
      </c>
      <c r="OA5" s="15">
        <v>14.3</v>
      </c>
      <c r="OB5" s="15">
        <v>14.97</v>
      </c>
      <c r="OC5" s="15">
        <v>0</v>
      </c>
      <c r="OD5" s="36" t="str">
        <f t="shared" si="159"/>
        <v/>
      </c>
      <c r="OE5" s="36" t="str">
        <f t="shared" si="160"/>
        <v/>
      </c>
      <c r="OF5" s="36" t="str">
        <f t="shared" si="161"/>
        <v/>
      </c>
      <c r="OG5" s="36" t="str">
        <f t="shared" si="162"/>
        <v/>
      </c>
      <c r="OH5" s="36" t="str">
        <f t="shared" si="163"/>
        <v/>
      </c>
      <c r="OI5" s="36" t="str">
        <f t="shared" si="164"/>
        <v/>
      </c>
      <c r="OJ5" s="36" t="str">
        <f t="shared" si="165"/>
        <v/>
      </c>
      <c r="OK5" s="36" t="str">
        <f t="shared" si="166"/>
        <v/>
      </c>
      <c r="OL5" s="36" t="str">
        <f t="shared" si="167"/>
        <v/>
      </c>
      <c r="OM5" s="36" t="str">
        <f t="shared" si="168"/>
        <v/>
      </c>
      <c r="ON5" s="36">
        <f t="shared" si="169"/>
        <v>14.3</v>
      </c>
      <c r="OO5" s="36">
        <f t="shared" si="170"/>
        <v>14.97</v>
      </c>
      <c r="OP5" s="36">
        <f t="shared" si="171"/>
        <v>52.269999999999996</v>
      </c>
      <c r="OQ5" s="36">
        <f t="shared" si="172"/>
        <v>52.269999999999996</v>
      </c>
      <c r="OR5" s="16"/>
      <c r="OS5" s="16"/>
      <c r="OT5" s="16"/>
      <c r="OU5" s="16"/>
      <c r="OV5" s="16"/>
      <c r="OW5" s="16"/>
      <c r="OX5" s="16"/>
      <c r="OY5" s="16"/>
      <c r="OZ5" s="16"/>
      <c r="PA5" s="16"/>
      <c r="PB5" s="16"/>
      <c r="PC5" s="16"/>
      <c r="PD5" s="16"/>
      <c r="PE5" s="16"/>
      <c r="PF5" s="16"/>
      <c r="PG5" s="16"/>
      <c r="PH5" s="16"/>
      <c r="PI5" s="16"/>
      <c r="PJ5" s="16"/>
      <c r="PK5" s="16"/>
      <c r="PL5" s="11" t="str">
        <f t="shared" si="173"/>
        <v/>
      </c>
      <c r="PM5" s="11" t="str">
        <f t="shared" si="174"/>
        <v/>
      </c>
      <c r="PN5" s="11" t="str">
        <f t="shared" si="175"/>
        <v/>
      </c>
      <c r="PO5" s="11" t="str">
        <f t="shared" si="176"/>
        <v/>
      </c>
      <c r="PP5" s="11" t="str">
        <f t="shared" si="177"/>
        <v/>
      </c>
      <c r="PQ5" s="11" t="str">
        <f t="shared" si="178"/>
        <v/>
      </c>
      <c r="PR5" s="11" t="str">
        <f t="shared" si="179"/>
        <v/>
      </c>
      <c r="PS5" s="11" t="str">
        <f t="shared" si="180"/>
        <v/>
      </c>
      <c r="PT5" s="11" t="str">
        <f t="shared" si="181"/>
        <v/>
      </c>
      <c r="PU5" s="11" t="str">
        <f t="shared" si="182"/>
        <v/>
      </c>
      <c r="PV5" s="11" t="str">
        <f t="shared" si="183"/>
        <v/>
      </c>
      <c r="PW5" s="11" t="str">
        <f t="shared" si="184"/>
        <v/>
      </c>
      <c r="PX5" s="11" t="str">
        <f t="shared" si="185"/>
        <v/>
      </c>
      <c r="PY5" s="11" t="str">
        <f t="shared" si="186"/>
        <v/>
      </c>
      <c r="PZ5" s="15"/>
      <c r="QA5" s="15"/>
      <c r="QB5" s="15"/>
      <c r="QC5" s="15"/>
      <c r="QD5" s="15"/>
      <c r="QE5" s="15"/>
      <c r="QF5" s="15"/>
      <c r="QG5" s="15"/>
      <c r="QH5" s="15"/>
      <c r="QI5" s="15"/>
      <c r="QJ5" s="15"/>
      <c r="QK5" s="15"/>
      <c r="QL5" s="15"/>
      <c r="QM5" s="15"/>
      <c r="QN5" s="15"/>
      <c r="QO5" s="15"/>
      <c r="QP5" s="15"/>
      <c r="QQ5" s="15"/>
      <c r="QR5" s="15"/>
      <c r="QS5" s="15"/>
      <c r="QT5" s="36" t="str">
        <f t="shared" si="187"/>
        <v/>
      </c>
      <c r="QU5" s="36" t="str">
        <f t="shared" si="188"/>
        <v/>
      </c>
      <c r="QV5" s="36" t="str">
        <f t="shared" si="189"/>
        <v/>
      </c>
      <c r="QW5" s="36" t="str">
        <f t="shared" si="190"/>
        <v/>
      </c>
      <c r="QX5" s="36" t="str">
        <f t="shared" si="191"/>
        <v/>
      </c>
      <c r="QY5" s="36" t="str">
        <f t="shared" si="192"/>
        <v/>
      </c>
      <c r="QZ5" s="36" t="str">
        <f t="shared" si="193"/>
        <v/>
      </c>
      <c r="RA5" s="36" t="str">
        <f t="shared" si="194"/>
        <v/>
      </c>
      <c r="RB5" s="36" t="str">
        <f t="shared" si="195"/>
        <v/>
      </c>
      <c r="RC5" s="36" t="str">
        <f t="shared" si="196"/>
        <v/>
      </c>
      <c r="RD5" s="36" t="str">
        <f t="shared" si="197"/>
        <v/>
      </c>
      <c r="RE5" s="36" t="str">
        <f t="shared" si="198"/>
        <v/>
      </c>
      <c r="RF5" s="36" t="str">
        <f t="shared" si="199"/>
        <v/>
      </c>
      <c r="RG5" s="36" t="str">
        <f t="shared" si="200"/>
        <v/>
      </c>
      <c r="RH5" s="16"/>
      <c r="RI5" s="16"/>
      <c r="RJ5" s="16"/>
      <c r="RK5" s="16"/>
      <c r="RL5" s="16"/>
      <c r="RM5" s="16"/>
      <c r="RN5" s="16"/>
      <c r="RO5" s="16"/>
      <c r="RP5" s="16"/>
      <c r="RQ5" s="16"/>
      <c r="RR5" s="16"/>
      <c r="RS5" s="16"/>
      <c r="RT5" s="16"/>
      <c r="RU5" s="16"/>
      <c r="RV5" s="16"/>
      <c r="RW5" s="16"/>
      <c r="RX5" s="16"/>
      <c r="RY5" s="16"/>
      <c r="RZ5" s="16"/>
      <c r="SA5" s="16"/>
      <c r="SB5" s="11" t="str">
        <f t="shared" si="201"/>
        <v/>
      </c>
      <c r="SC5" s="11" t="str">
        <f t="shared" si="202"/>
        <v/>
      </c>
      <c r="SD5" s="11" t="str">
        <f t="shared" si="203"/>
        <v/>
      </c>
      <c r="SE5" s="11" t="str">
        <f t="shared" si="204"/>
        <v/>
      </c>
      <c r="SF5" s="11" t="str">
        <f t="shared" si="205"/>
        <v/>
      </c>
      <c r="SG5" s="11" t="str">
        <f t="shared" si="206"/>
        <v/>
      </c>
      <c r="SH5" s="11" t="str">
        <f t="shared" si="207"/>
        <v/>
      </c>
      <c r="SI5" s="11" t="str">
        <f t="shared" si="208"/>
        <v/>
      </c>
      <c r="SJ5" s="11" t="str">
        <f t="shared" si="209"/>
        <v/>
      </c>
      <c r="SK5" s="11" t="str">
        <f t="shared" si="210"/>
        <v/>
      </c>
      <c r="SL5" s="11" t="str">
        <f t="shared" si="211"/>
        <v/>
      </c>
      <c r="SM5" s="11" t="str">
        <f t="shared" si="212"/>
        <v/>
      </c>
      <c r="SN5" s="11" t="str">
        <f t="shared" si="213"/>
        <v/>
      </c>
      <c r="SO5" s="11" t="str">
        <f t="shared" si="214"/>
        <v/>
      </c>
      <c r="SP5" s="15"/>
      <c r="SQ5" s="15"/>
      <c r="SR5" s="15"/>
      <c r="SS5" s="15"/>
      <c r="ST5" s="15"/>
      <c r="SU5" s="15"/>
      <c r="SV5" s="15"/>
      <c r="SW5" s="15"/>
      <c r="SX5" s="15"/>
      <c r="SY5" s="15"/>
      <c r="SZ5" s="15"/>
      <c r="TA5" s="15"/>
      <c r="TB5" s="15"/>
      <c r="TC5" s="15"/>
      <c r="TD5" s="15"/>
      <c r="TE5" s="15"/>
      <c r="TF5" s="15"/>
      <c r="TG5" s="15"/>
      <c r="TH5" s="15"/>
      <c r="TI5" s="15"/>
      <c r="TJ5" s="36" t="str">
        <f t="shared" si="215"/>
        <v/>
      </c>
      <c r="TK5" s="36" t="str">
        <f t="shared" si="216"/>
        <v/>
      </c>
      <c r="TL5" s="36" t="str">
        <f t="shared" si="217"/>
        <v/>
      </c>
      <c r="TM5" s="36" t="str">
        <f t="shared" si="218"/>
        <v/>
      </c>
      <c r="TN5" s="36" t="str">
        <f t="shared" si="219"/>
        <v/>
      </c>
      <c r="TO5" s="36" t="str">
        <f t="shared" si="220"/>
        <v/>
      </c>
      <c r="TP5" s="36" t="str">
        <f t="shared" si="221"/>
        <v/>
      </c>
      <c r="TQ5" s="36" t="str">
        <f t="shared" si="222"/>
        <v/>
      </c>
      <c r="TR5" s="36" t="str">
        <f t="shared" si="223"/>
        <v/>
      </c>
      <c r="TS5" s="36" t="str">
        <f t="shared" si="224"/>
        <v/>
      </c>
      <c r="TT5" s="36" t="str">
        <f t="shared" si="225"/>
        <v/>
      </c>
      <c r="TU5" s="36" t="str">
        <f t="shared" si="226"/>
        <v/>
      </c>
      <c r="TV5" s="36" t="str">
        <f t="shared" si="227"/>
        <v/>
      </c>
      <c r="TW5" s="36" t="str">
        <f t="shared" si="228"/>
        <v/>
      </c>
      <c r="TX5" s="16"/>
      <c r="TY5" s="16"/>
      <c r="TZ5" s="16"/>
      <c r="UA5" s="16"/>
      <c r="UB5" s="16"/>
      <c r="UC5" s="16"/>
      <c r="UD5" s="16"/>
      <c r="UE5" s="16"/>
      <c r="UF5" s="16"/>
      <c r="UG5" s="16"/>
      <c r="UH5" s="16"/>
      <c r="UI5" s="16"/>
      <c r="UJ5" s="16"/>
      <c r="UK5" s="16"/>
      <c r="UL5" s="16"/>
      <c r="UM5" s="16"/>
      <c r="UN5" s="16"/>
      <c r="UO5" s="16"/>
      <c r="UP5" s="16"/>
      <c r="UQ5" s="16"/>
      <c r="UR5" s="11" t="str">
        <f t="shared" si="229"/>
        <v/>
      </c>
      <c r="US5" s="11" t="str">
        <f t="shared" si="230"/>
        <v/>
      </c>
      <c r="UT5" s="11" t="str">
        <f t="shared" si="231"/>
        <v/>
      </c>
      <c r="UU5" s="11" t="str">
        <f t="shared" si="232"/>
        <v/>
      </c>
      <c r="UV5" s="11" t="str">
        <f t="shared" si="233"/>
        <v/>
      </c>
      <c r="UW5" s="11" t="str">
        <f t="shared" si="234"/>
        <v/>
      </c>
      <c r="UX5" s="11" t="str">
        <f t="shared" si="235"/>
        <v/>
      </c>
      <c r="UY5" s="11" t="str">
        <f t="shared" si="236"/>
        <v/>
      </c>
      <c r="UZ5" s="11" t="str">
        <f t="shared" si="237"/>
        <v/>
      </c>
      <c r="VA5" s="11" t="str">
        <f t="shared" si="238"/>
        <v/>
      </c>
      <c r="VB5" s="11" t="str">
        <f t="shared" si="239"/>
        <v/>
      </c>
      <c r="VC5" s="11" t="str">
        <f t="shared" si="240"/>
        <v/>
      </c>
      <c r="VD5" s="11" t="str">
        <f t="shared" si="241"/>
        <v/>
      </c>
      <c r="VE5" s="11" t="str">
        <f t="shared" si="242"/>
        <v/>
      </c>
      <c r="VF5" s="15"/>
      <c r="VG5" s="15"/>
      <c r="VH5" s="15"/>
      <c r="VI5" s="15"/>
      <c r="VJ5" s="15"/>
      <c r="VK5" s="15"/>
      <c r="VL5" s="15"/>
      <c r="VM5" s="15"/>
      <c r="VN5" s="15"/>
      <c r="VO5" s="15"/>
      <c r="VP5" s="15"/>
      <c r="VQ5" s="15"/>
      <c r="VR5" s="15"/>
      <c r="VS5" s="15"/>
      <c r="VT5" s="15"/>
      <c r="VU5" s="15"/>
      <c r="VV5" s="15"/>
      <c r="VW5" s="15"/>
      <c r="VX5" s="15"/>
      <c r="VY5" s="15"/>
      <c r="VZ5" s="36" t="str">
        <f t="shared" si="243"/>
        <v/>
      </c>
      <c r="WA5" s="36" t="str">
        <f t="shared" si="244"/>
        <v/>
      </c>
      <c r="WB5" s="36" t="str">
        <f t="shared" si="245"/>
        <v/>
      </c>
      <c r="WC5" s="36" t="str">
        <f t="shared" si="246"/>
        <v/>
      </c>
      <c r="WD5" s="36" t="str">
        <f t="shared" si="247"/>
        <v/>
      </c>
      <c r="WE5" s="36" t="str">
        <f t="shared" si="248"/>
        <v/>
      </c>
      <c r="WF5" s="36" t="str">
        <f t="shared" si="249"/>
        <v/>
      </c>
      <c r="WG5" s="36" t="str">
        <f t="shared" si="250"/>
        <v/>
      </c>
      <c r="WH5" s="36" t="str">
        <f t="shared" si="251"/>
        <v/>
      </c>
      <c r="WI5" s="36" t="str">
        <f t="shared" si="252"/>
        <v/>
      </c>
      <c r="WJ5" s="36" t="str">
        <f t="shared" si="253"/>
        <v/>
      </c>
      <c r="WK5" s="36" t="str">
        <f t="shared" si="254"/>
        <v/>
      </c>
      <c r="WL5" s="36" t="str">
        <f t="shared" si="255"/>
        <v/>
      </c>
      <c r="WM5" s="36" t="str">
        <f t="shared" si="256"/>
        <v/>
      </c>
    </row>
    <row r="6" spans="1:611" x14ac:dyDescent="0.2">
      <c r="A6" s="4" cm="1">
        <f t="array" ref="A6">IF(AND(H6&lt;&gt;"",H6&lt;&gt;"No DD"),SUMPRODUCT((H$4:H$15&lt;&gt;"")*(H$4:H$15&lt;&gt;"No DD")*(E$4:E$15&gt;E6))+1,IF(H6="No DD",SUMPRODUCT((H$4:H$15="No DD")*(E$4:E$15&gt;E6))+1+SUMPRODUCT((H$4:H$15&lt;&gt;"")*(H$4:H$15&lt;&gt;"No DD")),""))</f>
        <v>3</v>
      </c>
      <c r="B6" s="5" t="s">
        <v>24</v>
      </c>
      <c r="C6" s="4" t="s">
        <v>7</v>
      </c>
      <c r="D6" s="4">
        <v>1997</v>
      </c>
      <c r="E6" s="9">
        <f t="shared" si="0"/>
        <v>163.5700161120055</v>
      </c>
      <c r="F6" s="3" t="str">
        <f t="shared" si="1"/>
        <v>P</v>
      </c>
      <c r="G6" s="3" t="str">
        <f t="shared" si="2"/>
        <v>P</v>
      </c>
      <c r="H6" s="32" t="str">
        <f t="shared" si="3"/>
        <v>National Team</v>
      </c>
      <c r="I6" s="3" t="str">
        <f t="shared" si="4"/>
        <v/>
      </c>
      <c r="J6" s="8">
        <f t="shared" si="5"/>
        <v>52.760000000000005</v>
      </c>
      <c r="K6" s="8" t="str">
        <f t="shared" si="6"/>
        <v>2025 Elite Canada</v>
      </c>
      <c r="L6" s="8">
        <f>IFERROR(IF(J6=AR6,LARGE((AK6,AN6,BL6,BO6,BS6,CM6,CP6,CT6),1),IF(J6=BS6,LARGE((AK6,AN6,AR6,BL6,BO6,CM6,CP6,CT6),1),LARGE((AK6,AN6,AR6,BL6,BO6,BS6,CM6,CP6),1))),0)</f>
        <v>55.150000000000006</v>
      </c>
      <c r="M6" s="8" t="str">
        <f t="shared" si="7"/>
        <v>2025 Nationals</v>
      </c>
      <c r="N6" s="8">
        <f>IFERROR(IF(J6=AR6,LARGE((AK6,AN6,BL6,BO6,BS6,CM6,CP6,CT6),2),IF(J6=BS6,LARGE((AK6,AN6,AR6,BL6,BO6,CM6,CP6,CT6),2),LARGE((AK6,AN6,AR6,BL6,BO6,BS6,CM6,CP6),2))),0)</f>
        <v>53.21</v>
      </c>
      <c r="O6" s="8" t="str">
        <f t="shared" si="8"/>
        <v>2025 Elite Canada</v>
      </c>
      <c r="P6" s="8">
        <f t="shared" si="9"/>
        <v>2.4500000000000028</v>
      </c>
      <c r="Q6" s="11" t="str">
        <f t="shared" si="10"/>
        <v>(Any)</v>
      </c>
      <c r="R6" s="8" t="str">
        <f t="shared" si="11"/>
        <v>2025 World Cup GER (Sept 21)</v>
      </c>
      <c r="S6" s="18">
        <v>15.7</v>
      </c>
      <c r="T6" s="18">
        <v>9.3000000000000007</v>
      </c>
      <c r="U6" s="18">
        <v>13.6</v>
      </c>
      <c r="V6" s="18">
        <v>14.61</v>
      </c>
      <c r="W6" s="18">
        <v>0</v>
      </c>
      <c r="X6" s="18">
        <v>3.4</v>
      </c>
      <c r="Y6" s="18">
        <v>2</v>
      </c>
      <c r="Z6" s="18">
        <v>3.3</v>
      </c>
      <c r="AA6" s="18">
        <v>3.23</v>
      </c>
      <c r="AB6" s="18">
        <v>0</v>
      </c>
      <c r="AC6" s="18">
        <v>15.3</v>
      </c>
      <c r="AD6" s="18">
        <v>9.5</v>
      </c>
      <c r="AE6" s="18">
        <v>13.4</v>
      </c>
      <c r="AF6" s="18">
        <v>14.56</v>
      </c>
      <c r="AG6" s="18">
        <v>0</v>
      </c>
      <c r="AH6" s="23"/>
      <c r="AI6" s="34">
        <f t="shared" si="12"/>
        <v>13.6</v>
      </c>
      <c r="AJ6" s="34">
        <f t="shared" si="13"/>
        <v>14.61</v>
      </c>
      <c r="AK6" s="36">
        <f t="shared" si="14"/>
        <v>53.21</v>
      </c>
      <c r="AL6" s="36">
        <f t="shared" si="15"/>
        <v>3.3</v>
      </c>
      <c r="AM6" s="36">
        <f t="shared" si="16"/>
        <v>3.23</v>
      </c>
      <c r="AN6" s="36">
        <f t="shared" si="17"/>
        <v>11.93</v>
      </c>
      <c r="AO6" s="36">
        <f t="shared" si="18"/>
        <v>53.21</v>
      </c>
      <c r="AP6" s="36">
        <f t="shared" si="19"/>
        <v>13.4</v>
      </c>
      <c r="AQ6" s="36">
        <f t="shared" si="20"/>
        <v>14.56</v>
      </c>
      <c r="AR6" s="36">
        <f t="shared" si="21"/>
        <v>52.760000000000005</v>
      </c>
      <c r="AS6" s="36">
        <f t="shared" si="22"/>
        <v>105.97</v>
      </c>
      <c r="AT6" s="22">
        <v>5.5</v>
      </c>
      <c r="AU6" s="22">
        <v>3.4</v>
      </c>
      <c r="AV6" s="22">
        <v>6.1</v>
      </c>
      <c r="AW6" s="22">
        <v>6.27</v>
      </c>
      <c r="AX6" s="22">
        <v>0</v>
      </c>
      <c r="AY6" s="22">
        <v>16.3</v>
      </c>
      <c r="AZ6" s="22">
        <v>9.3000000000000007</v>
      </c>
      <c r="BA6" s="22">
        <v>14.3</v>
      </c>
      <c r="BB6" s="22">
        <v>15.25</v>
      </c>
      <c r="BC6" s="22">
        <v>0</v>
      </c>
      <c r="BD6" s="22">
        <v>3.2</v>
      </c>
      <c r="BE6" s="22">
        <v>1.6</v>
      </c>
      <c r="BF6" s="22">
        <v>3.3</v>
      </c>
      <c r="BG6" s="22">
        <v>3.25</v>
      </c>
      <c r="BH6" s="22">
        <v>0</v>
      </c>
      <c r="BI6" s="24"/>
      <c r="BJ6" s="35">
        <f t="shared" si="23"/>
        <v>6.1</v>
      </c>
      <c r="BK6" s="35">
        <f t="shared" si="24"/>
        <v>6.27</v>
      </c>
      <c r="BL6" s="11">
        <f t="shared" si="25"/>
        <v>21.27</v>
      </c>
      <c r="BM6" s="11">
        <f t="shared" si="26"/>
        <v>14.3</v>
      </c>
      <c r="BN6" s="11">
        <f t="shared" si="27"/>
        <v>15.25</v>
      </c>
      <c r="BO6" s="11">
        <f t="shared" si="28"/>
        <v>55.150000000000006</v>
      </c>
      <c r="BP6" s="11">
        <f t="shared" si="29"/>
        <v>55.150000000000006</v>
      </c>
      <c r="BQ6" s="11">
        <f t="shared" si="30"/>
        <v>3.3</v>
      </c>
      <c r="BR6" s="11">
        <f t="shared" si="31"/>
        <v>3.25</v>
      </c>
      <c r="BS6" s="11">
        <f t="shared" si="32"/>
        <v>11.350000000000001</v>
      </c>
      <c r="BT6" s="11">
        <f t="shared" si="33"/>
        <v>66.5</v>
      </c>
      <c r="BU6" s="18">
        <v>10.6</v>
      </c>
      <c r="BV6" s="18">
        <v>6.3500000000000005</v>
      </c>
      <c r="BW6" s="18">
        <v>9.85</v>
      </c>
      <c r="BX6" s="18">
        <v>10.44</v>
      </c>
      <c r="BY6" s="18">
        <v>0</v>
      </c>
      <c r="BZ6" s="18">
        <v>9.85</v>
      </c>
      <c r="CA6" s="18">
        <v>5.65</v>
      </c>
      <c r="CB6" s="18">
        <v>8.8000000000000007</v>
      </c>
      <c r="CC6" s="18">
        <v>9.24</v>
      </c>
      <c r="CD6" s="18">
        <v>0</v>
      </c>
      <c r="CE6" s="18">
        <v>9.25</v>
      </c>
      <c r="CF6" s="18">
        <v>5.55</v>
      </c>
      <c r="CG6" s="18">
        <v>8.35</v>
      </c>
      <c r="CH6" s="18">
        <v>8.9050000000000011</v>
      </c>
      <c r="CI6" s="18">
        <v>0</v>
      </c>
      <c r="CJ6" s="23" t="s">
        <v>42</v>
      </c>
      <c r="CK6" s="34">
        <f t="shared" si="34"/>
        <v>9.85</v>
      </c>
      <c r="CL6" s="34">
        <f t="shared" si="35"/>
        <v>10.44</v>
      </c>
      <c r="CM6" s="36">
        <f t="shared" si="36"/>
        <v>37.239999999999995</v>
      </c>
      <c r="CN6" s="36">
        <f t="shared" si="37"/>
        <v>8.8000000000000007</v>
      </c>
      <c r="CO6" s="36">
        <f t="shared" si="38"/>
        <v>9.24</v>
      </c>
      <c r="CP6" s="36">
        <f t="shared" si="39"/>
        <v>33.54</v>
      </c>
      <c r="CQ6" s="36">
        <f t="shared" si="40"/>
        <v>37.239999999999995</v>
      </c>
      <c r="CR6" s="36">
        <f t="shared" si="41"/>
        <v>8.35</v>
      </c>
      <c r="CS6" s="36">
        <f t="shared" si="42"/>
        <v>8.9050000000000011</v>
      </c>
      <c r="CT6" s="36">
        <f t="shared" si="43"/>
        <v>32.055</v>
      </c>
      <c r="CU6" s="36">
        <f t="shared" si="44"/>
        <v>69.294999999999987</v>
      </c>
      <c r="CV6" s="47">
        <f t="shared" si="45"/>
        <v>2.029999999999994</v>
      </c>
      <c r="CW6" s="47">
        <f t="shared" si="46"/>
        <v>2.4500000000000028</v>
      </c>
      <c r="CX6" s="15">
        <v>13</v>
      </c>
      <c r="CY6" s="15">
        <v>9.1999999999999993</v>
      </c>
      <c r="CZ6" s="15">
        <v>13.6</v>
      </c>
      <c r="DA6" s="15">
        <v>15.06</v>
      </c>
      <c r="DB6" s="15">
        <v>0</v>
      </c>
      <c r="DC6" s="15">
        <v>10.3</v>
      </c>
      <c r="DD6" s="15">
        <v>5.8</v>
      </c>
      <c r="DE6" s="15">
        <v>8.5</v>
      </c>
      <c r="DF6" s="15">
        <v>10.52</v>
      </c>
      <c r="DG6" s="15">
        <v>0</v>
      </c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36">
        <f t="shared" si="47"/>
        <v>13.6</v>
      </c>
      <c r="DS6" s="36">
        <f t="shared" si="48"/>
        <v>15.06</v>
      </c>
      <c r="DT6" s="36">
        <f t="shared" si="49"/>
        <v>50.86</v>
      </c>
      <c r="DU6" s="36">
        <f t="shared" si="50"/>
        <v>8.5</v>
      </c>
      <c r="DV6" s="36">
        <f t="shared" si="51"/>
        <v>10.52</v>
      </c>
      <c r="DW6" s="36">
        <f t="shared" si="52"/>
        <v>35.120000000000005</v>
      </c>
      <c r="DX6" s="36">
        <f t="shared" si="53"/>
        <v>50.86</v>
      </c>
      <c r="DY6" s="36" t="str">
        <f t="shared" si="54"/>
        <v/>
      </c>
      <c r="DZ6" s="36" t="str">
        <f t="shared" si="55"/>
        <v/>
      </c>
      <c r="EA6" s="36" t="str">
        <f t="shared" si="56"/>
        <v/>
      </c>
      <c r="EB6" s="36" t="str">
        <f t="shared" si="57"/>
        <v/>
      </c>
      <c r="EC6" s="36" t="str">
        <f t="shared" si="58"/>
        <v/>
      </c>
      <c r="ED6" s="36" t="str">
        <f t="shared" si="59"/>
        <v/>
      </c>
      <c r="EE6" s="36">
        <f t="shared" si="60"/>
        <v>50.86</v>
      </c>
      <c r="EF6" s="16"/>
      <c r="EG6" s="16"/>
      <c r="EH6" s="16"/>
      <c r="EI6" s="16"/>
      <c r="EJ6" s="16"/>
      <c r="EK6" s="16"/>
      <c r="EL6" s="16"/>
      <c r="EM6" s="16"/>
      <c r="EN6" s="16"/>
      <c r="EO6" s="16"/>
      <c r="EP6" s="16"/>
      <c r="EQ6" s="16"/>
      <c r="ER6" s="16"/>
      <c r="ES6" s="16"/>
      <c r="ET6" s="16"/>
      <c r="EU6" s="16"/>
      <c r="EV6" s="16"/>
      <c r="EW6" s="16"/>
      <c r="EX6" s="16"/>
      <c r="EY6" s="16"/>
      <c r="EZ6" s="11" t="str">
        <f t="shared" si="61"/>
        <v/>
      </c>
      <c r="FA6" s="11" t="str">
        <f t="shared" si="62"/>
        <v/>
      </c>
      <c r="FB6" s="11" t="str">
        <f t="shared" si="63"/>
        <v/>
      </c>
      <c r="FC6" s="11" t="str">
        <f t="shared" si="64"/>
        <v/>
      </c>
      <c r="FD6" s="11" t="str">
        <f t="shared" si="65"/>
        <v/>
      </c>
      <c r="FE6" s="11" t="str">
        <f t="shared" si="66"/>
        <v/>
      </c>
      <c r="FF6" s="11" t="str">
        <f t="shared" si="67"/>
        <v/>
      </c>
      <c r="FG6" s="11" t="str">
        <f t="shared" si="68"/>
        <v/>
      </c>
      <c r="FH6" s="11" t="str">
        <f t="shared" si="69"/>
        <v/>
      </c>
      <c r="FI6" s="11" t="str">
        <f t="shared" si="70"/>
        <v/>
      </c>
      <c r="FJ6" s="11" t="str">
        <f t="shared" si="71"/>
        <v/>
      </c>
      <c r="FK6" s="11" t="str">
        <f t="shared" si="72"/>
        <v/>
      </c>
      <c r="FL6" s="11" t="str">
        <f t="shared" si="73"/>
        <v/>
      </c>
      <c r="FM6" s="11" t="str">
        <f t="shared" si="74"/>
        <v/>
      </c>
      <c r="FN6" s="15">
        <v>15.7</v>
      </c>
      <c r="FO6" s="15">
        <v>9</v>
      </c>
      <c r="FP6" s="15">
        <v>14.5</v>
      </c>
      <c r="FQ6" s="15">
        <v>15.69</v>
      </c>
      <c r="FR6" s="15">
        <v>0</v>
      </c>
      <c r="FS6" s="15">
        <v>4.7</v>
      </c>
      <c r="FT6" s="15">
        <v>2.6</v>
      </c>
      <c r="FU6" s="15">
        <v>5</v>
      </c>
      <c r="FV6" s="15">
        <v>4.99</v>
      </c>
      <c r="FW6" s="15">
        <v>0</v>
      </c>
      <c r="FX6" s="15">
        <v>15.4</v>
      </c>
      <c r="FY6" s="15">
        <v>9.1999999999999993</v>
      </c>
      <c r="FZ6" s="15">
        <v>14.5</v>
      </c>
      <c r="GA6" s="15">
        <v>15.69</v>
      </c>
      <c r="GB6" s="15">
        <v>0</v>
      </c>
      <c r="GC6" s="15"/>
      <c r="GD6" s="15"/>
      <c r="GE6" s="15"/>
      <c r="GF6" s="15"/>
      <c r="GG6" s="15"/>
      <c r="GH6" s="36">
        <f t="shared" si="75"/>
        <v>14.5</v>
      </c>
      <c r="GI6" s="36">
        <f t="shared" si="76"/>
        <v>15.69</v>
      </c>
      <c r="GJ6" s="36">
        <f t="shared" si="77"/>
        <v>54.89</v>
      </c>
      <c r="GK6" s="36">
        <f t="shared" si="78"/>
        <v>5</v>
      </c>
      <c r="GL6" s="36">
        <f t="shared" si="79"/>
        <v>4.99</v>
      </c>
      <c r="GM6" s="36">
        <f t="shared" si="80"/>
        <v>17.29</v>
      </c>
      <c r="GN6" s="36">
        <f t="shared" si="81"/>
        <v>54.89</v>
      </c>
      <c r="GO6" s="36">
        <f t="shared" si="82"/>
        <v>14.5</v>
      </c>
      <c r="GP6" s="36">
        <f t="shared" si="83"/>
        <v>15.69</v>
      </c>
      <c r="GQ6" s="36">
        <f t="shared" si="84"/>
        <v>54.79</v>
      </c>
      <c r="GR6" s="36" t="str">
        <f t="shared" si="85"/>
        <v/>
      </c>
      <c r="GS6" s="36" t="str">
        <f t="shared" si="86"/>
        <v/>
      </c>
      <c r="GT6" s="36" t="str">
        <f t="shared" si="87"/>
        <v/>
      </c>
      <c r="GU6" s="36">
        <f t="shared" si="88"/>
        <v>109.68</v>
      </c>
      <c r="GV6" s="16"/>
      <c r="GW6" s="16"/>
      <c r="GX6" s="16"/>
      <c r="GY6" s="16"/>
      <c r="GZ6" s="16"/>
      <c r="HA6" s="16"/>
      <c r="HB6" s="16"/>
      <c r="HC6" s="16"/>
      <c r="HD6" s="16"/>
      <c r="HE6" s="16"/>
      <c r="HF6" s="16"/>
      <c r="HG6" s="16"/>
      <c r="HH6" s="16"/>
      <c r="HI6" s="16"/>
      <c r="HJ6" s="16"/>
      <c r="HK6" s="16"/>
      <c r="HL6" s="16"/>
      <c r="HM6" s="16"/>
      <c r="HN6" s="16"/>
      <c r="HO6" s="16"/>
      <c r="HP6" s="11" t="str">
        <f t="shared" si="89"/>
        <v/>
      </c>
      <c r="HQ6" s="11" t="str">
        <f t="shared" si="90"/>
        <v/>
      </c>
      <c r="HR6" s="11" t="str">
        <f t="shared" si="91"/>
        <v/>
      </c>
      <c r="HS6" s="11" t="str">
        <f t="shared" si="92"/>
        <v/>
      </c>
      <c r="HT6" s="11" t="str">
        <f t="shared" si="93"/>
        <v/>
      </c>
      <c r="HU6" s="11" t="str">
        <f t="shared" si="94"/>
        <v/>
      </c>
      <c r="HV6" s="11" t="str">
        <f t="shared" si="95"/>
        <v/>
      </c>
      <c r="HW6" s="11" t="str">
        <f t="shared" si="96"/>
        <v/>
      </c>
      <c r="HX6" s="11" t="str">
        <f t="shared" si="97"/>
        <v/>
      </c>
      <c r="HY6" s="11" t="str">
        <f t="shared" si="98"/>
        <v/>
      </c>
      <c r="HZ6" s="11" t="str">
        <f t="shared" si="99"/>
        <v/>
      </c>
      <c r="IA6" s="11" t="str">
        <f t="shared" si="100"/>
        <v/>
      </c>
      <c r="IB6" s="11" t="str">
        <f t="shared" si="101"/>
        <v/>
      </c>
      <c r="IC6" s="11" t="str">
        <f t="shared" si="102"/>
        <v/>
      </c>
      <c r="ID6" s="15"/>
      <c r="IE6" s="15"/>
      <c r="IF6" s="15"/>
      <c r="IG6" s="15"/>
      <c r="IH6" s="15"/>
      <c r="II6" s="15"/>
      <c r="IJ6" s="15"/>
      <c r="IK6" s="15"/>
      <c r="IL6" s="15"/>
      <c r="IM6" s="15"/>
      <c r="IN6" s="15"/>
      <c r="IO6" s="15"/>
      <c r="IP6" s="15"/>
      <c r="IQ6" s="15"/>
      <c r="IR6" s="15"/>
      <c r="IS6" s="15"/>
      <c r="IT6" s="15"/>
      <c r="IU6" s="15"/>
      <c r="IV6" s="15"/>
      <c r="IW6" s="15"/>
      <c r="IX6" s="36" t="str">
        <f t="shared" si="103"/>
        <v/>
      </c>
      <c r="IY6" s="36" t="str">
        <f t="shared" si="104"/>
        <v/>
      </c>
      <c r="IZ6" s="36" t="str">
        <f t="shared" si="105"/>
        <v/>
      </c>
      <c r="JA6" s="36" t="str">
        <f t="shared" si="106"/>
        <v/>
      </c>
      <c r="JB6" s="36" t="str">
        <f t="shared" si="107"/>
        <v/>
      </c>
      <c r="JC6" s="36" t="str">
        <f t="shared" si="108"/>
        <v/>
      </c>
      <c r="JD6" s="36" t="str">
        <f t="shared" si="109"/>
        <v/>
      </c>
      <c r="JE6" s="36" t="str">
        <f t="shared" si="110"/>
        <v/>
      </c>
      <c r="JF6" s="36" t="str">
        <f t="shared" si="111"/>
        <v/>
      </c>
      <c r="JG6" s="36" t="str">
        <f t="shared" si="112"/>
        <v/>
      </c>
      <c r="JH6" s="36" t="str">
        <f t="shared" si="113"/>
        <v/>
      </c>
      <c r="JI6" s="36" t="str">
        <f t="shared" si="114"/>
        <v/>
      </c>
      <c r="JJ6" s="36" t="str">
        <f t="shared" si="115"/>
        <v/>
      </c>
      <c r="JK6" s="36" t="str">
        <f t="shared" si="116"/>
        <v/>
      </c>
      <c r="JL6" s="16">
        <v>14.5</v>
      </c>
      <c r="JM6" s="16">
        <v>9.1</v>
      </c>
      <c r="JN6" s="16">
        <v>14.5</v>
      </c>
      <c r="JO6" s="16">
        <v>15.16</v>
      </c>
      <c r="JP6" s="16">
        <v>0</v>
      </c>
      <c r="JQ6" s="16">
        <v>16.2</v>
      </c>
      <c r="JR6" s="16">
        <v>9.5</v>
      </c>
      <c r="JS6" s="16">
        <v>14.5</v>
      </c>
      <c r="JT6" s="16">
        <v>15.46</v>
      </c>
      <c r="JU6" s="16">
        <v>0</v>
      </c>
      <c r="JV6" s="16"/>
      <c r="JW6" s="16"/>
      <c r="JX6" s="16"/>
      <c r="JY6" s="16"/>
      <c r="JZ6" s="16"/>
      <c r="KA6" s="16">
        <v>15.6</v>
      </c>
      <c r="KB6" s="16">
        <v>9.1</v>
      </c>
      <c r="KC6" s="16">
        <v>14.5</v>
      </c>
      <c r="KD6" s="16">
        <v>15.17</v>
      </c>
      <c r="KE6" s="16">
        <v>0</v>
      </c>
      <c r="KF6" s="11">
        <f t="shared" si="117"/>
        <v>14.5</v>
      </c>
      <c r="KG6" s="11">
        <f t="shared" si="118"/>
        <v>15.16</v>
      </c>
      <c r="KH6" s="11">
        <f t="shared" si="119"/>
        <v>53.260000000000005</v>
      </c>
      <c r="KI6" s="11">
        <f t="shared" si="120"/>
        <v>14.5</v>
      </c>
      <c r="KJ6" s="11">
        <f t="shared" si="121"/>
        <v>15.46</v>
      </c>
      <c r="KK6" s="11">
        <f t="shared" si="122"/>
        <v>55.660000000000004</v>
      </c>
      <c r="KL6" s="11">
        <f t="shared" si="123"/>
        <v>55.660000000000004</v>
      </c>
      <c r="KM6" s="11" t="str">
        <f t="shared" si="124"/>
        <v/>
      </c>
      <c r="KN6" s="11" t="str">
        <f t="shared" si="125"/>
        <v/>
      </c>
      <c r="KO6" s="11" t="str">
        <f t="shared" si="126"/>
        <v/>
      </c>
      <c r="KP6" s="11">
        <f t="shared" si="127"/>
        <v>14.5</v>
      </c>
      <c r="KQ6" s="11">
        <f t="shared" si="128"/>
        <v>15.17</v>
      </c>
      <c r="KR6" s="11">
        <f t="shared" si="129"/>
        <v>54.370000000000005</v>
      </c>
      <c r="KS6" s="11">
        <f t="shared" si="130"/>
        <v>110.03</v>
      </c>
      <c r="KT6" s="15">
        <v>15.7</v>
      </c>
      <c r="KU6" s="15">
        <v>9.3000000000000007</v>
      </c>
      <c r="KV6" s="15">
        <v>14.5</v>
      </c>
      <c r="KW6" s="15">
        <v>15.34</v>
      </c>
      <c r="KX6" s="15">
        <v>0</v>
      </c>
      <c r="KY6" s="15">
        <v>15.3</v>
      </c>
      <c r="KZ6" s="15">
        <v>9</v>
      </c>
      <c r="LA6" s="15">
        <v>14.5</v>
      </c>
      <c r="LB6" s="15">
        <v>15.52</v>
      </c>
      <c r="LC6" s="15">
        <v>0</v>
      </c>
      <c r="LD6" s="15">
        <v>15.7</v>
      </c>
      <c r="LE6" s="15">
        <v>8.9</v>
      </c>
      <c r="LF6" s="15">
        <v>14.5</v>
      </c>
      <c r="LG6" s="15">
        <v>15.51</v>
      </c>
      <c r="LH6" s="15">
        <v>0</v>
      </c>
      <c r="LI6" s="15">
        <v>15.2</v>
      </c>
      <c r="LJ6" s="15">
        <v>9.1999999999999993</v>
      </c>
      <c r="LK6" s="15">
        <v>14.5</v>
      </c>
      <c r="LL6" s="15">
        <v>15.05</v>
      </c>
      <c r="LM6" s="15">
        <v>0</v>
      </c>
      <c r="LN6" s="36">
        <f t="shared" si="131"/>
        <v>14.5</v>
      </c>
      <c r="LO6" s="36">
        <f t="shared" si="132"/>
        <v>15.34</v>
      </c>
      <c r="LP6" s="36">
        <f t="shared" si="133"/>
        <v>54.84</v>
      </c>
      <c r="LQ6" s="36">
        <f t="shared" si="134"/>
        <v>14.5</v>
      </c>
      <c r="LR6" s="36">
        <f t="shared" si="135"/>
        <v>15.52</v>
      </c>
      <c r="LS6" s="36">
        <f t="shared" si="136"/>
        <v>54.319999999999993</v>
      </c>
      <c r="LT6" s="36">
        <f t="shared" si="137"/>
        <v>54.84</v>
      </c>
      <c r="LU6" s="36">
        <f t="shared" si="138"/>
        <v>14.5</v>
      </c>
      <c r="LV6" s="36">
        <f t="shared" si="139"/>
        <v>15.51</v>
      </c>
      <c r="LW6" s="36">
        <f t="shared" si="140"/>
        <v>54.61</v>
      </c>
      <c r="LX6" s="36">
        <f t="shared" si="141"/>
        <v>14.5</v>
      </c>
      <c r="LY6" s="36">
        <f t="shared" si="142"/>
        <v>15.05</v>
      </c>
      <c r="LZ6" s="36">
        <f t="shared" si="143"/>
        <v>53.95</v>
      </c>
      <c r="MA6" s="36">
        <f t="shared" si="144"/>
        <v>163.4</v>
      </c>
      <c r="MB6" s="16">
        <v>15.5</v>
      </c>
      <c r="MC6" s="16">
        <v>8.9</v>
      </c>
      <c r="MD6" s="16">
        <v>14.5</v>
      </c>
      <c r="ME6" s="16">
        <v>15.36</v>
      </c>
      <c r="MF6" s="16">
        <v>0</v>
      </c>
      <c r="MG6" s="16">
        <v>15.7</v>
      </c>
      <c r="MH6" s="16">
        <v>9.6</v>
      </c>
      <c r="MI6" s="16">
        <v>14.5</v>
      </c>
      <c r="MJ6" s="16">
        <v>15.44</v>
      </c>
      <c r="MK6" s="16">
        <v>0</v>
      </c>
      <c r="ML6" s="16">
        <v>15</v>
      </c>
      <c r="MM6" s="16">
        <v>9</v>
      </c>
      <c r="MN6" s="16">
        <v>14.7</v>
      </c>
      <c r="MO6" s="16">
        <v>15.32</v>
      </c>
      <c r="MP6" s="16">
        <v>0</v>
      </c>
      <c r="MQ6" s="16"/>
      <c r="MR6" s="16"/>
      <c r="MS6" s="16"/>
      <c r="MT6" s="16"/>
      <c r="MU6" s="16"/>
      <c r="MV6" s="11">
        <f t="shared" si="145"/>
        <v>14.5</v>
      </c>
      <c r="MW6" s="11">
        <f t="shared" si="146"/>
        <v>15.36</v>
      </c>
      <c r="MX6" s="11">
        <f t="shared" si="147"/>
        <v>54.26</v>
      </c>
      <c r="MY6" s="11">
        <f t="shared" si="148"/>
        <v>14.5</v>
      </c>
      <c r="MZ6" s="11">
        <f t="shared" si="149"/>
        <v>15.44</v>
      </c>
      <c r="NA6" s="11">
        <f t="shared" si="150"/>
        <v>55.239999999999995</v>
      </c>
      <c r="NB6" s="11">
        <f t="shared" si="151"/>
        <v>55.239999999999995</v>
      </c>
      <c r="NC6" s="11">
        <f t="shared" si="152"/>
        <v>14.7</v>
      </c>
      <c r="ND6" s="11">
        <f t="shared" si="153"/>
        <v>15.32</v>
      </c>
      <c r="NE6" s="11">
        <f t="shared" si="154"/>
        <v>54.02</v>
      </c>
      <c r="NF6" s="11" t="str">
        <f t="shared" si="155"/>
        <v/>
      </c>
      <c r="NG6" s="11" t="str">
        <f t="shared" si="156"/>
        <v/>
      </c>
      <c r="NH6" s="11" t="str">
        <f t="shared" si="157"/>
        <v/>
      </c>
      <c r="NI6" s="11">
        <f t="shared" si="158"/>
        <v>109.25999999999999</v>
      </c>
      <c r="NJ6" s="15"/>
      <c r="NK6" s="15"/>
      <c r="NL6" s="15"/>
      <c r="NM6" s="15"/>
      <c r="NN6" s="15"/>
      <c r="NO6" s="15"/>
      <c r="NP6" s="15"/>
      <c r="NQ6" s="15"/>
      <c r="NR6" s="15"/>
      <c r="NS6" s="15"/>
      <c r="NT6" s="15"/>
      <c r="NU6" s="15"/>
      <c r="NV6" s="15"/>
      <c r="NW6" s="15"/>
      <c r="NX6" s="15"/>
      <c r="NY6" s="15">
        <v>14</v>
      </c>
      <c r="NZ6" s="15">
        <v>8.9</v>
      </c>
      <c r="OA6" s="15">
        <v>13.8</v>
      </c>
      <c r="OB6" s="15">
        <v>15.11</v>
      </c>
      <c r="OC6" s="15">
        <v>0</v>
      </c>
      <c r="OD6" s="36" t="str">
        <f t="shared" si="159"/>
        <v/>
      </c>
      <c r="OE6" s="36" t="str">
        <f t="shared" si="160"/>
        <v/>
      </c>
      <c r="OF6" s="36" t="str">
        <f t="shared" si="161"/>
        <v/>
      </c>
      <c r="OG6" s="36" t="str">
        <f t="shared" si="162"/>
        <v/>
      </c>
      <c r="OH6" s="36" t="str">
        <f t="shared" si="163"/>
        <v/>
      </c>
      <c r="OI6" s="36" t="str">
        <f t="shared" si="164"/>
        <v/>
      </c>
      <c r="OJ6" s="36" t="str">
        <f t="shared" si="165"/>
        <v/>
      </c>
      <c r="OK6" s="36" t="str">
        <f t="shared" si="166"/>
        <v/>
      </c>
      <c r="OL6" s="36" t="str">
        <f t="shared" si="167"/>
        <v/>
      </c>
      <c r="OM6" s="36" t="str">
        <f t="shared" si="168"/>
        <v/>
      </c>
      <c r="ON6" s="36">
        <f t="shared" si="169"/>
        <v>13.8</v>
      </c>
      <c r="OO6" s="36">
        <f t="shared" si="170"/>
        <v>15.11</v>
      </c>
      <c r="OP6" s="36">
        <f t="shared" si="171"/>
        <v>51.81</v>
      </c>
      <c r="OQ6" s="36">
        <f t="shared" si="172"/>
        <v>51.81</v>
      </c>
      <c r="OR6" s="16"/>
      <c r="OS6" s="16"/>
      <c r="OT6" s="16"/>
      <c r="OU6" s="16"/>
      <c r="OV6" s="16"/>
      <c r="OW6" s="16"/>
      <c r="OX6" s="16"/>
      <c r="OY6" s="16"/>
      <c r="OZ6" s="16"/>
      <c r="PA6" s="16"/>
      <c r="PB6" s="16"/>
      <c r="PC6" s="16"/>
      <c r="PD6" s="16"/>
      <c r="PE6" s="16"/>
      <c r="PF6" s="16"/>
      <c r="PG6" s="16"/>
      <c r="PH6" s="16"/>
      <c r="PI6" s="16"/>
      <c r="PJ6" s="16"/>
      <c r="PK6" s="16"/>
      <c r="PL6" s="11" t="str">
        <f t="shared" si="173"/>
        <v/>
      </c>
      <c r="PM6" s="11" t="str">
        <f t="shared" si="174"/>
        <v/>
      </c>
      <c r="PN6" s="11" t="str">
        <f t="shared" si="175"/>
        <v/>
      </c>
      <c r="PO6" s="11" t="str">
        <f t="shared" si="176"/>
        <v/>
      </c>
      <c r="PP6" s="11" t="str">
        <f t="shared" si="177"/>
        <v/>
      </c>
      <c r="PQ6" s="11" t="str">
        <f t="shared" si="178"/>
        <v/>
      </c>
      <c r="PR6" s="11" t="str">
        <f t="shared" si="179"/>
        <v/>
      </c>
      <c r="PS6" s="11" t="str">
        <f t="shared" si="180"/>
        <v/>
      </c>
      <c r="PT6" s="11" t="str">
        <f t="shared" si="181"/>
        <v/>
      </c>
      <c r="PU6" s="11" t="str">
        <f t="shared" si="182"/>
        <v/>
      </c>
      <c r="PV6" s="11" t="str">
        <f t="shared" si="183"/>
        <v/>
      </c>
      <c r="PW6" s="11" t="str">
        <f t="shared" si="184"/>
        <v/>
      </c>
      <c r="PX6" s="11" t="str">
        <f t="shared" si="185"/>
        <v/>
      </c>
      <c r="PY6" s="11" t="str">
        <f t="shared" si="186"/>
        <v/>
      </c>
      <c r="PZ6" s="15"/>
      <c r="QA6" s="15"/>
      <c r="QB6" s="15"/>
      <c r="QC6" s="15"/>
      <c r="QD6" s="15"/>
      <c r="QE6" s="15"/>
      <c r="QF6" s="15"/>
      <c r="QG6" s="15"/>
      <c r="QH6" s="15"/>
      <c r="QI6" s="15"/>
      <c r="QJ6" s="15"/>
      <c r="QK6" s="15"/>
      <c r="QL6" s="15"/>
      <c r="QM6" s="15"/>
      <c r="QN6" s="15"/>
      <c r="QO6" s="15"/>
      <c r="QP6" s="15"/>
      <c r="QQ6" s="15"/>
      <c r="QR6" s="15"/>
      <c r="QS6" s="15"/>
      <c r="QT6" s="36" t="str">
        <f t="shared" si="187"/>
        <v/>
      </c>
      <c r="QU6" s="36" t="str">
        <f t="shared" si="188"/>
        <v/>
      </c>
      <c r="QV6" s="36" t="str">
        <f t="shared" si="189"/>
        <v/>
      </c>
      <c r="QW6" s="36" t="str">
        <f t="shared" si="190"/>
        <v/>
      </c>
      <c r="QX6" s="36" t="str">
        <f t="shared" si="191"/>
        <v/>
      </c>
      <c r="QY6" s="36" t="str">
        <f t="shared" si="192"/>
        <v/>
      </c>
      <c r="QZ6" s="36" t="str">
        <f t="shared" si="193"/>
        <v/>
      </c>
      <c r="RA6" s="36" t="str">
        <f t="shared" si="194"/>
        <v/>
      </c>
      <c r="RB6" s="36" t="str">
        <f t="shared" si="195"/>
        <v/>
      </c>
      <c r="RC6" s="36" t="str">
        <f t="shared" si="196"/>
        <v/>
      </c>
      <c r="RD6" s="36" t="str">
        <f t="shared" si="197"/>
        <v/>
      </c>
      <c r="RE6" s="36" t="str">
        <f t="shared" si="198"/>
        <v/>
      </c>
      <c r="RF6" s="36" t="str">
        <f t="shared" si="199"/>
        <v/>
      </c>
      <c r="RG6" s="36" t="str">
        <f t="shared" si="200"/>
        <v/>
      </c>
      <c r="RH6" s="16"/>
      <c r="RI6" s="16"/>
      <c r="RJ6" s="16"/>
      <c r="RK6" s="16"/>
      <c r="RL6" s="16"/>
      <c r="RM6" s="16"/>
      <c r="RN6" s="16"/>
      <c r="RO6" s="16"/>
      <c r="RP6" s="16"/>
      <c r="RQ6" s="16"/>
      <c r="RR6" s="16"/>
      <c r="RS6" s="16"/>
      <c r="RT6" s="16"/>
      <c r="RU6" s="16"/>
      <c r="RV6" s="16"/>
      <c r="RW6" s="16"/>
      <c r="RX6" s="16"/>
      <c r="RY6" s="16"/>
      <c r="RZ6" s="16"/>
      <c r="SA6" s="16"/>
      <c r="SB6" s="11" t="str">
        <f t="shared" si="201"/>
        <v/>
      </c>
      <c r="SC6" s="11" t="str">
        <f t="shared" si="202"/>
        <v/>
      </c>
      <c r="SD6" s="11" t="str">
        <f t="shared" si="203"/>
        <v/>
      </c>
      <c r="SE6" s="11" t="str">
        <f t="shared" si="204"/>
        <v/>
      </c>
      <c r="SF6" s="11" t="str">
        <f t="shared" si="205"/>
        <v/>
      </c>
      <c r="SG6" s="11" t="str">
        <f t="shared" si="206"/>
        <v/>
      </c>
      <c r="SH6" s="11" t="str">
        <f t="shared" si="207"/>
        <v/>
      </c>
      <c r="SI6" s="11" t="str">
        <f t="shared" si="208"/>
        <v/>
      </c>
      <c r="SJ6" s="11" t="str">
        <f t="shared" si="209"/>
        <v/>
      </c>
      <c r="SK6" s="11" t="str">
        <f t="shared" si="210"/>
        <v/>
      </c>
      <c r="SL6" s="11" t="str">
        <f t="shared" si="211"/>
        <v/>
      </c>
      <c r="SM6" s="11" t="str">
        <f t="shared" si="212"/>
        <v/>
      </c>
      <c r="SN6" s="11" t="str">
        <f t="shared" si="213"/>
        <v/>
      </c>
      <c r="SO6" s="11" t="str">
        <f t="shared" si="214"/>
        <v/>
      </c>
      <c r="SP6" s="15"/>
      <c r="SQ6" s="15"/>
      <c r="SR6" s="15"/>
      <c r="SS6" s="15"/>
      <c r="ST6" s="15"/>
      <c r="SU6" s="15"/>
      <c r="SV6" s="15"/>
      <c r="SW6" s="15"/>
      <c r="SX6" s="15"/>
      <c r="SY6" s="15"/>
      <c r="SZ6" s="15"/>
      <c r="TA6" s="15"/>
      <c r="TB6" s="15"/>
      <c r="TC6" s="15"/>
      <c r="TD6" s="15"/>
      <c r="TE6" s="15"/>
      <c r="TF6" s="15"/>
      <c r="TG6" s="15"/>
      <c r="TH6" s="15"/>
      <c r="TI6" s="15"/>
      <c r="TJ6" s="36" t="str">
        <f t="shared" si="215"/>
        <v/>
      </c>
      <c r="TK6" s="36" t="str">
        <f t="shared" si="216"/>
        <v/>
      </c>
      <c r="TL6" s="36" t="str">
        <f t="shared" si="217"/>
        <v/>
      </c>
      <c r="TM6" s="36" t="str">
        <f t="shared" si="218"/>
        <v/>
      </c>
      <c r="TN6" s="36" t="str">
        <f t="shared" si="219"/>
        <v/>
      </c>
      <c r="TO6" s="36" t="str">
        <f t="shared" si="220"/>
        <v/>
      </c>
      <c r="TP6" s="36" t="str">
        <f t="shared" si="221"/>
        <v/>
      </c>
      <c r="TQ6" s="36" t="str">
        <f t="shared" si="222"/>
        <v/>
      </c>
      <c r="TR6" s="36" t="str">
        <f t="shared" si="223"/>
        <v/>
      </c>
      <c r="TS6" s="36" t="str">
        <f t="shared" si="224"/>
        <v/>
      </c>
      <c r="TT6" s="36" t="str">
        <f t="shared" si="225"/>
        <v/>
      </c>
      <c r="TU6" s="36" t="str">
        <f t="shared" si="226"/>
        <v/>
      </c>
      <c r="TV6" s="36" t="str">
        <f t="shared" si="227"/>
        <v/>
      </c>
      <c r="TW6" s="36" t="str">
        <f t="shared" si="228"/>
        <v/>
      </c>
      <c r="TX6" s="16"/>
      <c r="TY6" s="16"/>
      <c r="TZ6" s="16"/>
      <c r="UA6" s="16"/>
      <c r="UB6" s="16"/>
      <c r="UC6" s="16"/>
      <c r="UD6" s="16"/>
      <c r="UE6" s="16"/>
      <c r="UF6" s="16"/>
      <c r="UG6" s="16"/>
      <c r="UH6" s="16"/>
      <c r="UI6" s="16"/>
      <c r="UJ6" s="16"/>
      <c r="UK6" s="16"/>
      <c r="UL6" s="16"/>
      <c r="UM6" s="16"/>
      <c r="UN6" s="16"/>
      <c r="UO6" s="16"/>
      <c r="UP6" s="16"/>
      <c r="UQ6" s="16"/>
      <c r="UR6" s="11" t="str">
        <f t="shared" si="229"/>
        <v/>
      </c>
      <c r="US6" s="11" t="str">
        <f t="shared" si="230"/>
        <v/>
      </c>
      <c r="UT6" s="11" t="str">
        <f t="shared" si="231"/>
        <v/>
      </c>
      <c r="UU6" s="11" t="str">
        <f t="shared" si="232"/>
        <v/>
      </c>
      <c r="UV6" s="11" t="str">
        <f t="shared" si="233"/>
        <v/>
      </c>
      <c r="UW6" s="11" t="str">
        <f t="shared" si="234"/>
        <v/>
      </c>
      <c r="UX6" s="11" t="str">
        <f t="shared" si="235"/>
        <v/>
      </c>
      <c r="UY6" s="11" t="str">
        <f t="shared" si="236"/>
        <v/>
      </c>
      <c r="UZ6" s="11" t="str">
        <f t="shared" si="237"/>
        <v/>
      </c>
      <c r="VA6" s="11" t="str">
        <f t="shared" si="238"/>
        <v/>
      </c>
      <c r="VB6" s="11" t="str">
        <f t="shared" si="239"/>
        <v/>
      </c>
      <c r="VC6" s="11" t="str">
        <f t="shared" si="240"/>
        <v/>
      </c>
      <c r="VD6" s="11" t="str">
        <f t="shared" si="241"/>
        <v/>
      </c>
      <c r="VE6" s="11" t="str">
        <f t="shared" si="242"/>
        <v/>
      </c>
      <c r="VF6" s="15"/>
      <c r="VG6" s="15"/>
      <c r="VH6" s="15"/>
      <c r="VI6" s="15"/>
      <c r="VJ6" s="15"/>
      <c r="VK6" s="15"/>
      <c r="VL6" s="15"/>
      <c r="VM6" s="15"/>
      <c r="VN6" s="15"/>
      <c r="VO6" s="15"/>
      <c r="VP6" s="15"/>
      <c r="VQ6" s="15"/>
      <c r="VR6" s="15"/>
      <c r="VS6" s="15"/>
      <c r="VT6" s="15"/>
      <c r="VU6" s="15"/>
      <c r="VV6" s="15"/>
      <c r="VW6" s="15"/>
      <c r="VX6" s="15"/>
      <c r="VY6" s="15"/>
      <c r="VZ6" s="36" t="str">
        <f t="shared" si="243"/>
        <v/>
      </c>
      <c r="WA6" s="36" t="str">
        <f t="shared" si="244"/>
        <v/>
      </c>
      <c r="WB6" s="36" t="str">
        <f t="shared" si="245"/>
        <v/>
      </c>
      <c r="WC6" s="36" t="str">
        <f t="shared" si="246"/>
        <v/>
      </c>
      <c r="WD6" s="36" t="str">
        <f t="shared" si="247"/>
        <v/>
      </c>
      <c r="WE6" s="36" t="str">
        <f t="shared" si="248"/>
        <v/>
      </c>
      <c r="WF6" s="36" t="str">
        <f t="shared" si="249"/>
        <v/>
      </c>
      <c r="WG6" s="36" t="str">
        <f t="shared" si="250"/>
        <v/>
      </c>
      <c r="WH6" s="36" t="str">
        <f t="shared" si="251"/>
        <v/>
      </c>
      <c r="WI6" s="36" t="str">
        <f t="shared" si="252"/>
        <v/>
      </c>
      <c r="WJ6" s="36" t="str">
        <f t="shared" si="253"/>
        <v/>
      </c>
      <c r="WK6" s="36" t="str">
        <f t="shared" si="254"/>
        <v/>
      </c>
      <c r="WL6" s="36" t="str">
        <f t="shared" si="255"/>
        <v/>
      </c>
      <c r="WM6" s="36" t="str">
        <f t="shared" si="256"/>
        <v/>
      </c>
    </row>
    <row r="7" spans="1:611" x14ac:dyDescent="0.2">
      <c r="A7" s="4" cm="1">
        <f t="array" ref="A7">IF(AND(H7&lt;&gt;"",H7&lt;&gt;"No DD"),SUMPRODUCT((H$4:H$15&lt;&gt;"")*(H$4:H$15&lt;&gt;"No DD")*(E$4:E$15&gt;E7))+1,IF(H7="No DD",SUMPRODUCT((H$4:H$15="No DD")*(E$4:E$15&gt;E7))+1+SUMPRODUCT((H$4:H$15&lt;&gt;"")*(H$4:H$15&lt;&gt;"No DD")),""))</f>
        <v>4</v>
      </c>
      <c r="B7" s="5" t="s">
        <v>25</v>
      </c>
      <c r="C7" s="4" t="s">
        <v>3</v>
      </c>
      <c r="D7" s="4">
        <v>1998</v>
      </c>
      <c r="E7" s="9">
        <f t="shared" si="0"/>
        <v>158.28001404300537</v>
      </c>
      <c r="F7" s="3" t="str">
        <f t="shared" si="1"/>
        <v>P</v>
      </c>
      <c r="G7" s="3" t="str">
        <f t="shared" si="2"/>
        <v>P</v>
      </c>
      <c r="H7" s="32" t="str">
        <f t="shared" si="3"/>
        <v>National Team</v>
      </c>
      <c r="I7" s="3" t="str">
        <f t="shared" si="4"/>
        <v/>
      </c>
      <c r="J7" s="8">
        <f t="shared" si="5"/>
        <v>32.94</v>
      </c>
      <c r="K7" s="8" t="str">
        <f t="shared" si="6"/>
        <v>2025 3rd Domestic Trial</v>
      </c>
      <c r="L7" s="8">
        <f>IFERROR(IF(J7=AR7,LARGE((AK7,AN7,BL7,BO7,BS7,CM7,CP7,CT7),1),IF(J7=BS7,LARGE((AK7,AN7,AR7,BL7,BO7,CM7,CP7,CT7),1),LARGE((AK7,AN7,AR7,BL7,BO7,BS7,CM7,CP7),1))),0)</f>
        <v>53.745000000000005</v>
      </c>
      <c r="M7" s="8" t="str">
        <f t="shared" si="7"/>
        <v>2025 3rd Domestic Trial</v>
      </c>
      <c r="N7" s="8">
        <f>IFERROR(IF(J7=AR7,LARGE((AK7,AN7,BL7,BO7,BS7,CM7,CP7,CT7),2),IF(J7=BS7,LARGE((AK7,AN7,AR7,BL7,BO7,CM7,CP7,CT7),2),LARGE((AK7,AN7,AR7,BL7,BO7,BS7,CM7,CP7),2))),0)</f>
        <v>53.745000000000005</v>
      </c>
      <c r="O7" s="8" t="str">
        <f t="shared" si="8"/>
        <v>2025 3rd Domestic Trial</v>
      </c>
      <c r="P7" s="8">
        <f t="shared" si="9"/>
        <v>17.850000000000001</v>
      </c>
      <c r="Q7" s="11" t="str">
        <f t="shared" si="10"/>
        <v>(Final)</v>
      </c>
      <c r="R7" s="8" t="str">
        <f t="shared" si="11"/>
        <v>2025 World Cup ITA (April 6)</v>
      </c>
      <c r="S7" s="18">
        <v>15.75</v>
      </c>
      <c r="T7" s="18">
        <v>9.25</v>
      </c>
      <c r="U7" s="18">
        <v>14.1</v>
      </c>
      <c r="V7" s="18">
        <v>14.645</v>
      </c>
      <c r="W7" s="18">
        <v>0</v>
      </c>
      <c r="X7" s="18">
        <v>8.7000000000000011</v>
      </c>
      <c r="Y7" s="18">
        <v>4.8000000000000007</v>
      </c>
      <c r="Z7" s="18">
        <v>8</v>
      </c>
      <c r="AA7" s="18">
        <v>8.3000000000000007</v>
      </c>
      <c r="AB7" s="18">
        <v>0</v>
      </c>
      <c r="AC7" s="18">
        <v>9.7999999999999989</v>
      </c>
      <c r="AD7" s="18">
        <v>5.6000000000000005</v>
      </c>
      <c r="AE7" s="18">
        <v>8.6999999999999993</v>
      </c>
      <c r="AF7" s="18">
        <v>8.84</v>
      </c>
      <c r="AG7" s="18">
        <v>0</v>
      </c>
      <c r="AH7" s="23" t="s">
        <v>42</v>
      </c>
      <c r="AI7" s="34">
        <f t="shared" si="12"/>
        <v>14.1</v>
      </c>
      <c r="AJ7" s="34">
        <f t="shared" si="13"/>
        <v>14.645</v>
      </c>
      <c r="AK7" s="36">
        <f t="shared" si="14"/>
        <v>53.745000000000005</v>
      </c>
      <c r="AL7" s="36">
        <f t="shared" si="15"/>
        <v>8</v>
      </c>
      <c r="AM7" s="36">
        <f t="shared" si="16"/>
        <v>8.3000000000000007</v>
      </c>
      <c r="AN7" s="36">
        <f t="shared" si="17"/>
        <v>29.8</v>
      </c>
      <c r="AO7" s="36">
        <f t="shared" si="18"/>
        <v>53.745000000000005</v>
      </c>
      <c r="AP7" s="36">
        <f t="shared" si="19"/>
        <v>8.6999999999999993</v>
      </c>
      <c r="AQ7" s="36">
        <f t="shared" si="20"/>
        <v>8.84</v>
      </c>
      <c r="AR7" s="36">
        <f t="shared" si="21"/>
        <v>32.94</v>
      </c>
      <c r="AS7" s="36">
        <f t="shared" si="22"/>
        <v>86.685000000000002</v>
      </c>
      <c r="AT7" s="22">
        <v>15.75</v>
      </c>
      <c r="AU7" s="22">
        <v>9.25</v>
      </c>
      <c r="AV7" s="22">
        <v>14.1</v>
      </c>
      <c r="AW7" s="22">
        <v>14.645</v>
      </c>
      <c r="AX7" s="22">
        <v>0</v>
      </c>
      <c r="AY7" s="22">
        <v>8.7000000000000011</v>
      </c>
      <c r="AZ7" s="22">
        <v>4.8000000000000007</v>
      </c>
      <c r="BA7" s="22">
        <v>8</v>
      </c>
      <c r="BB7" s="22">
        <v>8.3000000000000007</v>
      </c>
      <c r="BC7" s="22">
        <v>0</v>
      </c>
      <c r="BD7" s="22">
        <v>9.7999999999999989</v>
      </c>
      <c r="BE7" s="22">
        <v>5.6000000000000005</v>
      </c>
      <c r="BF7" s="22">
        <v>8.6999999999999993</v>
      </c>
      <c r="BG7" s="22">
        <v>8.84</v>
      </c>
      <c r="BH7" s="22">
        <v>0</v>
      </c>
      <c r="BI7" s="24" t="s">
        <v>42</v>
      </c>
      <c r="BJ7" s="35">
        <f t="shared" si="23"/>
        <v>14.1</v>
      </c>
      <c r="BK7" s="35">
        <f t="shared" si="24"/>
        <v>14.645</v>
      </c>
      <c r="BL7" s="11">
        <f t="shared" si="25"/>
        <v>53.745000000000005</v>
      </c>
      <c r="BM7" s="11">
        <f t="shared" si="26"/>
        <v>8</v>
      </c>
      <c r="BN7" s="11">
        <f t="shared" si="27"/>
        <v>8.3000000000000007</v>
      </c>
      <c r="BO7" s="11">
        <f t="shared" si="28"/>
        <v>29.8</v>
      </c>
      <c r="BP7" s="11">
        <f t="shared" si="29"/>
        <v>53.745000000000005</v>
      </c>
      <c r="BQ7" s="11">
        <f t="shared" si="30"/>
        <v>8.6999999999999993</v>
      </c>
      <c r="BR7" s="11">
        <f t="shared" si="31"/>
        <v>8.84</v>
      </c>
      <c r="BS7" s="11">
        <f t="shared" si="32"/>
        <v>32.94</v>
      </c>
      <c r="BT7" s="11">
        <f t="shared" si="33"/>
        <v>86.685000000000002</v>
      </c>
      <c r="BU7" s="18">
        <v>15.75</v>
      </c>
      <c r="BV7" s="18">
        <v>9.25</v>
      </c>
      <c r="BW7" s="18">
        <v>14.1</v>
      </c>
      <c r="BX7" s="18">
        <v>14.645</v>
      </c>
      <c r="BY7" s="18">
        <v>0</v>
      </c>
      <c r="BZ7" s="18">
        <v>8.7000000000000011</v>
      </c>
      <c r="CA7" s="18">
        <v>4.8000000000000007</v>
      </c>
      <c r="CB7" s="18">
        <v>8</v>
      </c>
      <c r="CC7" s="18">
        <v>8.3000000000000007</v>
      </c>
      <c r="CD7" s="18">
        <v>0</v>
      </c>
      <c r="CE7" s="18">
        <v>9.7999999999999989</v>
      </c>
      <c r="CF7" s="18">
        <v>5.6000000000000005</v>
      </c>
      <c r="CG7" s="18">
        <v>8.6999999999999993</v>
      </c>
      <c r="CH7" s="18">
        <v>8.84</v>
      </c>
      <c r="CI7" s="18">
        <v>0</v>
      </c>
      <c r="CJ7" s="23" t="s">
        <v>42</v>
      </c>
      <c r="CK7" s="34">
        <f t="shared" si="34"/>
        <v>14.1</v>
      </c>
      <c r="CL7" s="34">
        <f t="shared" si="35"/>
        <v>14.645</v>
      </c>
      <c r="CM7" s="36">
        <f t="shared" si="36"/>
        <v>53.745000000000005</v>
      </c>
      <c r="CN7" s="36">
        <f t="shared" si="37"/>
        <v>8</v>
      </c>
      <c r="CO7" s="36">
        <f t="shared" si="38"/>
        <v>8.3000000000000007</v>
      </c>
      <c r="CP7" s="36">
        <f t="shared" si="39"/>
        <v>29.8</v>
      </c>
      <c r="CQ7" s="36">
        <f t="shared" si="40"/>
        <v>53.745000000000005</v>
      </c>
      <c r="CR7" s="36">
        <f t="shared" si="41"/>
        <v>8.6999999999999993</v>
      </c>
      <c r="CS7" s="36">
        <f t="shared" si="42"/>
        <v>8.84</v>
      </c>
      <c r="CT7" s="36">
        <f t="shared" si="43"/>
        <v>32.94</v>
      </c>
      <c r="CU7" s="36">
        <f t="shared" si="44"/>
        <v>86.685000000000002</v>
      </c>
      <c r="CV7" s="47">
        <f t="shared" si="45"/>
        <v>17.850000000000001</v>
      </c>
      <c r="CW7" s="47" t="str">
        <f t="shared" si="46"/>
        <v/>
      </c>
      <c r="CX7" s="15">
        <v>14.2</v>
      </c>
      <c r="CY7" s="15">
        <v>9</v>
      </c>
      <c r="CZ7" s="15">
        <v>13.4</v>
      </c>
      <c r="DA7" s="15">
        <v>13.79</v>
      </c>
      <c r="DB7" s="15">
        <v>0</v>
      </c>
      <c r="DC7" s="15">
        <v>15</v>
      </c>
      <c r="DD7" s="15">
        <v>9</v>
      </c>
      <c r="DE7" s="15">
        <v>13.4</v>
      </c>
      <c r="DF7" s="15">
        <v>14.27</v>
      </c>
      <c r="DG7" s="15">
        <v>0</v>
      </c>
      <c r="DH7" s="15">
        <v>13.6</v>
      </c>
      <c r="DI7" s="15">
        <v>9.8000000000000007</v>
      </c>
      <c r="DJ7" s="15">
        <v>13.4</v>
      </c>
      <c r="DK7" s="15">
        <v>13.99</v>
      </c>
      <c r="DL7" s="15">
        <v>0</v>
      </c>
      <c r="DM7" s="15"/>
      <c r="DN7" s="15"/>
      <c r="DO7" s="15"/>
      <c r="DP7" s="15"/>
      <c r="DQ7" s="15"/>
      <c r="DR7" s="36">
        <f t="shared" si="47"/>
        <v>13.4</v>
      </c>
      <c r="DS7" s="36">
        <f t="shared" si="48"/>
        <v>13.79</v>
      </c>
      <c r="DT7" s="36">
        <f t="shared" si="49"/>
        <v>50.39</v>
      </c>
      <c r="DU7" s="36">
        <f t="shared" si="50"/>
        <v>13.4</v>
      </c>
      <c r="DV7" s="36">
        <f t="shared" si="51"/>
        <v>14.27</v>
      </c>
      <c r="DW7" s="36">
        <f t="shared" si="52"/>
        <v>51.67</v>
      </c>
      <c r="DX7" s="36">
        <f t="shared" si="53"/>
        <v>51.67</v>
      </c>
      <c r="DY7" s="36">
        <f t="shared" si="54"/>
        <v>13.4</v>
      </c>
      <c r="DZ7" s="36">
        <f t="shared" si="55"/>
        <v>13.99</v>
      </c>
      <c r="EA7" s="36">
        <f t="shared" si="56"/>
        <v>50.79</v>
      </c>
      <c r="EB7" s="36" t="str">
        <f t="shared" si="57"/>
        <v/>
      </c>
      <c r="EC7" s="36" t="str">
        <f t="shared" si="58"/>
        <v/>
      </c>
      <c r="ED7" s="36" t="str">
        <f t="shared" si="59"/>
        <v/>
      </c>
      <c r="EE7" s="36">
        <f t="shared" si="60"/>
        <v>102.46000000000001</v>
      </c>
      <c r="EF7" s="16"/>
      <c r="EG7" s="16"/>
      <c r="EH7" s="16"/>
      <c r="EI7" s="16"/>
      <c r="EJ7" s="16"/>
      <c r="EK7" s="16"/>
      <c r="EL7" s="16"/>
      <c r="EM7" s="16"/>
      <c r="EN7" s="16"/>
      <c r="EO7" s="16"/>
      <c r="EP7" s="16"/>
      <c r="EQ7" s="16"/>
      <c r="ER7" s="16"/>
      <c r="ES7" s="16"/>
      <c r="ET7" s="16"/>
      <c r="EU7" s="16"/>
      <c r="EV7" s="16"/>
      <c r="EW7" s="16"/>
      <c r="EX7" s="16"/>
      <c r="EY7" s="16"/>
      <c r="EZ7" s="11" t="str">
        <f t="shared" si="61"/>
        <v/>
      </c>
      <c r="FA7" s="11" t="str">
        <f t="shared" si="62"/>
        <v/>
      </c>
      <c r="FB7" s="11" t="str">
        <f t="shared" si="63"/>
        <v/>
      </c>
      <c r="FC7" s="11" t="str">
        <f t="shared" si="64"/>
        <v/>
      </c>
      <c r="FD7" s="11" t="str">
        <f t="shared" si="65"/>
        <v/>
      </c>
      <c r="FE7" s="11" t="str">
        <f t="shared" si="66"/>
        <v/>
      </c>
      <c r="FF7" s="11" t="str">
        <f t="shared" si="67"/>
        <v/>
      </c>
      <c r="FG7" s="11" t="str">
        <f t="shared" si="68"/>
        <v/>
      </c>
      <c r="FH7" s="11" t="str">
        <f t="shared" si="69"/>
        <v/>
      </c>
      <c r="FI7" s="11" t="str">
        <f t="shared" si="70"/>
        <v/>
      </c>
      <c r="FJ7" s="11" t="str">
        <f t="shared" si="71"/>
        <v/>
      </c>
      <c r="FK7" s="11" t="str">
        <f t="shared" si="72"/>
        <v/>
      </c>
      <c r="FL7" s="11" t="str">
        <f t="shared" si="73"/>
        <v/>
      </c>
      <c r="FM7" s="11" t="str">
        <f t="shared" si="74"/>
        <v/>
      </c>
      <c r="FN7" s="15"/>
      <c r="FO7" s="15"/>
      <c r="FP7" s="15"/>
      <c r="FQ7" s="15"/>
      <c r="FR7" s="15"/>
      <c r="FS7" s="15"/>
      <c r="FT7" s="15"/>
      <c r="FU7" s="15"/>
      <c r="FV7" s="15"/>
      <c r="FW7" s="15"/>
      <c r="FX7" s="15"/>
      <c r="FY7" s="15"/>
      <c r="FZ7" s="15"/>
      <c r="GA7" s="15"/>
      <c r="GB7" s="15"/>
      <c r="GC7" s="15"/>
      <c r="GD7" s="15"/>
      <c r="GE7" s="15"/>
      <c r="GF7" s="15"/>
      <c r="GG7" s="15"/>
      <c r="GH7" s="36" t="str">
        <f t="shared" si="75"/>
        <v/>
      </c>
      <c r="GI7" s="36" t="str">
        <f t="shared" si="76"/>
        <v/>
      </c>
      <c r="GJ7" s="36" t="str">
        <f t="shared" si="77"/>
        <v/>
      </c>
      <c r="GK7" s="36" t="str">
        <f t="shared" si="78"/>
        <v/>
      </c>
      <c r="GL7" s="36" t="str">
        <f t="shared" si="79"/>
        <v/>
      </c>
      <c r="GM7" s="36" t="str">
        <f t="shared" si="80"/>
        <v/>
      </c>
      <c r="GN7" s="36" t="str">
        <f t="shared" si="81"/>
        <v/>
      </c>
      <c r="GO7" s="36" t="str">
        <f t="shared" si="82"/>
        <v/>
      </c>
      <c r="GP7" s="36" t="str">
        <f t="shared" si="83"/>
        <v/>
      </c>
      <c r="GQ7" s="36" t="str">
        <f t="shared" si="84"/>
        <v/>
      </c>
      <c r="GR7" s="36" t="str">
        <f t="shared" si="85"/>
        <v/>
      </c>
      <c r="GS7" s="36" t="str">
        <f t="shared" si="86"/>
        <v/>
      </c>
      <c r="GT7" s="36" t="str">
        <f t="shared" si="87"/>
        <v/>
      </c>
      <c r="GU7" s="36" t="str">
        <f t="shared" si="88"/>
        <v/>
      </c>
      <c r="GV7" s="16"/>
      <c r="GW7" s="16"/>
      <c r="GX7" s="16"/>
      <c r="GY7" s="16"/>
      <c r="GZ7" s="16"/>
      <c r="HA7" s="16"/>
      <c r="HB7" s="16"/>
      <c r="HC7" s="16"/>
      <c r="HD7" s="16"/>
      <c r="HE7" s="16"/>
      <c r="HF7" s="16"/>
      <c r="HG7" s="16"/>
      <c r="HH7" s="16"/>
      <c r="HI7" s="16"/>
      <c r="HJ7" s="16"/>
      <c r="HK7" s="16"/>
      <c r="HL7" s="16"/>
      <c r="HM7" s="16"/>
      <c r="HN7" s="16"/>
      <c r="HO7" s="16"/>
      <c r="HP7" s="11" t="str">
        <f t="shared" si="89"/>
        <v/>
      </c>
      <c r="HQ7" s="11" t="str">
        <f t="shared" si="90"/>
        <v/>
      </c>
      <c r="HR7" s="11" t="str">
        <f t="shared" si="91"/>
        <v/>
      </c>
      <c r="HS7" s="11" t="str">
        <f t="shared" si="92"/>
        <v/>
      </c>
      <c r="HT7" s="11" t="str">
        <f t="shared" si="93"/>
        <v/>
      </c>
      <c r="HU7" s="11" t="str">
        <f t="shared" si="94"/>
        <v/>
      </c>
      <c r="HV7" s="11" t="str">
        <f t="shared" si="95"/>
        <v/>
      </c>
      <c r="HW7" s="11" t="str">
        <f t="shared" si="96"/>
        <v/>
      </c>
      <c r="HX7" s="11" t="str">
        <f t="shared" si="97"/>
        <v/>
      </c>
      <c r="HY7" s="11" t="str">
        <f t="shared" si="98"/>
        <v/>
      </c>
      <c r="HZ7" s="11" t="str">
        <f t="shared" si="99"/>
        <v/>
      </c>
      <c r="IA7" s="11" t="str">
        <f t="shared" si="100"/>
        <v/>
      </c>
      <c r="IB7" s="11" t="str">
        <f t="shared" si="101"/>
        <v/>
      </c>
      <c r="IC7" s="11" t="str">
        <f t="shared" si="102"/>
        <v/>
      </c>
      <c r="ID7" s="15"/>
      <c r="IE7" s="15"/>
      <c r="IF7" s="15"/>
      <c r="IG7" s="15"/>
      <c r="IH7" s="15"/>
      <c r="II7" s="15"/>
      <c r="IJ7" s="15"/>
      <c r="IK7" s="15"/>
      <c r="IL7" s="15"/>
      <c r="IM7" s="15"/>
      <c r="IN7" s="15"/>
      <c r="IO7" s="15"/>
      <c r="IP7" s="15"/>
      <c r="IQ7" s="15"/>
      <c r="IR7" s="15"/>
      <c r="IS7" s="15"/>
      <c r="IT7" s="15"/>
      <c r="IU7" s="15"/>
      <c r="IV7" s="15"/>
      <c r="IW7" s="15"/>
      <c r="IX7" s="36" t="str">
        <f t="shared" si="103"/>
        <v/>
      </c>
      <c r="IY7" s="36" t="str">
        <f t="shared" si="104"/>
        <v/>
      </c>
      <c r="IZ7" s="36" t="str">
        <f t="shared" si="105"/>
        <v/>
      </c>
      <c r="JA7" s="36" t="str">
        <f t="shared" si="106"/>
        <v/>
      </c>
      <c r="JB7" s="36" t="str">
        <f t="shared" si="107"/>
        <v/>
      </c>
      <c r="JC7" s="36" t="str">
        <f t="shared" si="108"/>
        <v/>
      </c>
      <c r="JD7" s="36" t="str">
        <f t="shared" si="109"/>
        <v/>
      </c>
      <c r="JE7" s="36" t="str">
        <f t="shared" si="110"/>
        <v/>
      </c>
      <c r="JF7" s="36" t="str">
        <f t="shared" si="111"/>
        <v/>
      </c>
      <c r="JG7" s="36" t="str">
        <f t="shared" si="112"/>
        <v/>
      </c>
      <c r="JH7" s="36" t="str">
        <f t="shared" si="113"/>
        <v/>
      </c>
      <c r="JI7" s="36" t="str">
        <f t="shared" si="114"/>
        <v/>
      </c>
      <c r="JJ7" s="36" t="str">
        <f t="shared" si="115"/>
        <v/>
      </c>
      <c r="JK7" s="36" t="str">
        <f t="shared" si="116"/>
        <v/>
      </c>
      <c r="JL7" s="16"/>
      <c r="JM7" s="16"/>
      <c r="JN7" s="16"/>
      <c r="JO7" s="16"/>
      <c r="JP7" s="16"/>
      <c r="JQ7" s="16"/>
      <c r="JR7" s="16"/>
      <c r="JS7" s="16"/>
      <c r="JT7" s="16"/>
      <c r="JU7" s="16"/>
      <c r="JV7" s="16"/>
      <c r="JW7" s="16"/>
      <c r="JX7" s="16"/>
      <c r="JY7" s="16"/>
      <c r="JZ7" s="16"/>
      <c r="KA7" s="16"/>
      <c r="KB7" s="16"/>
      <c r="KC7" s="16"/>
      <c r="KD7" s="16"/>
      <c r="KE7" s="16"/>
      <c r="KF7" s="11" t="str">
        <f t="shared" si="117"/>
        <v/>
      </c>
      <c r="KG7" s="11" t="str">
        <f t="shared" si="118"/>
        <v/>
      </c>
      <c r="KH7" s="11" t="str">
        <f t="shared" si="119"/>
        <v/>
      </c>
      <c r="KI7" s="11" t="str">
        <f t="shared" si="120"/>
        <v/>
      </c>
      <c r="KJ7" s="11" t="str">
        <f t="shared" si="121"/>
        <v/>
      </c>
      <c r="KK7" s="11" t="str">
        <f t="shared" si="122"/>
        <v/>
      </c>
      <c r="KL7" s="11" t="str">
        <f t="shared" si="123"/>
        <v/>
      </c>
      <c r="KM7" s="11" t="str">
        <f t="shared" si="124"/>
        <v/>
      </c>
      <c r="KN7" s="11" t="str">
        <f t="shared" si="125"/>
        <v/>
      </c>
      <c r="KO7" s="11" t="str">
        <f t="shared" si="126"/>
        <v/>
      </c>
      <c r="KP7" s="11" t="str">
        <f t="shared" si="127"/>
        <v/>
      </c>
      <c r="KQ7" s="11" t="str">
        <f t="shared" si="128"/>
        <v/>
      </c>
      <c r="KR7" s="11" t="str">
        <f t="shared" si="129"/>
        <v/>
      </c>
      <c r="KS7" s="11" t="str">
        <f t="shared" si="130"/>
        <v/>
      </c>
      <c r="KT7" s="15"/>
      <c r="KU7" s="15"/>
      <c r="KV7" s="15"/>
      <c r="KW7" s="15"/>
      <c r="KX7" s="15"/>
      <c r="KY7" s="15"/>
      <c r="KZ7" s="15"/>
      <c r="LA7" s="15"/>
      <c r="LB7" s="15"/>
      <c r="LC7" s="15"/>
      <c r="LD7" s="15"/>
      <c r="LE7" s="15"/>
      <c r="LF7" s="15"/>
      <c r="LG7" s="15"/>
      <c r="LH7" s="15"/>
      <c r="LI7" s="15"/>
      <c r="LJ7" s="15"/>
      <c r="LK7" s="15"/>
      <c r="LL7" s="15"/>
      <c r="LM7" s="15"/>
      <c r="LN7" s="36" t="str">
        <f t="shared" si="131"/>
        <v/>
      </c>
      <c r="LO7" s="36" t="str">
        <f t="shared" si="132"/>
        <v/>
      </c>
      <c r="LP7" s="36" t="str">
        <f t="shared" si="133"/>
        <v/>
      </c>
      <c r="LQ7" s="36" t="str">
        <f t="shared" si="134"/>
        <v/>
      </c>
      <c r="LR7" s="36" t="str">
        <f t="shared" si="135"/>
        <v/>
      </c>
      <c r="LS7" s="36" t="str">
        <f t="shared" si="136"/>
        <v/>
      </c>
      <c r="LT7" s="36" t="str">
        <f t="shared" si="137"/>
        <v/>
      </c>
      <c r="LU7" s="36" t="str">
        <f t="shared" si="138"/>
        <v/>
      </c>
      <c r="LV7" s="36" t="str">
        <f t="shared" si="139"/>
        <v/>
      </c>
      <c r="LW7" s="36" t="str">
        <f t="shared" si="140"/>
        <v/>
      </c>
      <c r="LX7" s="36" t="str">
        <f t="shared" si="141"/>
        <v/>
      </c>
      <c r="LY7" s="36" t="str">
        <f t="shared" si="142"/>
        <v/>
      </c>
      <c r="LZ7" s="36" t="str">
        <f t="shared" si="143"/>
        <v/>
      </c>
      <c r="MA7" s="36" t="str">
        <f t="shared" si="144"/>
        <v/>
      </c>
      <c r="MB7" s="16"/>
      <c r="MC7" s="16"/>
      <c r="MD7" s="16"/>
      <c r="ME7" s="16"/>
      <c r="MF7" s="16"/>
      <c r="MG7" s="16"/>
      <c r="MH7" s="16"/>
      <c r="MI7" s="16"/>
      <c r="MJ7" s="16"/>
      <c r="MK7" s="16"/>
      <c r="ML7" s="16"/>
      <c r="MM7" s="16"/>
      <c r="MN7" s="16"/>
      <c r="MO7" s="16"/>
      <c r="MP7" s="16"/>
      <c r="MQ7" s="16"/>
      <c r="MR7" s="16"/>
      <c r="MS7" s="16"/>
      <c r="MT7" s="16"/>
      <c r="MU7" s="16"/>
      <c r="MV7" s="11" t="str">
        <f t="shared" si="145"/>
        <v/>
      </c>
      <c r="MW7" s="11" t="str">
        <f t="shared" si="146"/>
        <v/>
      </c>
      <c r="MX7" s="11" t="str">
        <f t="shared" si="147"/>
        <v/>
      </c>
      <c r="MY7" s="11" t="str">
        <f t="shared" si="148"/>
        <v/>
      </c>
      <c r="MZ7" s="11" t="str">
        <f t="shared" si="149"/>
        <v/>
      </c>
      <c r="NA7" s="11" t="str">
        <f t="shared" si="150"/>
        <v/>
      </c>
      <c r="NB7" s="11" t="str">
        <f t="shared" si="151"/>
        <v/>
      </c>
      <c r="NC7" s="11" t="str">
        <f t="shared" si="152"/>
        <v/>
      </c>
      <c r="ND7" s="11" t="str">
        <f t="shared" si="153"/>
        <v/>
      </c>
      <c r="NE7" s="11" t="str">
        <f t="shared" si="154"/>
        <v/>
      </c>
      <c r="NF7" s="11" t="str">
        <f t="shared" si="155"/>
        <v/>
      </c>
      <c r="NG7" s="11" t="str">
        <f t="shared" si="156"/>
        <v/>
      </c>
      <c r="NH7" s="11" t="str">
        <f t="shared" si="157"/>
        <v/>
      </c>
      <c r="NI7" s="11" t="str">
        <f t="shared" si="158"/>
        <v/>
      </c>
      <c r="NJ7" s="15"/>
      <c r="NK7" s="15"/>
      <c r="NL7" s="15"/>
      <c r="NM7" s="15"/>
      <c r="NN7" s="15"/>
      <c r="NO7" s="15"/>
      <c r="NP7" s="15"/>
      <c r="NQ7" s="15"/>
      <c r="NR7" s="15"/>
      <c r="NS7" s="15"/>
      <c r="NT7" s="15"/>
      <c r="NU7" s="15"/>
      <c r="NV7" s="15"/>
      <c r="NW7" s="15"/>
      <c r="NX7" s="15"/>
      <c r="NY7" s="15"/>
      <c r="NZ7" s="15"/>
      <c r="OA7" s="15"/>
      <c r="OB7" s="15"/>
      <c r="OC7" s="15"/>
      <c r="OD7" s="36" t="str">
        <f t="shared" si="159"/>
        <v/>
      </c>
      <c r="OE7" s="36" t="str">
        <f t="shared" si="160"/>
        <v/>
      </c>
      <c r="OF7" s="36" t="str">
        <f t="shared" si="161"/>
        <v/>
      </c>
      <c r="OG7" s="36" t="str">
        <f t="shared" si="162"/>
        <v/>
      </c>
      <c r="OH7" s="36" t="str">
        <f t="shared" si="163"/>
        <v/>
      </c>
      <c r="OI7" s="36" t="str">
        <f t="shared" si="164"/>
        <v/>
      </c>
      <c r="OJ7" s="36" t="str">
        <f t="shared" si="165"/>
        <v/>
      </c>
      <c r="OK7" s="36" t="str">
        <f t="shared" si="166"/>
        <v/>
      </c>
      <c r="OL7" s="36" t="str">
        <f t="shared" si="167"/>
        <v/>
      </c>
      <c r="OM7" s="36" t="str">
        <f t="shared" si="168"/>
        <v/>
      </c>
      <c r="ON7" s="36" t="str">
        <f t="shared" si="169"/>
        <v/>
      </c>
      <c r="OO7" s="36" t="str">
        <f t="shared" si="170"/>
        <v/>
      </c>
      <c r="OP7" s="36" t="str">
        <f t="shared" si="171"/>
        <v/>
      </c>
      <c r="OQ7" s="36" t="str">
        <f t="shared" si="172"/>
        <v/>
      </c>
      <c r="OR7" s="16"/>
      <c r="OS7" s="16"/>
      <c r="OT7" s="16"/>
      <c r="OU7" s="16"/>
      <c r="OV7" s="16"/>
      <c r="OW7" s="16"/>
      <c r="OX7" s="16"/>
      <c r="OY7" s="16"/>
      <c r="OZ7" s="16"/>
      <c r="PA7" s="16"/>
      <c r="PB7" s="16"/>
      <c r="PC7" s="16"/>
      <c r="PD7" s="16"/>
      <c r="PE7" s="16"/>
      <c r="PF7" s="16"/>
      <c r="PG7" s="16"/>
      <c r="PH7" s="16"/>
      <c r="PI7" s="16"/>
      <c r="PJ7" s="16"/>
      <c r="PK7" s="16"/>
      <c r="PL7" s="11" t="str">
        <f t="shared" si="173"/>
        <v/>
      </c>
      <c r="PM7" s="11" t="str">
        <f t="shared" si="174"/>
        <v/>
      </c>
      <c r="PN7" s="11" t="str">
        <f t="shared" si="175"/>
        <v/>
      </c>
      <c r="PO7" s="11" t="str">
        <f t="shared" si="176"/>
        <v/>
      </c>
      <c r="PP7" s="11" t="str">
        <f t="shared" si="177"/>
        <v/>
      </c>
      <c r="PQ7" s="11" t="str">
        <f t="shared" si="178"/>
        <v/>
      </c>
      <c r="PR7" s="11" t="str">
        <f t="shared" si="179"/>
        <v/>
      </c>
      <c r="PS7" s="11" t="str">
        <f t="shared" si="180"/>
        <v/>
      </c>
      <c r="PT7" s="11" t="str">
        <f t="shared" si="181"/>
        <v/>
      </c>
      <c r="PU7" s="11" t="str">
        <f t="shared" si="182"/>
        <v/>
      </c>
      <c r="PV7" s="11" t="str">
        <f t="shared" si="183"/>
        <v/>
      </c>
      <c r="PW7" s="11" t="str">
        <f t="shared" si="184"/>
        <v/>
      </c>
      <c r="PX7" s="11" t="str">
        <f t="shared" si="185"/>
        <v/>
      </c>
      <c r="PY7" s="11" t="str">
        <f t="shared" si="186"/>
        <v/>
      </c>
      <c r="PZ7" s="15"/>
      <c r="QA7" s="15"/>
      <c r="QB7" s="15"/>
      <c r="QC7" s="15"/>
      <c r="QD7" s="15"/>
      <c r="QE7" s="15"/>
      <c r="QF7" s="15"/>
      <c r="QG7" s="15"/>
      <c r="QH7" s="15"/>
      <c r="QI7" s="15"/>
      <c r="QJ7" s="15"/>
      <c r="QK7" s="15"/>
      <c r="QL7" s="15"/>
      <c r="QM7" s="15"/>
      <c r="QN7" s="15"/>
      <c r="QO7" s="15"/>
      <c r="QP7" s="15"/>
      <c r="QQ7" s="15"/>
      <c r="QR7" s="15"/>
      <c r="QS7" s="15"/>
      <c r="QT7" s="36" t="str">
        <f t="shared" si="187"/>
        <v/>
      </c>
      <c r="QU7" s="36" t="str">
        <f t="shared" si="188"/>
        <v/>
      </c>
      <c r="QV7" s="36" t="str">
        <f t="shared" si="189"/>
        <v/>
      </c>
      <c r="QW7" s="36" t="str">
        <f t="shared" si="190"/>
        <v/>
      </c>
      <c r="QX7" s="36" t="str">
        <f t="shared" si="191"/>
        <v/>
      </c>
      <c r="QY7" s="36" t="str">
        <f t="shared" si="192"/>
        <v/>
      </c>
      <c r="QZ7" s="36" t="str">
        <f t="shared" si="193"/>
        <v/>
      </c>
      <c r="RA7" s="36" t="str">
        <f t="shared" si="194"/>
        <v/>
      </c>
      <c r="RB7" s="36" t="str">
        <f t="shared" si="195"/>
        <v/>
      </c>
      <c r="RC7" s="36" t="str">
        <f t="shared" si="196"/>
        <v/>
      </c>
      <c r="RD7" s="36" t="str">
        <f t="shared" si="197"/>
        <v/>
      </c>
      <c r="RE7" s="36" t="str">
        <f t="shared" si="198"/>
        <v/>
      </c>
      <c r="RF7" s="36" t="str">
        <f t="shared" si="199"/>
        <v/>
      </c>
      <c r="RG7" s="36" t="str">
        <f t="shared" si="200"/>
        <v/>
      </c>
      <c r="RH7" s="16"/>
      <c r="RI7" s="16"/>
      <c r="RJ7" s="16"/>
      <c r="RK7" s="16"/>
      <c r="RL7" s="16"/>
      <c r="RM7" s="16"/>
      <c r="RN7" s="16"/>
      <c r="RO7" s="16"/>
      <c r="RP7" s="16"/>
      <c r="RQ7" s="16"/>
      <c r="RR7" s="16"/>
      <c r="RS7" s="16"/>
      <c r="RT7" s="16"/>
      <c r="RU7" s="16"/>
      <c r="RV7" s="16"/>
      <c r="RW7" s="16"/>
      <c r="RX7" s="16"/>
      <c r="RY7" s="16"/>
      <c r="RZ7" s="16"/>
      <c r="SA7" s="16"/>
      <c r="SB7" s="11" t="str">
        <f t="shared" si="201"/>
        <v/>
      </c>
      <c r="SC7" s="11" t="str">
        <f t="shared" si="202"/>
        <v/>
      </c>
      <c r="SD7" s="11" t="str">
        <f t="shared" si="203"/>
        <v/>
      </c>
      <c r="SE7" s="11" t="str">
        <f t="shared" si="204"/>
        <v/>
      </c>
      <c r="SF7" s="11" t="str">
        <f t="shared" si="205"/>
        <v/>
      </c>
      <c r="SG7" s="11" t="str">
        <f t="shared" si="206"/>
        <v/>
      </c>
      <c r="SH7" s="11" t="str">
        <f t="shared" si="207"/>
        <v/>
      </c>
      <c r="SI7" s="11" t="str">
        <f t="shared" si="208"/>
        <v/>
      </c>
      <c r="SJ7" s="11" t="str">
        <f t="shared" si="209"/>
        <v/>
      </c>
      <c r="SK7" s="11" t="str">
        <f t="shared" si="210"/>
        <v/>
      </c>
      <c r="SL7" s="11" t="str">
        <f t="shared" si="211"/>
        <v/>
      </c>
      <c r="SM7" s="11" t="str">
        <f t="shared" si="212"/>
        <v/>
      </c>
      <c r="SN7" s="11" t="str">
        <f t="shared" si="213"/>
        <v/>
      </c>
      <c r="SO7" s="11" t="str">
        <f t="shared" si="214"/>
        <v/>
      </c>
      <c r="SP7" s="15"/>
      <c r="SQ7" s="15"/>
      <c r="SR7" s="15"/>
      <c r="SS7" s="15"/>
      <c r="ST7" s="15"/>
      <c r="SU7" s="15"/>
      <c r="SV7" s="15"/>
      <c r="SW7" s="15"/>
      <c r="SX7" s="15"/>
      <c r="SY7" s="15"/>
      <c r="SZ7" s="15"/>
      <c r="TA7" s="15"/>
      <c r="TB7" s="15"/>
      <c r="TC7" s="15"/>
      <c r="TD7" s="15"/>
      <c r="TE7" s="15"/>
      <c r="TF7" s="15"/>
      <c r="TG7" s="15"/>
      <c r="TH7" s="15"/>
      <c r="TI7" s="15"/>
      <c r="TJ7" s="36" t="str">
        <f t="shared" si="215"/>
        <v/>
      </c>
      <c r="TK7" s="36" t="str">
        <f t="shared" si="216"/>
        <v/>
      </c>
      <c r="TL7" s="36" t="str">
        <f t="shared" si="217"/>
        <v/>
      </c>
      <c r="TM7" s="36" t="str">
        <f t="shared" si="218"/>
        <v/>
      </c>
      <c r="TN7" s="36" t="str">
        <f t="shared" si="219"/>
        <v/>
      </c>
      <c r="TO7" s="36" t="str">
        <f t="shared" si="220"/>
        <v/>
      </c>
      <c r="TP7" s="36" t="str">
        <f t="shared" si="221"/>
        <v/>
      </c>
      <c r="TQ7" s="36" t="str">
        <f t="shared" si="222"/>
        <v/>
      </c>
      <c r="TR7" s="36" t="str">
        <f t="shared" si="223"/>
        <v/>
      </c>
      <c r="TS7" s="36" t="str">
        <f t="shared" si="224"/>
        <v/>
      </c>
      <c r="TT7" s="36" t="str">
        <f t="shared" si="225"/>
        <v/>
      </c>
      <c r="TU7" s="36" t="str">
        <f t="shared" si="226"/>
        <v/>
      </c>
      <c r="TV7" s="36" t="str">
        <f t="shared" si="227"/>
        <v/>
      </c>
      <c r="TW7" s="36" t="str">
        <f t="shared" si="228"/>
        <v/>
      </c>
      <c r="TX7" s="16"/>
      <c r="TY7" s="16"/>
      <c r="TZ7" s="16"/>
      <c r="UA7" s="16"/>
      <c r="UB7" s="16"/>
      <c r="UC7" s="16"/>
      <c r="UD7" s="16"/>
      <c r="UE7" s="16"/>
      <c r="UF7" s="16"/>
      <c r="UG7" s="16"/>
      <c r="UH7" s="16"/>
      <c r="UI7" s="16"/>
      <c r="UJ7" s="16"/>
      <c r="UK7" s="16"/>
      <c r="UL7" s="16"/>
      <c r="UM7" s="16"/>
      <c r="UN7" s="16"/>
      <c r="UO7" s="16"/>
      <c r="UP7" s="16"/>
      <c r="UQ7" s="16"/>
      <c r="UR7" s="11" t="str">
        <f t="shared" si="229"/>
        <v/>
      </c>
      <c r="US7" s="11" t="str">
        <f t="shared" si="230"/>
        <v/>
      </c>
      <c r="UT7" s="11" t="str">
        <f t="shared" si="231"/>
        <v/>
      </c>
      <c r="UU7" s="11" t="str">
        <f t="shared" si="232"/>
        <v/>
      </c>
      <c r="UV7" s="11" t="str">
        <f t="shared" si="233"/>
        <v/>
      </c>
      <c r="UW7" s="11" t="str">
        <f t="shared" si="234"/>
        <v/>
      </c>
      <c r="UX7" s="11" t="str">
        <f t="shared" si="235"/>
        <v/>
      </c>
      <c r="UY7" s="11" t="str">
        <f t="shared" si="236"/>
        <v/>
      </c>
      <c r="UZ7" s="11" t="str">
        <f t="shared" si="237"/>
        <v/>
      </c>
      <c r="VA7" s="11" t="str">
        <f t="shared" si="238"/>
        <v/>
      </c>
      <c r="VB7" s="11" t="str">
        <f t="shared" si="239"/>
        <v/>
      </c>
      <c r="VC7" s="11" t="str">
        <f t="shared" si="240"/>
        <v/>
      </c>
      <c r="VD7" s="11" t="str">
        <f t="shared" si="241"/>
        <v/>
      </c>
      <c r="VE7" s="11" t="str">
        <f t="shared" si="242"/>
        <v/>
      </c>
      <c r="VF7" s="15"/>
      <c r="VG7" s="15"/>
      <c r="VH7" s="15"/>
      <c r="VI7" s="15"/>
      <c r="VJ7" s="15"/>
      <c r="VK7" s="15"/>
      <c r="VL7" s="15"/>
      <c r="VM7" s="15"/>
      <c r="VN7" s="15"/>
      <c r="VO7" s="15"/>
      <c r="VP7" s="15"/>
      <c r="VQ7" s="15"/>
      <c r="VR7" s="15"/>
      <c r="VS7" s="15"/>
      <c r="VT7" s="15"/>
      <c r="VU7" s="15"/>
      <c r="VV7" s="15"/>
      <c r="VW7" s="15"/>
      <c r="VX7" s="15"/>
      <c r="VY7" s="15"/>
      <c r="VZ7" s="36" t="str">
        <f t="shared" si="243"/>
        <v/>
      </c>
      <c r="WA7" s="36" t="str">
        <f t="shared" si="244"/>
        <v/>
      </c>
      <c r="WB7" s="36" t="str">
        <f t="shared" si="245"/>
        <v/>
      </c>
      <c r="WC7" s="36" t="str">
        <f t="shared" si="246"/>
        <v/>
      </c>
      <c r="WD7" s="36" t="str">
        <f t="shared" si="247"/>
        <v/>
      </c>
      <c r="WE7" s="36" t="str">
        <f t="shared" si="248"/>
        <v/>
      </c>
      <c r="WF7" s="36" t="str">
        <f t="shared" si="249"/>
        <v/>
      </c>
      <c r="WG7" s="36" t="str">
        <f t="shared" si="250"/>
        <v/>
      </c>
      <c r="WH7" s="36" t="str">
        <f t="shared" si="251"/>
        <v/>
      </c>
      <c r="WI7" s="36" t="str">
        <f t="shared" si="252"/>
        <v/>
      </c>
      <c r="WJ7" s="36" t="str">
        <f t="shared" si="253"/>
        <v/>
      </c>
      <c r="WK7" s="36" t="str">
        <f t="shared" si="254"/>
        <v/>
      </c>
      <c r="WL7" s="36" t="str">
        <f t="shared" si="255"/>
        <v/>
      </c>
      <c r="WM7" s="36" t="str">
        <f t="shared" si="256"/>
        <v/>
      </c>
    </row>
    <row r="8" spans="1:611" x14ac:dyDescent="0.2">
      <c r="A8" s="4" cm="1">
        <f t="array" ref="A8">IF(AND(H8&lt;&gt;"",H8&lt;&gt;"No DD"),SUMPRODUCT((H$4:H$15&lt;&gt;"")*(H$4:H$15&lt;&gt;"No DD")*(E$4:E$15&gt;E8))+1,IF(H8="No DD",SUMPRODUCT((H$4:H$15="No DD")*(E$4:E$15&gt;E8))+1+SUMPRODUCT((H$4:H$15&lt;&gt;"")*(H$4:H$15&lt;&gt;"No DD")),""))</f>
        <v>5</v>
      </c>
      <c r="B8" s="5" t="s">
        <v>83</v>
      </c>
      <c r="C8" s="4" t="s">
        <v>3</v>
      </c>
      <c r="D8" s="4">
        <v>2004</v>
      </c>
      <c r="E8" s="9">
        <f t="shared" si="0"/>
        <v>157.51001570000534</v>
      </c>
      <c r="F8" s="3" t="str">
        <f t="shared" si="1"/>
        <v>P</v>
      </c>
      <c r="G8" s="3" t="str">
        <f t="shared" si="2"/>
        <v>P</v>
      </c>
      <c r="H8" s="32" t="str">
        <f t="shared" si="3"/>
        <v>National Team</v>
      </c>
      <c r="I8" s="3" t="str">
        <f t="shared" si="4"/>
        <v/>
      </c>
      <c r="J8" s="8">
        <f t="shared" si="5"/>
        <v>51.269999999999996</v>
      </c>
      <c r="K8" s="8" t="str">
        <f t="shared" si="6"/>
        <v>2025 Nationals</v>
      </c>
      <c r="L8" s="8">
        <f>IFERROR(IF(J8=AR8,LARGE((AK8,AN8,BL8,BO8,BS8,CM8,CP8,CT8),1),IF(J8=BS8,LARGE((AK8,AN8,AR8,BL8,BO8,CM8,CP8,CT8),1),LARGE((AK8,AN8,AR8,BL8,BO8,BS8,CM8,CP8),1))),0)</f>
        <v>53.55</v>
      </c>
      <c r="M8" s="8" t="str">
        <f t="shared" si="7"/>
        <v>2025 3rd Domestic Trial</v>
      </c>
      <c r="N8" s="8">
        <f>IFERROR(IF(J8=AR8,LARGE((AK8,AN8,BL8,BO8,BS8,CM8,CP8,CT8),2),IF(J8=BS8,LARGE((AK8,AN8,AR8,BL8,BO8,CM8,CP8,CT8),2),LARGE((AK8,AN8,AR8,BL8,BO8,BS8,CM8,CP8),2))),0)</f>
        <v>52.18</v>
      </c>
      <c r="O8" s="8" t="str">
        <f t="shared" si="8"/>
        <v>2025 3rd Domestic Trial</v>
      </c>
      <c r="P8" s="8">
        <f t="shared" si="9"/>
        <v>0.51000000000000512</v>
      </c>
      <c r="Q8" s="11" t="str">
        <f t="shared" si="10"/>
        <v>(Final)</v>
      </c>
      <c r="R8" s="8" t="str">
        <f t="shared" si="11"/>
        <v>2025 Junior Pan Am Games (Aug 12)</v>
      </c>
      <c r="S8" s="18">
        <v>14</v>
      </c>
      <c r="T8" s="18">
        <v>8.6999999999999993</v>
      </c>
      <c r="U8" s="18">
        <v>13.9</v>
      </c>
      <c r="V8" s="18">
        <v>14.55</v>
      </c>
      <c r="W8" s="18">
        <v>0</v>
      </c>
      <c r="X8" s="18">
        <v>1.4</v>
      </c>
      <c r="Y8" s="18">
        <v>0.9</v>
      </c>
      <c r="Z8" s="18">
        <v>2</v>
      </c>
      <c r="AA8" s="18">
        <v>1.55</v>
      </c>
      <c r="AB8" s="18">
        <v>0</v>
      </c>
      <c r="AC8" s="18">
        <v>12.5</v>
      </c>
      <c r="AD8" s="18">
        <v>9.3000000000000007</v>
      </c>
      <c r="AE8" s="18">
        <v>14.3</v>
      </c>
      <c r="AF8" s="18">
        <v>14.79</v>
      </c>
      <c r="AG8" s="18">
        <v>0</v>
      </c>
      <c r="AH8" s="23"/>
      <c r="AI8" s="34">
        <f t="shared" si="12"/>
        <v>13.9</v>
      </c>
      <c r="AJ8" s="34">
        <f t="shared" si="13"/>
        <v>14.55</v>
      </c>
      <c r="AK8" s="36">
        <f t="shared" si="14"/>
        <v>51.150000000000006</v>
      </c>
      <c r="AL8" s="36">
        <f t="shared" si="15"/>
        <v>2</v>
      </c>
      <c r="AM8" s="36">
        <f t="shared" si="16"/>
        <v>1.55</v>
      </c>
      <c r="AN8" s="36">
        <f t="shared" si="17"/>
        <v>5.85</v>
      </c>
      <c r="AO8" s="36">
        <f t="shared" si="18"/>
        <v>51.150000000000006</v>
      </c>
      <c r="AP8" s="36">
        <f t="shared" si="19"/>
        <v>14.3</v>
      </c>
      <c r="AQ8" s="36">
        <f t="shared" si="20"/>
        <v>14.79</v>
      </c>
      <c r="AR8" s="36">
        <f t="shared" si="21"/>
        <v>50.89</v>
      </c>
      <c r="AS8" s="36">
        <f t="shared" si="22"/>
        <v>102.04</v>
      </c>
      <c r="AT8" s="22">
        <v>11.8</v>
      </c>
      <c r="AU8" s="22">
        <v>9.4</v>
      </c>
      <c r="AV8" s="22">
        <v>11.3</v>
      </c>
      <c r="AW8" s="22">
        <v>14.35</v>
      </c>
      <c r="AX8" s="22">
        <v>1.4</v>
      </c>
      <c r="AY8" s="22">
        <v>13</v>
      </c>
      <c r="AZ8" s="22">
        <v>9.1999999999999993</v>
      </c>
      <c r="BA8" s="22">
        <v>14.5</v>
      </c>
      <c r="BB8" s="22">
        <v>14.9</v>
      </c>
      <c r="BC8" s="22">
        <v>0</v>
      </c>
      <c r="BD8" s="22">
        <v>13.1</v>
      </c>
      <c r="BE8" s="22">
        <v>9.1999999999999993</v>
      </c>
      <c r="BF8" s="22">
        <v>14.1</v>
      </c>
      <c r="BG8" s="22">
        <v>14.87</v>
      </c>
      <c r="BH8" s="22">
        <v>0</v>
      </c>
      <c r="BI8" s="24"/>
      <c r="BJ8" s="35">
        <f t="shared" si="23"/>
        <v>11.3</v>
      </c>
      <c r="BK8" s="35">
        <f t="shared" si="24"/>
        <v>14.35</v>
      </c>
      <c r="BL8" s="11">
        <f t="shared" si="25"/>
        <v>45.45</v>
      </c>
      <c r="BM8" s="11">
        <f t="shared" si="26"/>
        <v>14.5</v>
      </c>
      <c r="BN8" s="11">
        <f t="shared" si="27"/>
        <v>14.9</v>
      </c>
      <c r="BO8" s="11">
        <f t="shared" si="28"/>
        <v>51.6</v>
      </c>
      <c r="BP8" s="11">
        <f t="shared" si="29"/>
        <v>51.6</v>
      </c>
      <c r="BQ8" s="11">
        <f t="shared" si="30"/>
        <v>14.1</v>
      </c>
      <c r="BR8" s="11">
        <f t="shared" si="31"/>
        <v>14.87</v>
      </c>
      <c r="BS8" s="11">
        <f t="shared" si="32"/>
        <v>51.269999999999996</v>
      </c>
      <c r="BT8" s="11">
        <f t="shared" si="33"/>
        <v>102.87</v>
      </c>
      <c r="BU8" s="18">
        <v>14.5</v>
      </c>
      <c r="BV8" s="18">
        <v>9.6</v>
      </c>
      <c r="BW8" s="18">
        <v>13.9</v>
      </c>
      <c r="BX8" s="18">
        <v>15.55</v>
      </c>
      <c r="BY8" s="18">
        <v>0</v>
      </c>
      <c r="BZ8" s="18">
        <v>13.9</v>
      </c>
      <c r="CA8" s="18">
        <v>9</v>
      </c>
      <c r="CB8" s="18">
        <v>14.1</v>
      </c>
      <c r="CC8" s="18">
        <v>15.18</v>
      </c>
      <c r="CD8" s="18">
        <v>0</v>
      </c>
      <c r="CE8" s="18">
        <v>1.4</v>
      </c>
      <c r="CF8" s="18">
        <v>1</v>
      </c>
      <c r="CG8" s="18">
        <v>2</v>
      </c>
      <c r="CH8" s="18">
        <v>1.63</v>
      </c>
      <c r="CI8" s="18">
        <v>0</v>
      </c>
      <c r="CJ8" s="23"/>
      <c r="CK8" s="34">
        <f t="shared" si="34"/>
        <v>13.9</v>
      </c>
      <c r="CL8" s="34">
        <f t="shared" si="35"/>
        <v>15.55</v>
      </c>
      <c r="CM8" s="36">
        <f t="shared" si="36"/>
        <v>53.55</v>
      </c>
      <c r="CN8" s="36">
        <f t="shared" si="37"/>
        <v>14.1</v>
      </c>
      <c r="CO8" s="36">
        <f t="shared" si="38"/>
        <v>15.18</v>
      </c>
      <c r="CP8" s="36">
        <f t="shared" si="39"/>
        <v>52.18</v>
      </c>
      <c r="CQ8" s="36">
        <f t="shared" si="40"/>
        <v>53.55</v>
      </c>
      <c r="CR8" s="36">
        <f t="shared" si="41"/>
        <v>2</v>
      </c>
      <c r="CS8" s="36">
        <f t="shared" si="42"/>
        <v>1.63</v>
      </c>
      <c r="CT8" s="36">
        <f t="shared" si="43"/>
        <v>6.03</v>
      </c>
      <c r="CU8" s="36">
        <f t="shared" si="44"/>
        <v>59.58</v>
      </c>
      <c r="CV8" s="47">
        <f t="shared" si="45"/>
        <v>0.51000000000000512</v>
      </c>
      <c r="CW8" s="47">
        <f t="shared" si="46"/>
        <v>0.5</v>
      </c>
      <c r="CX8" s="15">
        <v>13.4</v>
      </c>
      <c r="CY8" s="15">
        <v>8.6</v>
      </c>
      <c r="CZ8" s="15">
        <v>14.5</v>
      </c>
      <c r="DA8" s="15">
        <v>15.28</v>
      </c>
      <c r="DB8" s="15">
        <v>0</v>
      </c>
      <c r="DC8" s="15">
        <v>9.8000000000000007</v>
      </c>
      <c r="DD8" s="15">
        <v>6.2</v>
      </c>
      <c r="DE8" s="15">
        <v>10.199999999999999</v>
      </c>
      <c r="DF8" s="15">
        <v>10.88</v>
      </c>
      <c r="DG8" s="15">
        <v>0</v>
      </c>
      <c r="DH8" s="15">
        <v>4</v>
      </c>
      <c r="DI8" s="15">
        <v>2.6</v>
      </c>
      <c r="DJ8" s="15">
        <v>4.5999999999999996</v>
      </c>
      <c r="DK8" s="15">
        <v>4.58</v>
      </c>
      <c r="DL8" s="15">
        <v>0</v>
      </c>
      <c r="DM8" s="15"/>
      <c r="DN8" s="15"/>
      <c r="DO8" s="15"/>
      <c r="DP8" s="15"/>
      <c r="DQ8" s="15"/>
      <c r="DR8" s="36">
        <f t="shared" si="47"/>
        <v>14.5</v>
      </c>
      <c r="DS8" s="36">
        <f t="shared" si="48"/>
        <v>15.28</v>
      </c>
      <c r="DT8" s="36">
        <f t="shared" si="49"/>
        <v>51.78</v>
      </c>
      <c r="DU8" s="36">
        <f t="shared" si="50"/>
        <v>10.199999999999999</v>
      </c>
      <c r="DV8" s="36">
        <f t="shared" si="51"/>
        <v>10.88</v>
      </c>
      <c r="DW8" s="36">
        <f t="shared" si="52"/>
        <v>37.08</v>
      </c>
      <c r="DX8" s="36">
        <f t="shared" si="53"/>
        <v>51.78</v>
      </c>
      <c r="DY8" s="36">
        <f t="shared" si="54"/>
        <v>4.5999999999999996</v>
      </c>
      <c r="DZ8" s="36">
        <f t="shared" si="55"/>
        <v>4.58</v>
      </c>
      <c r="EA8" s="36">
        <f t="shared" si="56"/>
        <v>15.78</v>
      </c>
      <c r="EB8" s="36" t="str">
        <f t="shared" si="57"/>
        <v/>
      </c>
      <c r="EC8" s="36" t="str">
        <f t="shared" si="58"/>
        <v/>
      </c>
      <c r="ED8" s="36" t="str">
        <f t="shared" si="59"/>
        <v/>
      </c>
      <c r="EE8" s="36">
        <f t="shared" si="60"/>
        <v>67.56</v>
      </c>
      <c r="EF8" s="16"/>
      <c r="EG8" s="16"/>
      <c r="EH8" s="16"/>
      <c r="EI8" s="16"/>
      <c r="EJ8" s="16"/>
      <c r="EK8" s="16"/>
      <c r="EL8" s="16"/>
      <c r="EM8" s="16"/>
      <c r="EN8" s="16"/>
      <c r="EO8" s="16"/>
      <c r="EP8" s="16"/>
      <c r="EQ8" s="16"/>
      <c r="ER8" s="16"/>
      <c r="ES8" s="16"/>
      <c r="ET8" s="16"/>
      <c r="EU8" s="16"/>
      <c r="EV8" s="16"/>
      <c r="EW8" s="16"/>
      <c r="EX8" s="16"/>
      <c r="EY8" s="16"/>
      <c r="EZ8" s="11" t="str">
        <f t="shared" si="61"/>
        <v/>
      </c>
      <c r="FA8" s="11" t="str">
        <f t="shared" si="62"/>
        <v/>
      </c>
      <c r="FB8" s="11" t="str">
        <f t="shared" si="63"/>
        <v/>
      </c>
      <c r="FC8" s="11" t="str">
        <f t="shared" si="64"/>
        <v/>
      </c>
      <c r="FD8" s="11" t="str">
        <f t="shared" si="65"/>
        <v/>
      </c>
      <c r="FE8" s="11" t="str">
        <f t="shared" si="66"/>
        <v/>
      </c>
      <c r="FF8" s="11" t="str">
        <f t="shared" si="67"/>
        <v/>
      </c>
      <c r="FG8" s="11" t="str">
        <f t="shared" si="68"/>
        <v/>
      </c>
      <c r="FH8" s="11" t="str">
        <f t="shared" si="69"/>
        <v/>
      </c>
      <c r="FI8" s="11" t="str">
        <f t="shared" si="70"/>
        <v/>
      </c>
      <c r="FJ8" s="11" t="str">
        <f t="shared" si="71"/>
        <v/>
      </c>
      <c r="FK8" s="11" t="str">
        <f t="shared" si="72"/>
        <v/>
      </c>
      <c r="FL8" s="11" t="str">
        <f t="shared" si="73"/>
        <v/>
      </c>
      <c r="FM8" s="11" t="str">
        <f t="shared" si="74"/>
        <v/>
      </c>
      <c r="FN8" s="15">
        <v>10.4</v>
      </c>
      <c r="FO8" s="15">
        <v>8.6</v>
      </c>
      <c r="FP8" s="15">
        <v>14.1</v>
      </c>
      <c r="FQ8" s="15">
        <v>14.96</v>
      </c>
      <c r="FR8" s="15">
        <v>0</v>
      </c>
      <c r="FS8" s="15">
        <v>12.9</v>
      </c>
      <c r="FT8" s="15">
        <v>9.1999999999999993</v>
      </c>
      <c r="FU8" s="15">
        <v>13.9</v>
      </c>
      <c r="FV8" s="15">
        <v>15.01</v>
      </c>
      <c r="FW8" s="15">
        <v>0</v>
      </c>
      <c r="FX8" s="15"/>
      <c r="FY8" s="15"/>
      <c r="FZ8" s="15"/>
      <c r="GA8" s="15"/>
      <c r="GB8" s="15"/>
      <c r="GC8" s="15"/>
      <c r="GD8" s="15"/>
      <c r="GE8" s="15"/>
      <c r="GF8" s="15"/>
      <c r="GG8" s="15"/>
      <c r="GH8" s="36">
        <f t="shared" si="75"/>
        <v>14.1</v>
      </c>
      <c r="GI8" s="36">
        <f t="shared" si="76"/>
        <v>14.96</v>
      </c>
      <c r="GJ8" s="36">
        <f t="shared" si="77"/>
        <v>48.06</v>
      </c>
      <c r="GK8" s="36">
        <f t="shared" si="78"/>
        <v>13.9</v>
      </c>
      <c r="GL8" s="36">
        <f t="shared" si="79"/>
        <v>15.01</v>
      </c>
      <c r="GM8" s="36">
        <f t="shared" si="80"/>
        <v>51.01</v>
      </c>
      <c r="GN8" s="36">
        <f t="shared" si="81"/>
        <v>51.01</v>
      </c>
      <c r="GO8" s="36" t="str">
        <f t="shared" si="82"/>
        <v/>
      </c>
      <c r="GP8" s="36" t="str">
        <f t="shared" si="83"/>
        <v/>
      </c>
      <c r="GQ8" s="36" t="str">
        <f t="shared" si="84"/>
        <v/>
      </c>
      <c r="GR8" s="36" t="str">
        <f t="shared" si="85"/>
        <v/>
      </c>
      <c r="GS8" s="36" t="str">
        <f t="shared" si="86"/>
        <v/>
      </c>
      <c r="GT8" s="36" t="str">
        <f t="shared" si="87"/>
        <v/>
      </c>
      <c r="GU8" s="36">
        <f t="shared" si="88"/>
        <v>51.01</v>
      </c>
      <c r="GV8" s="16"/>
      <c r="GW8" s="16"/>
      <c r="GX8" s="16"/>
      <c r="GY8" s="16"/>
      <c r="GZ8" s="16"/>
      <c r="HA8" s="16"/>
      <c r="HB8" s="16"/>
      <c r="HC8" s="16"/>
      <c r="HD8" s="16"/>
      <c r="HE8" s="16"/>
      <c r="HF8" s="16"/>
      <c r="HG8" s="16"/>
      <c r="HH8" s="16"/>
      <c r="HI8" s="16"/>
      <c r="HJ8" s="16"/>
      <c r="HK8" s="16"/>
      <c r="HL8" s="16"/>
      <c r="HM8" s="16"/>
      <c r="HN8" s="16"/>
      <c r="HO8" s="16"/>
      <c r="HP8" s="11" t="str">
        <f t="shared" si="89"/>
        <v/>
      </c>
      <c r="HQ8" s="11" t="str">
        <f t="shared" si="90"/>
        <v/>
      </c>
      <c r="HR8" s="11" t="str">
        <f t="shared" si="91"/>
        <v/>
      </c>
      <c r="HS8" s="11" t="str">
        <f t="shared" si="92"/>
        <v/>
      </c>
      <c r="HT8" s="11" t="str">
        <f t="shared" si="93"/>
        <v/>
      </c>
      <c r="HU8" s="11" t="str">
        <f t="shared" si="94"/>
        <v/>
      </c>
      <c r="HV8" s="11" t="str">
        <f t="shared" si="95"/>
        <v/>
      </c>
      <c r="HW8" s="11" t="str">
        <f t="shared" si="96"/>
        <v/>
      </c>
      <c r="HX8" s="11" t="str">
        <f t="shared" si="97"/>
        <v/>
      </c>
      <c r="HY8" s="11" t="str">
        <f t="shared" si="98"/>
        <v/>
      </c>
      <c r="HZ8" s="11" t="str">
        <f t="shared" si="99"/>
        <v/>
      </c>
      <c r="IA8" s="11" t="str">
        <f t="shared" si="100"/>
        <v/>
      </c>
      <c r="IB8" s="11" t="str">
        <f t="shared" si="101"/>
        <v/>
      </c>
      <c r="IC8" s="11" t="str">
        <f t="shared" si="102"/>
        <v/>
      </c>
      <c r="ID8" s="15"/>
      <c r="IE8" s="15"/>
      <c r="IF8" s="15"/>
      <c r="IG8" s="15"/>
      <c r="IH8" s="15"/>
      <c r="II8" s="15">
        <v>13.6</v>
      </c>
      <c r="IJ8" s="15">
        <v>9.6</v>
      </c>
      <c r="IK8" s="15">
        <v>14.1</v>
      </c>
      <c r="IL8" s="15">
        <v>14.99</v>
      </c>
      <c r="IM8" s="15">
        <v>0</v>
      </c>
      <c r="IN8" s="15"/>
      <c r="IO8" s="15"/>
      <c r="IP8" s="15"/>
      <c r="IQ8" s="15"/>
      <c r="IR8" s="15"/>
      <c r="IS8" s="15">
        <v>13.7</v>
      </c>
      <c r="IT8" s="15">
        <v>9.1</v>
      </c>
      <c r="IU8" s="15">
        <v>14.1</v>
      </c>
      <c r="IV8" s="15">
        <v>14.88</v>
      </c>
      <c r="IW8" s="15">
        <v>0</v>
      </c>
      <c r="IX8" s="36" t="str">
        <f t="shared" si="103"/>
        <v/>
      </c>
      <c r="IY8" s="36" t="str">
        <f t="shared" si="104"/>
        <v/>
      </c>
      <c r="IZ8" s="36" t="str">
        <f t="shared" si="105"/>
        <v/>
      </c>
      <c r="JA8" s="36">
        <f t="shared" si="106"/>
        <v>14.1</v>
      </c>
      <c r="JB8" s="36">
        <f t="shared" si="107"/>
        <v>14.99</v>
      </c>
      <c r="JC8" s="36">
        <f t="shared" si="108"/>
        <v>52.29</v>
      </c>
      <c r="JD8" s="36">
        <f t="shared" si="109"/>
        <v>52.29</v>
      </c>
      <c r="JE8" s="36" t="str">
        <f t="shared" si="110"/>
        <v/>
      </c>
      <c r="JF8" s="36" t="str">
        <f t="shared" si="111"/>
        <v/>
      </c>
      <c r="JG8" s="36" t="str">
        <f t="shared" si="112"/>
        <v/>
      </c>
      <c r="JH8" s="36">
        <f t="shared" si="113"/>
        <v>14.1</v>
      </c>
      <c r="JI8" s="36">
        <f t="shared" si="114"/>
        <v>14.88</v>
      </c>
      <c r="JJ8" s="36">
        <f t="shared" si="115"/>
        <v>51.78</v>
      </c>
      <c r="JK8" s="36">
        <f t="shared" si="116"/>
        <v>104.07</v>
      </c>
      <c r="JL8" s="16"/>
      <c r="JM8" s="16"/>
      <c r="JN8" s="16"/>
      <c r="JO8" s="16"/>
      <c r="JP8" s="16"/>
      <c r="JQ8" s="16"/>
      <c r="JR8" s="16"/>
      <c r="JS8" s="16"/>
      <c r="JT8" s="16"/>
      <c r="JU8" s="16"/>
      <c r="JV8" s="16"/>
      <c r="JW8" s="16"/>
      <c r="JX8" s="16"/>
      <c r="JY8" s="16"/>
      <c r="JZ8" s="16"/>
      <c r="KA8" s="16"/>
      <c r="KB8" s="16"/>
      <c r="KC8" s="16"/>
      <c r="KD8" s="16"/>
      <c r="KE8" s="16"/>
      <c r="KF8" s="11" t="str">
        <f t="shared" si="117"/>
        <v/>
      </c>
      <c r="KG8" s="11" t="str">
        <f t="shared" si="118"/>
        <v/>
      </c>
      <c r="KH8" s="11" t="str">
        <f t="shared" si="119"/>
        <v/>
      </c>
      <c r="KI8" s="11" t="str">
        <f t="shared" si="120"/>
        <v/>
      </c>
      <c r="KJ8" s="11" t="str">
        <f t="shared" si="121"/>
        <v/>
      </c>
      <c r="KK8" s="11" t="str">
        <f t="shared" si="122"/>
        <v/>
      </c>
      <c r="KL8" s="11" t="str">
        <f t="shared" si="123"/>
        <v/>
      </c>
      <c r="KM8" s="11" t="str">
        <f t="shared" si="124"/>
        <v/>
      </c>
      <c r="KN8" s="11" t="str">
        <f t="shared" si="125"/>
        <v/>
      </c>
      <c r="KO8" s="11" t="str">
        <f t="shared" si="126"/>
        <v/>
      </c>
      <c r="KP8" s="11" t="str">
        <f t="shared" si="127"/>
        <v/>
      </c>
      <c r="KQ8" s="11" t="str">
        <f t="shared" si="128"/>
        <v/>
      </c>
      <c r="KR8" s="11" t="str">
        <f t="shared" si="129"/>
        <v/>
      </c>
      <c r="KS8" s="11" t="str">
        <f t="shared" si="130"/>
        <v/>
      </c>
      <c r="KT8" s="15"/>
      <c r="KU8" s="15"/>
      <c r="KV8" s="15"/>
      <c r="KW8" s="15"/>
      <c r="KX8" s="15"/>
      <c r="KY8" s="15"/>
      <c r="KZ8" s="15"/>
      <c r="LA8" s="15"/>
      <c r="LB8" s="15"/>
      <c r="LC8" s="15"/>
      <c r="LD8" s="15"/>
      <c r="LE8" s="15"/>
      <c r="LF8" s="15"/>
      <c r="LG8" s="15"/>
      <c r="LH8" s="15"/>
      <c r="LI8" s="15"/>
      <c r="LJ8" s="15"/>
      <c r="LK8" s="15"/>
      <c r="LL8" s="15"/>
      <c r="LM8" s="15"/>
      <c r="LN8" s="36" t="str">
        <f t="shared" si="131"/>
        <v/>
      </c>
      <c r="LO8" s="36" t="str">
        <f t="shared" si="132"/>
        <v/>
      </c>
      <c r="LP8" s="36" t="str">
        <f t="shared" si="133"/>
        <v/>
      </c>
      <c r="LQ8" s="36" t="str">
        <f t="shared" si="134"/>
        <v/>
      </c>
      <c r="LR8" s="36" t="str">
        <f t="shared" si="135"/>
        <v/>
      </c>
      <c r="LS8" s="36" t="str">
        <f t="shared" si="136"/>
        <v/>
      </c>
      <c r="LT8" s="36" t="str">
        <f t="shared" si="137"/>
        <v/>
      </c>
      <c r="LU8" s="36" t="str">
        <f t="shared" si="138"/>
        <v/>
      </c>
      <c r="LV8" s="36" t="str">
        <f t="shared" si="139"/>
        <v/>
      </c>
      <c r="LW8" s="36" t="str">
        <f t="shared" si="140"/>
        <v/>
      </c>
      <c r="LX8" s="36" t="str">
        <f t="shared" si="141"/>
        <v/>
      </c>
      <c r="LY8" s="36" t="str">
        <f t="shared" si="142"/>
        <v/>
      </c>
      <c r="LZ8" s="36" t="str">
        <f t="shared" si="143"/>
        <v/>
      </c>
      <c r="MA8" s="36" t="str">
        <f t="shared" si="144"/>
        <v/>
      </c>
      <c r="MB8" s="16">
        <v>13.9</v>
      </c>
      <c r="MC8" s="16">
        <v>9.4</v>
      </c>
      <c r="MD8" s="16">
        <v>14.3</v>
      </c>
      <c r="ME8" s="16">
        <v>15.08</v>
      </c>
      <c r="MF8" s="16">
        <v>0</v>
      </c>
      <c r="MG8" s="16">
        <v>1.2</v>
      </c>
      <c r="MH8" s="16">
        <v>1</v>
      </c>
      <c r="MI8" s="16">
        <v>2</v>
      </c>
      <c r="MJ8" s="16">
        <v>1.52</v>
      </c>
      <c r="MK8" s="16">
        <v>0</v>
      </c>
      <c r="ML8" s="16"/>
      <c r="MM8" s="16"/>
      <c r="MN8" s="16"/>
      <c r="MO8" s="16"/>
      <c r="MP8" s="16"/>
      <c r="MQ8" s="16"/>
      <c r="MR8" s="16"/>
      <c r="MS8" s="16"/>
      <c r="MT8" s="16"/>
      <c r="MU8" s="16"/>
      <c r="MV8" s="11">
        <f t="shared" si="145"/>
        <v>14.3</v>
      </c>
      <c r="MW8" s="11">
        <f t="shared" si="146"/>
        <v>15.08</v>
      </c>
      <c r="MX8" s="11">
        <f t="shared" si="147"/>
        <v>52.68</v>
      </c>
      <c r="MY8" s="11">
        <f t="shared" si="148"/>
        <v>2</v>
      </c>
      <c r="MZ8" s="11">
        <f t="shared" si="149"/>
        <v>1.52</v>
      </c>
      <c r="NA8" s="11">
        <f t="shared" si="150"/>
        <v>5.7200000000000006</v>
      </c>
      <c r="NB8" s="11">
        <f t="shared" si="151"/>
        <v>52.68</v>
      </c>
      <c r="NC8" s="11" t="str">
        <f t="shared" si="152"/>
        <v/>
      </c>
      <c r="ND8" s="11" t="str">
        <f t="shared" si="153"/>
        <v/>
      </c>
      <c r="NE8" s="11" t="str">
        <f t="shared" si="154"/>
        <v/>
      </c>
      <c r="NF8" s="11" t="str">
        <f t="shared" si="155"/>
        <v/>
      </c>
      <c r="NG8" s="11" t="str">
        <f t="shared" si="156"/>
        <v/>
      </c>
      <c r="NH8" s="11" t="str">
        <f t="shared" si="157"/>
        <v/>
      </c>
      <c r="NI8" s="11">
        <f t="shared" si="158"/>
        <v>52.68</v>
      </c>
      <c r="NJ8" s="15"/>
      <c r="NK8" s="15"/>
      <c r="NL8" s="15"/>
      <c r="NM8" s="15"/>
      <c r="NN8" s="15"/>
      <c r="NO8" s="15"/>
      <c r="NP8" s="15"/>
      <c r="NQ8" s="15"/>
      <c r="NR8" s="15"/>
      <c r="NS8" s="15"/>
      <c r="NT8" s="15"/>
      <c r="NU8" s="15"/>
      <c r="NV8" s="15"/>
      <c r="NW8" s="15"/>
      <c r="NX8" s="15"/>
      <c r="NY8" s="15"/>
      <c r="NZ8" s="15"/>
      <c r="OA8" s="15"/>
      <c r="OB8" s="15"/>
      <c r="OC8" s="15"/>
      <c r="OD8" s="36" t="str">
        <f t="shared" si="159"/>
        <v/>
      </c>
      <c r="OE8" s="36" t="str">
        <f t="shared" si="160"/>
        <v/>
      </c>
      <c r="OF8" s="36" t="str">
        <f t="shared" si="161"/>
        <v/>
      </c>
      <c r="OG8" s="36" t="str">
        <f t="shared" si="162"/>
        <v/>
      </c>
      <c r="OH8" s="36" t="str">
        <f t="shared" si="163"/>
        <v/>
      </c>
      <c r="OI8" s="36" t="str">
        <f t="shared" si="164"/>
        <v/>
      </c>
      <c r="OJ8" s="36" t="str">
        <f t="shared" si="165"/>
        <v/>
      </c>
      <c r="OK8" s="36" t="str">
        <f t="shared" si="166"/>
        <v/>
      </c>
      <c r="OL8" s="36" t="str">
        <f t="shared" si="167"/>
        <v/>
      </c>
      <c r="OM8" s="36" t="str">
        <f t="shared" si="168"/>
        <v/>
      </c>
      <c r="ON8" s="36" t="str">
        <f t="shared" si="169"/>
        <v/>
      </c>
      <c r="OO8" s="36" t="str">
        <f t="shared" si="170"/>
        <v/>
      </c>
      <c r="OP8" s="36" t="str">
        <f t="shared" si="171"/>
        <v/>
      </c>
      <c r="OQ8" s="36" t="str">
        <f t="shared" si="172"/>
        <v/>
      </c>
      <c r="OR8" s="16"/>
      <c r="OS8" s="16"/>
      <c r="OT8" s="16"/>
      <c r="OU8" s="16"/>
      <c r="OV8" s="16"/>
      <c r="OW8" s="16"/>
      <c r="OX8" s="16"/>
      <c r="OY8" s="16"/>
      <c r="OZ8" s="16"/>
      <c r="PA8" s="16"/>
      <c r="PB8" s="16"/>
      <c r="PC8" s="16"/>
      <c r="PD8" s="16"/>
      <c r="PE8" s="16"/>
      <c r="PF8" s="16"/>
      <c r="PG8" s="16"/>
      <c r="PH8" s="16"/>
      <c r="PI8" s="16"/>
      <c r="PJ8" s="16"/>
      <c r="PK8" s="16"/>
      <c r="PL8" s="11" t="str">
        <f t="shared" si="173"/>
        <v/>
      </c>
      <c r="PM8" s="11" t="str">
        <f t="shared" si="174"/>
        <v/>
      </c>
      <c r="PN8" s="11" t="str">
        <f t="shared" si="175"/>
        <v/>
      </c>
      <c r="PO8" s="11" t="str">
        <f t="shared" si="176"/>
        <v/>
      </c>
      <c r="PP8" s="11" t="str">
        <f t="shared" si="177"/>
        <v/>
      </c>
      <c r="PQ8" s="11" t="str">
        <f t="shared" si="178"/>
        <v/>
      </c>
      <c r="PR8" s="11" t="str">
        <f t="shared" si="179"/>
        <v/>
      </c>
      <c r="PS8" s="11" t="str">
        <f t="shared" si="180"/>
        <v/>
      </c>
      <c r="PT8" s="11" t="str">
        <f t="shared" si="181"/>
        <v/>
      </c>
      <c r="PU8" s="11" t="str">
        <f t="shared" si="182"/>
        <v/>
      </c>
      <c r="PV8" s="11" t="str">
        <f t="shared" si="183"/>
        <v/>
      </c>
      <c r="PW8" s="11" t="str">
        <f t="shared" si="184"/>
        <v/>
      </c>
      <c r="PX8" s="11" t="str">
        <f t="shared" si="185"/>
        <v/>
      </c>
      <c r="PY8" s="11" t="str">
        <f t="shared" si="186"/>
        <v/>
      </c>
      <c r="PZ8" s="15"/>
      <c r="QA8" s="15"/>
      <c r="QB8" s="15"/>
      <c r="QC8" s="15"/>
      <c r="QD8" s="15"/>
      <c r="QE8" s="15"/>
      <c r="QF8" s="15"/>
      <c r="QG8" s="15"/>
      <c r="QH8" s="15"/>
      <c r="QI8" s="15"/>
      <c r="QJ8" s="15"/>
      <c r="QK8" s="15"/>
      <c r="QL8" s="15"/>
      <c r="QM8" s="15"/>
      <c r="QN8" s="15"/>
      <c r="QO8" s="15"/>
      <c r="QP8" s="15"/>
      <c r="QQ8" s="15"/>
      <c r="QR8" s="15"/>
      <c r="QS8" s="15"/>
      <c r="QT8" s="36" t="str">
        <f t="shared" si="187"/>
        <v/>
      </c>
      <c r="QU8" s="36" t="str">
        <f t="shared" si="188"/>
        <v/>
      </c>
      <c r="QV8" s="36" t="str">
        <f t="shared" si="189"/>
        <v/>
      </c>
      <c r="QW8" s="36" t="str">
        <f t="shared" si="190"/>
        <v/>
      </c>
      <c r="QX8" s="36" t="str">
        <f t="shared" si="191"/>
        <v/>
      </c>
      <c r="QY8" s="36" t="str">
        <f t="shared" si="192"/>
        <v/>
      </c>
      <c r="QZ8" s="36" t="str">
        <f t="shared" si="193"/>
        <v/>
      </c>
      <c r="RA8" s="36" t="str">
        <f t="shared" si="194"/>
        <v/>
      </c>
      <c r="RB8" s="36" t="str">
        <f t="shared" si="195"/>
        <v/>
      </c>
      <c r="RC8" s="36" t="str">
        <f t="shared" si="196"/>
        <v/>
      </c>
      <c r="RD8" s="36" t="str">
        <f t="shared" si="197"/>
        <v/>
      </c>
      <c r="RE8" s="36" t="str">
        <f t="shared" si="198"/>
        <v/>
      </c>
      <c r="RF8" s="36" t="str">
        <f t="shared" si="199"/>
        <v/>
      </c>
      <c r="RG8" s="36" t="str">
        <f t="shared" si="200"/>
        <v/>
      </c>
      <c r="RH8" s="16"/>
      <c r="RI8" s="16"/>
      <c r="RJ8" s="16"/>
      <c r="RK8" s="16"/>
      <c r="RL8" s="16"/>
      <c r="RM8" s="16"/>
      <c r="RN8" s="16"/>
      <c r="RO8" s="16"/>
      <c r="RP8" s="16"/>
      <c r="RQ8" s="16"/>
      <c r="RR8" s="16"/>
      <c r="RS8" s="16"/>
      <c r="RT8" s="16"/>
      <c r="RU8" s="16"/>
      <c r="RV8" s="16"/>
      <c r="RW8" s="16"/>
      <c r="RX8" s="16"/>
      <c r="RY8" s="16"/>
      <c r="RZ8" s="16"/>
      <c r="SA8" s="16"/>
      <c r="SB8" s="11" t="str">
        <f t="shared" si="201"/>
        <v/>
      </c>
      <c r="SC8" s="11" t="str">
        <f t="shared" si="202"/>
        <v/>
      </c>
      <c r="SD8" s="11" t="str">
        <f t="shared" si="203"/>
        <v/>
      </c>
      <c r="SE8" s="11" t="str">
        <f t="shared" si="204"/>
        <v/>
      </c>
      <c r="SF8" s="11" t="str">
        <f t="shared" si="205"/>
        <v/>
      </c>
      <c r="SG8" s="11" t="str">
        <f t="shared" si="206"/>
        <v/>
      </c>
      <c r="SH8" s="11" t="str">
        <f t="shared" si="207"/>
        <v/>
      </c>
      <c r="SI8" s="11" t="str">
        <f t="shared" si="208"/>
        <v/>
      </c>
      <c r="SJ8" s="11" t="str">
        <f t="shared" si="209"/>
        <v/>
      </c>
      <c r="SK8" s="11" t="str">
        <f t="shared" si="210"/>
        <v/>
      </c>
      <c r="SL8" s="11" t="str">
        <f t="shared" si="211"/>
        <v/>
      </c>
      <c r="SM8" s="11" t="str">
        <f t="shared" si="212"/>
        <v/>
      </c>
      <c r="SN8" s="11" t="str">
        <f t="shared" si="213"/>
        <v/>
      </c>
      <c r="SO8" s="11" t="str">
        <f t="shared" si="214"/>
        <v/>
      </c>
      <c r="SP8" s="15"/>
      <c r="SQ8" s="15"/>
      <c r="SR8" s="15"/>
      <c r="SS8" s="15"/>
      <c r="ST8" s="15"/>
      <c r="SU8" s="15"/>
      <c r="SV8" s="15"/>
      <c r="SW8" s="15"/>
      <c r="SX8" s="15"/>
      <c r="SY8" s="15"/>
      <c r="SZ8" s="15"/>
      <c r="TA8" s="15"/>
      <c r="TB8" s="15"/>
      <c r="TC8" s="15"/>
      <c r="TD8" s="15"/>
      <c r="TE8" s="15"/>
      <c r="TF8" s="15"/>
      <c r="TG8" s="15"/>
      <c r="TH8" s="15"/>
      <c r="TI8" s="15"/>
      <c r="TJ8" s="36" t="str">
        <f t="shared" si="215"/>
        <v/>
      </c>
      <c r="TK8" s="36" t="str">
        <f t="shared" si="216"/>
        <v/>
      </c>
      <c r="TL8" s="36" t="str">
        <f t="shared" si="217"/>
        <v/>
      </c>
      <c r="TM8" s="36" t="str">
        <f t="shared" si="218"/>
        <v/>
      </c>
      <c r="TN8" s="36" t="str">
        <f t="shared" si="219"/>
        <v/>
      </c>
      <c r="TO8" s="36" t="str">
        <f t="shared" si="220"/>
        <v/>
      </c>
      <c r="TP8" s="36" t="str">
        <f t="shared" si="221"/>
        <v/>
      </c>
      <c r="TQ8" s="36" t="str">
        <f t="shared" si="222"/>
        <v/>
      </c>
      <c r="TR8" s="36" t="str">
        <f t="shared" si="223"/>
        <v/>
      </c>
      <c r="TS8" s="36" t="str">
        <f t="shared" si="224"/>
        <v/>
      </c>
      <c r="TT8" s="36" t="str">
        <f t="shared" si="225"/>
        <v/>
      </c>
      <c r="TU8" s="36" t="str">
        <f t="shared" si="226"/>
        <v/>
      </c>
      <c r="TV8" s="36" t="str">
        <f t="shared" si="227"/>
        <v/>
      </c>
      <c r="TW8" s="36" t="str">
        <f t="shared" si="228"/>
        <v/>
      </c>
      <c r="TX8" s="16"/>
      <c r="TY8" s="16"/>
      <c r="TZ8" s="16"/>
      <c r="UA8" s="16"/>
      <c r="UB8" s="16"/>
      <c r="UC8" s="16"/>
      <c r="UD8" s="16"/>
      <c r="UE8" s="16"/>
      <c r="UF8" s="16"/>
      <c r="UG8" s="16"/>
      <c r="UH8" s="16"/>
      <c r="UI8" s="16"/>
      <c r="UJ8" s="16"/>
      <c r="UK8" s="16"/>
      <c r="UL8" s="16"/>
      <c r="UM8" s="16"/>
      <c r="UN8" s="16"/>
      <c r="UO8" s="16"/>
      <c r="UP8" s="16"/>
      <c r="UQ8" s="16"/>
      <c r="UR8" s="11" t="str">
        <f t="shared" si="229"/>
        <v/>
      </c>
      <c r="US8" s="11" t="str">
        <f t="shared" si="230"/>
        <v/>
      </c>
      <c r="UT8" s="11" t="str">
        <f t="shared" si="231"/>
        <v/>
      </c>
      <c r="UU8" s="11" t="str">
        <f t="shared" si="232"/>
        <v/>
      </c>
      <c r="UV8" s="11" t="str">
        <f t="shared" si="233"/>
        <v/>
      </c>
      <c r="UW8" s="11" t="str">
        <f t="shared" si="234"/>
        <v/>
      </c>
      <c r="UX8" s="11" t="str">
        <f t="shared" si="235"/>
        <v/>
      </c>
      <c r="UY8" s="11" t="str">
        <f t="shared" si="236"/>
        <v/>
      </c>
      <c r="UZ8" s="11" t="str">
        <f t="shared" si="237"/>
        <v/>
      </c>
      <c r="VA8" s="11" t="str">
        <f t="shared" si="238"/>
        <v/>
      </c>
      <c r="VB8" s="11" t="str">
        <f t="shared" si="239"/>
        <v/>
      </c>
      <c r="VC8" s="11" t="str">
        <f t="shared" si="240"/>
        <v/>
      </c>
      <c r="VD8" s="11" t="str">
        <f t="shared" si="241"/>
        <v/>
      </c>
      <c r="VE8" s="11" t="str">
        <f t="shared" si="242"/>
        <v/>
      </c>
      <c r="VF8" s="15"/>
      <c r="VG8" s="15"/>
      <c r="VH8" s="15"/>
      <c r="VI8" s="15"/>
      <c r="VJ8" s="15"/>
      <c r="VK8" s="15"/>
      <c r="VL8" s="15"/>
      <c r="VM8" s="15"/>
      <c r="VN8" s="15"/>
      <c r="VO8" s="15"/>
      <c r="VP8" s="15"/>
      <c r="VQ8" s="15"/>
      <c r="VR8" s="15"/>
      <c r="VS8" s="15"/>
      <c r="VT8" s="15"/>
      <c r="VU8" s="15"/>
      <c r="VV8" s="15"/>
      <c r="VW8" s="15"/>
      <c r="VX8" s="15"/>
      <c r="VY8" s="15"/>
      <c r="VZ8" s="36" t="str">
        <f t="shared" si="243"/>
        <v/>
      </c>
      <c r="WA8" s="36" t="str">
        <f t="shared" si="244"/>
        <v/>
      </c>
      <c r="WB8" s="36" t="str">
        <f t="shared" si="245"/>
        <v/>
      </c>
      <c r="WC8" s="36" t="str">
        <f t="shared" si="246"/>
        <v/>
      </c>
      <c r="WD8" s="36" t="str">
        <f t="shared" si="247"/>
        <v/>
      </c>
      <c r="WE8" s="36" t="str">
        <f t="shared" si="248"/>
        <v/>
      </c>
      <c r="WF8" s="36" t="str">
        <f t="shared" si="249"/>
        <v/>
      </c>
      <c r="WG8" s="36" t="str">
        <f t="shared" si="250"/>
        <v/>
      </c>
      <c r="WH8" s="36" t="str">
        <f t="shared" si="251"/>
        <v/>
      </c>
      <c r="WI8" s="36" t="str">
        <f t="shared" si="252"/>
        <v/>
      </c>
      <c r="WJ8" s="36" t="str">
        <f t="shared" si="253"/>
        <v/>
      </c>
      <c r="WK8" s="36" t="str">
        <f t="shared" si="254"/>
        <v/>
      </c>
      <c r="WL8" s="36" t="str">
        <f t="shared" si="255"/>
        <v/>
      </c>
      <c r="WM8" s="36" t="str">
        <f t="shared" si="256"/>
        <v/>
      </c>
    </row>
    <row r="9" spans="1:611" x14ac:dyDescent="0.2">
      <c r="A9" s="4" cm="1">
        <f t="array" ref="A9">IF(AND(H9&lt;&gt;"",H9&lt;&gt;"No DD"),SUMPRODUCT((H$4:H$15&lt;&gt;"")*(H$4:H$15&lt;&gt;"No DD")*(E$4:E$15&gt;E9))+1,IF(H9="No DD",SUMPRODUCT((H$4:H$15="No DD")*(E$4:E$15&gt;E9))+1+SUMPRODUCT((H$4:H$15&lt;&gt;"")*(H$4:H$15&lt;&gt;"No DD")),""))</f>
        <v>6</v>
      </c>
      <c r="B9" s="5" t="s">
        <v>54</v>
      </c>
      <c r="C9" s="4" t="s">
        <v>6</v>
      </c>
      <c r="D9" s="4">
        <v>2001</v>
      </c>
      <c r="E9" s="9">
        <f t="shared" si="0"/>
        <v>157.1100157110053</v>
      </c>
      <c r="F9" s="3" t="str">
        <f t="shared" si="1"/>
        <v>P</v>
      </c>
      <c r="G9" s="3" t="str">
        <f t="shared" si="2"/>
        <v>P</v>
      </c>
      <c r="H9" s="32" t="str">
        <f t="shared" si="3"/>
        <v>National Team</v>
      </c>
      <c r="I9" s="3" t="str">
        <f t="shared" si="4"/>
        <v/>
      </c>
      <c r="J9" s="8">
        <f t="shared" si="5"/>
        <v>52.09</v>
      </c>
      <c r="K9" s="8" t="str">
        <f t="shared" si="6"/>
        <v>2025 3rd Domestic Trial</v>
      </c>
      <c r="L9" s="8">
        <f>IFERROR(IF(J9=AR9,LARGE((AK9,AN9,BL9,BO9,BS9,CM9,CP9,CT9),1),IF(J9=BS9,LARGE((AK9,AN9,AR9,BL9,BO9,CM9,CP9,CT9),1),LARGE((AK9,AN9,AR9,BL9,BO9,BS9,CM9,CP9),1))),0)</f>
        <v>52.86</v>
      </c>
      <c r="M9" s="8" t="str">
        <f t="shared" si="7"/>
        <v>2025 Elite Canada</v>
      </c>
      <c r="N9" s="8">
        <f>IFERROR(IF(J9=AR9,LARGE((AK9,AN9,BL9,BO9,BS9,CM9,CP9,CT9),2),IF(J9=BS9,LARGE((AK9,AN9,AR9,BL9,BO9,CM9,CP9,CT9),2),LARGE((AK9,AN9,AR9,BL9,BO9,BS9,CM9,CP9),2))),0)</f>
        <v>52.16</v>
      </c>
      <c r="O9" s="8" t="str">
        <f t="shared" si="8"/>
        <v>2025 Nationals</v>
      </c>
      <c r="P9" s="8">
        <f t="shared" si="9"/>
        <v>0</v>
      </c>
      <c r="Q9" s="11" t="str">
        <f t="shared" si="10"/>
        <v/>
      </c>
      <c r="R9" s="8" t="str">
        <f t="shared" si="11"/>
        <v/>
      </c>
      <c r="S9" s="18">
        <v>15.1</v>
      </c>
      <c r="T9" s="18">
        <v>9</v>
      </c>
      <c r="U9" s="18">
        <v>13.9</v>
      </c>
      <c r="V9" s="18">
        <v>14.86</v>
      </c>
      <c r="W9" s="18">
        <v>0</v>
      </c>
      <c r="X9" s="18">
        <v>15</v>
      </c>
      <c r="Y9" s="18">
        <v>8.8000000000000007</v>
      </c>
      <c r="Z9" s="18">
        <v>13.2</v>
      </c>
      <c r="AA9" s="18">
        <v>14.71</v>
      </c>
      <c r="AB9" s="18">
        <v>0</v>
      </c>
      <c r="AC9" s="18">
        <v>0</v>
      </c>
      <c r="AD9" s="18">
        <v>0</v>
      </c>
      <c r="AE9" s="18">
        <v>0</v>
      </c>
      <c r="AF9" s="18">
        <v>0</v>
      </c>
      <c r="AG9" s="18">
        <v>0</v>
      </c>
      <c r="AH9" s="23"/>
      <c r="AI9" s="34">
        <f t="shared" si="12"/>
        <v>13.9</v>
      </c>
      <c r="AJ9" s="34">
        <f t="shared" si="13"/>
        <v>14.86</v>
      </c>
      <c r="AK9" s="36">
        <f t="shared" si="14"/>
        <v>52.86</v>
      </c>
      <c r="AL9" s="36">
        <f t="shared" si="15"/>
        <v>13.2</v>
      </c>
      <c r="AM9" s="36">
        <f t="shared" si="16"/>
        <v>14.71</v>
      </c>
      <c r="AN9" s="36">
        <f t="shared" si="17"/>
        <v>51.71</v>
      </c>
      <c r="AO9" s="36">
        <f t="shared" si="18"/>
        <v>52.86</v>
      </c>
      <c r="AP9" s="36" t="str">
        <f t="shared" si="19"/>
        <v/>
      </c>
      <c r="AQ9" s="36" t="str">
        <f t="shared" si="20"/>
        <v/>
      </c>
      <c r="AR9" s="36" t="str">
        <f t="shared" si="21"/>
        <v/>
      </c>
      <c r="AS9" s="36">
        <f t="shared" si="22"/>
        <v>52.86</v>
      </c>
      <c r="AT9" s="22">
        <v>14.6</v>
      </c>
      <c r="AU9" s="22">
        <v>9.3000000000000007</v>
      </c>
      <c r="AV9" s="22">
        <v>13.9</v>
      </c>
      <c r="AW9" s="22">
        <v>14.36</v>
      </c>
      <c r="AX9" s="22">
        <v>0</v>
      </c>
      <c r="AY9" s="22">
        <v>2.7</v>
      </c>
      <c r="AZ9" s="22">
        <v>1.7</v>
      </c>
      <c r="BA9" s="22">
        <v>3.5</v>
      </c>
      <c r="BB9" s="22">
        <v>3.13</v>
      </c>
      <c r="BC9" s="22">
        <v>0</v>
      </c>
      <c r="BD9" s="22">
        <v>1.3</v>
      </c>
      <c r="BE9" s="22">
        <v>0.8</v>
      </c>
      <c r="BF9" s="22">
        <v>2</v>
      </c>
      <c r="BG9" s="22">
        <v>1.62</v>
      </c>
      <c r="BH9" s="22">
        <v>0</v>
      </c>
      <c r="BI9" s="24"/>
      <c r="BJ9" s="35">
        <f t="shared" si="23"/>
        <v>13.9</v>
      </c>
      <c r="BK9" s="35">
        <f t="shared" si="24"/>
        <v>14.36</v>
      </c>
      <c r="BL9" s="11">
        <f t="shared" si="25"/>
        <v>52.16</v>
      </c>
      <c r="BM9" s="11">
        <f t="shared" si="26"/>
        <v>3.5</v>
      </c>
      <c r="BN9" s="11">
        <f t="shared" si="27"/>
        <v>3.13</v>
      </c>
      <c r="BO9" s="11">
        <f t="shared" si="28"/>
        <v>11.030000000000001</v>
      </c>
      <c r="BP9" s="11">
        <f t="shared" si="29"/>
        <v>52.16</v>
      </c>
      <c r="BQ9" s="11">
        <f t="shared" si="30"/>
        <v>2</v>
      </c>
      <c r="BR9" s="11">
        <f t="shared" si="31"/>
        <v>1.62</v>
      </c>
      <c r="BS9" s="11">
        <f t="shared" si="32"/>
        <v>5.72</v>
      </c>
      <c r="BT9" s="11">
        <f t="shared" si="33"/>
        <v>57.879999999999995</v>
      </c>
      <c r="BU9" s="18">
        <v>4.0999999999999996</v>
      </c>
      <c r="BV9" s="18">
        <v>2.7</v>
      </c>
      <c r="BW9" s="18">
        <v>5</v>
      </c>
      <c r="BX9" s="18">
        <v>4.7300000000000004</v>
      </c>
      <c r="BY9" s="18">
        <v>0</v>
      </c>
      <c r="BZ9" s="18">
        <v>13.3</v>
      </c>
      <c r="CA9" s="18">
        <v>9.1</v>
      </c>
      <c r="CB9" s="18">
        <v>14.1</v>
      </c>
      <c r="CC9" s="18">
        <v>14.1</v>
      </c>
      <c r="CD9" s="18">
        <v>0</v>
      </c>
      <c r="CE9" s="18">
        <v>13.5</v>
      </c>
      <c r="CF9" s="18">
        <v>9.6</v>
      </c>
      <c r="CG9" s="18">
        <v>14.1</v>
      </c>
      <c r="CH9" s="18">
        <v>14.89</v>
      </c>
      <c r="CI9" s="18">
        <v>0</v>
      </c>
      <c r="CJ9" s="23"/>
      <c r="CK9" s="34">
        <f t="shared" si="34"/>
        <v>5</v>
      </c>
      <c r="CL9" s="34">
        <f t="shared" si="35"/>
        <v>4.7300000000000004</v>
      </c>
      <c r="CM9" s="36">
        <f t="shared" si="36"/>
        <v>16.53</v>
      </c>
      <c r="CN9" s="36">
        <f t="shared" si="37"/>
        <v>14.1</v>
      </c>
      <c r="CO9" s="36">
        <f t="shared" si="38"/>
        <v>14.1</v>
      </c>
      <c r="CP9" s="36">
        <f t="shared" si="39"/>
        <v>50.6</v>
      </c>
      <c r="CQ9" s="36">
        <f t="shared" si="40"/>
        <v>50.6</v>
      </c>
      <c r="CR9" s="36">
        <f t="shared" si="41"/>
        <v>14.1</v>
      </c>
      <c r="CS9" s="36">
        <f t="shared" si="42"/>
        <v>14.89</v>
      </c>
      <c r="CT9" s="36">
        <f t="shared" si="43"/>
        <v>52.09</v>
      </c>
      <c r="CU9" s="36">
        <f t="shared" si="44"/>
        <v>102.69</v>
      </c>
      <c r="CV9" s="47" t="str">
        <f t="shared" si="45"/>
        <v/>
      </c>
      <c r="CW9" s="47" t="str">
        <f t="shared" si="46"/>
        <v/>
      </c>
      <c r="CX9" s="15"/>
      <c r="CY9" s="15"/>
      <c r="CZ9" s="15"/>
      <c r="DA9" s="15"/>
      <c r="DB9" s="15"/>
      <c r="DC9" s="15"/>
      <c r="DD9" s="15"/>
      <c r="DE9" s="15"/>
      <c r="DF9" s="15"/>
      <c r="DG9" s="15"/>
      <c r="DH9" s="15"/>
      <c r="DI9" s="15"/>
      <c r="DJ9" s="15"/>
      <c r="DK9" s="15"/>
      <c r="DL9" s="15"/>
      <c r="DM9" s="15"/>
      <c r="DN9" s="15"/>
      <c r="DO9" s="15"/>
      <c r="DP9" s="15"/>
      <c r="DQ9" s="15"/>
      <c r="DR9" s="36" t="str">
        <f t="shared" si="47"/>
        <v/>
      </c>
      <c r="DS9" s="36" t="str">
        <f t="shared" si="48"/>
        <v/>
      </c>
      <c r="DT9" s="36" t="str">
        <f t="shared" si="49"/>
        <v/>
      </c>
      <c r="DU9" s="36" t="str">
        <f t="shared" si="50"/>
        <v/>
      </c>
      <c r="DV9" s="36" t="str">
        <f t="shared" si="51"/>
        <v/>
      </c>
      <c r="DW9" s="36" t="str">
        <f t="shared" si="52"/>
        <v/>
      </c>
      <c r="DX9" s="36" t="str">
        <f t="shared" si="53"/>
        <v/>
      </c>
      <c r="DY9" s="36" t="str">
        <f t="shared" si="54"/>
        <v/>
      </c>
      <c r="DZ9" s="36" t="str">
        <f t="shared" si="55"/>
        <v/>
      </c>
      <c r="EA9" s="36" t="str">
        <f t="shared" si="56"/>
        <v/>
      </c>
      <c r="EB9" s="36" t="str">
        <f t="shared" si="57"/>
        <v/>
      </c>
      <c r="EC9" s="36" t="str">
        <f t="shared" si="58"/>
        <v/>
      </c>
      <c r="ED9" s="36" t="str">
        <f t="shared" si="59"/>
        <v/>
      </c>
      <c r="EE9" s="36" t="str">
        <f t="shared" si="60"/>
        <v/>
      </c>
      <c r="EF9" s="16">
        <v>13.5</v>
      </c>
      <c r="EG9" s="16">
        <v>8.9</v>
      </c>
      <c r="EH9" s="16">
        <v>13</v>
      </c>
      <c r="EI9" s="16">
        <v>14.7</v>
      </c>
      <c r="EJ9" s="16">
        <v>0</v>
      </c>
      <c r="EK9" s="16">
        <v>13.4</v>
      </c>
      <c r="EL9" s="16">
        <v>9.1999999999999993</v>
      </c>
      <c r="EM9" s="16">
        <v>13.9</v>
      </c>
      <c r="EN9" s="16">
        <v>14.54</v>
      </c>
      <c r="EO9" s="16">
        <v>0</v>
      </c>
      <c r="EP9" s="16"/>
      <c r="EQ9" s="16"/>
      <c r="ER9" s="16"/>
      <c r="ES9" s="16"/>
      <c r="ET9" s="16"/>
      <c r="EU9" s="16"/>
      <c r="EV9" s="16"/>
      <c r="EW9" s="16"/>
      <c r="EX9" s="16"/>
      <c r="EY9" s="16"/>
      <c r="EZ9" s="11">
        <f t="shared" si="61"/>
        <v>13</v>
      </c>
      <c r="FA9" s="11">
        <f t="shared" si="62"/>
        <v>14.7</v>
      </c>
      <c r="FB9" s="11">
        <f t="shared" si="63"/>
        <v>50.099999999999994</v>
      </c>
      <c r="FC9" s="11">
        <f t="shared" si="64"/>
        <v>13.9</v>
      </c>
      <c r="FD9" s="11">
        <f t="shared" si="65"/>
        <v>14.54</v>
      </c>
      <c r="FE9" s="11">
        <f t="shared" si="66"/>
        <v>51.04</v>
      </c>
      <c r="FF9" s="11">
        <f t="shared" si="67"/>
        <v>51.04</v>
      </c>
      <c r="FG9" s="11" t="str">
        <f t="shared" si="68"/>
        <v/>
      </c>
      <c r="FH9" s="11" t="str">
        <f t="shared" si="69"/>
        <v/>
      </c>
      <c r="FI9" s="11" t="str">
        <f t="shared" si="70"/>
        <v/>
      </c>
      <c r="FJ9" s="11" t="str">
        <f t="shared" si="71"/>
        <v/>
      </c>
      <c r="FK9" s="11" t="str">
        <f t="shared" si="72"/>
        <v/>
      </c>
      <c r="FL9" s="11" t="str">
        <f t="shared" si="73"/>
        <v/>
      </c>
      <c r="FM9" s="11">
        <f t="shared" si="74"/>
        <v>51.04</v>
      </c>
      <c r="FN9" s="15"/>
      <c r="FO9" s="15"/>
      <c r="FP9" s="15"/>
      <c r="FQ9" s="15"/>
      <c r="FR9" s="15"/>
      <c r="FS9" s="15"/>
      <c r="FT9" s="15"/>
      <c r="FU9" s="15"/>
      <c r="FV9" s="15"/>
      <c r="FW9" s="15"/>
      <c r="FX9" s="15"/>
      <c r="FY9" s="15"/>
      <c r="FZ9" s="15"/>
      <c r="GA9" s="15"/>
      <c r="GB9" s="15"/>
      <c r="GC9" s="15"/>
      <c r="GD9" s="15"/>
      <c r="GE9" s="15"/>
      <c r="GF9" s="15"/>
      <c r="GG9" s="15"/>
      <c r="GH9" s="36" t="str">
        <f t="shared" si="75"/>
        <v/>
      </c>
      <c r="GI9" s="36" t="str">
        <f t="shared" si="76"/>
        <v/>
      </c>
      <c r="GJ9" s="36" t="str">
        <f t="shared" si="77"/>
        <v/>
      </c>
      <c r="GK9" s="36" t="str">
        <f t="shared" si="78"/>
        <v/>
      </c>
      <c r="GL9" s="36" t="str">
        <f t="shared" si="79"/>
        <v/>
      </c>
      <c r="GM9" s="36" t="str">
        <f t="shared" si="80"/>
        <v/>
      </c>
      <c r="GN9" s="36" t="str">
        <f t="shared" si="81"/>
        <v/>
      </c>
      <c r="GO9" s="36" t="str">
        <f t="shared" si="82"/>
        <v/>
      </c>
      <c r="GP9" s="36" t="str">
        <f t="shared" si="83"/>
        <v/>
      </c>
      <c r="GQ9" s="36" t="str">
        <f t="shared" si="84"/>
        <v/>
      </c>
      <c r="GR9" s="36" t="str">
        <f t="shared" si="85"/>
        <v/>
      </c>
      <c r="GS9" s="36" t="str">
        <f t="shared" si="86"/>
        <v/>
      </c>
      <c r="GT9" s="36" t="str">
        <f t="shared" si="87"/>
        <v/>
      </c>
      <c r="GU9" s="36" t="str">
        <f t="shared" si="88"/>
        <v/>
      </c>
      <c r="GV9" s="16"/>
      <c r="GW9" s="16"/>
      <c r="GX9" s="16"/>
      <c r="GY9" s="16"/>
      <c r="GZ9" s="16"/>
      <c r="HA9" s="16"/>
      <c r="HB9" s="16"/>
      <c r="HC9" s="16"/>
      <c r="HD9" s="16"/>
      <c r="HE9" s="16"/>
      <c r="HF9" s="16"/>
      <c r="HG9" s="16"/>
      <c r="HH9" s="16"/>
      <c r="HI9" s="16"/>
      <c r="HJ9" s="16"/>
      <c r="HK9" s="16"/>
      <c r="HL9" s="16"/>
      <c r="HM9" s="16"/>
      <c r="HN9" s="16"/>
      <c r="HO9" s="16"/>
      <c r="HP9" s="11" t="str">
        <f t="shared" si="89"/>
        <v/>
      </c>
      <c r="HQ9" s="11" t="str">
        <f t="shared" si="90"/>
        <v/>
      </c>
      <c r="HR9" s="11" t="str">
        <f t="shared" si="91"/>
        <v/>
      </c>
      <c r="HS9" s="11" t="str">
        <f t="shared" si="92"/>
        <v/>
      </c>
      <c r="HT9" s="11" t="str">
        <f t="shared" si="93"/>
        <v/>
      </c>
      <c r="HU9" s="11" t="str">
        <f t="shared" si="94"/>
        <v/>
      </c>
      <c r="HV9" s="11" t="str">
        <f t="shared" si="95"/>
        <v/>
      </c>
      <c r="HW9" s="11" t="str">
        <f t="shared" si="96"/>
        <v/>
      </c>
      <c r="HX9" s="11" t="str">
        <f t="shared" si="97"/>
        <v/>
      </c>
      <c r="HY9" s="11" t="str">
        <f t="shared" si="98"/>
        <v/>
      </c>
      <c r="HZ9" s="11" t="str">
        <f t="shared" si="99"/>
        <v/>
      </c>
      <c r="IA9" s="11" t="str">
        <f t="shared" si="100"/>
        <v/>
      </c>
      <c r="IB9" s="11" t="str">
        <f t="shared" si="101"/>
        <v/>
      </c>
      <c r="IC9" s="11" t="str">
        <f t="shared" si="102"/>
        <v/>
      </c>
      <c r="ID9" s="15"/>
      <c r="IE9" s="15"/>
      <c r="IF9" s="15"/>
      <c r="IG9" s="15"/>
      <c r="IH9" s="15"/>
      <c r="II9" s="15"/>
      <c r="IJ9" s="15"/>
      <c r="IK9" s="15"/>
      <c r="IL9" s="15"/>
      <c r="IM9" s="15"/>
      <c r="IN9" s="15"/>
      <c r="IO9" s="15"/>
      <c r="IP9" s="15"/>
      <c r="IQ9" s="15"/>
      <c r="IR9" s="15"/>
      <c r="IS9" s="15"/>
      <c r="IT9" s="15"/>
      <c r="IU9" s="15"/>
      <c r="IV9" s="15"/>
      <c r="IW9" s="15"/>
      <c r="IX9" s="36" t="str">
        <f t="shared" si="103"/>
        <v/>
      </c>
      <c r="IY9" s="36" t="str">
        <f t="shared" si="104"/>
        <v/>
      </c>
      <c r="IZ9" s="36" t="str">
        <f t="shared" si="105"/>
        <v/>
      </c>
      <c r="JA9" s="36" t="str">
        <f t="shared" si="106"/>
        <v/>
      </c>
      <c r="JB9" s="36" t="str">
        <f t="shared" si="107"/>
        <v/>
      </c>
      <c r="JC9" s="36" t="str">
        <f t="shared" si="108"/>
        <v/>
      </c>
      <c r="JD9" s="36" t="str">
        <f t="shared" si="109"/>
        <v/>
      </c>
      <c r="JE9" s="36" t="str">
        <f t="shared" si="110"/>
        <v/>
      </c>
      <c r="JF9" s="36" t="str">
        <f t="shared" si="111"/>
        <v/>
      </c>
      <c r="JG9" s="36" t="str">
        <f t="shared" si="112"/>
        <v/>
      </c>
      <c r="JH9" s="36" t="str">
        <f t="shared" si="113"/>
        <v/>
      </c>
      <c r="JI9" s="36" t="str">
        <f t="shared" si="114"/>
        <v/>
      </c>
      <c r="JJ9" s="36" t="str">
        <f t="shared" si="115"/>
        <v/>
      </c>
      <c r="JK9" s="36" t="str">
        <f t="shared" si="116"/>
        <v/>
      </c>
      <c r="JL9" s="16">
        <v>12.8</v>
      </c>
      <c r="JM9" s="16">
        <v>9.5</v>
      </c>
      <c r="JN9" s="16">
        <v>14.1</v>
      </c>
      <c r="JO9" s="16">
        <v>14.6</v>
      </c>
      <c r="JP9" s="16">
        <v>0</v>
      </c>
      <c r="JQ9" s="16">
        <v>2.8</v>
      </c>
      <c r="JR9" s="16">
        <v>1.5</v>
      </c>
      <c r="JS9" s="16">
        <v>3.5</v>
      </c>
      <c r="JT9" s="16">
        <v>3.14</v>
      </c>
      <c r="JU9" s="16">
        <v>0</v>
      </c>
      <c r="JV9" s="16"/>
      <c r="JW9" s="16"/>
      <c r="JX9" s="16"/>
      <c r="JY9" s="16"/>
      <c r="JZ9" s="16"/>
      <c r="KA9" s="16"/>
      <c r="KB9" s="16"/>
      <c r="KC9" s="16"/>
      <c r="KD9" s="16"/>
      <c r="KE9" s="16"/>
      <c r="KF9" s="11">
        <f t="shared" si="117"/>
        <v>14.1</v>
      </c>
      <c r="KG9" s="11">
        <f t="shared" si="118"/>
        <v>14.6</v>
      </c>
      <c r="KH9" s="11">
        <f t="shared" si="119"/>
        <v>51</v>
      </c>
      <c r="KI9" s="11">
        <f t="shared" si="120"/>
        <v>3.5</v>
      </c>
      <c r="KJ9" s="11">
        <f t="shared" si="121"/>
        <v>3.14</v>
      </c>
      <c r="KK9" s="11">
        <f t="shared" si="122"/>
        <v>10.94</v>
      </c>
      <c r="KL9" s="11">
        <f t="shared" si="123"/>
        <v>51</v>
      </c>
      <c r="KM9" s="11" t="str">
        <f t="shared" si="124"/>
        <v/>
      </c>
      <c r="KN9" s="11" t="str">
        <f t="shared" si="125"/>
        <v/>
      </c>
      <c r="KO9" s="11" t="str">
        <f t="shared" si="126"/>
        <v/>
      </c>
      <c r="KP9" s="11" t="str">
        <f t="shared" si="127"/>
        <v/>
      </c>
      <c r="KQ9" s="11" t="str">
        <f t="shared" si="128"/>
        <v/>
      </c>
      <c r="KR9" s="11" t="str">
        <f t="shared" si="129"/>
        <v/>
      </c>
      <c r="KS9" s="11">
        <f t="shared" si="130"/>
        <v>51</v>
      </c>
      <c r="KT9" s="15">
        <v>12.8</v>
      </c>
      <c r="KU9" s="15">
        <v>9.1</v>
      </c>
      <c r="KV9" s="15">
        <v>13.2</v>
      </c>
      <c r="KW9" s="15">
        <v>15.28</v>
      </c>
      <c r="KX9" s="15">
        <v>0</v>
      </c>
      <c r="KY9" s="15">
        <v>11</v>
      </c>
      <c r="KZ9" s="15">
        <v>6.8</v>
      </c>
      <c r="LA9" s="15">
        <v>10.6</v>
      </c>
      <c r="LB9" s="15">
        <v>12.05</v>
      </c>
      <c r="LC9" s="15">
        <v>0</v>
      </c>
      <c r="LD9" s="15"/>
      <c r="LE9" s="15"/>
      <c r="LF9" s="15"/>
      <c r="LG9" s="15"/>
      <c r="LH9" s="15"/>
      <c r="LI9" s="15"/>
      <c r="LJ9" s="15"/>
      <c r="LK9" s="15"/>
      <c r="LL9" s="15"/>
      <c r="LM9" s="15"/>
      <c r="LN9" s="36">
        <f t="shared" si="131"/>
        <v>13.2</v>
      </c>
      <c r="LO9" s="36">
        <f t="shared" si="132"/>
        <v>15.28</v>
      </c>
      <c r="LP9" s="36">
        <f t="shared" si="133"/>
        <v>50.379999999999995</v>
      </c>
      <c r="LQ9" s="36">
        <f t="shared" si="134"/>
        <v>10.6</v>
      </c>
      <c r="LR9" s="36">
        <f t="shared" si="135"/>
        <v>12.05</v>
      </c>
      <c r="LS9" s="36">
        <f t="shared" si="136"/>
        <v>40.450000000000003</v>
      </c>
      <c r="LT9" s="36">
        <f t="shared" si="137"/>
        <v>50.379999999999995</v>
      </c>
      <c r="LU9" s="36" t="str">
        <f t="shared" si="138"/>
        <v/>
      </c>
      <c r="LV9" s="36" t="str">
        <f t="shared" si="139"/>
        <v/>
      </c>
      <c r="LW9" s="36" t="str">
        <f t="shared" si="140"/>
        <v/>
      </c>
      <c r="LX9" s="36" t="str">
        <f t="shared" si="141"/>
        <v/>
      </c>
      <c r="LY9" s="36" t="str">
        <f t="shared" si="142"/>
        <v/>
      </c>
      <c r="LZ9" s="36" t="str">
        <f t="shared" si="143"/>
        <v/>
      </c>
      <c r="MA9" s="36">
        <f t="shared" si="144"/>
        <v>50.379999999999995</v>
      </c>
      <c r="MB9" s="16"/>
      <c r="MC9" s="16"/>
      <c r="MD9" s="16"/>
      <c r="ME9" s="16"/>
      <c r="MF9" s="16"/>
      <c r="MG9" s="16"/>
      <c r="MH9" s="16"/>
      <c r="MI9" s="16"/>
      <c r="MJ9" s="16"/>
      <c r="MK9" s="16"/>
      <c r="ML9" s="16"/>
      <c r="MM9" s="16"/>
      <c r="MN9" s="16"/>
      <c r="MO9" s="16"/>
      <c r="MP9" s="16"/>
      <c r="MQ9" s="16"/>
      <c r="MR9" s="16"/>
      <c r="MS9" s="16"/>
      <c r="MT9" s="16"/>
      <c r="MU9" s="16"/>
      <c r="MV9" s="11" t="str">
        <f t="shared" si="145"/>
        <v/>
      </c>
      <c r="MW9" s="11" t="str">
        <f t="shared" si="146"/>
        <v/>
      </c>
      <c r="MX9" s="11" t="str">
        <f t="shared" si="147"/>
        <v/>
      </c>
      <c r="MY9" s="11" t="str">
        <f t="shared" si="148"/>
        <v/>
      </c>
      <c r="MZ9" s="11" t="str">
        <f t="shared" si="149"/>
        <v/>
      </c>
      <c r="NA9" s="11" t="str">
        <f t="shared" si="150"/>
        <v/>
      </c>
      <c r="NB9" s="11" t="str">
        <f t="shared" si="151"/>
        <v/>
      </c>
      <c r="NC9" s="11" t="str">
        <f t="shared" si="152"/>
        <v/>
      </c>
      <c r="ND9" s="11" t="str">
        <f t="shared" si="153"/>
        <v/>
      </c>
      <c r="NE9" s="11" t="str">
        <f t="shared" si="154"/>
        <v/>
      </c>
      <c r="NF9" s="11" t="str">
        <f t="shared" si="155"/>
        <v/>
      </c>
      <c r="NG9" s="11" t="str">
        <f t="shared" si="156"/>
        <v/>
      </c>
      <c r="NH9" s="11" t="str">
        <f t="shared" si="157"/>
        <v/>
      </c>
      <c r="NI9" s="11" t="str">
        <f t="shared" si="158"/>
        <v/>
      </c>
      <c r="NJ9" s="15"/>
      <c r="NK9" s="15"/>
      <c r="NL9" s="15"/>
      <c r="NM9" s="15"/>
      <c r="NN9" s="15"/>
      <c r="NO9" s="15"/>
      <c r="NP9" s="15"/>
      <c r="NQ9" s="15"/>
      <c r="NR9" s="15"/>
      <c r="NS9" s="15"/>
      <c r="NT9" s="15"/>
      <c r="NU9" s="15"/>
      <c r="NV9" s="15"/>
      <c r="NW9" s="15"/>
      <c r="NX9" s="15"/>
      <c r="NY9" s="15"/>
      <c r="NZ9" s="15"/>
      <c r="OA9" s="15"/>
      <c r="OB9" s="15"/>
      <c r="OC9" s="15"/>
      <c r="OD9" s="36" t="str">
        <f t="shared" si="159"/>
        <v/>
      </c>
      <c r="OE9" s="36" t="str">
        <f t="shared" si="160"/>
        <v/>
      </c>
      <c r="OF9" s="36" t="str">
        <f t="shared" si="161"/>
        <v/>
      </c>
      <c r="OG9" s="36" t="str">
        <f t="shared" si="162"/>
        <v/>
      </c>
      <c r="OH9" s="36" t="str">
        <f t="shared" si="163"/>
        <v/>
      </c>
      <c r="OI9" s="36" t="str">
        <f t="shared" si="164"/>
        <v/>
      </c>
      <c r="OJ9" s="36" t="str">
        <f t="shared" si="165"/>
        <v/>
      </c>
      <c r="OK9" s="36" t="str">
        <f t="shared" si="166"/>
        <v/>
      </c>
      <c r="OL9" s="36" t="str">
        <f t="shared" si="167"/>
        <v/>
      </c>
      <c r="OM9" s="36" t="str">
        <f t="shared" si="168"/>
        <v/>
      </c>
      <c r="ON9" s="36" t="str">
        <f t="shared" si="169"/>
        <v/>
      </c>
      <c r="OO9" s="36" t="str">
        <f t="shared" si="170"/>
        <v/>
      </c>
      <c r="OP9" s="36" t="str">
        <f t="shared" si="171"/>
        <v/>
      </c>
      <c r="OQ9" s="36" t="str">
        <f t="shared" si="172"/>
        <v/>
      </c>
      <c r="OR9" s="16"/>
      <c r="OS9" s="16"/>
      <c r="OT9" s="16"/>
      <c r="OU9" s="16"/>
      <c r="OV9" s="16"/>
      <c r="OW9" s="16"/>
      <c r="OX9" s="16"/>
      <c r="OY9" s="16"/>
      <c r="OZ9" s="16"/>
      <c r="PA9" s="16"/>
      <c r="PB9" s="16"/>
      <c r="PC9" s="16"/>
      <c r="PD9" s="16"/>
      <c r="PE9" s="16"/>
      <c r="PF9" s="16"/>
      <c r="PG9" s="16"/>
      <c r="PH9" s="16"/>
      <c r="PI9" s="16"/>
      <c r="PJ9" s="16"/>
      <c r="PK9" s="16"/>
      <c r="PL9" s="11" t="str">
        <f t="shared" si="173"/>
        <v/>
      </c>
      <c r="PM9" s="11" t="str">
        <f t="shared" si="174"/>
        <v/>
      </c>
      <c r="PN9" s="11" t="str">
        <f t="shared" si="175"/>
        <v/>
      </c>
      <c r="PO9" s="11" t="str">
        <f t="shared" si="176"/>
        <v/>
      </c>
      <c r="PP9" s="11" t="str">
        <f t="shared" si="177"/>
        <v/>
      </c>
      <c r="PQ9" s="11" t="str">
        <f t="shared" si="178"/>
        <v/>
      </c>
      <c r="PR9" s="11" t="str">
        <f t="shared" si="179"/>
        <v/>
      </c>
      <c r="PS9" s="11" t="str">
        <f t="shared" si="180"/>
        <v/>
      </c>
      <c r="PT9" s="11" t="str">
        <f t="shared" si="181"/>
        <v/>
      </c>
      <c r="PU9" s="11" t="str">
        <f t="shared" si="182"/>
        <v/>
      </c>
      <c r="PV9" s="11" t="str">
        <f t="shared" si="183"/>
        <v/>
      </c>
      <c r="PW9" s="11" t="str">
        <f t="shared" si="184"/>
        <v/>
      </c>
      <c r="PX9" s="11" t="str">
        <f t="shared" si="185"/>
        <v/>
      </c>
      <c r="PY9" s="11" t="str">
        <f t="shared" si="186"/>
        <v/>
      </c>
      <c r="PZ9" s="15"/>
      <c r="QA9" s="15"/>
      <c r="QB9" s="15"/>
      <c r="QC9" s="15"/>
      <c r="QD9" s="15"/>
      <c r="QE9" s="15"/>
      <c r="QF9" s="15"/>
      <c r="QG9" s="15"/>
      <c r="QH9" s="15"/>
      <c r="QI9" s="15"/>
      <c r="QJ9" s="15"/>
      <c r="QK9" s="15"/>
      <c r="QL9" s="15"/>
      <c r="QM9" s="15"/>
      <c r="QN9" s="15"/>
      <c r="QO9" s="15"/>
      <c r="QP9" s="15"/>
      <c r="QQ9" s="15"/>
      <c r="QR9" s="15"/>
      <c r="QS9" s="15"/>
      <c r="QT9" s="36" t="str">
        <f t="shared" si="187"/>
        <v/>
      </c>
      <c r="QU9" s="36" t="str">
        <f t="shared" si="188"/>
        <v/>
      </c>
      <c r="QV9" s="36" t="str">
        <f t="shared" si="189"/>
        <v/>
      </c>
      <c r="QW9" s="36" t="str">
        <f t="shared" si="190"/>
        <v/>
      </c>
      <c r="QX9" s="36" t="str">
        <f t="shared" si="191"/>
        <v/>
      </c>
      <c r="QY9" s="36" t="str">
        <f t="shared" si="192"/>
        <v/>
      </c>
      <c r="QZ9" s="36" t="str">
        <f t="shared" si="193"/>
        <v/>
      </c>
      <c r="RA9" s="36" t="str">
        <f t="shared" si="194"/>
        <v/>
      </c>
      <c r="RB9" s="36" t="str">
        <f t="shared" si="195"/>
        <v/>
      </c>
      <c r="RC9" s="36" t="str">
        <f t="shared" si="196"/>
        <v/>
      </c>
      <c r="RD9" s="36" t="str">
        <f t="shared" si="197"/>
        <v/>
      </c>
      <c r="RE9" s="36" t="str">
        <f t="shared" si="198"/>
        <v/>
      </c>
      <c r="RF9" s="36" t="str">
        <f t="shared" si="199"/>
        <v/>
      </c>
      <c r="RG9" s="36" t="str">
        <f t="shared" si="200"/>
        <v/>
      </c>
      <c r="RH9" s="16"/>
      <c r="RI9" s="16"/>
      <c r="RJ9" s="16"/>
      <c r="RK9" s="16"/>
      <c r="RL9" s="16"/>
      <c r="RM9" s="16"/>
      <c r="RN9" s="16"/>
      <c r="RO9" s="16"/>
      <c r="RP9" s="16"/>
      <c r="RQ9" s="16"/>
      <c r="RR9" s="16"/>
      <c r="RS9" s="16"/>
      <c r="RT9" s="16"/>
      <c r="RU9" s="16"/>
      <c r="RV9" s="16"/>
      <c r="RW9" s="16"/>
      <c r="RX9" s="16"/>
      <c r="RY9" s="16"/>
      <c r="RZ9" s="16"/>
      <c r="SA9" s="16"/>
      <c r="SB9" s="11" t="str">
        <f t="shared" si="201"/>
        <v/>
      </c>
      <c r="SC9" s="11" t="str">
        <f t="shared" si="202"/>
        <v/>
      </c>
      <c r="SD9" s="11" t="str">
        <f t="shared" si="203"/>
        <v/>
      </c>
      <c r="SE9" s="11" t="str">
        <f t="shared" si="204"/>
        <v/>
      </c>
      <c r="SF9" s="11" t="str">
        <f t="shared" si="205"/>
        <v/>
      </c>
      <c r="SG9" s="11" t="str">
        <f t="shared" si="206"/>
        <v/>
      </c>
      <c r="SH9" s="11" t="str">
        <f t="shared" si="207"/>
        <v/>
      </c>
      <c r="SI9" s="11" t="str">
        <f t="shared" si="208"/>
        <v/>
      </c>
      <c r="SJ9" s="11" t="str">
        <f t="shared" si="209"/>
        <v/>
      </c>
      <c r="SK9" s="11" t="str">
        <f t="shared" si="210"/>
        <v/>
      </c>
      <c r="SL9" s="11" t="str">
        <f t="shared" si="211"/>
        <v/>
      </c>
      <c r="SM9" s="11" t="str">
        <f t="shared" si="212"/>
        <v/>
      </c>
      <c r="SN9" s="11" t="str">
        <f t="shared" si="213"/>
        <v/>
      </c>
      <c r="SO9" s="11" t="str">
        <f t="shared" si="214"/>
        <v/>
      </c>
      <c r="SP9" s="15"/>
      <c r="SQ9" s="15"/>
      <c r="SR9" s="15"/>
      <c r="SS9" s="15"/>
      <c r="ST9" s="15"/>
      <c r="SU9" s="15"/>
      <c r="SV9" s="15"/>
      <c r="SW9" s="15"/>
      <c r="SX9" s="15"/>
      <c r="SY9" s="15"/>
      <c r="SZ9" s="15"/>
      <c r="TA9" s="15"/>
      <c r="TB9" s="15"/>
      <c r="TC9" s="15"/>
      <c r="TD9" s="15"/>
      <c r="TE9" s="15"/>
      <c r="TF9" s="15"/>
      <c r="TG9" s="15"/>
      <c r="TH9" s="15"/>
      <c r="TI9" s="15"/>
      <c r="TJ9" s="36" t="str">
        <f t="shared" si="215"/>
        <v/>
      </c>
      <c r="TK9" s="36" t="str">
        <f t="shared" si="216"/>
        <v/>
      </c>
      <c r="TL9" s="36" t="str">
        <f t="shared" si="217"/>
        <v/>
      </c>
      <c r="TM9" s="36" t="str">
        <f t="shared" si="218"/>
        <v/>
      </c>
      <c r="TN9" s="36" t="str">
        <f t="shared" si="219"/>
        <v/>
      </c>
      <c r="TO9" s="36" t="str">
        <f t="shared" si="220"/>
        <v/>
      </c>
      <c r="TP9" s="36" t="str">
        <f t="shared" si="221"/>
        <v/>
      </c>
      <c r="TQ9" s="36" t="str">
        <f t="shared" si="222"/>
        <v/>
      </c>
      <c r="TR9" s="36" t="str">
        <f t="shared" si="223"/>
        <v/>
      </c>
      <c r="TS9" s="36" t="str">
        <f t="shared" si="224"/>
        <v/>
      </c>
      <c r="TT9" s="36" t="str">
        <f t="shared" si="225"/>
        <v/>
      </c>
      <c r="TU9" s="36" t="str">
        <f t="shared" si="226"/>
        <v/>
      </c>
      <c r="TV9" s="36" t="str">
        <f t="shared" si="227"/>
        <v/>
      </c>
      <c r="TW9" s="36" t="str">
        <f t="shared" si="228"/>
        <v/>
      </c>
      <c r="TX9" s="16"/>
      <c r="TY9" s="16"/>
      <c r="TZ9" s="16"/>
      <c r="UA9" s="16"/>
      <c r="UB9" s="16"/>
      <c r="UC9" s="16"/>
      <c r="UD9" s="16"/>
      <c r="UE9" s="16"/>
      <c r="UF9" s="16"/>
      <c r="UG9" s="16"/>
      <c r="UH9" s="16"/>
      <c r="UI9" s="16"/>
      <c r="UJ9" s="16"/>
      <c r="UK9" s="16"/>
      <c r="UL9" s="16"/>
      <c r="UM9" s="16"/>
      <c r="UN9" s="16"/>
      <c r="UO9" s="16"/>
      <c r="UP9" s="16"/>
      <c r="UQ9" s="16"/>
      <c r="UR9" s="11" t="str">
        <f t="shared" si="229"/>
        <v/>
      </c>
      <c r="US9" s="11" t="str">
        <f t="shared" si="230"/>
        <v/>
      </c>
      <c r="UT9" s="11" t="str">
        <f t="shared" si="231"/>
        <v/>
      </c>
      <c r="UU9" s="11" t="str">
        <f t="shared" si="232"/>
        <v/>
      </c>
      <c r="UV9" s="11" t="str">
        <f t="shared" si="233"/>
        <v/>
      </c>
      <c r="UW9" s="11" t="str">
        <f t="shared" si="234"/>
        <v/>
      </c>
      <c r="UX9" s="11" t="str">
        <f t="shared" si="235"/>
        <v/>
      </c>
      <c r="UY9" s="11" t="str">
        <f t="shared" si="236"/>
        <v/>
      </c>
      <c r="UZ9" s="11" t="str">
        <f t="shared" si="237"/>
        <v/>
      </c>
      <c r="VA9" s="11" t="str">
        <f t="shared" si="238"/>
        <v/>
      </c>
      <c r="VB9" s="11" t="str">
        <f t="shared" si="239"/>
        <v/>
      </c>
      <c r="VC9" s="11" t="str">
        <f t="shared" si="240"/>
        <v/>
      </c>
      <c r="VD9" s="11" t="str">
        <f t="shared" si="241"/>
        <v/>
      </c>
      <c r="VE9" s="11" t="str">
        <f t="shared" si="242"/>
        <v/>
      </c>
      <c r="VF9" s="15"/>
      <c r="VG9" s="15"/>
      <c r="VH9" s="15"/>
      <c r="VI9" s="15"/>
      <c r="VJ9" s="15"/>
      <c r="VK9" s="15"/>
      <c r="VL9" s="15"/>
      <c r="VM9" s="15"/>
      <c r="VN9" s="15"/>
      <c r="VO9" s="15"/>
      <c r="VP9" s="15"/>
      <c r="VQ9" s="15"/>
      <c r="VR9" s="15"/>
      <c r="VS9" s="15"/>
      <c r="VT9" s="15"/>
      <c r="VU9" s="15"/>
      <c r="VV9" s="15"/>
      <c r="VW9" s="15"/>
      <c r="VX9" s="15"/>
      <c r="VY9" s="15"/>
      <c r="VZ9" s="36" t="str">
        <f t="shared" si="243"/>
        <v/>
      </c>
      <c r="WA9" s="36" t="str">
        <f t="shared" si="244"/>
        <v/>
      </c>
      <c r="WB9" s="36" t="str">
        <f t="shared" si="245"/>
        <v/>
      </c>
      <c r="WC9" s="36" t="str">
        <f t="shared" si="246"/>
        <v/>
      </c>
      <c r="WD9" s="36" t="str">
        <f t="shared" si="247"/>
        <v/>
      </c>
      <c r="WE9" s="36" t="str">
        <f t="shared" si="248"/>
        <v/>
      </c>
      <c r="WF9" s="36" t="str">
        <f t="shared" si="249"/>
        <v/>
      </c>
      <c r="WG9" s="36" t="str">
        <f t="shared" si="250"/>
        <v/>
      </c>
      <c r="WH9" s="36" t="str">
        <f t="shared" si="251"/>
        <v/>
      </c>
      <c r="WI9" s="36" t="str">
        <f t="shared" si="252"/>
        <v/>
      </c>
      <c r="WJ9" s="36" t="str">
        <f t="shared" si="253"/>
        <v/>
      </c>
      <c r="WK9" s="36" t="str">
        <f t="shared" si="254"/>
        <v/>
      </c>
      <c r="WL9" s="36" t="str">
        <f t="shared" si="255"/>
        <v/>
      </c>
      <c r="WM9" s="36" t="str">
        <f t="shared" si="256"/>
        <v/>
      </c>
    </row>
    <row r="10" spans="1:611" x14ac:dyDescent="0.2">
      <c r="A10" s="4" cm="1">
        <f t="array" ref="A10">IF(AND(H10&lt;&gt;"",H10&lt;&gt;"No DD"),SUMPRODUCT((H$4:H$15&lt;&gt;"")*(H$4:H$15&lt;&gt;"No DD")*(E$4:E$15&gt;E10))+1,IF(H10="No DD",SUMPRODUCT((H$4:H$15="No DD")*(E$4:E$15&gt;E10))+1+SUMPRODUCT((H$4:H$15&lt;&gt;"")*(H$4:H$15&lt;&gt;"No DD")),""))</f>
        <v>7</v>
      </c>
      <c r="B10" s="5" t="s">
        <v>110</v>
      </c>
      <c r="C10" s="4" t="s">
        <v>7</v>
      </c>
      <c r="D10" s="4">
        <v>2007</v>
      </c>
      <c r="E10" s="9">
        <f t="shared" si="0"/>
        <v>155.84001558400519</v>
      </c>
      <c r="F10" s="3" t="str">
        <f t="shared" si="1"/>
        <v>P</v>
      </c>
      <c r="G10" s="3" t="str">
        <f t="shared" si="2"/>
        <v>P</v>
      </c>
      <c r="H10" s="32" t="str">
        <f t="shared" si="3"/>
        <v>National Team</v>
      </c>
      <c r="I10" s="3" t="str">
        <f t="shared" si="4"/>
        <v/>
      </c>
      <c r="J10" s="8">
        <f t="shared" si="5"/>
        <v>51.86999999999999</v>
      </c>
      <c r="K10" s="8" t="str">
        <f t="shared" si="6"/>
        <v>2025 Nationals</v>
      </c>
      <c r="L10" s="8">
        <f>IFERROR(IF(J10=AR10,LARGE((AK10,AN10,BL10,BO10,BS10,CM10,CP10,CT10),1),IF(J10=BS10,LARGE((AK10,AN10,AR10,BL10,BO10,CM10,CP10,CT10),1),LARGE((AK10,AN10,AR10,BL10,BO10,BS10,CM10,CP10),1))),0)</f>
        <v>52.15</v>
      </c>
      <c r="M10" s="8" t="str">
        <f t="shared" si="7"/>
        <v>2025 Nationals</v>
      </c>
      <c r="N10" s="8">
        <f>IFERROR(IF(J10=AR10,LARGE((AK10,AN10,BL10,BO10,BS10,CM10,CP10,CT10),2),IF(J10=BS10,LARGE((AK10,AN10,AR10,BL10,BO10,CM10,CP10,CT10),2),LARGE((AK10,AN10,AR10,BL10,BO10,BS10,CM10,CP10),2))),0)</f>
        <v>51.820000000000007</v>
      </c>
      <c r="O10" s="8" t="str">
        <f t="shared" si="8"/>
        <v>2025 3rd Domestic Trial</v>
      </c>
      <c r="P10" s="8">
        <f t="shared" si="9"/>
        <v>0</v>
      </c>
      <c r="Q10" s="11" t="str">
        <f t="shared" si="10"/>
        <v/>
      </c>
      <c r="R10" s="8" t="str">
        <f t="shared" si="11"/>
        <v/>
      </c>
      <c r="S10" s="18">
        <v>13.5</v>
      </c>
      <c r="T10" s="18">
        <v>9.1</v>
      </c>
      <c r="U10" s="18">
        <v>12.4</v>
      </c>
      <c r="V10" s="18">
        <v>14.35</v>
      </c>
      <c r="W10" s="18">
        <v>0.3</v>
      </c>
      <c r="X10" s="18">
        <v>14.8</v>
      </c>
      <c r="Y10" s="18">
        <v>9.1999999999999993</v>
      </c>
      <c r="Z10" s="18">
        <v>13.4</v>
      </c>
      <c r="AA10" s="18">
        <v>14.09</v>
      </c>
      <c r="AB10" s="18">
        <v>0</v>
      </c>
      <c r="AC10" s="18">
        <v>13.7</v>
      </c>
      <c r="AD10" s="18">
        <v>9.1999999999999993</v>
      </c>
      <c r="AE10" s="18">
        <v>14.3</v>
      </c>
      <c r="AF10" s="18">
        <v>14.26</v>
      </c>
      <c r="AG10" s="18">
        <v>0</v>
      </c>
      <c r="AH10" s="23"/>
      <c r="AI10" s="34">
        <f t="shared" si="12"/>
        <v>12.4</v>
      </c>
      <c r="AJ10" s="34">
        <f t="shared" si="13"/>
        <v>14.35</v>
      </c>
      <c r="AK10" s="36">
        <f t="shared" si="14"/>
        <v>49.050000000000004</v>
      </c>
      <c r="AL10" s="36">
        <f t="shared" si="15"/>
        <v>13.4</v>
      </c>
      <c r="AM10" s="36">
        <f t="shared" si="16"/>
        <v>14.09</v>
      </c>
      <c r="AN10" s="36">
        <f t="shared" si="17"/>
        <v>51.489999999999995</v>
      </c>
      <c r="AO10" s="36">
        <f t="shared" si="18"/>
        <v>51.489999999999995</v>
      </c>
      <c r="AP10" s="36">
        <f t="shared" si="19"/>
        <v>14.3</v>
      </c>
      <c r="AQ10" s="36">
        <f t="shared" si="20"/>
        <v>14.26</v>
      </c>
      <c r="AR10" s="36">
        <f t="shared" si="21"/>
        <v>51.46</v>
      </c>
      <c r="AS10" s="36">
        <f t="shared" si="22"/>
        <v>102.94999999999999</v>
      </c>
      <c r="AT10" s="22">
        <v>14.1</v>
      </c>
      <c r="AU10" s="22">
        <v>9.6999999999999993</v>
      </c>
      <c r="AV10" s="22">
        <v>10.8</v>
      </c>
      <c r="AW10" s="22">
        <v>14.25</v>
      </c>
      <c r="AX10" s="22">
        <v>1.9</v>
      </c>
      <c r="AY10" s="22">
        <v>14.6</v>
      </c>
      <c r="AZ10" s="22">
        <v>9.1</v>
      </c>
      <c r="BA10" s="22">
        <v>14.3</v>
      </c>
      <c r="BB10" s="22">
        <v>14.15</v>
      </c>
      <c r="BC10" s="22">
        <v>0</v>
      </c>
      <c r="BD10" s="22">
        <v>13.7</v>
      </c>
      <c r="BE10" s="22">
        <v>9.6</v>
      </c>
      <c r="BF10" s="22">
        <v>14.3</v>
      </c>
      <c r="BG10" s="22">
        <v>14.27</v>
      </c>
      <c r="BH10" s="22">
        <v>0</v>
      </c>
      <c r="BI10" s="24"/>
      <c r="BJ10" s="35">
        <f t="shared" si="23"/>
        <v>10.8</v>
      </c>
      <c r="BK10" s="35">
        <f t="shared" si="24"/>
        <v>14.25</v>
      </c>
      <c r="BL10" s="11">
        <f t="shared" si="25"/>
        <v>46.949999999999996</v>
      </c>
      <c r="BM10" s="11">
        <f t="shared" si="26"/>
        <v>14.3</v>
      </c>
      <c r="BN10" s="11">
        <f t="shared" si="27"/>
        <v>14.15</v>
      </c>
      <c r="BO10" s="11">
        <f t="shared" si="28"/>
        <v>52.15</v>
      </c>
      <c r="BP10" s="11">
        <f t="shared" si="29"/>
        <v>52.15</v>
      </c>
      <c r="BQ10" s="11">
        <f t="shared" si="30"/>
        <v>14.3</v>
      </c>
      <c r="BR10" s="11">
        <f t="shared" si="31"/>
        <v>14.27</v>
      </c>
      <c r="BS10" s="11">
        <f t="shared" si="32"/>
        <v>51.86999999999999</v>
      </c>
      <c r="BT10" s="11">
        <f t="shared" si="33"/>
        <v>104.01999999999998</v>
      </c>
      <c r="BU10" s="18">
        <v>13.8</v>
      </c>
      <c r="BV10" s="18">
        <v>9.3999999999999986</v>
      </c>
      <c r="BW10" s="18">
        <v>11.600000000000001</v>
      </c>
      <c r="BX10" s="18">
        <v>14.3</v>
      </c>
      <c r="BY10" s="18">
        <v>1.0999999999999999</v>
      </c>
      <c r="BZ10" s="18">
        <v>14.7</v>
      </c>
      <c r="CA10" s="18">
        <v>9.1499999999999986</v>
      </c>
      <c r="CB10" s="18">
        <v>13.850000000000001</v>
      </c>
      <c r="CC10" s="18">
        <v>14.120000000000001</v>
      </c>
      <c r="CD10" s="18">
        <v>0</v>
      </c>
      <c r="CE10" s="18">
        <v>13.7</v>
      </c>
      <c r="CF10" s="18">
        <v>9.3999999999999986</v>
      </c>
      <c r="CG10" s="18">
        <v>14.3</v>
      </c>
      <c r="CH10" s="18">
        <v>14.265000000000001</v>
      </c>
      <c r="CI10" s="18">
        <v>0</v>
      </c>
      <c r="CJ10" s="23" t="s">
        <v>42</v>
      </c>
      <c r="CK10" s="34">
        <f t="shared" si="34"/>
        <v>11.600000000000001</v>
      </c>
      <c r="CL10" s="34">
        <f t="shared" si="35"/>
        <v>14.3</v>
      </c>
      <c r="CM10" s="36">
        <f t="shared" si="36"/>
        <v>47.999999999999993</v>
      </c>
      <c r="CN10" s="36">
        <f t="shared" si="37"/>
        <v>13.850000000000001</v>
      </c>
      <c r="CO10" s="36">
        <f t="shared" si="38"/>
        <v>14.120000000000001</v>
      </c>
      <c r="CP10" s="36">
        <f t="shared" si="39"/>
        <v>51.820000000000007</v>
      </c>
      <c r="CQ10" s="36">
        <f t="shared" si="40"/>
        <v>51.820000000000007</v>
      </c>
      <c r="CR10" s="36">
        <f t="shared" si="41"/>
        <v>14.3</v>
      </c>
      <c r="CS10" s="36">
        <f t="shared" si="42"/>
        <v>14.265000000000001</v>
      </c>
      <c r="CT10" s="36">
        <f t="shared" si="43"/>
        <v>51.664999999999999</v>
      </c>
      <c r="CU10" s="36">
        <f t="shared" si="44"/>
        <v>103.48500000000001</v>
      </c>
      <c r="CV10" s="47" t="str">
        <f t="shared" si="45"/>
        <v/>
      </c>
      <c r="CW10" s="47" t="str">
        <f t="shared" si="46"/>
        <v/>
      </c>
      <c r="CX10" s="15"/>
      <c r="CY10" s="15"/>
      <c r="CZ10" s="15"/>
      <c r="DA10" s="15"/>
      <c r="DB10" s="15"/>
      <c r="DC10" s="15"/>
      <c r="DD10" s="15"/>
      <c r="DE10" s="15"/>
      <c r="DF10" s="15"/>
      <c r="DG10" s="15"/>
      <c r="DH10" s="15"/>
      <c r="DI10" s="15"/>
      <c r="DJ10" s="15"/>
      <c r="DK10" s="15"/>
      <c r="DL10" s="15"/>
      <c r="DM10" s="15"/>
      <c r="DN10" s="15"/>
      <c r="DO10" s="15"/>
      <c r="DP10" s="15"/>
      <c r="DQ10" s="15"/>
      <c r="DR10" s="36" t="str">
        <f t="shared" si="47"/>
        <v/>
      </c>
      <c r="DS10" s="36" t="str">
        <f t="shared" si="48"/>
        <v/>
      </c>
      <c r="DT10" s="36" t="str">
        <f t="shared" si="49"/>
        <v/>
      </c>
      <c r="DU10" s="36" t="str">
        <f t="shared" si="50"/>
        <v/>
      </c>
      <c r="DV10" s="36" t="str">
        <f t="shared" si="51"/>
        <v/>
      </c>
      <c r="DW10" s="36" t="str">
        <f t="shared" si="52"/>
        <v/>
      </c>
      <c r="DX10" s="36" t="str">
        <f t="shared" si="53"/>
        <v/>
      </c>
      <c r="DY10" s="36" t="str">
        <f t="shared" si="54"/>
        <v/>
      </c>
      <c r="DZ10" s="36" t="str">
        <f t="shared" si="55"/>
        <v/>
      </c>
      <c r="EA10" s="36" t="str">
        <f t="shared" si="56"/>
        <v/>
      </c>
      <c r="EB10" s="36" t="str">
        <f t="shared" si="57"/>
        <v/>
      </c>
      <c r="EC10" s="36" t="str">
        <f t="shared" si="58"/>
        <v/>
      </c>
      <c r="ED10" s="36" t="str">
        <f t="shared" si="59"/>
        <v/>
      </c>
      <c r="EE10" s="36" t="str">
        <f t="shared" si="60"/>
        <v/>
      </c>
      <c r="EF10" s="16"/>
      <c r="EG10" s="16"/>
      <c r="EH10" s="16"/>
      <c r="EI10" s="16"/>
      <c r="EJ10" s="16"/>
      <c r="EK10" s="16"/>
      <c r="EL10" s="16"/>
      <c r="EM10" s="16"/>
      <c r="EN10" s="16"/>
      <c r="EO10" s="16"/>
      <c r="EP10" s="16"/>
      <c r="EQ10" s="16"/>
      <c r="ER10" s="16"/>
      <c r="ES10" s="16"/>
      <c r="ET10" s="16"/>
      <c r="EU10" s="16"/>
      <c r="EV10" s="16"/>
      <c r="EW10" s="16"/>
      <c r="EX10" s="16"/>
      <c r="EY10" s="16"/>
      <c r="EZ10" s="11" t="str">
        <f t="shared" si="61"/>
        <v/>
      </c>
      <c r="FA10" s="11" t="str">
        <f t="shared" si="62"/>
        <v/>
      </c>
      <c r="FB10" s="11" t="str">
        <f t="shared" si="63"/>
        <v/>
      </c>
      <c r="FC10" s="11" t="str">
        <f t="shared" si="64"/>
        <v/>
      </c>
      <c r="FD10" s="11" t="str">
        <f t="shared" si="65"/>
        <v/>
      </c>
      <c r="FE10" s="11" t="str">
        <f t="shared" si="66"/>
        <v/>
      </c>
      <c r="FF10" s="11" t="str">
        <f t="shared" si="67"/>
        <v/>
      </c>
      <c r="FG10" s="11" t="str">
        <f t="shared" si="68"/>
        <v/>
      </c>
      <c r="FH10" s="11" t="str">
        <f t="shared" si="69"/>
        <v/>
      </c>
      <c r="FI10" s="11" t="str">
        <f t="shared" si="70"/>
        <v/>
      </c>
      <c r="FJ10" s="11" t="str">
        <f t="shared" si="71"/>
        <v/>
      </c>
      <c r="FK10" s="11" t="str">
        <f t="shared" si="72"/>
        <v/>
      </c>
      <c r="FL10" s="11" t="str">
        <f t="shared" si="73"/>
        <v/>
      </c>
      <c r="FM10" s="11" t="str">
        <f t="shared" si="74"/>
        <v/>
      </c>
      <c r="FN10" s="15">
        <v>13.5</v>
      </c>
      <c r="FO10" s="15">
        <v>9.3000000000000007</v>
      </c>
      <c r="FP10" s="15">
        <v>14.3</v>
      </c>
      <c r="FQ10" s="15">
        <v>14.44</v>
      </c>
      <c r="FR10" s="15">
        <v>0</v>
      </c>
      <c r="FS10" s="15">
        <v>13.3</v>
      </c>
      <c r="FT10" s="15">
        <v>9.3000000000000007</v>
      </c>
      <c r="FU10" s="15">
        <v>14.3</v>
      </c>
      <c r="FV10" s="15">
        <v>14.25</v>
      </c>
      <c r="FW10" s="15">
        <v>0</v>
      </c>
      <c r="FX10" s="15"/>
      <c r="FY10" s="15"/>
      <c r="FZ10" s="15"/>
      <c r="GA10" s="15"/>
      <c r="GB10" s="15"/>
      <c r="GC10" s="15"/>
      <c r="GD10" s="15"/>
      <c r="GE10" s="15"/>
      <c r="GF10" s="15"/>
      <c r="GG10" s="15"/>
      <c r="GH10" s="36">
        <f t="shared" si="75"/>
        <v>14.3</v>
      </c>
      <c r="GI10" s="36">
        <f t="shared" si="76"/>
        <v>14.44</v>
      </c>
      <c r="GJ10" s="36">
        <f t="shared" si="77"/>
        <v>51.54</v>
      </c>
      <c r="GK10" s="36">
        <f t="shared" si="78"/>
        <v>14.3</v>
      </c>
      <c r="GL10" s="36">
        <f t="shared" si="79"/>
        <v>14.25</v>
      </c>
      <c r="GM10" s="36">
        <f t="shared" si="80"/>
        <v>51.150000000000006</v>
      </c>
      <c r="GN10" s="36">
        <f t="shared" si="81"/>
        <v>51.54</v>
      </c>
      <c r="GO10" s="36" t="str">
        <f t="shared" si="82"/>
        <v/>
      </c>
      <c r="GP10" s="36" t="str">
        <f t="shared" si="83"/>
        <v/>
      </c>
      <c r="GQ10" s="36" t="str">
        <f t="shared" si="84"/>
        <v/>
      </c>
      <c r="GR10" s="36" t="str">
        <f t="shared" si="85"/>
        <v/>
      </c>
      <c r="GS10" s="36" t="str">
        <f t="shared" si="86"/>
        <v/>
      </c>
      <c r="GT10" s="36" t="str">
        <f t="shared" si="87"/>
        <v/>
      </c>
      <c r="GU10" s="36">
        <f t="shared" si="88"/>
        <v>51.54</v>
      </c>
      <c r="GV10" s="16"/>
      <c r="GW10" s="16"/>
      <c r="GX10" s="16"/>
      <c r="GY10" s="16"/>
      <c r="GZ10" s="16"/>
      <c r="HA10" s="16"/>
      <c r="HB10" s="16"/>
      <c r="HC10" s="16"/>
      <c r="HD10" s="16"/>
      <c r="HE10" s="16"/>
      <c r="HF10" s="16"/>
      <c r="HG10" s="16"/>
      <c r="HH10" s="16"/>
      <c r="HI10" s="16"/>
      <c r="HJ10" s="16"/>
      <c r="HK10" s="16"/>
      <c r="HL10" s="16"/>
      <c r="HM10" s="16"/>
      <c r="HN10" s="16"/>
      <c r="HO10" s="16"/>
      <c r="HP10" s="11" t="str">
        <f t="shared" si="89"/>
        <v/>
      </c>
      <c r="HQ10" s="11" t="str">
        <f t="shared" si="90"/>
        <v/>
      </c>
      <c r="HR10" s="11" t="str">
        <f t="shared" si="91"/>
        <v/>
      </c>
      <c r="HS10" s="11" t="str">
        <f t="shared" si="92"/>
        <v/>
      </c>
      <c r="HT10" s="11" t="str">
        <f t="shared" si="93"/>
        <v/>
      </c>
      <c r="HU10" s="11" t="str">
        <f t="shared" si="94"/>
        <v/>
      </c>
      <c r="HV10" s="11" t="str">
        <f t="shared" si="95"/>
        <v/>
      </c>
      <c r="HW10" s="11" t="str">
        <f t="shared" si="96"/>
        <v/>
      </c>
      <c r="HX10" s="11" t="str">
        <f t="shared" si="97"/>
        <v/>
      </c>
      <c r="HY10" s="11" t="str">
        <f t="shared" si="98"/>
        <v/>
      </c>
      <c r="HZ10" s="11" t="str">
        <f t="shared" si="99"/>
        <v/>
      </c>
      <c r="IA10" s="11" t="str">
        <f t="shared" si="100"/>
        <v/>
      </c>
      <c r="IB10" s="11" t="str">
        <f t="shared" si="101"/>
        <v/>
      </c>
      <c r="IC10" s="11" t="str">
        <f t="shared" si="102"/>
        <v/>
      </c>
      <c r="ID10" s="15"/>
      <c r="IE10" s="15"/>
      <c r="IF10" s="15"/>
      <c r="IG10" s="15"/>
      <c r="IH10" s="15"/>
      <c r="II10" s="15">
        <v>14</v>
      </c>
      <c r="IJ10" s="15">
        <v>9.6</v>
      </c>
      <c r="IK10" s="15">
        <v>13.4</v>
      </c>
      <c r="IL10" s="15">
        <v>14.48</v>
      </c>
      <c r="IM10" s="15">
        <v>0</v>
      </c>
      <c r="IN10" s="15"/>
      <c r="IO10" s="15"/>
      <c r="IP10" s="15"/>
      <c r="IQ10" s="15"/>
      <c r="IR10" s="15"/>
      <c r="IS10" s="15">
        <v>13.5</v>
      </c>
      <c r="IT10" s="15">
        <v>9.3000000000000007</v>
      </c>
      <c r="IU10" s="15">
        <v>14.3</v>
      </c>
      <c r="IV10" s="15">
        <v>14.37</v>
      </c>
      <c r="IW10" s="15">
        <v>0</v>
      </c>
      <c r="IX10" s="36" t="str">
        <f t="shared" si="103"/>
        <v/>
      </c>
      <c r="IY10" s="36" t="str">
        <f t="shared" si="104"/>
        <v/>
      </c>
      <c r="IZ10" s="36" t="str">
        <f t="shared" si="105"/>
        <v/>
      </c>
      <c r="JA10" s="36">
        <f t="shared" si="106"/>
        <v>13.4</v>
      </c>
      <c r="JB10" s="36">
        <f t="shared" si="107"/>
        <v>14.48</v>
      </c>
      <c r="JC10" s="36">
        <f t="shared" si="108"/>
        <v>51.480000000000004</v>
      </c>
      <c r="JD10" s="36">
        <f t="shared" si="109"/>
        <v>51.480000000000004</v>
      </c>
      <c r="JE10" s="36" t="str">
        <f t="shared" si="110"/>
        <v/>
      </c>
      <c r="JF10" s="36" t="str">
        <f t="shared" si="111"/>
        <v/>
      </c>
      <c r="JG10" s="36" t="str">
        <f t="shared" si="112"/>
        <v/>
      </c>
      <c r="JH10" s="36">
        <f t="shared" si="113"/>
        <v>14.3</v>
      </c>
      <c r="JI10" s="36">
        <f t="shared" si="114"/>
        <v>14.37</v>
      </c>
      <c r="JJ10" s="36">
        <f t="shared" si="115"/>
        <v>51.47</v>
      </c>
      <c r="JK10" s="36">
        <f t="shared" si="116"/>
        <v>102.95</v>
      </c>
      <c r="JL10" s="16"/>
      <c r="JM10" s="16"/>
      <c r="JN10" s="16"/>
      <c r="JO10" s="16"/>
      <c r="JP10" s="16"/>
      <c r="JQ10" s="16"/>
      <c r="JR10" s="16"/>
      <c r="JS10" s="16"/>
      <c r="JT10" s="16"/>
      <c r="JU10" s="16"/>
      <c r="JV10" s="16"/>
      <c r="JW10" s="16"/>
      <c r="JX10" s="16"/>
      <c r="JY10" s="16"/>
      <c r="JZ10" s="16"/>
      <c r="KA10" s="16"/>
      <c r="KB10" s="16"/>
      <c r="KC10" s="16"/>
      <c r="KD10" s="16"/>
      <c r="KE10" s="16"/>
      <c r="KF10" s="11" t="str">
        <f t="shared" si="117"/>
        <v/>
      </c>
      <c r="KG10" s="11" t="str">
        <f t="shared" si="118"/>
        <v/>
      </c>
      <c r="KH10" s="11" t="str">
        <f t="shared" si="119"/>
        <v/>
      </c>
      <c r="KI10" s="11" t="str">
        <f t="shared" si="120"/>
        <v/>
      </c>
      <c r="KJ10" s="11" t="str">
        <f t="shared" si="121"/>
        <v/>
      </c>
      <c r="KK10" s="11" t="str">
        <f t="shared" si="122"/>
        <v/>
      </c>
      <c r="KL10" s="11" t="str">
        <f t="shared" si="123"/>
        <v/>
      </c>
      <c r="KM10" s="11" t="str">
        <f t="shared" si="124"/>
        <v/>
      </c>
      <c r="KN10" s="11" t="str">
        <f t="shared" si="125"/>
        <v/>
      </c>
      <c r="KO10" s="11" t="str">
        <f t="shared" si="126"/>
        <v/>
      </c>
      <c r="KP10" s="11" t="str">
        <f t="shared" si="127"/>
        <v/>
      </c>
      <c r="KQ10" s="11" t="str">
        <f t="shared" si="128"/>
        <v/>
      </c>
      <c r="KR10" s="11" t="str">
        <f t="shared" si="129"/>
        <v/>
      </c>
      <c r="KS10" s="11" t="str">
        <f t="shared" si="130"/>
        <v/>
      </c>
      <c r="KT10" s="15"/>
      <c r="KU10" s="15"/>
      <c r="KV10" s="15"/>
      <c r="KW10" s="15"/>
      <c r="KX10" s="15"/>
      <c r="KY10" s="15"/>
      <c r="KZ10" s="15"/>
      <c r="LA10" s="15"/>
      <c r="LB10" s="15"/>
      <c r="LC10" s="15"/>
      <c r="LD10" s="15"/>
      <c r="LE10" s="15"/>
      <c r="LF10" s="15"/>
      <c r="LG10" s="15"/>
      <c r="LH10" s="15"/>
      <c r="LI10" s="15"/>
      <c r="LJ10" s="15"/>
      <c r="LK10" s="15"/>
      <c r="LL10" s="15"/>
      <c r="LM10" s="15"/>
      <c r="LN10" s="36" t="str">
        <f t="shared" si="131"/>
        <v/>
      </c>
      <c r="LO10" s="36" t="str">
        <f t="shared" si="132"/>
        <v/>
      </c>
      <c r="LP10" s="36" t="str">
        <f t="shared" si="133"/>
        <v/>
      </c>
      <c r="LQ10" s="36" t="str">
        <f t="shared" si="134"/>
        <v/>
      </c>
      <c r="LR10" s="36" t="str">
        <f t="shared" si="135"/>
        <v/>
      </c>
      <c r="LS10" s="36" t="str">
        <f t="shared" si="136"/>
        <v/>
      </c>
      <c r="LT10" s="36" t="str">
        <f t="shared" si="137"/>
        <v/>
      </c>
      <c r="LU10" s="36" t="str">
        <f t="shared" si="138"/>
        <v/>
      </c>
      <c r="LV10" s="36" t="str">
        <f t="shared" si="139"/>
        <v/>
      </c>
      <c r="LW10" s="36" t="str">
        <f t="shared" si="140"/>
        <v/>
      </c>
      <c r="LX10" s="36" t="str">
        <f t="shared" si="141"/>
        <v/>
      </c>
      <c r="LY10" s="36" t="str">
        <f t="shared" si="142"/>
        <v/>
      </c>
      <c r="LZ10" s="36" t="str">
        <f t="shared" si="143"/>
        <v/>
      </c>
      <c r="MA10" s="36" t="str">
        <f t="shared" si="144"/>
        <v/>
      </c>
      <c r="MB10" s="16"/>
      <c r="MC10" s="16"/>
      <c r="MD10" s="16"/>
      <c r="ME10" s="16"/>
      <c r="MF10" s="16"/>
      <c r="MG10" s="16"/>
      <c r="MH10" s="16"/>
      <c r="MI10" s="16"/>
      <c r="MJ10" s="16"/>
      <c r="MK10" s="16"/>
      <c r="ML10" s="16"/>
      <c r="MM10" s="16"/>
      <c r="MN10" s="16"/>
      <c r="MO10" s="16"/>
      <c r="MP10" s="16"/>
      <c r="MQ10" s="16"/>
      <c r="MR10" s="16"/>
      <c r="MS10" s="16"/>
      <c r="MT10" s="16"/>
      <c r="MU10" s="16"/>
      <c r="MV10" s="11" t="str">
        <f t="shared" si="145"/>
        <v/>
      </c>
      <c r="MW10" s="11" t="str">
        <f t="shared" si="146"/>
        <v/>
      </c>
      <c r="MX10" s="11" t="str">
        <f t="shared" si="147"/>
        <v/>
      </c>
      <c r="MY10" s="11" t="str">
        <f t="shared" si="148"/>
        <v/>
      </c>
      <c r="MZ10" s="11" t="str">
        <f t="shared" si="149"/>
        <v/>
      </c>
      <c r="NA10" s="11" t="str">
        <f t="shared" si="150"/>
        <v/>
      </c>
      <c r="NB10" s="11" t="str">
        <f t="shared" si="151"/>
        <v/>
      </c>
      <c r="NC10" s="11" t="str">
        <f t="shared" si="152"/>
        <v/>
      </c>
      <c r="ND10" s="11" t="str">
        <f t="shared" si="153"/>
        <v/>
      </c>
      <c r="NE10" s="11" t="str">
        <f t="shared" si="154"/>
        <v/>
      </c>
      <c r="NF10" s="11" t="str">
        <f t="shared" si="155"/>
        <v/>
      </c>
      <c r="NG10" s="11" t="str">
        <f t="shared" si="156"/>
        <v/>
      </c>
      <c r="NH10" s="11" t="str">
        <f t="shared" si="157"/>
        <v/>
      </c>
      <c r="NI10" s="11" t="str">
        <f t="shared" si="158"/>
        <v/>
      </c>
      <c r="NJ10" s="15"/>
      <c r="NK10" s="15"/>
      <c r="NL10" s="15"/>
      <c r="NM10" s="15"/>
      <c r="NN10" s="15"/>
      <c r="NO10" s="15"/>
      <c r="NP10" s="15"/>
      <c r="NQ10" s="15"/>
      <c r="NR10" s="15"/>
      <c r="NS10" s="15"/>
      <c r="NT10" s="15"/>
      <c r="NU10" s="15"/>
      <c r="NV10" s="15"/>
      <c r="NW10" s="15"/>
      <c r="NX10" s="15"/>
      <c r="NY10" s="15"/>
      <c r="NZ10" s="15"/>
      <c r="OA10" s="15"/>
      <c r="OB10" s="15"/>
      <c r="OC10" s="15"/>
      <c r="OD10" s="36" t="str">
        <f t="shared" si="159"/>
        <v/>
      </c>
      <c r="OE10" s="36" t="str">
        <f t="shared" si="160"/>
        <v/>
      </c>
      <c r="OF10" s="36" t="str">
        <f t="shared" si="161"/>
        <v/>
      </c>
      <c r="OG10" s="36" t="str">
        <f t="shared" si="162"/>
        <v/>
      </c>
      <c r="OH10" s="36" t="str">
        <f t="shared" si="163"/>
        <v/>
      </c>
      <c r="OI10" s="36" t="str">
        <f t="shared" si="164"/>
        <v/>
      </c>
      <c r="OJ10" s="36" t="str">
        <f t="shared" si="165"/>
        <v/>
      </c>
      <c r="OK10" s="36" t="str">
        <f t="shared" si="166"/>
        <v/>
      </c>
      <c r="OL10" s="36" t="str">
        <f t="shared" si="167"/>
        <v/>
      </c>
      <c r="OM10" s="36" t="str">
        <f t="shared" si="168"/>
        <v/>
      </c>
      <c r="ON10" s="36" t="str">
        <f t="shared" si="169"/>
        <v/>
      </c>
      <c r="OO10" s="36" t="str">
        <f t="shared" si="170"/>
        <v/>
      </c>
      <c r="OP10" s="36" t="str">
        <f t="shared" si="171"/>
        <v/>
      </c>
      <c r="OQ10" s="36" t="str">
        <f t="shared" si="172"/>
        <v/>
      </c>
      <c r="OR10" s="16">
        <v>17.5</v>
      </c>
      <c r="OS10" s="16">
        <v>9.5</v>
      </c>
      <c r="OT10" s="16">
        <v>1.6</v>
      </c>
      <c r="OU10" s="16">
        <v>15.48</v>
      </c>
      <c r="OV10" s="16">
        <v>0</v>
      </c>
      <c r="OW10" s="16">
        <v>15.2</v>
      </c>
      <c r="OX10" s="16">
        <v>9.4</v>
      </c>
      <c r="OY10" s="16">
        <v>12.1</v>
      </c>
      <c r="OZ10" s="16">
        <v>14.75</v>
      </c>
      <c r="PA10" s="16">
        <v>0</v>
      </c>
      <c r="PB10" s="16"/>
      <c r="PC10" s="16"/>
      <c r="PD10" s="16"/>
      <c r="PE10" s="16"/>
      <c r="PF10" s="16"/>
      <c r="PG10" s="16"/>
      <c r="PH10" s="16"/>
      <c r="PI10" s="16"/>
      <c r="PJ10" s="16"/>
      <c r="PK10" s="16"/>
      <c r="PL10" s="11">
        <f t="shared" si="173"/>
        <v>1.6</v>
      </c>
      <c r="PM10" s="11">
        <f t="shared" si="174"/>
        <v>15.48</v>
      </c>
      <c r="PN10" s="11">
        <f t="shared" si="175"/>
        <v>44.08</v>
      </c>
      <c r="PO10" s="11">
        <f t="shared" si="176"/>
        <v>12.1</v>
      </c>
      <c r="PP10" s="11">
        <f t="shared" si="177"/>
        <v>14.75</v>
      </c>
      <c r="PQ10" s="11">
        <f t="shared" si="178"/>
        <v>51.45</v>
      </c>
      <c r="PR10" s="11">
        <f t="shared" si="179"/>
        <v>51.45</v>
      </c>
      <c r="PS10" s="11" t="str">
        <f t="shared" si="180"/>
        <v/>
      </c>
      <c r="PT10" s="11" t="str">
        <f t="shared" si="181"/>
        <v/>
      </c>
      <c r="PU10" s="11" t="str">
        <f t="shared" si="182"/>
        <v/>
      </c>
      <c r="PV10" s="11" t="str">
        <f t="shared" si="183"/>
        <v/>
      </c>
      <c r="PW10" s="11" t="str">
        <f t="shared" si="184"/>
        <v/>
      </c>
      <c r="PX10" s="11" t="str">
        <f t="shared" si="185"/>
        <v/>
      </c>
      <c r="PY10" s="11">
        <f t="shared" si="186"/>
        <v>51.45</v>
      </c>
      <c r="PZ10" s="15"/>
      <c r="QA10" s="15"/>
      <c r="QB10" s="15"/>
      <c r="QC10" s="15"/>
      <c r="QD10" s="15"/>
      <c r="QE10" s="15"/>
      <c r="QF10" s="15"/>
      <c r="QG10" s="15"/>
      <c r="QH10" s="15"/>
      <c r="QI10" s="15"/>
      <c r="QJ10" s="15"/>
      <c r="QK10" s="15"/>
      <c r="QL10" s="15"/>
      <c r="QM10" s="15"/>
      <c r="QN10" s="15"/>
      <c r="QO10" s="15"/>
      <c r="QP10" s="15"/>
      <c r="QQ10" s="15"/>
      <c r="QR10" s="15"/>
      <c r="QS10" s="15"/>
      <c r="QT10" s="36" t="str">
        <f t="shared" si="187"/>
        <v/>
      </c>
      <c r="QU10" s="36" t="str">
        <f t="shared" si="188"/>
        <v/>
      </c>
      <c r="QV10" s="36" t="str">
        <f t="shared" si="189"/>
        <v/>
      </c>
      <c r="QW10" s="36" t="str">
        <f t="shared" si="190"/>
        <v/>
      </c>
      <c r="QX10" s="36" t="str">
        <f t="shared" si="191"/>
        <v/>
      </c>
      <c r="QY10" s="36" t="str">
        <f t="shared" si="192"/>
        <v/>
      </c>
      <c r="QZ10" s="36" t="str">
        <f t="shared" si="193"/>
        <v/>
      </c>
      <c r="RA10" s="36" t="str">
        <f t="shared" si="194"/>
        <v/>
      </c>
      <c r="RB10" s="36" t="str">
        <f t="shared" si="195"/>
        <v/>
      </c>
      <c r="RC10" s="36" t="str">
        <f t="shared" si="196"/>
        <v/>
      </c>
      <c r="RD10" s="36" t="str">
        <f t="shared" si="197"/>
        <v/>
      </c>
      <c r="RE10" s="36" t="str">
        <f t="shared" si="198"/>
        <v/>
      </c>
      <c r="RF10" s="36" t="str">
        <f t="shared" si="199"/>
        <v/>
      </c>
      <c r="RG10" s="36" t="str">
        <f t="shared" si="200"/>
        <v/>
      </c>
      <c r="RH10" s="16"/>
      <c r="RI10" s="16"/>
      <c r="RJ10" s="16"/>
      <c r="RK10" s="16"/>
      <c r="RL10" s="16"/>
      <c r="RM10" s="16"/>
      <c r="RN10" s="16"/>
      <c r="RO10" s="16"/>
      <c r="RP10" s="16"/>
      <c r="RQ10" s="16"/>
      <c r="RR10" s="16"/>
      <c r="RS10" s="16"/>
      <c r="RT10" s="16"/>
      <c r="RU10" s="16"/>
      <c r="RV10" s="16"/>
      <c r="RW10" s="16"/>
      <c r="RX10" s="16"/>
      <c r="RY10" s="16"/>
      <c r="RZ10" s="16"/>
      <c r="SA10" s="16"/>
      <c r="SB10" s="11" t="str">
        <f t="shared" si="201"/>
        <v/>
      </c>
      <c r="SC10" s="11" t="str">
        <f t="shared" si="202"/>
        <v/>
      </c>
      <c r="SD10" s="11" t="str">
        <f t="shared" si="203"/>
        <v/>
      </c>
      <c r="SE10" s="11" t="str">
        <f t="shared" si="204"/>
        <v/>
      </c>
      <c r="SF10" s="11" t="str">
        <f t="shared" si="205"/>
        <v/>
      </c>
      <c r="SG10" s="11" t="str">
        <f t="shared" si="206"/>
        <v/>
      </c>
      <c r="SH10" s="11" t="str">
        <f t="shared" si="207"/>
        <v/>
      </c>
      <c r="SI10" s="11" t="str">
        <f t="shared" si="208"/>
        <v/>
      </c>
      <c r="SJ10" s="11" t="str">
        <f t="shared" si="209"/>
        <v/>
      </c>
      <c r="SK10" s="11" t="str">
        <f t="shared" si="210"/>
        <v/>
      </c>
      <c r="SL10" s="11" t="str">
        <f t="shared" si="211"/>
        <v/>
      </c>
      <c r="SM10" s="11" t="str">
        <f t="shared" si="212"/>
        <v/>
      </c>
      <c r="SN10" s="11" t="str">
        <f t="shared" si="213"/>
        <v/>
      </c>
      <c r="SO10" s="11" t="str">
        <f t="shared" si="214"/>
        <v/>
      </c>
      <c r="SP10" s="15"/>
      <c r="SQ10" s="15"/>
      <c r="SR10" s="15"/>
      <c r="SS10" s="15"/>
      <c r="ST10" s="15"/>
      <c r="SU10" s="15"/>
      <c r="SV10" s="15"/>
      <c r="SW10" s="15"/>
      <c r="SX10" s="15"/>
      <c r="SY10" s="15"/>
      <c r="SZ10" s="15"/>
      <c r="TA10" s="15"/>
      <c r="TB10" s="15"/>
      <c r="TC10" s="15"/>
      <c r="TD10" s="15"/>
      <c r="TE10" s="15"/>
      <c r="TF10" s="15"/>
      <c r="TG10" s="15"/>
      <c r="TH10" s="15"/>
      <c r="TI10" s="15"/>
      <c r="TJ10" s="36" t="str">
        <f t="shared" si="215"/>
        <v/>
      </c>
      <c r="TK10" s="36" t="str">
        <f t="shared" si="216"/>
        <v/>
      </c>
      <c r="TL10" s="36" t="str">
        <f t="shared" si="217"/>
        <v/>
      </c>
      <c r="TM10" s="36" t="str">
        <f t="shared" si="218"/>
        <v/>
      </c>
      <c r="TN10" s="36" t="str">
        <f t="shared" si="219"/>
        <v/>
      </c>
      <c r="TO10" s="36" t="str">
        <f t="shared" si="220"/>
        <v/>
      </c>
      <c r="TP10" s="36" t="str">
        <f t="shared" si="221"/>
        <v/>
      </c>
      <c r="TQ10" s="36" t="str">
        <f t="shared" si="222"/>
        <v/>
      </c>
      <c r="TR10" s="36" t="str">
        <f t="shared" si="223"/>
        <v/>
      </c>
      <c r="TS10" s="36" t="str">
        <f t="shared" si="224"/>
        <v/>
      </c>
      <c r="TT10" s="36" t="str">
        <f t="shared" si="225"/>
        <v/>
      </c>
      <c r="TU10" s="36" t="str">
        <f t="shared" si="226"/>
        <v/>
      </c>
      <c r="TV10" s="36" t="str">
        <f t="shared" si="227"/>
        <v/>
      </c>
      <c r="TW10" s="36" t="str">
        <f t="shared" si="228"/>
        <v/>
      </c>
      <c r="TX10" s="16"/>
      <c r="TY10" s="16"/>
      <c r="TZ10" s="16"/>
      <c r="UA10" s="16"/>
      <c r="UB10" s="16"/>
      <c r="UC10" s="16"/>
      <c r="UD10" s="16"/>
      <c r="UE10" s="16"/>
      <c r="UF10" s="16"/>
      <c r="UG10" s="16"/>
      <c r="UH10" s="16"/>
      <c r="UI10" s="16"/>
      <c r="UJ10" s="16"/>
      <c r="UK10" s="16"/>
      <c r="UL10" s="16"/>
      <c r="UM10" s="16"/>
      <c r="UN10" s="16"/>
      <c r="UO10" s="16"/>
      <c r="UP10" s="16"/>
      <c r="UQ10" s="16"/>
      <c r="UR10" s="11" t="str">
        <f t="shared" si="229"/>
        <v/>
      </c>
      <c r="US10" s="11" t="str">
        <f t="shared" si="230"/>
        <v/>
      </c>
      <c r="UT10" s="11" t="str">
        <f t="shared" si="231"/>
        <v/>
      </c>
      <c r="UU10" s="11" t="str">
        <f t="shared" si="232"/>
        <v/>
      </c>
      <c r="UV10" s="11" t="str">
        <f t="shared" si="233"/>
        <v/>
      </c>
      <c r="UW10" s="11" t="str">
        <f t="shared" si="234"/>
        <v/>
      </c>
      <c r="UX10" s="11" t="str">
        <f t="shared" si="235"/>
        <v/>
      </c>
      <c r="UY10" s="11" t="str">
        <f t="shared" si="236"/>
        <v/>
      </c>
      <c r="UZ10" s="11" t="str">
        <f t="shared" si="237"/>
        <v/>
      </c>
      <c r="VA10" s="11" t="str">
        <f t="shared" si="238"/>
        <v/>
      </c>
      <c r="VB10" s="11" t="str">
        <f t="shared" si="239"/>
        <v/>
      </c>
      <c r="VC10" s="11" t="str">
        <f t="shared" si="240"/>
        <v/>
      </c>
      <c r="VD10" s="11" t="str">
        <f t="shared" si="241"/>
        <v/>
      </c>
      <c r="VE10" s="11" t="str">
        <f t="shared" si="242"/>
        <v/>
      </c>
      <c r="VF10" s="15"/>
      <c r="VG10" s="15"/>
      <c r="VH10" s="15"/>
      <c r="VI10" s="15"/>
      <c r="VJ10" s="15"/>
      <c r="VK10" s="15"/>
      <c r="VL10" s="15"/>
      <c r="VM10" s="15"/>
      <c r="VN10" s="15"/>
      <c r="VO10" s="15"/>
      <c r="VP10" s="15"/>
      <c r="VQ10" s="15"/>
      <c r="VR10" s="15"/>
      <c r="VS10" s="15"/>
      <c r="VT10" s="15"/>
      <c r="VU10" s="15"/>
      <c r="VV10" s="15"/>
      <c r="VW10" s="15"/>
      <c r="VX10" s="15"/>
      <c r="VY10" s="15"/>
      <c r="VZ10" s="36" t="str">
        <f t="shared" si="243"/>
        <v/>
      </c>
      <c r="WA10" s="36" t="str">
        <f t="shared" si="244"/>
        <v/>
      </c>
      <c r="WB10" s="36" t="str">
        <f t="shared" si="245"/>
        <v/>
      </c>
      <c r="WC10" s="36" t="str">
        <f t="shared" si="246"/>
        <v/>
      </c>
      <c r="WD10" s="36" t="str">
        <f t="shared" si="247"/>
        <v/>
      </c>
      <c r="WE10" s="36" t="str">
        <f t="shared" si="248"/>
        <v/>
      </c>
      <c r="WF10" s="36" t="str">
        <f t="shared" si="249"/>
        <v/>
      </c>
      <c r="WG10" s="36" t="str">
        <f t="shared" si="250"/>
        <v/>
      </c>
      <c r="WH10" s="36" t="str">
        <f t="shared" si="251"/>
        <v/>
      </c>
      <c r="WI10" s="36" t="str">
        <f t="shared" si="252"/>
        <v/>
      </c>
      <c r="WJ10" s="36" t="str">
        <f t="shared" si="253"/>
        <v/>
      </c>
      <c r="WK10" s="36" t="str">
        <f t="shared" si="254"/>
        <v/>
      </c>
      <c r="WL10" s="36" t="str">
        <f t="shared" si="255"/>
        <v/>
      </c>
      <c r="WM10" s="36" t="str">
        <f t="shared" si="256"/>
        <v/>
      </c>
    </row>
    <row r="11" spans="1:611" x14ac:dyDescent="0.2">
      <c r="A11" s="4" cm="1">
        <f t="array" ref="A11">IF(AND(H11&lt;&gt;"",H11&lt;&gt;"No DD"),SUMPRODUCT((H$4:H$15&lt;&gt;"")*(H$4:H$15&lt;&gt;"No DD")*(E$4:E$15&gt;E11))+1,IF(H11="No DD",SUMPRODUCT((H$4:H$15="No DD")*(E$4:E$15&gt;E11))+1+SUMPRODUCT((H$4:H$15&lt;&gt;"")*(H$4:H$15&lt;&gt;"No DD")),""))</f>
        <v>8</v>
      </c>
      <c r="B11" s="5" t="s">
        <v>65</v>
      </c>
      <c r="C11" s="4" t="s">
        <v>5</v>
      </c>
      <c r="D11" s="4">
        <v>1999</v>
      </c>
      <c r="E11" s="9">
        <f t="shared" si="0"/>
        <v>155.24501545600523</v>
      </c>
      <c r="F11" s="3" t="str">
        <f t="shared" si="1"/>
        <v>P</v>
      </c>
      <c r="G11" s="3" t="str">
        <f t="shared" si="2"/>
        <v>P</v>
      </c>
      <c r="H11" s="32" t="str">
        <f t="shared" si="3"/>
        <v>National Team</v>
      </c>
      <c r="I11" s="3" t="str">
        <f t="shared" si="4"/>
        <v/>
      </c>
      <c r="J11" s="8">
        <f t="shared" si="5"/>
        <v>50.489999999999995</v>
      </c>
      <c r="K11" s="8" t="str">
        <f t="shared" si="6"/>
        <v>2025 Elite Canada</v>
      </c>
      <c r="L11" s="8">
        <f>IFERROR(IF(J11=AR11,LARGE((AK11,AN11,BL11,BO11,BS11,CM11,CP11,CT11),1),IF(J11=BS11,LARGE((AK11,AN11,AR11,BL11,BO11,CM11,CP11,CT11),1),LARGE((AK11,AN11,AR11,BL11,BO11,BS11,CM11,CP11),1))),0)</f>
        <v>52.379999999999995</v>
      </c>
      <c r="M11" s="8" t="str">
        <f t="shared" si="7"/>
        <v>2025 Nationals</v>
      </c>
      <c r="N11" s="8">
        <f>IFERROR(IF(J11=AR11,LARGE((AK11,AN11,BL11,BO11,BS11,CM11,CP11,CT11),2),IF(J11=BS11,LARGE((AK11,AN11,AR11,BL11,BO11,CM11,CP11,CT11),2),LARGE((AK11,AN11,AR11,BL11,BO11,BS11,CM11,CP11),2))),0)</f>
        <v>51.69</v>
      </c>
      <c r="O11" s="8" t="str">
        <f t="shared" si="8"/>
        <v>2025 Elite Canada</v>
      </c>
      <c r="P11" s="8">
        <f t="shared" si="9"/>
        <v>0.68500000000000227</v>
      </c>
      <c r="Q11" s="11" t="str">
        <f t="shared" si="10"/>
        <v>(Final)</v>
      </c>
      <c r="R11" s="8" t="str">
        <f t="shared" si="11"/>
        <v>2025 Pan Am Championships (May 18)</v>
      </c>
      <c r="S11" s="18">
        <v>11.5</v>
      </c>
      <c r="T11" s="18">
        <v>7.3</v>
      </c>
      <c r="U11" s="18">
        <v>10</v>
      </c>
      <c r="V11" s="18">
        <v>10.98</v>
      </c>
      <c r="W11" s="18">
        <v>0</v>
      </c>
      <c r="X11" s="18">
        <v>14.9</v>
      </c>
      <c r="Y11" s="18">
        <v>9.4</v>
      </c>
      <c r="Z11" s="18">
        <v>13.6</v>
      </c>
      <c r="AA11" s="18">
        <v>13.79</v>
      </c>
      <c r="AB11" s="18">
        <v>0</v>
      </c>
      <c r="AC11" s="18">
        <v>13.6</v>
      </c>
      <c r="AD11" s="18">
        <v>9.6999999999999993</v>
      </c>
      <c r="AE11" s="18">
        <v>13.6</v>
      </c>
      <c r="AF11" s="18">
        <v>13.59</v>
      </c>
      <c r="AG11" s="18">
        <v>0</v>
      </c>
      <c r="AH11" s="23"/>
      <c r="AI11" s="34">
        <f t="shared" si="12"/>
        <v>10</v>
      </c>
      <c r="AJ11" s="34">
        <f t="shared" si="13"/>
        <v>10.98</v>
      </c>
      <c r="AK11" s="36">
        <f t="shared" si="14"/>
        <v>39.78</v>
      </c>
      <c r="AL11" s="36">
        <f t="shared" si="15"/>
        <v>13.6</v>
      </c>
      <c r="AM11" s="36">
        <f t="shared" si="16"/>
        <v>13.79</v>
      </c>
      <c r="AN11" s="36">
        <f t="shared" si="17"/>
        <v>51.69</v>
      </c>
      <c r="AO11" s="36">
        <f t="shared" si="18"/>
        <v>51.69</v>
      </c>
      <c r="AP11" s="36">
        <f t="shared" si="19"/>
        <v>13.6</v>
      </c>
      <c r="AQ11" s="36">
        <f t="shared" si="20"/>
        <v>13.59</v>
      </c>
      <c r="AR11" s="36">
        <f t="shared" si="21"/>
        <v>50.489999999999995</v>
      </c>
      <c r="AS11" s="36">
        <f t="shared" si="22"/>
        <v>102.17999999999999</v>
      </c>
      <c r="AT11" s="22">
        <v>15.3</v>
      </c>
      <c r="AU11" s="22">
        <v>9.5</v>
      </c>
      <c r="AV11" s="22">
        <v>13.6</v>
      </c>
      <c r="AW11" s="22">
        <v>13.98</v>
      </c>
      <c r="AX11" s="22">
        <v>0</v>
      </c>
      <c r="AY11" s="22">
        <v>14.3</v>
      </c>
      <c r="AZ11" s="22">
        <v>8.6999999999999993</v>
      </c>
      <c r="BA11" s="22">
        <v>13.6</v>
      </c>
      <c r="BB11" s="22">
        <v>14.21</v>
      </c>
      <c r="BC11" s="22">
        <v>0</v>
      </c>
      <c r="BD11" s="22">
        <v>14</v>
      </c>
      <c r="BE11" s="22">
        <v>8.9</v>
      </c>
      <c r="BF11" s="22">
        <v>13.6</v>
      </c>
      <c r="BG11" s="22">
        <v>13.78</v>
      </c>
      <c r="BH11" s="22">
        <v>0</v>
      </c>
      <c r="BI11" s="24"/>
      <c r="BJ11" s="35">
        <f t="shared" si="23"/>
        <v>13.6</v>
      </c>
      <c r="BK11" s="35">
        <f t="shared" si="24"/>
        <v>13.98</v>
      </c>
      <c r="BL11" s="11">
        <f t="shared" si="25"/>
        <v>52.379999999999995</v>
      </c>
      <c r="BM11" s="11">
        <f t="shared" si="26"/>
        <v>13.6</v>
      </c>
      <c r="BN11" s="11">
        <f t="shared" si="27"/>
        <v>14.21</v>
      </c>
      <c r="BO11" s="11">
        <f t="shared" si="28"/>
        <v>50.81</v>
      </c>
      <c r="BP11" s="11">
        <f t="shared" si="29"/>
        <v>52.379999999999995</v>
      </c>
      <c r="BQ11" s="11">
        <f t="shared" si="30"/>
        <v>13.6</v>
      </c>
      <c r="BR11" s="11">
        <f t="shared" si="31"/>
        <v>13.78</v>
      </c>
      <c r="BS11" s="11">
        <f t="shared" si="32"/>
        <v>50.28</v>
      </c>
      <c r="BT11" s="11">
        <f t="shared" si="33"/>
        <v>102.66</v>
      </c>
      <c r="BU11" s="18">
        <v>13.4</v>
      </c>
      <c r="BV11" s="18">
        <v>8.4</v>
      </c>
      <c r="BW11" s="18">
        <v>11.8</v>
      </c>
      <c r="BX11" s="18">
        <v>12.48</v>
      </c>
      <c r="BY11" s="18">
        <v>0</v>
      </c>
      <c r="BZ11" s="18">
        <v>14.600000000000001</v>
      </c>
      <c r="CA11" s="18">
        <v>9.0500000000000007</v>
      </c>
      <c r="CB11" s="18">
        <v>13.6</v>
      </c>
      <c r="CC11" s="18">
        <v>14</v>
      </c>
      <c r="CD11" s="18">
        <v>0</v>
      </c>
      <c r="CE11" s="18">
        <v>13.8</v>
      </c>
      <c r="CF11" s="18">
        <v>9.3000000000000007</v>
      </c>
      <c r="CG11" s="18">
        <v>13.6</v>
      </c>
      <c r="CH11" s="18">
        <v>13.684999999999999</v>
      </c>
      <c r="CI11" s="18">
        <v>0</v>
      </c>
      <c r="CJ11" s="23" t="s">
        <v>42</v>
      </c>
      <c r="CK11" s="34">
        <f t="shared" si="34"/>
        <v>11.8</v>
      </c>
      <c r="CL11" s="34">
        <f t="shared" si="35"/>
        <v>12.48</v>
      </c>
      <c r="CM11" s="36">
        <f t="shared" si="36"/>
        <v>46.08</v>
      </c>
      <c r="CN11" s="36">
        <f t="shared" si="37"/>
        <v>13.6</v>
      </c>
      <c r="CO11" s="36">
        <f t="shared" si="38"/>
        <v>14</v>
      </c>
      <c r="CP11" s="36">
        <f t="shared" si="39"/>
        <v>51.25</v>
      </c>
      <c r="CQ11" s="36">
        <f t="shared" si="40"/>
        <v>51.25</v>
      </c>
      <c r="CR11" s="36">
        <f t="shared" si="41"/>
        <v>13.6</v>
      </c>
      <c r="CS11" s="36">
        <f t="shared" si="42"/>
        <v>13.684999999999999</v>
      </c>
      <c r="CT11" s="36">
        <f t="shared" si="43"/>
        <v>50.385000000000005</v>
      </c>
      <c r="CU11" s="36">
        <f t="shared" si="44"/>
        <v>101.63500000000001</v>
      </c>
      <c r="CV11" s="47">
        <f t="shared" si="45"/>
        <v>0.68500000000000227</v>
      </c>
      <c r="CW11" s="47" t="str">
        <f t="shared" si="46"/>
        <v/>
      </c>
      <c r="CX11" s="15"/>
      <c r="CY11" s="15"/>
      <c r="CZ11" s="15"/>
      <c r="DA11" s="15"/>
      <c r="DB11" s="15"/>
      <c r="DC11" s="15"/>
      <c r="DD11" s="15"/>
      <c r="DE11" s="15"/>
      <c r="DF11" s="15"/>
      <c r="DG11" s="15"/>
      <c r="DH11" s="15"/>
      <c r="DI11" s="15"/>
      <c r="DJ11" s="15"/>
      <c r="DK11" s="15"/>
      <c r="DL11" s="15"/>
      <c r="DM11" s="15"/>
      <c r="DN11" s="15"/>
      <c r="DO11" s="15"/>
      <c r="DP11" s="15"/>
      <c r="DQ11" s="15"/>
      <c r="DR11" s="36" t="str">
        <f t="shared" si="47"/>
        <v/>
      </c>
      <c r="DS11" s="36" t="str">
        <f t="shared" si="48"/>
        <v/>
      </c>
      <c r="DT11" s="36" t="str">
        <f t="shared" si="49"/>
        <v/>
      </c>
      <c r="DU11" s="36" t="str">
        <f t="shared" si="50"/>
        <v/>
      </c>
      <c r="DV11" s="36" t="str">
        <f t="shared" si="51"/>
        <v/>
      </c>
      <c r="DW11" s="36" t="str">
        <f t="shared" si="52"/>
        <v/>
      </c>
      <c r="DX11" s="36" t="str">
        <f t="shared" si="53"/>
        <v/>
      </c>
      <c r="DY11" s="36" t="str">
        <f t="shared" si="54"/>
        <v/>
      </c>
      <c r="DZ11" s="36" t="str">
        <f t="shared" si="55"/>
        <v/>
      </c>
      <c r="EA11" s="36" t="str">
        <f t="shared" si="56"/>
        <v/>
      </c>
      <c r="EB11" s="36" t="str">
        <f t="shared" si="57"/>
        <v/>
      </c>
      <c r="EC11" s="36" t="str">
        <f t="shared" si="58"/>
        <v/>
      </c>
      <c r="ED11" s="36" t="str">
        <f t="shared" si="59"/>
        <v/>
      </c>
      <c r="EE11" s="36" t="str">
        <f t="shared" si="60"/>
        <v/>
      </c>
      <c r="EF11" s="16">
        <v>13.8</v>
      </c>
      <c r="EG11" s="16">
        <v>9.1</v>
      </c>
      <c r="EH11" s="16">
        <v>13.6</v>
      </c>
      <c r="EI11" s="16">
        <v>14.074999999999999</v>
      </c>
      <c r="EJ11" s="16">
        <v>0</v>
      </c>
      <c r="EK11" s="16">
        <v>14.4</v>
      </c>
      <c r="EL11" s="16">
        <v>9.4</v>
      </c>
      <c r="EM11" s="16">
        <v>13.6</v>
      </c>
      <c r="EN11" s="16">
        <v>14.185</v>
      </c>
      <c r="EO11" s="16">
        <v>0</v>
      </c>
      <c r="EP11" s="16"/>
      <c r="EQ11" s="16"/>
      <c r="ER11" s="16"/>
      <c r="ES11" s="16"/>
      <c r="ET11" s="16"/>
      <c r="EU11" s="16">
        <v>13.6</v>
      </c>
      <c r="EV11" s="16">
        <v>9.4</v>
      </c>
      <c r="EW11" s="16">
        <v>13.6</v>
      </c>
      <c r="EX11" s="16">
        <v>14.574999999999999</v>
      </c>
      <c r="EY11" s="16">
        <v>0</v>
      </c>
      <c r="EZ11" s="11">
        <f t="shared" si="61"/>
        <v>13.6</v>
      </c>
      <c r="FA11" s="11">
        <f t="shared" si="62"/>
        <v>14.074999999999999</v>
      </c>
      <c r="FB11" s="11">
        <f t="shared" si="63"/>
        <v>50.575000000000003</v>
      </c>
      <c r="FC11" s="11">
        <f t="shared" si="64"/>
        <v>13.6</v>
      </c>
      <c r="FD11" s="11">
        <f t="shared" si="65"/>
        <v>14.185</v>
      </c>
      <c r="FE11" s="11">
        <f t="shared" si="66"/>
        <v>51.585000000000001</v>
      </c>
      <c r="FF11" s="11">
        <f t="shared" si="67"/>
        <v>51.585000000000001</v>
      </c>
      <c r="FG11" s="11" t="str">
        <f t="shared" si="68"/>
        <v/>
      </c>
      <c r="FH11" s="11" t="str">
        <f t="shared" si="69"/>
        <v/>
      </c>
      <c r="FI11" s="11" t="str">
        <f t="shared" si="70"/>
        <v/>
      </c>
      <c r="FJ11" s="11">
        <f t="shared" si="71"/>
        <v>13.6</v>
      </c>
      <c r="FK11" s="11">
        <f t="shared" si="72"/>
        <v>14.574999999999999</v>
      </c>
      <c r="FL11" s="11">
        <f t="shared" si="73"/>
        <v>51.174999999999997</v>
      </c>
      <c r="FM11" s="11">
        <f t="shared" si="74"/>
        <v>102.75999999999999</v>
      </c>
      <c r="FN11" s="15"/>
      <c r="FO11" s="15"/>
      <c r="FP11" s="15"/>
      <c r="FQ11" s="15"/>
      <c r="FR11" s="15"/>
      <c r="FS11" s="15"/>
      <c r="FT11" s="15"/>
      <c r="FU11" s="15"/>
      <c r="FV11" s="15"/>
      <c r="FW11" s="15"/>
      <c r="FX11" s="15"/>
      <c r="FY11" s="15"/>
      <c r="FZ11" s="15"/>
      <c r="GA11" s="15"/>
      <c r="GB11" s="15"/>
      <c r="GC11" s="15"/>
      <c r="GD11" s="15"/>
      <c r="GE11" s="15"/>
      <c r="GF11" s="15"/>
      <c r="GG11" s="15"/>
      <c r="GH11" s="36" t="str">
        <f t="shared" si="75"/>
        <v/>
      </c>
      <c r="GI11" s="36" t="str">
        <f t="shared" si="76"/>
        <v/>
      </c>
      <c r="GJ11" s="36" t="str">
        <f t="shared" si="77"/>
        <v/>
      </c>
      <c r="GK11" s="36" t="str">
        <f t="shared" si="78"/>
        <v/>
      </c>
      <c r="GL11" s="36" t="str">
        <f t="shared" si="79"/>
        <v/>
      </c>
      <c r="GM11" s="36" t="str">
        <f t="shared" si="80"/>
        <v/>
      </c>
      <c r="GN11" s="36" t="str">
        <f t="shared" si="81"/>
        <v/>
      </c>
      <c r="GO11" s="36" t="str">
        <f t="shared" si="82"/>
        <v/>
      </c>
      <c r="GP11" s="36" t="str">
        <f t="shared" si="83"/>
        <v/>
      </c>
      <c r="GQ11" s="36" t="str">
        <f t="shared" si="84"/>
        <v/>
      </c>
      <c r="GR11" s="36" t="str">
        <f t="shared" si="85"/>
        <v/>
      </c>
      <c r="GS11" s="36" t="str">
        <f t="shared" si="86"/>
        <v/>
      </c>
      <c r="GT11" s="36" t="str">
        <f t="shared" si="87"/>
        <v/>
      </c>
      <c r="GU11" s="36" t="str">
        <f t="shared" si="88"/>
        <v/>
      </c>
      <c r="GV11" s="16"/>
      <c r="GW11" s="16"/>
      <c r="GX11" s="16"/>
      <c r="GY11" s="16"/>
      <c r="GZ11" s="16"/>
      <c r="HA11" s="16"/>
      <c r="HB11" s="16"/>
      <c r="HC11" s="16"/>
      <c r="HD11" s="16"/>
      <c r="HE11" s="16"/>
      <c r="HF11" s="16"/>
      <c r="HG11" s="16"/>
      <c r="HH11" s="16"/>
      <c r="HI11" s="16"/>
      <c r="HJ11" s="16"/>
      <c r="HK11" s="16"/>
      <c r="HL11" s="16"/>
      <c r="HM11" s="16"/>
      <c r="HN11" s="16"/>
      <c r="HO11" s="16"/>
      <c r="HP11" s="11" t="str">
        <f t="shared" si="89"/>
        <v/>
      </c>
      <c r="HQ11" s="11" t="str">
        <f t="shared" si="90"/>
        <v/>
      </c>
      <c r="HR11" s="11" t="str">
        <f t="shared" si="91"/>
        <v/>
      </c>
      <c r="HS11" s="11" t="str">
        <f t="shared" si="92"/>
        <v/>
      </c>
      <c r="HT11" s="11" t="str">
        <f t="shared" si="93"/>
        <v/>
      </c>
      <c r="HU11" s="11" t="str">
        <f t="shared" si="94"/>
        <v/>
      </c>
      <c r="HV11" s="11" t="str">
        <f t="shared" si="95"/>
        <v/>
      </c>
      <c r="HW11" s="11" t="str">
        <f t="shared" si="96"/>
        <v/>
      </c>
      <c r="HX11" s="11" t="str">
        <f t="shared" si="97"/>
        <v/>
      </c>
      <c r="HY11" s="11" t="str">
        <f t="shared" si="98"/>
        <v/>
      </c>
      <c r="HZ11" s="11" t="str">
        <f t="shared" si="99"/>
        <v/>
      </c>
      <c r="IA11" s="11" t="str">
        <f t="shared" si="100"/>
        <v/>
      </c>
      <c r="IB11" s="11" t="str">
        <f t="shared" si="101"/>
        <v/>
      </c>
      <c r="IC11" s="11" t="str">
        <f t="shared" si="102"/>
        <v/>
      </c>
      <c r="ID11" s="15"/>
      <c r="IE11" s="15"/>
      <c r="IF11" s="15"/>
      <c r="IG11" s="15"/>
      <c r="IH11" s="15"/>
      <c r="II11" s="15"/>
      <c r="IJ11" s="15"/>
      <c r="IK11" s="15"/>
      <c r="IL11" s="15"/>
      <c r="IM11" s="15"/>
      <c r="IN11" s="15"/>
      <c r="IO11" s="15"/>
      <c r="IP11" s="15"/>
      <c r="IQ11" s="15"/>
      <c r="IR11" s="15"/>
      <c r="IS11" s="15"/>
      <c r="IT11" s="15"/>
      <c r="IU11" s="15"/>
      <c r="IV11" s="15"/>
      <c r="IW11" s="15"/>
      <c r="IX11" s="36" t="str">
        <f t="shared" si="103"/>
        <v/>
      </c>
      <c r="IY11" s="36" t="str">
        <f t="shared" si="104"/>
        <v/>
      </c>
      <c r="IZ11" s="36" t="str">
        <f t="shared" si="105"/>
        <v/>
      </c>
      <c r="JA11" s="36" t="str">
        <f t="shared" si="106"/>
        <v/>
      </c>
      <c r="JB11" s="36" t="str">
        <f t="shared" si="107"/>
        <v/>
      </c>
      <c r="JC11" s="36" t="str">
        <f t="shared" si="108"/>
        <v/>
      </c>
      <c r="JD11" s="36" t="str">
        <f t="shared" si="109"/>
        <v/>
      </c>
      <c r="JE11" s="36" t="str">
        <f t="shared" si="110"/>
        <v/>
      </c>
      <c r="JF11" s="36" t="str">
        <f t="shared" si="111"/>
        <v/>
      </c>
      <c r="JG11" s="36" t="str">
        <f t="shared" si="112"/>
        <v/>
      </c>
      <c r="JH11" s="36" t="str">
        <f t="shared" si="113"/>
        <v/>
      </c>
      <c r="JI11" s="36" t="str">
        <f t="shared" si="114"/>
        <v/>
      </c>
      <c r="JJ11" s="36" t="str">
        <f t="shared" si="115"/>
        <v/>
      </c>
      <c r="JK11" s="36" t="str">
        <f t="shared" si="116"/>
        <v/>
      </c>
      <c r="JL11" s="16"/>
      <c r="JM11" s="16"/>
      <c r="JN11" s="16"/>
      <c r="JO11" s="16"/>
      <c r="JP11" s="16"/>
      <c r="JQ11" s="16"/>
      <c r="JR11" s="16"/>
      <c r="JS11" s="16"/>
      <c r="JT11" s="16"/>
      <c r="JU11" s="16"/>
      <c r="JV11" s="16"/>
      <c r="JW11" s="16"/>
      <c r="JX11" s="16"/>
      <c r="JY11" s="16"/>
      <c r="JZ11" s="16"/>
      <c r="KA11" s="16"/>
      <c r="KB11" s="16"/>
      <c r="KC11" s="16"/>
      <c r="KD11" s="16"/>
      <c r="KE11" s="16"/>
      <c r="KF11" s="11" t="str">
        <f t="shared" si="117"/>
        <v/>
      </c>
      <c r="KG11" s="11" t="str">
        <f t="shared" si="118"/>
        <v/>
      </c>
      <c r="KH11" s="11" t="str">
        <f t="shared" si="119"/>
        <v/>
      </c>
      <c r="KI11" s="11" t="str">
        <f t="shared" si="120"/>
        <v/>
      </c>
      <c r="KJ11" s="11" t="str">
        <f t="shared" si="121"/>
        <v/>
      </c>
      <c r="KK11" s="11" t="str">
        <f t="shared" si="122"/>
        <v/>
      </c>
      <c r="KL11" s="11" t="str">
        <f t="shared" si="123"/>
        <v/>
      </c>
      <c r="KM11" s="11" t="str">
        <f t="shared" si="124"/>
        <v/>
      </c>
      <c r="KN11" s="11" t="str">
        <f t="shared" si="125"/>
        <v/>
      </c>
      <c r="KO11" s="11" t="str">
        <f t="shared" si="126"/>
        <v/>
      </c>
      <c r="KP11" s="11" t="str">
        <f t="shared" si="127"/>
        <v/>
      </c>
      <c r="KQ11" s="11" t="str">
        <f t="shared" si="128"/>
        <v/>
      </c>
      <c r="KR11" s="11" t="str">
        <f t="shared" si="129"/>
        <v/>
      </c>
      <c r="KS11" s="11" t="str">
        <f t="shared" si="130"/>
        <v/>
      </c>
      <c r="KT11" s="15"/>
      <c r="KU11" s="15"/>
      <c r="KV11" s="15"/>
      <c r="KW11" s="15"/>
      <c r="KX11" s="15"/>
      <c r="KY11" s="15"/>
      <c r="KZ11" s="15"/>
      <c r="LA11" s="15"/>
      <c r="LB11" s="15"/>
      <c r="LC11" s="15"/>
      <c r="LD11" s="15"/>
      <c r="LE11" s="15"/>
      <c r="LF11" s="15"/>
      <c r="LG11" s="15"/>
      <c r="LH11" s="15"/>
      <c r="LI11" s="15"/>
      <c r="LJ11" s="15"/>
      <c r="LK11" s="15"/>
      <c r="LL11" s="15"/>
      <c r="LM11" s="15"/>
      <c r="LN11" s="36" t="str">
        <f t="shared" si="131"/>
        <v/>
      </c>
      <c r="LO11" s="36" t="str">
        <f t="shared" si="132"/>
        <v/>
      </c>
      <c r="LP11" s="36" t="str">
        <f t="shared" si="133"/>
        <v/>
      </c>
      <c r="LQ11" s="36" t="str">
        <f t="shared" si="134"/>
        <v/>
      </c>
      <c r="LR11" s="36" t="str">
        <f t="shared" si="135"/>
        <v/>
      </c>
      <c r="LS11" s="36" t="str">
        <f t="shared" si="136"/>
        <v/>
      </c>
      <c r="LT11" s="36" t="str">
        <f t="shared" si="137"/>
        <v/>
      </c>
      <c r="LU11" s="36" t="str">
        <f t="shared" si="138"/>
        <v/>
      </c>
      <c r="LV11" s="36" t="str">
        <f t="shared" si="139"/>
        <v/>
      </c>
      <c r="LW11" s="36" t="str">
        <f t="shared" si="140"/>
        <v/>
      </c>
      <c r="LX11" s="36" t="str">
        <f t="shared" si="141"/>
        <v/>
      </c>
      <c r="LY11" s="36" t="str">
        <f t="shared" si="142"/>
        <v/>
      </c>
      <c r="LZ11" s="36" t="str">
        <f t="shared" si="143"/>
        <v/>
      </c>
      <c r="MA11" s="36" t="str">
        <f t="shared" si="144"/>
        <v/>
      </c>
      <c r="MB11" s="16"/>
      <c r="MC11" s="16"/>
      <c r="MD11" s="16"/>
      <c r="ME11" s="16"/>
      <c r="MF11" s="16"/>
      <c r="MG11" s="16"/>
      <c r="MH11" s="16"/>
      <c r="MI11" s="16"/>
      <c r="MJ11" s="16"/>
      <c r="MK11" s="16"/>
      <c r="ML11" s="16"/>
      <c r="MM11" s="16"/>
      <c r="MN11" s="16"/>
      <c r="MO11" s="16"/>
      <c r="MP11" s="16"/>
      <c r="MQ11" s="16"/>
      <c r="MR11" s="16"/>
      <c r="MS11" s="16"/>
      <c r="MT11" s="16"/>
      <c r="MU11" s="16"/>
      <c r="MV11" s="11" t="str">
        <f t="shared" si="145"/>
        <v/>
      </c>
      <c r="MW11" s="11" t="str">
        <f t="shared" si="146"/>
        <v/>
      </c>
      <c r="MX11" s="11" t="str">
        <f t="shared" si="147"/>
        <v/>
      </c>
      <c r="MY11" s="11" t="str">
        <f t="shared" si="148"/>
        <v/>
      </c>
      <c r="MZ11" s="11" t="str">
        <f t="shared" si="149"/>
        <v/>
      </c>
      <c r="NA11" s="11" t="str">
        <f t="shared" si="150"/>
        <v/>
      </c>
      <c r="NB11" s="11" t="str">
        <f t="shared" si="151"/>
        <v/>
      </c>
      <c r="NC11" s="11" t="str">
        <f t="shared" si="152"/>
        <v/>
      </c>
      <c r="ND11" s="11" t="str">
        <f t="shared" si="153"/>
        <v/>
      </c>
      <c r="NE11" s="11" t="str">
        <f t="shared" si="154"/>
        <v/>
      </c>
      <c r="NF11" s="11" t="str">
        <f t="shared" si="155"/>
        <v/>
      </c>
      <c r="NG11" s="11" t="str">
        <f t="shared" si="156"/>
        <v/>
      </c>
      <c r="NH11" s="11" t="str">
        <f t="shared" si="157"/>
        <v/>
      </c>
      <c r="NI11" s="11" t="str">
        <f t="shared" si="158"/>
        <v/>
      </c>
      <c r="NJ11" s="15"/>
      <c r="NK11" s="15"/>
      <c r="NL11" s="15"/>
      <c r="NM11" s="15"/>
      <c r="NN11" s="15"/>
      <c r="NO11" s="15"/>
      <c r="NP11" s="15"/>
      <c r="NQ11" s="15"/>
      <c r="NR11" s="15"/>
      <c r="NS11" s="15"/>
      <c r="NT11" s="15"/>
      <c r="NU11" s="15"/>
      <c r="NV11" s="15"/>
      <c r="NW11" s="15"/>
      <c r="NX11" s="15"/>
      <c r="NY11" s="15"/>
      <c r="NZ11" s="15"/>
      <c r="OA11" s="15"/>
      <c r="OB11" s="15"/>
      <c r="OC11" s="15"/>
      <c r="OD11" s="36" t="str">
        <f t="shared" si="159"/>
        <v/>
      </c>
      <c r="OE11" s="36" t="str">
        <f t="shared" si="160"/>
        <v/>
      </c>
      <c r="OF11" s="36" t="str">
        <f t="shared" si="161"/>
        <v/>
      </c>
      <c r="OG11" s="36" t="str">
        <f t="shared" si="162"/>
        <v/>
      </c>
      <c r="OH11" s="36" t="str">
        <f t="shared" si="163"/>
        <v/>
      </c>
      <c r="OI11" s="36" t="str">
        <f t="shared" si="164"/>
        <v/>
      </c>
      <c r="OJ11" s="36" t="str">
        <f t="shared" si="165"/>
        <v/>
      </c>
      <c r="OK11" s="36" t="str">
        <f t="shared" si="166"/>
        <v/>
      </c>
      <c r="OL11" s="36" t="str">
        <f t="shared" si="167"/>
        <v/>
      </c>
      <c r="OM11" s="36" t="str">
        <f t="shared" si="168"/>
        <v/>
      </c>
      <c r="ON11" s="36" t="str">
        <f t="shared" si="169"/>
        <v/>
      </c>
      <c r="OO11" s="36" t="str">
        <f t="shared" si="170"/>
        <v/>
      </c>
      <c r="OP11" s="36" t="str">
        <f t="shared" si="171"/>
        <v/>
      </c>
      <c r="OQ11" s="36" t="str">
        <f t="shared" si="172"/>
        <v/>
      </c>
      <c r="OR11" s="16"/>
      <c r="OS11" s="16"/>
      <c r="OT11" s="16"/>
      <c r="OU11" s="16"/>
      <c r="OV11" s="16"/>
      <c r="OW11" s="16"/>
      <c r="OX11" s="16"/>
      <c r="OY11" s="16"/>
      <c r="OZ11" s="16"/>
      <c r="PA11" s="16"/>
      <c r="PB11" s="16"/>
      <c r="PC11" s="16"/>
      <c r="PD11" s="16"/>
      <c r="PE11" s="16"/>
      <c r="PF11" s="16"/>
      <c r="PG11" s="16"/>
      <c r="PH11" s="16"/>
      <c r="PI11" s="16"/>
      <c r="PJ11" s="16"/>
      <c r="PK11" s="16"/>
      <c r="PL11" s="11" t="str">
        <f t="shared" si="173"/>
        <v/>
      </c>
      <c r="PM11" s="11" t="str">
        <f t="shared" si="174"/>
        <v/>
      </c>
      <c r="PN11" s="11" t="str">
        <f t="shared" si="175"/>
        <v/>
      </c>
      <c r="PO11" s="11" t="str">
        <f t="shared" si="176"/>
        <v/>
      </c>
      <c r="PP11" s="11" t="str">
        <f t="shared" si="177"/>
        <v/>
      </c>
      <c r="PQ11" s="11" t="str">
        <f t="shared" si="178"/>
        <v/>
      </c>
      <c r="PR11" s="11" t="str">
        <f t="shared" si="179"/>
        <v/>
      </c>
      <c r="PS11" s="11" t="str">
        <f t="shared" si="180"/>
        <v/>
      </c>
      <c r="PT11" s="11" t="str">
        <f t="shared" si="181"/>
        <v/>
      </c>
      <c r="PU11" s="11" t="str">
        <f t="shared" si="182"/>
        <v/>
      </c>
      <c r="PV11" s="11" t="str">
        <f t="shared" si="183"/>
        <v/>
      </c>
      <c r="PW11" s="11" t="str">
        <f t="shared" si="184"/>
        <v/>
      </c>
      <c r="PX11" s="11" t="str">
        <f t="shared" si="185"/>
        <v/>
      </c>
      <c r="PY11" s="11" t="str">
        <f t="shared" si="186"/>
        <v/>
      </c>
      <c r="PZ11" s="15"/>
      <c r="QA11" s="15"/>
      <c r="QB11" s="15"/>
      <c r="QC11" s="15"/>
      <c r="QD11" s="15"/>
      <c r="QE11" s="15"/>
      <c r="QF11" s="15"/>
      <c r="QG11" s="15"/>
      <c r="QH11" s="15"/>
      <c r="QI11" s="15"/>
      <c r="QJ11" s="15"/>
      <c r="QK11" s="15"/>
      <c r="QL11" s="15"/>
      <c r="QM11" s="15"/>
      <c r="QN11" s="15"/>
      <c r="QO11" s="15"/>
      <c r="QP11" s="15"/>
      <c r="QQ11" s="15"/>
      <c r="QR11" s="15"/>
      <c r="QS11" s="15"/>
      <c r="QT11" s="36" t="str">
        <f t="shared" si="187"/>
        <v/>
      </c>
      <c r="QU11" s="36" t="str">
        <f t="shared" si="188"/>
        <v/>
      </c>
      <c r="QV11" s="36" t="str">
        <f t="shared" si="189"/>
        <v/>
      </c>
      <c r="QW11" s="36" t="str">
        <f t="shared" si="190"/>
        <v/>
      </c>
      <c r="QX11" s="36" t="str">
        <f t="shared" si="191"/>
        <v/>
      </c>
      <c r="QY11" s="36" t="str">
        <f t="shared" si="192"/>
        <v/>
      </c>
      <c r="QZ11" s="36" t="str">
        <f t="shared" si="193"/>
        <v/>
      </c>
      <c r="RA11" s="36" t="str">
        <f t="shared" si="194"/>
        <v/>
      </c>
      <c r="RB11" s="36" t="str">
        <f t="shared" si="195"/>
        <v/>
      </c>
      <c r="RC11" s="36" t="str">
        <f t="shared" si="196"/>
        <v/>
      </c>
      <c r="RD11" s="36" t="str">
        <f t="shared" si="197"/>
        <v/>
      </c>
      <c r="RE11" s="36" t="str">
        <f t="shared" si="198"/>
        <v/>
      </c>
      <c r="RF11" s="36" t="str">
        <f t="shared" si="199"/>
        <v/>
      </c>
      <c r="RG11" s="36" t="str">
        <f t="shared" si="200"/>
        <v/>
      </c>
      <c r="RH11" s="16"/>
      <c r="RI11" s="16"/>
      <c r="RJ11" s="16"/>
      <c r="RK11" s="16"/>
      <c r="RL11" s="16"/>
      <c r="RM11" s="16"/>
      <c r="RN11" s="16"/>
      <c r="RO11" s="16"/>
      <c r="RP11" s="16"/>
      <c r="RQ11" s="16"/>
      <c r="RR11" s="16"/>
      <c r="RS11" s="16"/>
      <c r="RT11" s="16"/>
      <c r="RU11" s="16"/>
      <c r="RV11" s="16"/>
      <c r="RW11" s="16"/>
      <c r="RX11" s="16"/>
      <c r="RY11" s="16"/>
      <c r="RZ11" s="16"/>
      <c r="SA11" s="16"/>
      <c r="SB11" s="11" t="str">
        <f t="shared" si="201"/>
        <v/>
      </c>
      <c r="SC11" s="11" t="str">
        <f t="shared" si="202"/>
        <v/>
      </c>
      <c r="SD11" s="11" t="str">
        <f t="shared" si="203"/>
        <v/>
      </c>
      <c r="SE11" s="11" t="str">
        <f t="shared" si="204"/>
        <v/>
      </c>
      <c r="SF11" s="11" t="str">
        <f t="shared" si="205"/>
        <v/>
      </c>
      <c r="SG11" s="11" t="str">
        <f t="shared" si="206"/>
        <v/>
      </c>
      <c r="SH11" s="11" t="str">
        <f t="shared" si="207"/>
        <v/>
      </c>
      <c r="SI11" s="11" t="str">
        <f t="shared" si="208"/>
        <v/>
      </c>
      <c r="SJ11" s="11" t="str">
        <f t="shared" si="209"/>
        <v/>
      </c>
      <c r="SK11" s="11" t="str">
        <f t="shared" si="210"/>
        <v/>
      </c>
      <c r="SL11" s="11" t="str">
        <f t="shared" si="211"/>
        <v/>
      </c>
      <c r="SM11" s="11" t="str">
        <f t="shared" si="212"/>
        <v/>
      </c>
      <c r="SN11" s="11" t="str">
        <f t="shared" si="213"/>
        <v/>
      </c>
      <c r="SO11" s="11" t="str">
        <f t="shared" si="214"/>
        <v/>
      </c>
      <c r="SP11" s="15"/>
      <c r="SQ11" s="15"/>
      <c r="SR11" s="15"/>
      <c r="SS11" s="15"/>
      <c r="ST11" s="15"/>
      <c r="SU11" s="15"/>
      <c r="SV11" s="15"/>
      <c r="SW11" s="15"/>
      <c r="SX11" s="15"/>
      <c r="SY11" s="15"/>
      <c r="SZ11" s="15"/>
      <c r="TA11" s="15"/>
      <c r="TB11" s="15"/>
      <c r="TC11" s="15"/>
      <c r="TD11" s="15"/>
      <c r="TE11" s="15"/>
      <c r="TF11" s="15"/>
      <c r="TG11" s="15"/>
      <c r="TH11" s="15"/>
      <c r="TI11" s="15"/>
      <c r="TJ11" s="36" t="str">
        <f t="shared" si="215"/>
        <v/>
      </c>
      <c r="TK11" s="36" t="str">
        <f t="shared" si="216"/>
        <v/>
      </c>
      <c r="TL11" s="36" t="str">
        <f t="shared" si="217"/>
        <v/>
      </c>
      <c r="TM11" s="36" t="str">
        <f t="shared" si="218"/>
        <v/>
      </c>
      <c r="TN11" s="36" t="str">
        <f t="shared" si="219"/>
        <v/>
      </c>
      <c r="TO11" s="36" t="str">
        <f t="shared" si="220"/>
        <v/>
      </c>
      <c r="TP11" s="36" t="str">
        <f t="shared" si="221"/>
        <v/>
      </c>
      <c r="TQ11" s="36" t="str">
        <f t="shared" si="222"/>
        <v/>
      </c>
      <c r="TR11" s="36" t="str">
        <f t="shared" si="223"/>
        <v/>
      </c>
      <c r="TS11" s="36" t="str">
        <f t="shared" si="224"/>
        <v/>
      </c>
      <c r="TT11" s="36" t="str">
        <f t="shared" si="225"/>
        <v/>
      </c>
      <c r="TU11" s="36" t="str">
        <f t="shared" si="226"/>
        <v/>
      </c>
      <c r="TV11" s="36" t="str">
        <f t="shared" si="227"/>
        <v/>
      </c>
      <c r="TW11" s="36" t="str">
        <f t="shared" si="228"/>
        <v/>
      </c>
      <c r="TX11" s="16"/>
      <c r="TY11" s="16"/>
      <c r="TZ11" s="16"/>
      <c r="UA11" s="16"/>
      <c r="UB11" s="16"/>
      <c r="UC11" s="16"/>
      <c r="UD11" s="16"/>
      <c r="UE11" s="16"/>
      <c r="UF11" s="16"/>
      <c r="UG11" s="16"/>
      <c r="UH11" s="16"/>
      <c r="UI11" s="16"/>
      <c r="UJ11" s="16"/>
      <c r="UK11" s="16"/>
      <c r="UL11" s="16"/>
      <c r="UM11" s="16"/>
      <c r="UN11" s="16"/>
      <c r="UO11" s="16"/>
      <c r="UP11" s="16"/>
      <c r="UQ11" s="16"/>
      <c r="UR11" s="11" t="str">
        <f t="shared" si="229"/>
        <v/>
      </c>
      <c r="US11" s="11" t="str">
        <f t="shared" si="230"/>
        <v/>
      </c>
      <c r="UT11" s="11" t="str">
        <f t="shared" si="231"/>
        <v/>
      </c>
      <c r="UU11" s="11" t="str">
        <f t="shared" si="232"/>
        <v/>
      </c>
      <c r="UV11" s="11" t="str">
        <f t="shared" si="233"/>
        <v/>
      </c>
      <c r="UW11" s="11" t="str">
        <f t="shared" si="234"/>
        <v/>
      </c>
      <c r="UX11" s="11" t="str">
        <f t="shared" si="235"/>
        <v/>
      </c>
      <c r="UY11" s="11" t="str">
        <f t="shared" si="236"/>
        <v/>
      </c>
      <c r="UZ11" s="11" t="str">
        <f t="shared" si="237"/>
        <v/>
      </c>
      <c r="VA11" s="11" t="str">
        <f t="shared" si="238"/>
        <v/>
      </c>
      <c r="VB11" s="11" t="str">
        <f t="shared" si="239"/>
        <v/>
      </c>
      <c r="VC11" s="11" t="str">
        <f t="shared" si="240"/>
        <v/>
      </c>
      <c r="VD11" s="11" t="str">
        <f t="shared" si="241"/>
        <v/>
      </c>
      <c r="VE11" s="11" t="str">
        <f t="shared" si="242"/>
        <v/>
      </c>
      <c r="VF11" s="15"/>
      <c r="VG11" s="15"/>
      <c r="VH11" s="15"/>
      <c r="VI11" s="15"/>
      <c r="VJ11" s="15"/>
      <c r="VK11" s="15"/>
      <c r="VL11" s="15"/>
      <c r="VM11" s="15"/>
      <c r="VN11" s="15"/>
      <c r="VO11" s="15"/>
      <c r="VP11" s="15"/>
      <c r="VQ11" s="15"/>
      <c r="VR11" s="15"/>
      <c r="VS11" s="15"/>
      <c r="VT11" s="15"/>
      <c r="VU11" s="15"/>
      <c r="VV11" s="15"/>
      <c r="VW11" s="15"/>
      <c r="VX11" s="15"/>
      <c r="VY11" s="15"/>
      <c r="VZ11" s="36" t="str">
        <f t="shared" si="243"/>
        <v/>
      </c>
      <c r="WA11" s="36" t="str">
        <f t="shared" si="244"/>
        <v/>
      </c>
      <c r="WB11" s="36" t="str">
        <f t="shared" si="245"/>
        <v/>
      </c>
      <c r="WC11" s="36" t="str">
        <f t="shared" si="246"/>
        <v/>
      </c>
      <c r="WD11" s="36" t="str">
        <f t="shared" si="247"/>
        <v/>
      </c>
      <c r="WE11" s="36" t="str">
        <f t="shared" si="248"/>
        <v/>
      </c>
      <c r="WF11" s="36" t="str">
        <f t="shared" si="249"/>
        <v/>
      </c>
      <c r="WG11" s="36" t="str">
        <f t="shared" si="250"/>
        <v/>
      </c>
      <c r="WH11" s="36" t="str">
        <f t="shared" si="251"/>
        <v/>
      </c>
      <c r="WI11" s="36" t="str">
        <f t="shared" si="252"/>
        <v/>
      </c>
      <c r="WJ11" s="36" t="str">
        <f t="shared" si="253"/>
        <v/>
      </c>
      <c r="WK11" s="36" t="str">
        <f t="shared" si="254"/>
        <v/>
      </c>
      <c r="WL11" s="36" t="str">
        <f t="shared" si="255"/>
        <v/>
      </c>
      <c r="WM11" s="36" t="str">
        <f t="shared" si="256"/>
        <v/>
      </c>
    </row>
    <row r="12" spans="1:611" x14ac:dyDescent="0.2">
      <c r="A12" s="4" cm="1">
        <f t="array" ref="A12">IF(AND(H12&lt;&gt;"",H12&lt;&gt;"No DD"),SUMPRODUCT((H$4:H$15&lt;&gt;"")*(H$4:H$15&lt;&gt;"No DD")*(E$4:E$15&gt;E12))+1,IF(H12="No DD",SUMPRODUCT((H$4:H$15="No DD")*(E$4:E$15&gt;E12))+1+SUMPRODUCT((H$4:H$15&lt;&gt;"")*(H$4:H$15&lt;&gt;"No DD")),""))</f>
        <v>9</v>
      </c>
      <c r="B12" s="5" t="s">
        <v>87</v>
      </c>
      <c r="C12" s="4" t="s">
        <v>3</v>
      </c>
      <c r="D12" s="4">
        <v>2006</v>
      </c>
      <c r="E12" s="9">
        <f t="shared" si="0"/>
        <v>151.64001516400518</v>
      </c>
      <c r="F12" s="3" t="str">
        <f t="shared" si="1"/>
        <v>P</v>
      </c>
      <c r="G12" s="3" t="str">
        <f t="shared" si="2"/>
        <v>P</v>
      </c>
      <c r="H12" s="32" t="str">
        <f t="shared" si="3"/>
        <v>National Team</v>
      </c>
      <c r="I12" s="3" t="str">
        <f t="shared" si="4"/>
        <v/>
      </c>
      <c r="J12" s="8">
        <f t="shared" si="5"/>
        <v>51.89</v>
      </c>
      <c r="K12" s="8" t="str">
        <f t="shared" si="6"/>
        <v>2025 3rd Domestic Trial</v>
      </c>
      <c r="L12" s="8">
        <f>IFERROR(IF(J12=AR12,LARGE((AK12,AN12,BL12,BO12,BS12,CM12,CP12,CT12),1),IF(J12=BS12,LARGE((AK12,AN12,AR12,BL12,BO12,CM12,CP12,CT12),1),LARGE((AK12,AN12,AR12,BL12,BO12,BS12,CM12,CP12),1))),0)</f>
        <v>50.180000000000007</v>
      </c>
      <c r="M12" s="8" t="str">
        <f t="shared" si="7"/>
        <v>2025 Nationals</v>
      </c>
      <c r="N12" s="8">
        <f>IFERROR(IF(J12=AR12,LARGE((AK12,AN12,BL12,BO12,BS12,CM12,CP12,CT12),2),IF(J12=BS12,LARGE((AK12,AN12,AR12,BL12,BO12,CM12,CP12,CT12),2),LARGE((AK12,AN12,AR12,BL12,BO12,BS12,CM12,CP12),2))),0)</f>
        <v>49.569999999999993</v>
      </c>
      <c r="O12" s="8" t="str">
        <f t="shared" si="8"/>
        <v>2025 3rd Domestic Trial</v>
      </c>
      <c r="P12" s="8">
        <f t="shared" si="9"/>
        <v>0</v>
      </c>
      <c r="Q12" s="11" t="str">
        <f t="shared" si="10"/>
        <v/>
      </c>
      <c r="R12" s="8" t="str">
        <f t="shared" si="11"/>
        <v/>
      </c>
      <c r="S12" s="18">
        <v>13.55</v>
      </c>
      <c r="T12" s="18">
        <v>9.3000000000000007</v>
      </c>
      <c r="U12" s="18">
        <v>11.7</v>
      </c>
      <c r="V12" s="18">
        <v>13.84</v>
      </c>
      <c r="W12" s="18">
        <v>0</v>
      </c>
      <c r="X12" s="18">
        <v>8.4</v>
      </c>
      <c r="Y12" s="18">
        <v>5.1999999999999993</v>
      </c>
      <c r="Z12" s="18">
        <v>7.2</v>
      </c>
      <c r="AA12" s="18">
        <v>8.26</v>
      </c>
      <c r="AB12" s="18">
        <v>0</v>
      </c>
      <c r="AC12" s="18">
        <v>11.8</v>
      </c>
      <c r="AD12" s="18">
        <v>8.85</v>
      </c>
      <c r="AE12" s="18">
        <v>12</v>
      </c>
      <c r="AF12" s="18">
        <v>14.02</v>
      </c>
      <c r="AG12" s="18">
        <v>0.1</v>
      </c>
      <c r="AH12" s="23" t="s">
        <v>42</v>
      </c>
      <c r="AI12" s="34">
        <f t="shared" si="12"/>
        <v>11.7</v>
      </c>
      <c r="AJ12" s="34">
        <f t="shared" si="13"/>
        <v>13.84</v>
      </c>
      <c r="AK12" s="36">
        <f t="shared" si="14"/>
        <v>48.39</v>
      </c>
      <c r="AL12" s="36">
        <f t="shared" si="15"/>
        <v>7.2</v>
      </c>
      <c r="AM12" s="36">
        <f t="shared" si="16"/>
        <v>8.26</v>
      </c>
      <c r="AN12" s="36">
        <f t="shared" si="17"/>
        <v>29.060000000000002</v>
      </c>
      <c r="AO12" s="36">
        <f t="shared" si="18"/>
        <v>48.39</v>
      </c>
      <c r="AP12" s="36">
        <f t="shared" si="19"/>
        <v>12</v>
      </c>
      <c r="AQ12" s="36">
        <f t="shared" si="20"/>
        <v>14.02</v>
      </c>
      <c r="AR12" s="36">
        <f t="shared" si="21"/>
        <v>46.57</v>
      </c>
      <c r="AS12" s="36">
        <f t="shared" si="22"/>
        <v>94.960000000000008</v>
      </c>
      <c r="AT12" s="22">
        <v>14.4</v>
      </c>
      <c r="AU12" s="22">
        <v>9.3000000000000007</v>
      </c>
      <c r="AV12" s="22">
        <v>12.7</v>
      </c>
      <c r="AW12" s="22">
        <v>13.78</v>
      </c>
      <c r="AX12" s="22">
        <v>0</v>
      </c>
      <c r="AY12" s="22">
        <v>2.9</v>
      </c>
      <c r="AZ12" s="22">
        <v>1.8</v>
      </c>
      <c r="BA12" s="22">
        <v>3</v>
      </c>
      <c r="BB12" s="22">
        <v>3</v>
      </c>
      <c r="BC12" s="22">
        <v>0</v>
      </c>
      <c r="BD12" s="22">
        <v>12.8</v>
      </c>
      <c r="BE12" s="22">
        <v>9.1999999999999993</v>
      </c>
      <c r="BF12" s="22">
        <v>12.5</v>
      </c>
      <c r="BG12" s="22">
        <v>14.4</v>
      </c>
      <c r="BH12" s="22">
        <v>0.2</v>
      </c>
      <c r="BI12" s="24"/>
      <c r="BJ12" s="35">
        <f t="shared" si="23"/>
        <v>12.7</v>
      </c>
      <c r="BK12" s="35">
        <f t="shared" si="24"/>
        <v>13.78</v>
      </c>
      <c r="BL12" s="11">
        <f t="shared" si="25"/>
        <v>50.180000000000007</v>
      </c>
      <c r="BM12" s="11">
        <f t="shared" si="26"/>
        <v>3</v>
      </c>
      <c r="BN12" s="11">
        <f t="shared" si="27"/>
        <v>3</v>
      </c>
      <c r="BO12" s="11">
        <f t="shared" si="28"/>
        <v>10.7</v>
      </c>
      <c r="BP12" s="11">
        <f t="shared" si="29"/>
        <v>50.180000000000007</v>
      </c>
      <c r="BQ12" s="11">
        <f t="shared" si="30"/>
        <v>12.5</v>
      </c>
      <c r="BR12" s="11">
        <f t="shared" si="31"/>
        <v>14.4</v>
      </c>
      <c r="BS12" s="11">
        <f t="shared" si="32"/>
        <v>48.699999999999996</v>
      </c>
      <c r="BT12" s="11">
        <f t="shared" si="33"/>
        <v>98.88</v>
      </c>
      <c r="BU12" s="18">
        <v>11.9</v>
      </c>
      <c r="BV12" s="18">
        <v>9.1</v>
      </c>
      <c r="BW12" s="18">
        <v>13.8</v>
      </c>
      <c r="BX12" s="18">
        <v>14.77</v>
      </c>
      <c r="BY12" s="18">
        <v>0</v>
      </c>
      <c r="BZ12" s="18">
        <v>6.1</v>
      </c>
      <c r="CA12" s="18">
        <v>4.5999999999999996</v>
      </c>
      <c r="CB12" s="18">
        <v>7.1</v>
      </c>
      <c r="CC12" s="18">
        <v>6.38</v>
      </c>
      <c r="CD12" s="18">
        <v>0</v>
      </c>
      <c r="CE12" s="18">
        <v>13.8</v>
      </c>
      <c r="CF12" s="18">
        <v>9.4</v>
      </c>
      <c r="CG12" s="18">
        <v>13.8</v>
      </c>
      <c r="CH12" s="18">
        <v>14.89</v>
      </c>
      <c r="CI12" s="18">
        <v>0</v>
      </c>
      <c r="CJ12" s="23"/>
      <c r="CK12" s="34">
        <f t="shared" si="34"/>
        <v>13.8</v>
      </c>
      <c r="CL12" s="34">
        <f t="shared" si="35"/>
        <v>14.77</v>
      </c>
      <c r="CM12" s="36">
        <f t="shared" si="36"/>
        <v>49.569999999999993</v>
      </c>
      <c r="CN12" s="36">
        <f t="shared" si="37"/>
        <v>7.1</v>
      </c>
      <c r="CO12" s="36">
        <f t="shared" si="38"/>
        <v>6.38</v>
      </c>
      <c r="CP12" s="36">
        <f t="shared" si="39"/>
        <v>24.179999999999996</v>
      </c>
      <c r="CQ12" s="36">
        <f t="shared" si="40"/>
        <v>49.569999999999993</v>
      </c>
      <c r="CR12" s="36">
        <f t="shared" si="41"/>
        <v>13.8</v>
      </c>
      <c r="CS12" s="36">
        <f t="shared" si="42"/>
        <v>14.89</v>
      </c>
      <c r="CT12" s="36">
        <f t="shared" si="43"/>
        <v>51.89</v>
      </c>
      <c r="CU12" s="36">
        <f t="shared" si="44"/>
        <v>101.46</v>
      </c>
      <c r="CV12" s="47" t="str">
        <f t="shared" si="45"/>
        <v/>
      </c>
      <c r="CW12" s="47" t="str">
        <f t="shared" si="46"/>
        <v/>
      </c>
      <c r="CX12" s="15"/>
      <c r="CY12" s="15"/>
      <c r="CZ12" s="15"/>
      <c r="DA12" s="15"/>
      <c r="DB12" s="15"/>
      <c r="DC12" s="15"/>
      <c r="DD12" s="15"/>
      <c r="DE12" s="15"/>
      <c r="DF12" s="15"/>
      <c r="DG12" s="15"/>
      <c r="DH12" s="15"/>
      <c r="DI12" s="15"/>
      <c r="DJ12" s="15"/>
      <c r="DK12" s="15"/>
      <c r="DL12" s="15"/>
      <c r="DM12" s="15"/>
      <c r="DN12" s="15"/>
      <c r="DO12" s="15"/>
      <c r="DP12" s="15"/>
      <c r="DQ12" s="15"/>
      <c r="DR12" s="36" t="str">
        <f t="shared" si="47"/>
        <v/>
      </c>
      <c r="DS12" s="36" t="str">
        <f t="shared" si="48"/>
        <v/>
      </c>
      <c r="DT12" s="36" t="str">
        <f t="shared" si="49"/>
        <v/>
      </c>
      <c r="DU12" s="36" t="str">
        <f t="shared" si="50"/>
        <v/>
      </c>
      <c r="DV12" s="36" t="str">
        <f t="shared" si="51"/>
        <v/>
      </c>
      <c r="DW12" s="36" t="str">
        <f t="shared" si="52"/>
        <v/>
      </c>
      <c r="DX12" s="36" t="str">
        <f t="shared" si="53"/>
        <v/>
      </c>
      <c r="DY12" s="36" t="str">
        <f t="shared" si="54"/>
        <v/>
      </c>
      <c r="DZ12" s="36" t="str">
        <f t="shared" si="55"/>
        <v/>
      </c>
      <c r="EA12" s="36" t="str">
        <f t="shared" si="56"/>
        <v/>
      </c>
      <c r="EB12" s="36" t="str">
        <f t="shared" si="57"/>
        <v/>
      </c>
      <c r="EC12" s="36" t="str">
        <f t="shared" si="58"/>
        <v/>
      </c>
      <c r="ED12" s="36" t="str">
        <f t="shared" si="59"/>
        <v/>
      </c>
      <c r="EE12" s="36" t="str">
        <f t="shared" si="60"/>
        <v/>
      </c>
      <c r="EF12" s="16"/>
      <c r="EG12" s="16"/>
      <c r="EH12" s="16"/>
      <c r="EI12" s="16"/>
      <c r="EJ12" s="16"/>
      <c r="EK12" s="16"/>
      <c r="EL12" s="16"/>
      <c r="EM12" s="16"/>
      <c r="EN12" s="16"/>
      <c r="EO12" s="16"/>
      <c r="EP12" s="16"/>
      <c r="EQ12" s="16"/>
      <c r="ER12" s="16"/>
      <c r="ES12" s="16"/>
      <c r="ET12" s="16"/>
      <c r="EU12" s="16"/>
      <c r="EV12" s="16"/>
      <c r="EW12" s="16"/>
      <c r="EX12" s="16"/>
      <c r="EY12" s="16"/>
      <c r="EZ12" s="11" t="str">
        <f t="shared" si="61"/>
        <v/>
      </c>
      <c r="FA12" s="11" t="str">
        <f t="shared" si="62"/>
        <v/>
      </c>
      <c r="FB12" s="11" t="str">
        <f t="shared" si="63"/>
        <v/>
      </c>
      <c r="FC12" s="11" t="str">
        <f t="shared" si="64"/>
        <v/>
      </c>
      <c r="FD12" s="11" t="str">
        <f t="shared" si="65"/>
        <v/>
      </c>
      <c r="FE12" s="11" t="str">
        <f t="shared" si="66"/>
        <v/>
      </c>
      <c r="FF12" s="11" t="str">
        <f t="shared" si="67"/>
        <v/>
      </c>
      <c r="FG12" s="11" t="str">
        <f t="shared" si="68"/>
        <v/>
      </c>
      <c r="FH12" s="11" t="str">
        <f t="shared" si="69"/>
        <v/>
      </c>
      <c r="FI12" s="11" t="str">
        <f t="shared" si="70"/>
        <v/>
      </c>
      <c r="FJ12" s="11" t="str">
        <f t="shared" si="71"/>
        <v/>
      </c>
      <c r="FK12" s="11" t="str">
        <f t="shared" si="72"/>
        <v/>
      </c>
      <c r="FL12" s="11" t="str">
        <f t="shared" si="73"/>
        <v/>
      </c>
      <c r="FM12" s="11" t="str">
        <f t="shared" si="74"/>
        <v/>
      </c>
      <c r="FN12" s="15"/>
      <c r="FO12" s="15"/>
      <c r="FP12" s="15"/>
      <c r="FQ12" s="15"/>
      <c r="FR12" s="15"/>
      <c r="FS12" s="15"/>
      <c r="FT12" s="15"/>
      <c r="FU12" s="15"/>
      <c r="FV12" s="15"/>
      <c r="FW12" s="15"/>
      <c r="FX12" s="15"/>
      <c r="FY12" s="15"/>
      <c r="FZ12" s="15"/>
      <c r="GA12" s="15"/>
      <c r="GB12" s="15"/>
      <c r="GC12" s="15"/>
      <c r="GD12" s="15"/>
      <c r="GE12" s="15"/>
      <c r="GF12" s="15"/>
      <c r="GG12" s="15"/>
      <c r="GH12" s="36" t="str">
        <f t="shared" si="75"/>
        <v/>
      </c>
      <c r="GI12" s="36" t="str">
        <f t="shared" si="76"/>
        <v/>
      </c>
      <c r="GJ12" s="36" t="str">
        <f t="shared" si="77"/>
        <v/>
      </c>
      <c r="GK12" s="36" t="str">
        <f t="shared" si="78"/>
        <v/>
      </c>
      <c r="GL12" s="36" t="str">
        <f t="shared" si="79"/>
        <v/>
      </c>
      <c r="GM12" s="36" t="str">
        <f t="shared" si="80"/>
        <v/>
      </c>
      <c r="GN12" s="36" t="str">
        <f t="shared" si="81"/>
        <v/>
      </c>
      <c r="GO12" s="36" t="str">
        <f t="shared" si="82"/>
        <v/>
      </c>
      <c r="GP12" s="36" t="str">
        <f t="shared" si="83"/>
        <v/>
      </c>
      <c r="GQ12" s="36" t="str">
        <f t="shared" si="84"/>
        <v/>
      </c>
      <c r="GR12" s="36" t="str">
        <f t="shared" si="85"/>
        <v/>
      </c>
      <c r="GS12" s="36" t="str">
        <f t="shared" si="86"/>
        <v/>
      </c>
      <c r="GT12" s="36" t="str">
        <f t="shared" si="87"/>
        <v/>
      </c>
      <c r="GU12" s="36" t="str">
        <f t="shared" si="88"/>
        <v/>
      </c>
      <c r="GV12" s="16">
        <v>13.7</v>
      </c>
      <c r="GW12" s="16">
        <v>9</v>
      </c>
      <c r="GX12" s="16">
        <v>12.7</v>
      </c>
      <c r="GY12" s="16">
        <v>13.87</v>
      </c>
      <c r="GZ12" s="16">
        <v>0</v>
      </c>
      <c r="HA12" s="16">
        <v>11.7</v>
      </c>
      <c r="HB12" s="16">
        <v>7.2</v>
      </c>
      <c r="HC12" s="16">
        <v>8.3000000000000007</v>
      </c>
      <c r="HD12" s="16">
        <v>11.08</v>
      </c>
      <c r="HE12" s="16">
        <v>0.2</v>
      </c>
      <c r="HF12" s="16">
        <v>13.3</v>
      </c>
      <c r="HG12" s="16">
        <v>9.1</v>
      </c>
      <c r="HH12" s="16">
        <v>12.7</v>
      </c>
      <c r="HI12" s="16">
        <v>13.85</v>
      </c>
      <c r="HJ12" s="16">
        <v>0</v>
      </c>
      <c r="HK12" s="16"/>
      <c r="HL12" s="16"/>
      <c r="HM12" s="16"/>
      <c r="HN12" s="16"/>
      <c r="HO12" s="16"/>
      <c r="HP12" s="11">
        <f t="shared" si="89"/>
        <v>12.7</v>
      </c>
      <c r="HQ12" s="11">
        <f t="shared" si="90"/>
        <v>13.87</v>
      </c>
      <c r="HR12" s="11">
        <f t="shared" si="91"/>
        <v>49.269999999999996</v>
      </c>
      <c r="HS12" s="11">
        <f t="shared" si="92"/>
        <v>8.3000000000000007</v>
      </c>
      <c r="HT12" s="11">
        <f t="shared" si="93"/>
        <v>11.08</v>
      </c>
      <c r="HU12" s="11">
        <f t="shared" si="94"/>
        <v>38.08</v>
      </c>
      <c r="HV12" s="11">
        <f t="shared" si="95"/>
        <v>49.269999999999996</v>
      </c>
      <c r="HW12" s="11">
        <f t="shared" si="96"/>
        <v>12.7</v>
      </c>
      <c r="HX12" s="11">
        <f t="shared" si="97"/>
        <v>13.85</v>
      </c>
      <c r="HY12" s="11">
        <f t="shared" si="98"/>
        <v>48.949999999999996</v>
      </c>
      <c r="HZ12" s="11" t="str">
        <f t="shared" si="99"/>
        <v/>
      </c>
      <c r="IA12" s="11" t="str">
        <f t="shared" si="100"/>
        <v/>
      </c>
      <c r="IB12" s="11" t="str">
        <f t="shared" si="101"/>
        <v/>
      </c>
      <c r="IC12" s="11">
        <f t="shared" si="102"/>
        <v>98.22</v>
      </c>
      <c r="ID12" s="15"/>
      <c r="IE12" s="15"/>
      <c r="IF12" s="15"/>
      <c r="IG12" s="15"/>
      <c r="IH12" s="15"/>
      <c r="II12" s="15"/>
      <c r="IJ12" s="15"/>
      <c r="IK12" s="15"/>
      <c r="IL12" s="15"/>
      <c r="IM12" s="15"/>
      <c r="IN12" s="15"/>
      <c r="IO12" s="15"/>
      <c r="IP12" s="15"/>
      <c r="IQ12" s="15"/>
      <c r="IR12" s="15"/>
      <c r="IS12" s="15"/>
      <c r="IT12" s="15"/>
      <c r="IU12" s="15"/>
      <c r="IV12" s="15"/>
      <c r="IW12" s="15"/>
      <c r="IX12" s="36" t="str">
        <f t="shared" si="103"/>
        <v/>
      </c>
      <c r="IY12" s="36" t="str">
        <f t="shared" si="104"/>
        <v/>
      </c>
      <c r="IZ12" s="36" t="str">
        <f t="shared" si="105"/>
        <v/>
      </c>
      <c r="JA12" s="36" t="str">
        <f t="shared" si="106"/>
        <v/>
      </c>
      <c r="JB12" s="36" t="str">
        <f t="shared" si="107"/>
        <v/>
      </c>
      <c r="JC12" s="36" t="str">
        <f t="shared" si="108"/>
        <v/>
      </c>
      <c r="JD12" s="36" t="str">
        <f t="shared" si="109"/>
        <v/>
      </c>
      <c r="JE12" s="36" t="str">
        <f t="shared" si="110"/>
        <v/>
      </c>
      <c r="JF12" s="36" t="str">
        <f t="shared" si="111"/>
        <v/>
      </c>
      <c r="JG12" s="36" t="str">
        <f t="shared" si="112"/>
        <v/>
      </c>
      <c r="JH12" s="36" t="str">
        <f t="shared" si="113"/>
        <v/>
      </c>
      <c r="JI12" s="36" t="str">
        <f t="shared" si="114"/>
        <v/>
      </c>
      <c r="JJ12" s="36" t="str">
        <f t="shared" si="115"/>
        <v/>
      </c>
      <c r="JK12" s="36" t="str">
        <f t="shared" si="116"/>
        <v/>
      </c>
      <c r="JL12" s="16"/>
      <c r="JM12" s="16"/>
      <c r="JN12" s="16"/>
      <c r="JO12" s="16"/>
      <c r="JP12" s="16"/>
      <c r="JQ12" s="16"/>
      <c r="JR12" s="16"/>
      <c r="JS12" s="16"/>
      <c r="JT12" s="16"/>
      <c r="JU12" s="16"/>
      <c r="JV12" s="16"/>
      <c r="JW12" s="16"/>
      <c r="JX12" s="16"/>
      <c r="JY12" s="16"/>
      <c r="JZ12" s="16"/>
      <c r="KA12" s="16"/>
      <c r="KB12" s="16"/>
      <c r="KC12" s="16"/>
      <c r="KD12" s="16"/>
      <c r="KE12" s="16"/>
      <c r="KF12" s="11" t="str">
        <f t="shared" si="117"/>
        <v/>
      </c>
      <c r="KG12" s="11" t="str">
        <f t="shared" si="118"/>
        <v/>
      </c>
      <c r="KH12" s="11" t="str">
        <f t="shared" si="119"/>
        <v/>
      </c>
      <c r="KI12" s="11" t="str">
        <f t="shared" si="120"/>
        <v/>
      </c>
      <c r="KJ12" s="11" t="str">
        <f t="shared" si="121"/>
        <v/>
      </c>
      <c r="KK12" s="11" t="str">
        <f t="shared" si="122"/>
        <v/>
      </c>
      <c r="KL12" s="11" t="str">
        <f t="shared" si="123"/>
        <v/>
      </c>
      <c r="KM12" s="11" t="str">
        <f t="shared" si="124"/>
        <v/>
      </c>
      <c r="KN12" s="11" t="str">
        <f t="shared" si="125"/>
        <v/>
      </c>
      <c r="KO12" s="11" t="str">
        <f t="shared" si="126"/>
        <v/>
      </c>
      <c r="KP12" s="11" t="str">
        <f t="shared" si="127"/>
        <v/>
      </c>
      <c r="KQ12" s="11" t="str">
        <f t="shared" si="128"/>
        <v/>
      </c>
      <c r="KR12" s="11" t="str">
        <f t="shared" si="129"/>
        <v/>
      </c>
      <c r="KS12" s="11" t="str">
        <f t="shared" si="130"/>
        <v/>
      </c>
      <c r="KT12" s="15"/>
      <c r="KU12" s="15"/>
      <c r="KV12" s="15"/>
      <c r="KW12" s="15"/>
      <c r="KX12" s="15"/>
      <c r="KY12" s="15"/>
      <c r="KZ12" s="15"/>
      <c r="LA12" s="15"/>
      <c r="LB12" s="15"/>
      <c r="LC12" s="15"/>
      <c r="LD12" s="15"/>
      <c r="LE12" s="15"/>
      <c r="LF12" s="15"/>
      <c r="LG12" s="15"/>
      <c r="LH12" s="15"/>
      <c r="LI12" s="15"/>
      <c r="LJ12" s="15"/>
      <c r="LK12" s="15"/>
      <c r="LL12" s="15"/>
      <c r="LM12" s="15"/>
      <c r="LN12" s="36" t="str">
        <f t="shared" si="131"/>
        <v/>
      </c>
      <c r="LO12" s="36" t="str">
        <f t="shared" si="132"/>
        <v/>
      </c>
      <c r="LP12" s="36" t="str">
        <f t="shared" si="133"/>
        <v/>
      </c>
      <c r="LQ12" s="36" t="str">
        <f t="shared" si="134"/>
        <v/>
      </c>
      <c r="LR12" s="36" t="str">
        <f t="shared" si="135"/>
        <v/>
      </c>
      <c r="LS12" s="36" t="str">
        <f t="shared" si="136"/>
        <v/>
      </c>
      <c r="LT12" s="36" t="str">
        <f t="shared" si="137"/>
        <v/>
      </c>
      <c r="LU12" s="36" t="str">
        <f t="shared" si="138"/>
        <v/>
      </c>
      <c r="LV12" s="36" t="str">
        <f t="shared" si="139"/>
        <v/>
      </c>
      <c r="LW12" s="36" t="str">
        <f t="shared" si="140"/>
        <v/>
      </c>
      <c r="LX12" s="36" t="str">
        <f t="shared" si="141"/>
        <v/>
      </c>
      <c r="LY12" s="36" t="str">
        <f t="shared" si="142"/>
        <v/>
      </c>
      <c r="LZ12" s="36" t="str">
        <f t="shared" si="143"/>
        <v/>
      </c>
      <c r="MA12" s="36" t="str">
        <f t="shared" si="144"/>
        <v/>
      </c>
      <c r="MB12" s="16"/>
      <c r="MC12" s="16"/>
      <c r="MD12" s="16"/>
      <c r="ME12" s="16"/>
      <c r="MF12" s="16"/>
      <c r="MG12" s="16"/>
      <c r="MH12" s="16"/>
      <c r="MI12" s="16"/>
      <c r="MJ12" s="16"/>
      <c r="MK12" s="16"/>
      <c r="ML12" s="16"/>
      <c r="MM12" s="16"/>
      <c r="MN12" s="16"/>
      <c r="MO12" s="16"/>
      <c r="MP12" s="16"/>
      <c r="MQ12" s="16"/>
      <c r="MR12" s="16"/>
      <c r="MS12" s="16"/>
      <c r="MT12" s="16"/>
      <c r="MU12" s="16"/>
      <c r="MV12" s="11" t="str">
        <f t="shared" si="145"/>
        <v/>
      </c>
      <c r="MW12" s="11" t="str">
        <f t="shared" si="146"/>
        <v/>
      </c>
      <c r="MX12" s="11" t="str">
        <f t="shared" si="147"/>
        <v/>
      </c>
      <c r="MY12" s="11" t="str">
        <f t="shared" si="148"/>
        <v/>
      </c>
      <c r="MZ12" s="11" t="str">
        <f t="shared" si="149"/>
        <v/>
      </c>
      <c r="NA12" s="11" t="str">
        <f t="shared" si="150"/>
        <v/>
      </c>
      <c r="NB12" s="11" t="str">
        <f t="shared" si="151"/>
        <v/>
      </c>
      <c r="NC12" s="11" t="str">
        <f t="shared" si="152"/>
        <v/>
      </c>
      <c r="ND12" s="11" t="str">
        <f t="shared" si="153"/>
        <v/>
      </c>
      <c r="NE12" s="11" t="str">
        <f t="shared" si="154"/>
        <v/>
      </c>
      <c r="NF12" s="11" t="str">
        <f t="shared" si="155"/>
        <v/>
      </c>
      <c r="NG12" s="11" t="str">
        <f t="shared" si="156"/>
        <v/>
      </c>
      <c r="NH12" s="11" t="str">
        <f t="shared" si="157"/>
        <v/>
      </c>
      <c r="NI12" s="11" t="str">
        <f t="shared" si="158"/>
        <v/>
      </c>
      <c r="NJ12" s="15"/>
      <c r="NK12" s="15"/>
      <c r="NL12" s="15"/>
      <c r="NM12" s="15"/>
      <c r="NN12" s="15"/>
      <c r="NO12" s="15"/>
      <c r="NP12" s="15"/>
      <c r="NQ12" s="15"/>
      <c r="NR12" s="15"/>
      <c r="NS12" s="15"/>
      <c r="NT12" s="15"/>
      <c r="NU12" s="15"/>
      <c r="NV12" s="15"/>
      <c r="NW12" s="15"/>
      <c r="NX12" s="15"/>
      <c r="NY12" s="15"/>
      <c r="NZ12" s="15"/>
      <c r="OA12" s="15"/>
      <c r="OB12" s="15"/>
      <c r="OC12" s="15"/>
      <c r="OD12" s="36" t="str">
        <f t="shared" si="159"/>
        <v/>
      </c>
      <c r="OE12" s="36" t="str">
        <f t="shared" si="160"/>
        <v/>
      </c>
      <c r="OF12" s="36" t="str">
        <f t="shared" si="161"/>
        <v/>
      </c>
      <c r="OG12" s="36" t="str">
        <f t="shared" si="162"/>
        <v/>
      </c>
      <c r="OH12" s="36" t="str">
        <f t="shared" si="163"/>
        <v/>
      </c>
      <c r="OI12" s="36" t="str">
        <f t="shared" si="164"/>
        <v/>
      </c>
      <c r="OJ12" s="36" t="str">
        <f t="shared" si="165"/>
        <v/>
      </c>
      <c r="OK12" s="36" t="str">
        <f t="shared" si="166"/>
        <v/>
      </c>
      <c r="OL12" s="36" t="str">
        <f t="shared" si="167"/>
        <v/>
      </c>
      <c r="OM12" s="36" t="str">
        <f t="shared" si="168"/>
        <v/>
      </c>
      <c r="ON12" s="36" t="str">
        <f t="shared" si="169"/>
        <v/>
      </c>
      <c r="OO12" s="36" t="str">
        <f t="shared" si="170"/>
        <v/>
      </c>
      <c r="OP12" s="36" t="str">
        <f t="shared" si="171"/>
        <v/>
      </c>
      <c r="OQ12" s="36" t="str">
        <f t="shared" si="172"/>
        <v/>
      </c>
      <c r="OR12" s="16">
        <v>15.3</v>
      </c>
      <c r="OS12" s="16">
        <v>8.9</v>
      </c>
      <c r="OT12" s="16">
        <v>2.8</v>
      </c>
      <c r="OU12" s="16">
        <v>14.8</v>
      </c>
      <c r="OV12" s="16">
        <v>0</v>
      </c>
      <c r="OW12" s="16">
        <v>12.1</v>
      </c>
      <c r="OX12" s="16">
        <v>9.4</v>
      </c>
      <c r="OY12" s="16">
        <v>13.8</v>
      </c>
      <c r="OZ12" s="16">
        <v>13.68</v>
      </c>
      <c r="PA12" s="16">
        <v>0</v>
      </c>
      <c r="PB12" s="16"/>
      <c r="PC12" s="16"/>
      <c r="PD12" s="16"/>
      <c r="PE12" s="16"/>
      <c r="PF12" s="16"/>
      <c r="PG12" s="16"/>
      <c r="PH12" s="16"/>
      <c r="PI12" s="16"/>
      <c r="PJ12" s="16"/>
      <c r="PK12" s="16"/>
      <c r="PL12" s="11">
        <f t="shared" si="173"/>
        <v>2.8</v>
      </c>
      <c r="PM12" s="11">
        <f t="shared" si="174"/>
        <v>14.8</v>
      </c>
      <c r="PN12" s="11">
        <f t="shared" si="175"/>
        <v>41.800000000000004</v>
      </c>
      <c r="PO12" s="11">
        <f t="shared" si="176"/>
        <v>13.8</v>
      </c>
      <c r="PP12" s="11">
        <f t="shared" si="177"/>
        <v>13.68</v>
      </c>
      <c r="PQ12" s="11">
        <f t="shared" si="178"/>
        <v>48.98</v>
      </c>
      <c r="PR12" s="11">
        <f t="shared" si="179"/>
        <v>48.98</v>
      </c>
      <c r="PS12" s="11" t="str">
        <f t="shared" si="180"/>
        <v/>
      </c>
      <c r="PT12" s="11" t="str">
        <f t="shared" si="181"/>
        <v/>
      </c>
      <c r="PU12" s="11" t="str">
        <f t="shared" si="182"/>
        <v/>
      </c>
      <c r="PV12" s="11" t="str">
        <f t="shared" si="183"/>
        <v/>
      </c>
      <c r="PW12" s="11" t="str">
        <f t="shared" si="184"/>
        <v/>
      </c>
      <c r="PX12" s="11" t="str">
        <f t="shared" si="185"/>
        <v/>
      </c>
      <c r="PY12" s="11">
        <f t="shared" si="186"/>
        <v>48.98</v>
      </c>
      <c r="PZ12" s="15"/>
      <c r="QA12" s="15"/>
      <c r="QB12" s="15"/>
      <c r="QC12" s="15"/>
      <c r="QD12" s="15"/>
      <c r="QE12" s="15"/>
      <c r="QF12" s="15"/>
      <c r="QG12" s="15"/>
      <c r="QH12" s="15"/>
      <c r="QI12" s="15"/>
      <c r="QJ12" s="15"/>
      <c r="QK12" s="15"/>
      <c r="QL12" s="15"/>
      <c r="QM12" s="15"/>
      <c r="QN12" s="15"/>
      <c r="QO12" s="15"/>
      <c r="QP12" s="15"/>
      <c r="QQ12" s="15"/>
      <c r="QR12" s="15"/>
      <c r="QS12" s="15"/>
      <c r="QT12" s="36" t="str">
        <f t="shared" si="187"/>
        <v/>
      </c>
      <c r="QU12" s="36" t="str">
        <f t="shared" si="188"/>
        <v/>
      </c>
      <c r="QV12" s="36" t="str">
        <f t="shared" si="189"/>
        <v/>
      </c>
      <c r="QW12" s="36" t="str">
        <f t="shared" si="190"/>
        <v/>
      </c>
      <c r="QX12" s="36" t="str">
        <f t="shared" si="191"/>
        <v/>
      </c>
      <c r="QY12" s="36" t="str">
        <f t="shared" si="192"/>
        <v/>
      </c>
      <c r="QZ12" s="36" t="str">
        <f t="shared" si="193"/>
        <v/>
      </c>
      <c r="RA12" s="36" t="str">
        <f t="shared" si="194"/>
        <v/>
      </c>
      <c r="RB12" s="36" t="str">
        <f t="shared" si="195"/>
        <v/>
      </c>
      <c r="RC12" s="36" t="str">
        <f t="shared" si="196"/>
        <v/>
      </c>
      <c r="RD12" s="36" t="str">
        <f t="shared" si="197"/>
        <v/>
      </c>
      <c r="RE12" s="36" t="str">
        <f t="shared" si="198"/>
        <v/>
      </c>
      <c r="RF12" s="36" t="str">
        <f t="shared" si="199"/>
        <v/>
      </c>
      <c r="RG12" s="36" t="str">
        <f t="shared" si="200"/>
        <v/>
      </c>
      <c r="RH12" s="16"/>
      <c r="RI12" s="16"/>
      <c r="RJ12" s="16"/>
      <c r="RK12" s="16"/>
      <c r="RL12" s="16"/>
      <c r="RM12" s="16"/>
      <c r="RN12" s="16"/>
      <c r="RO12" s="16"/>
      <c r="RP12" s="16"/>
      <c r="RQ12" s="16"/>
      <c r="RR12" s="16"/>
      <c r="RS12" s="16"/>
      <c r="RT12" s="16"/>
      <c r="RU12" s="16"/>
      <c r="RV12" s="16"/>
      <c r="RW12" s="16"/>
      <c r="RX12" s="16"/>
      <c r="RY12" s="16"/>
      <c r="RZ12" s="16"/>
      <c r="SA12" s="16"/>
      <c r="SB12" s="11" t="str">
        <f t="shared" si="201"/>
        <v/>
      </c>
      <c r="SC12" s="11" t="str">
        <f t="shared" si="202"/>
        <v/>
      </c>
      <c r="SD12" s="11" t="str">
        <f t="shared" si="203"/>
        <v/>
      </c>
      <c r="SE12" s="11" t="str">
        <f t="shared" si="204"/>
        <v/>
      </c>
      <c r="SF12" s="11" t="str">
        <f t="shared" si="205"/>
        <v/>
      </c>
      <c r="SG12" s="11" t="str">
        <f t="shared" si="206"/>
        <v/>
      </c>
      <c r="SH12" s="11" t="str">
        <f t="shared" si="207"/>
        <v/>
      </c>
      <c r="SI12" s="11" t="str">
        <f t="shared" si="208"/>
        <v/>
      </c>
      <c r="SJ12" s="11" t="str">
        <f t="shared" si="209"/>
        <v/>
      </c>
      <c r="SK12" s="11" t="str">
        <f t="shared" si="210"/>
        <v/>
      </c>
      <c r="SL12" s="11" t="str">
        <f t="shared" si="211"/>
        <v/>
      </c>
      <c r="SM12" s="11" t="str">
        <f t="shared" si="212"/>
        <v/>
      </c>
      <c r="SN12" s="11" t="str">
        <f t="shared" si="213"/>
        <v/>
      </c>
      <c r="SO12" s="11" t="str">
        <f t="shared" si="214"/>
        <v/>
      </c>
      <c r="SP12" s="15"/>
      <c r="SQ12" s="15"/>
      <c r="SR12" s="15"/>
      <c r="SS12" s="15"/>
      <c r="ST12" s="15"/>
      <c r="SU12" s="15"/>
      <c r="SV12" s="15"/>
      <c r="SW12" s="15"/>
      <c r="SX12" s="15"/>
      <c r="SY12" s="15"/>
      <c r="SZ12" s="15"/>
      <c r="TA12" s="15"/>
      <c r="TB12" s="15"/>
      <c r="TC12" s="15"/>
      <c r="TD12" s="15"/>
      <c r="TE12" s="15"/>
      <c r="TF12" s="15"/>
      <c r="TG12" s="15"/>
      <c r="TH12" s="15"/>
      <c r="TI12" s="15"/>
      <c r="TJ12" s="36" t="str">
        <f t="shared" si="215"/>
        <v/>
      </c>
      <c r="TK12" s="36" t="str">
        <f t="shared" si="216"/>
        <v/>
      </c>
      <c r="TL12" s="36" t="str">
        <f t="shared" si="217"/>
        <v/>
      </c>
      <c r="TM12" s="36" t="str">
        <f t="shared" si="218"/>
        <v/>
      </c>
      <c r="TN12" s="36" t="str">
        <f t="shared" si="219"/>
        <v/>
      </c>
      <c r="TO12" s="36" t="str">
        <f t="shared" si="220"/>
        <v/>
      </c>
      <c r="TP12" s="36" t="str">
        <f t="shared" si="221"/>
        <v/>
      </c>
      <c r="TQ12" s="36" t="str">
        <f t="shared" si="222"/>
        <v/>
      </c>
      <c r="TR12" s="36" t="str">
        <f t="shared" si="223"/>
        <v/>
      </c>
      <c r="TS12" s="36" t="str">
        <f t="shared" si="224"/>
        <v/>
      </c>
      <c r="TT12" s="36" t="str">
        <f t="shared" si="225"/>
        <v/>
      </c>
      <c r="TU12" s="36" t="str">
        <f t="shared" si="226"/>
        <v/>
      </c>
      <c r="TV12" s="36" t="str">
        <f t="shared" si="227"/>
        <v/>
      </c>
      <c r="TW12" s="36" t="str">
        <f t="shared" si="228"/>
        <v/>
      </c>
      <c r="TX12" s="16"/>
      <c r="TY12" s="16"/>
      <c r="TZ12" s="16"/>
      <c r="UA12" s="16"/>
      <c r="UB12" s="16"/>
      <c r="UC12" s="16"/>
      <c r="UD12" s="16"/>
      <c r="UE12" s="16"/>
      <c r="UF12" s="16"/>
      <c r="UG12" s="16"/>
      <c r="UH12" s="16"/>
      <c r="UI12" s="16"/>
      <c r="UJ12" s="16"/>
      <c r="UK12" s="16"/>
      <c r="UL12" s="16"/>
      <c r="UM12" s="16"/>
      <c r="UN12" s="16"/>
      <c r="UO12" s="16"/>
      <c r="UP12" s="16"/>
      <c r="UQ12" s="16"/>
      <c r="UR12" s="11" t="str">
        <f t="shared" si="229"/>
        <v/>
      </c>
      <c r="US12" s="11" t="str">
        <f t="shared" si="230"/>
        <v/>
      </c>
      <c r="UT12" s="11" t="str">
        <f t="shared" si="231"/>
        <v/>
      </c>
      <c r="UU12" s="11" t="str">
        <f t="shared" si="232"/>
        <v/>
      </c>
      <c r="UV12" s="11" t="str">
        <f t="shared" si="233"/>
        <v/>
      </c>
      <c r="UW12" s="11" t="str">
        <f t="shared" si="234"/>
        <v/>
      </c>
      <c r="UX12" s="11" t="str">
        <f t="shared" si="235"/>
        <v/>
      </c>
      <c r="UY12" s="11" t="str">
        <f t="shared" si="236"/>
        <v/>
      </c>
      <c r="UZ12" s="11" t="str">
        <f t="shared" si="237"/>
        <v/>
      </c>
      <c r="VA12" s="11" t="str">
        <f t="shared" si="238"/>
        <v/>
      </c>
      <c r="VB12" s="11" t="str">
        <f t="shared" si="239"/>
        <v/>
      </c>
      <c r="VC12" s="11" t="str">
        <f t="shared" si="240"/>
        <v/>
      </c>
      <c r="VD12" s="11" t="str">
        <f t="shared" si="241"/>
        <v/>
      </c>
      <c r="VE12" s="11" t="str">
        <f t="shared" si="242"/>
        <v/>
      </c>
      <c r="VF12" s="15"/>
      <c r="VG12" s="15"/>
      <c r="VH12" s="15"/>
      <c r="VI12" s="15"/>
      <c r="VJ12" s="15"/>
      <c r="VK12" s="15"/>
      <c r="VL12" s="15"/>
      <c r="VM12" s="15"/>
      <c r="VN12" s="15"/>
      <c r="VO12" s="15"/>
      <c r="VP12" s="15"/>
      <c r="VQ12" s="15"/>
      <c r="VR12" s="15"/>
      <c r="VS12" s="15"/>
      <c r="VT12" s="15"/>
      <c r="VU12" s="15"/>
      <c r="VV12" s="15"/>
      <c r="VW12" s="15"/>
      <c r="VX12" s="15"/>
      <c r="VY12" s="15"/>
      <c r="VZ12" s="36" t="str">
        <f t="shared" si="243"/>
        <v/>
      </c>
      <c r="WA12" s="36" t="str">
        <f t="shared" si="244"/>
        <v/>
      </c>
      <c r="WB12" s="36" t="str">
        <f t="shared" si="245"/>
        <v/>
      </c>
      <c r="WC12" s="36" t="str">
        <f t="shared" si="246"/>
        <v/>
      </c>
      <c r="WD12" s="36" t="str">
        <f t="shared" si="247"/>
        <v/>
      </c>
      <c r="WE12" s="36" t="str">
        <f t="shared" si="248"/>
        <v/>
      </c>
      <c r="WF12" s="36" t="str">
        <f t="shared" si="249"/>
        <v/>
      </c>
      <c r="WG12" s="36" t="str">
        <f t="shared" si="250"/>
        <v/>
      </c>
      <c r="WH12" s="36" t="str">
        <f t="shared" si="251"/>
        <v/>
      </c>
      <c r="WI12" s="36" t="str">
        <f t="shared" si="252"/>
        <v/>
      </c>
      <c r="WJ12" s="36" t="str">
        <f t="shared" si="253"/>
        <v/>
      </c>
      <c r="WK12" s="36" t="str">
        <f t="shared" si="254"/>
        <v/>
      </c>
      <c r="WL12" s="36" t="str">
        <f t="shared" si="255"/>
        <v/>
      </c>
      <c r="WM12" s="36" t="str">
        <f t="shared" si="256"/>
        <v/>
      </c>
    </row>
    <row r="13" spans="1:611" x14ac:dyDescent="0.2">
      <c r="A13" s="4" t="str" cm="1">
        <f t="array" ref="A13">IF(AND(H13&lt;&gt;"",H13&lt;&gt;"No DD"),SUMPRODUCT((H$4:H$15&lt;&gt;"")*(H$4:H$15&lt;&gt;"No DD")*(E$4:E$15&gt;E13))+1,IF(H13="No DD",SUMPRODUCT((H$4:H$15="No DD")*(E$4:E$15&gt;E13))+1+SUMPRODUCT((H$4:H$15&lt;&gt;"")*(H$4:H$15&lt;&gt;"No DD")),""))</f>
        <v/>
      </c>
      <c r="B13" s="5" t="s">
        <v>59</v>
      </c>
      <c r="C13" s="4" t="s">
        <v>6</v>
      </c>
      <c r="D13" s="4">
        <v>2002</v>
      </c>
      <c r="E13" s="9">
        <f t="shared" si="0"/>
        <v>148.42001484200514</v>
      </c>
      <c r="F13" s="3" t="str">
        <f t="shared" si="1"/>
        <v/>
      </c>
      <c r="G13" s="3" t="str">
        <f t="shared" si="2"/>
        <v/>
      </c>
      <c r="H13" s="32" t="str">
        <f t="shared" si="3"/>
        <v/>
      </c>
      <c r="I13" s="3" t="str">
        <f t="shared" si="4"/>
        <v/>
      </c>
      <c r="J13" s="8">
        <f t="shared" si="5"/>
        <v>46.35</v>
      </c>
      <c r="K13" s="8" t="str">
        <f t="shared" si="6"/>
        <v>2025 Elite Canada</v>
      </c>
      <c r="L13" s="8">
        <f>IFERROR(IF(J13=AR13,LARGE((AK13,AN13,BL13,BO13,BS13,CM13,CP13,CT13),1),IF(J13=BS13,LARGE((AK13,AN13,AR13,BL13,BO13,CM13,CP13,CT13),1),LARGE((AK13,AN13,AR13,BL13,BO13,BS13,CM13,CP13),1))),0)</f>
        <v>51.300000000000004</v>
      </c>
      <c r="M13" s="8" t="str">
        <f t="shared" si="7"/>
        <v>2025 3rd Domestic Trial</v>
      </c>
      <c r="N13" s="8">
        <f>IFERROR(IF(J13=AR13,LARGE((AK13,AN13,BL13,BO13,BS13,CM13,CP13,CT13),2),IF(J13=BS13,LARGE((AK13,AN13,AR13,BL13,BO13,CM13,CP13,CT13),2),LARGE((AK13,AN13,AR13,BL13,BO13,BS13,CM13,CP13),2))),0)</f>
        <v>50.77</v>
      </c>
      <c r="O13" s="8" t="str">
        <f t="shared" si="8"/>
        <v>2025 Nationals</v>
      </c>
      <c r="P13" s="8">
        <f t="shared" si="9"/>
        <v>0</v>
      </c>
      <c r="Q13" s="11" t="str">
        <f t="shared" si="10"/>
        <v/>
      </c>
      <c r="R13" s="8" t="str">
        <f t="shared" si="11"/>
        <v/>
      </c>
      <c r="S13" s="18">
        <v>7.7</v>
      </c>
      <c r="T13" s="18">
        <v>4.5</v>
      </c>
      <c r="U13" s="18">
        <v>6.4</v>
      </c>
      <c r="V13" s="18">
        <v>7.74</v>
      </c>
      <c r="W13" s="18">
        <v>0</v>
      </c>
      <c r="X13" s="18">
        <v>15.1</v>
      </c>
      <c r="Y13" s="18">
        <v>9.1</v>
      </c>
      <c r="Z13" s="18">
        <v>11.8</v>
      </c>
      <c r="AA13" s="18">
        <v>14.1</v>
      </c>
      <c r="AB13" s="18">
        <v>0.9</v>
      </c>
      <c r="AC13" s="18">
        <v>13.5</v>
      </c>
      <c r="AD13" s="18">
        <v>8.9</v>
      </c>
      <c r="AE13" s="18">
        <v>11.4</v>
      </c>
      <c r="AF13" s="18">
        <v>13.85</v>
      </c>
      <c r="AG13" s="18">
        <v>1.3</v>
      </c>
      <c r="AH13" s="23"/>
      <c r="AI13" s="34">
        <f t="shared" si="12"/>
        <v>6.4</v>
      </c>
      <c r="AJ13" s="34">
        <f t="shared" si="13"/>
        <v>7.74</v>
      </c>
      <c r="AK13" s="36">
        <f t="shared" si="14"/>
        <v>26.340000000000003</v>
      </c>
      <c r="AL13" s="36">
        <f t="shared" si="15"/>
        <v>11.8</v>
      </c>
      <c r="AM13" s="36">
        <f t="shared" si="16"/>
        <v>14.1</v>
      </c>
      <c r="AN13" s="36">
        <f t="shared" si="17"/>
        <v>49.2</v>
      </c>
      <c r="AO13" s="36">
        <f t="shared" si="18"/>
        <v>49.2</v>
      </c>
      <c r="AP13" s="36">
        <f t="shared" si="19"/>
        <v>11.4</v>
      </c>
      <c r="AQ13" s="36">
        <f t="shared" si="20"/>
        <v>13.85</v>
      </c>
      <c r="AR13" s="36">
        <f t="shared" si="21"/>
        <v>46.35</v>
      </c>
      <c r="AS13" s="36">
        <f t="shared" si="22"/>
        <v>95.550000000000011</v>
      </c>
      <c r="AT13" s="22">
        <v>14</v>
      </c>
      <c r="AU13" s="22">
        <v>9.6999999999999993</v>
      </c>
      <c r="AV13" s="22">
        <v>13.4</v>
      </c>
      <c r="AW13" s="22">
        <v>13.67</v>
      </c>
      <c r="AX13" s="22">
        <v>0</v>
      </c>
      <c r="AY13" s="22">
        <v>14.1</v>
      </c>
      <c r="AZ13" s="22">
        <v>9</v>
      </c>
      <c r="BA13" s="22">
        <v>13.4</v>
      </c>
      <c r="BB13" s="22">
        <v>14.01</v>
      </c>
      <c r="BC13" s="22">
        <v>0</v>
      </c>
      <c r="BD13" s="22">
        <v>6.2</v>
      </c>
      <c r="BE13" s="22">
        <v>3.4</v>
      </c>
      <c r="BF13" s="22">
        <v>5.6</v>
      </c>
      <c r="BG13" s="22">
        <v>5.95</v>
      </c>
      <c r="BH13" s="22">
        <v>0</v>
      </c>
      <c r="BI13" s="24"/>
      <c r="BJ13" s="35">
        <f t="shared" si="23"/>
        <v>13.4</v>
      </c>
      <c r="BK13" s="35">
        <f t="shared" si="24"/>
        <v>13.67</v>
      </c>
      <c r="BL13" s="11">
        <f t="shared" si="25"/>
        <v>50.77</v>
      </c>
      <c r="BM13" s="11">
        <f t="shared" si="26"/>
        <v>13.4</v>
      </c>
      <c r="BN13" s="11">
        <f t="shared" si="27"/>
        <v>14.01</v>
      </c>
      <c r="BO13" s="11">
        <f t="shared" si="28"/>
        <v>50.51</v>
      </c>
      <c r="BP13" s="11">
        <f t="shared" si="29"/>
        <v>50.77</v>
      </c>
      <c r="BQ13" s="11">
        <f t="shared" si="30"/>
        <v>5.6</v>
      </c>
      <c r="BR13" s="11">
        <f t="shared" si="31"/>
        <v>5.95</v>
      </c>
      <c r="BS13" s="11">
        <f t="shared" si="32"/>
        <v>21.15</v>
      </c>
      <c r="BT13" s="11">
        <f t="shared" si="33"/>
        <v>71.92</v>
      </c>
      <c r="BU13" s="18">
        <v>15.1</v>
      </c>
      <c r="BV13" s="18">
        <v>8.9</v>
      </c>
      <c r="BW13" s="18">
        <v>12.7</v>
      </c>
      <c r="BX13" s="18">
        <v>14.6</v>
      </c>
      <c r="BY13" s="18">
        <v>0</v>
      </c>
      <c r="BZ13" s="18">
        <v>13.8</v>
      </c>
      <c r="CA13" s="18">
        <v>8.6999999999999993</v>
      </c>
      <c r="CB13" s="18">
        <v>12.7</v>
      </c>
      <c r="CC13" s="18">
        <v>14.14</v>
      </c>
      <c r="CD13" s="18">
        <v>0</v>
      </c>
      <c r="CE13" s="18">
        <v>1.3</v>
      </c>
      <c r="CF13" s="18">
        <v>1</v>
      </c>
      <c r="CG13" s="18">
        <v>1.5</v>
      </c>
      <c r="CH13" s="18">
        <v>1.51</v>
      </c>
      <c r="CI13" s="18">
        <v>0</v>
      </c>
      <c r="CJ13" s="23"/>
      <c r="CK13" s="34">
        <f t="shared" si="34"/>
        <v>12.7</v>
      </c>
      <c r="CL13" s="34">
        <f t="shared" si="35"/>
        <v>14.6</v>
      </c>
      <c r="CM13" s="36">
        <f t="shared" si="36"/>
        <v>51.300000000000004</v>
      </c>
      <c r="CN13" s="36">
        <f t="shared" si="37"/>
        <v>12.7</v>
      </c>
      <c r="CO13" s="36">
        <f t="shared" si="38"/>
        <v>14.14</v>
      </c>
      <c r="CP13" s="36">
        <f t="shared" si="39"/>
        <v>49.34</v>
      </c>
      <c r="CQ13" s="36">
        <f t="shared" si="40"/>
        <v>51.300000000000004</v>
      </c>
      <c r="CR13" s="36">
        <f t="shared" si="41"/>
        <v>1.5</v>
      </c>
      <c r="CS13" s="36">
        <f t="shared" si="42"/>
        <v>1.51</v>
      </c>
      <c r="CT13" s="36">
        <f t="shared" si="43"/>
        <v>5.31</v>
      </c>
      <c r="CU13" s="36">
        <f t="shared" si="44"/>
        <v>56.610000000000007</v>
      </c>
      <c r="CV13" s="47" t="str">
        <f t="shared" si="45"/>
        <v/>
      </c>
      <c r="CW13" s="47" t="str">
        <f t="shared" si="46"/>
        <v/>
      </c>
      <c r="CX13" s="15"/>
      <c r="CY13" s="15"/>
      <c r="CZ13" s="15"/>
      <c r="DA13" s="15"/>
      <c r="DB13" s="15"/>
      <c r="DC13" s="15"/>
      <c r="DD13" s="15"/>
      <c r="DE13" s="15"/>
      <c r="DF13" s="15"/>
      <c r="DG13" s="15"/>
      <c r="DH13" s="15"/>
      <c r="DI13" s="15"/>
      <c r="DJ13" s="15"/>
      <c r="DK13" s="15"/>
      <c r="DL13" s="15"/>
      <c r="DM13" s="15"/>
      <c r="DN13" s="15"/>
      <c r="DO13" s="15"/>
      <c r="DP13" s="15"/>
      <c r="DQ13" s="15"/>
      <c r="DR13" s="36" t="str">
        <f t="shared" si="47"/>
        <v/>
      </c>
      <c r="DS13" s="36" t="str">
        <f t="shared" si="48"/>
        <v/>
      </c>
      <c r="DT13" s="36" t="str">
        <f t="shared" si="49"/>
        <v/>
      </c>
      <c r="DU13" s="36" t="str">
        <f t="shared" si="50"/>
        <v/>
      </c>
      <c r="DV13" s="36" t="str">
        <f t="shared" si="51"/>
        <v/>
      </c>
      <c r="DW13" s="36" t="str">
        <f t="shared" si="52"/>
        <v/>
      </c>
      <c r="DX13" s="36" t="str">
        <f t="shared" si="53"/>
        <v/>
      </c>
      <c r="DY13" s="36" t="str">
        <f t="shared" si="54"/>
        <v/>
      </c>
      <c r="DZ13" s="36" t="str">
        <f t="shared" si="55"/>
        <v/>
      </c>
      <c r="EA13" s="36" t="str">
        <f t="shared" si="56"/>
        <v/>
      </c>
      <c r="EB13" s="36" t="str">
        <f t="shared" si="57"/>
        <v/>
      </c>
      <c r="EC13" s="36" t="str">
        <f t="shared" si="58"/>
        <v/>
      </c>
      <c r="ED13" s="36" t="str">
        <f t="shared" si="59"/>
        <v/>
      </c>
      <c r="EE13" s="36" t="str">
        <f t="shared" si="60"/>
        <v/>
      </c>
      <c r="EF13" s="16"/>
      <c r="EG13" s="16"/>
      <c r="EH13" s="16"/>
      <c r="EI13" s="16"/>
      <c r="EJ13" s="16"/>
      <c r="EK13" s="16"/>
      <c r="EL13" s="16"/>
      <c r="EM13" s="16"/>
      <c r="EN13" s="16"/>
      <c r="EO13" s="16"/>
      <c r="EP13" s="16"/>
      <c r="EQ13" s="16"/>
      <c r="ER13" s="16"/>
      <c r="ES13" s="16"/>
      <c r="ET13" s="16"/>
      <c r="EU13" s="16"/>
      <c r="EV13" s="16"/>
      <c r="EW13" s="16"/>
      <c r="EX13" s="16"/>
      <c r="EY13" s="16"/>
      <c r="EZ13" s="11" t="str">
        <f t="shared" si="61"/>
        <v/>
      </c>
      <c r="FA13" s="11" t="str">
        <f t="shared" si="62"/>
        <v/>
      </c>
      <c r="FB13" s="11" t="str">
        <f t="shared" si="63"/>
        <v/>
      </c>
      <c r="FC13" s="11" t="str">
        <f t="shared" si="64"/>
        <v/>
      </c>
      <c r="FD13" s="11" t="str">
        <f t="shared" si="65"/>
        <v/>
      </c>
      <c r="FE13" s="11" t="str">
        <f t="shared" si="66"/>
        <v/>
      </c>
      <c r="FF13" s="11" t="str">
        <f t="shared" si="67"/>
        <v/>
      </c>
      <c r="FG13" s="11" t="str">
        <f t="shared" si="68"/>
        <v/>
      </c>
      <c r="FH13" s="11" t="str">
        <f t="shared" si="69"/>
        <v/>
      </c>
      <c r="FI13" s="11" t="str">
        <f t="shared" si="70"/>
        <v/>
      </c>
      <c r="FJ13" s="11" t="str">
        <f t="shared" si="71"/>
        <v/>
      </c>
      <c r="FK13" s="11" t="str">
        <f t="shared" si="72"/>
        <v/>
      </c>
      <c r="FL13" s="11" t="str">
        <f t="shared" si="73"/>
        <v/>
      </c>
      <c r="FM13" s="11" t="str">
        <f t="shared" si="74"/>
        <v/>
      </c>
      <c r="FN13" s="15"/>
      <c r="FO13" s="15"/>
      <c r="FP13" s="15"/>
      <c r="FQ13" s="15"/>
      <c r="FR13" s="15"/>
      <c r="FS13" s="15"/>
      <c r="FT13" s="15"/>
      <c r="FU13" s="15"/>
      <c r="FV13" s="15"/>
      <c r="FW13" s="15"/>
      <c r="FX13" s="15"/>
      <c r="FY13" s="15"/>
      <c r="FZ13" s="15"/>
      <c r="GA13" s="15"/>
      <c r="GB13" s="15"/>
      <c r="GC13" s="15"/>
      <c r="GD13" s="15"/>
      <c r="GE13" s="15"/>
      <c r="GF13" s="15"/>
      <c r="GG13" s="15"/>
      <c r="GH13" s="36" t="str">
        <f t="shared" si="75"/>
        <v/>
      </c>
      <c r="GI13" s="36" t="str">
        <f t="shared" si="76"/>
        <v/>
      </c>
      <c r="GJ13" s="36" t="str">
        <f t="shared" si="77"/>
        <v/>
      </c>
      <c r="GK13" s="36" t="str">
        <f t="shared" si="78"/>
        <v/>
      </c>
      <c r="GL13" s="36" t="str">
        <f t="shared" si="79"/>
        <v/>
      </c>
      <c r="GM13" s="36" t="str">
        <f t="shared" si="80"/>
        <v/>
      </c>
      <c r="GN13" s="36" t="str">
        <f t="shared" si="81"/>
        <v/>
      </c>
      <c r="GO13" s="36" t="str">
        <f t="shared" si="82"/>
        <v/>
      </c>
      <c r="GP13" s="36" t="str">
        <f t="shared" si="83"/>
        <v/>
      </c>
      <c r="GQ13" s="36" t="str">
        <f t="shared" si="84"/>
        <v/>
      </c>
      <c r="GR13" s="36" t="str">
        <f t="shared" si="85"/>
        <v/>
      </c>
      <c r="GS13" s="36" t="str">
        <f t="shared" si="86"/>
        <v/>
      </c>
      <c r="GT13" s="36" t="str">
        <f t="shared" si="87"/>
        <v/>
      </c>
      <c r="GU13" s="36" t="str">
        <f t="shared" si="88"/>
        <v/>
      </c>
      <c r="GV13" s="16"/>
      <c r="GW13" s="16"/>
      <c r="GX13" s="16"/>
      <c r="GY13" s="16"/>
      <c r="GZ13" s="16"/>
      <c r="HA13" s="16"/>
      <c r="HB13" s="16"/>
      <c r="HC13" s="16"/>
      <c r="HD13" s="16"/>
      <c r="HE13" s="16"/>
      <c r="HF13" s="16"/>
      <c r="HG13" s="16"/>
      <c r="HH13" s="16"/>
      <c r="HI13" s="16"/>
      <c r="HJ13" s="16"/>
      <c r="HK13" s="16"/>
      <c r="HL13" s="16"/>
      <c r="HM13" s="16"/>
      <c r="HN13" s="16"/>
      <c r="HO13" s="16"/>
      <c r="HP13" s="11" t="str">
        <f t="shared" si="89"/>
        <v/>
      </c>
      <c r="HQ13" s="11" t="str">
        <f t="shared" si="90"/>
        <v/>
      </c>
      <c r="HR13" s="11" t="str">
        <f t="shared" si="91"/>
        <v/>
      </c>
      <c r="HS13" s="11" t="str">
        <f t="shared" si="92"/>
        <v/>
      </c>
      <c r="HT13" s="11" t="str">
        <f t="shared" si="93"/>
        <v/>
      </c>
      <c r="HU13" s="11" t="str">
        <f t="shared" si="94"/>
        <v/>
      </c>
      <c r="HV13" s="11" t="str">
        <f t="shared" si="95"/>
        <v/>
      </c>
      <c r="HW13" s="11" t="str">
        <f t="shared" si="96"/>
        <v/>
      </c>
      <c r="HX13" s="11" t="str">
        <f t="shared" si="97"/>
        <v/>
      </c>
      <c r="HY13" s="11" t="str">
        <f t="shared" si="98"/>
        <v/>
      </c>
      <c r="HZ13" s="11" t="str">
        <f t="shared" si="99"/>
        <v/>
      </c>
      <c r="IA13" s="11" t="str">
        <f t="shared" si="100"/>
        <v/>
      </c>
      <c r="IB13" s="11" t="str">
        <f t="shared" si="101"/>
        <v/>
      </c>
      <c r="IC13" s="11" t="str">
        <f t="shared" si="102"/>
        <v/>
      </c>
      <c r="ID13" s="15"/>
      <c r="IE13" s="15"/>
      <c r="IF13" s="15"/>
      <c r="IG13" s="15"/>
      <c r="IH13" s="15"/>
      <c r="II13" s="15"/>
      <c r="IJ13" s="15"/>
      <c r="IK13" s="15"/>
      <c r="IL13" s="15"/>
      <c r="IM13" s="15"/>
      <c r="IN13" s="15"/>
      <c r="IO13" s="15"/>
      <c r="IP13" s="15"/>
      <c r="IQ13" s="15"/>
      <c r="IR13" s="15"/>
      <c r="IS13" s="15"/>
      <c r="IT13" s="15"/>
      <c r="IU13" s="15"/>
      <c r="IV13" s="15"/>
      <c r="IW13" s="15"/>
      <c r="IX13" s="36" t="str">
        <f t="shared" si="103"/>
        <v/>
      </c>
      <c r="IY13" s="36" t="str">
        <f t="shared" si="104"/>
        <v/>
      </c>
      <c r="IZ13" s="36" t="str">
        <f t="shared" si="105"/>
        <v/>
      </c>
      <c r="JA13" s="36" t="str">
        <f t="shared" si="106"/>
        <v/>
      </c>
      <c r="JB13" s="36" t="str">
        <f t="shared" si="107"/>
        <v/>
      </c>
      <c r="JC13" s="36" t="str">
        <f t="shared" si="108"/>
        <v/>
      </c>
      <c r="JD13" s="36" t="str">
        <f t="shared" si="109"/>
        <v/>
      </c>
      <c r="JE13" s="36" t="str">
        <f t="shared" si="110"/>
        <v/>
      </c>
      <c r="JF13" s="36" t="str">
        <f t="shared" si="111"/>
        <v/>
      </c>
      <c r="JG13" s="36" t="str">
        <f t="shared" si="112"/>
        <v/>
      </c>
      <c r="JH13" s="36" t="str">
        <f t="shared" si="113"/>
        <v/>
      </c>
      <c r="JI13" s="36" t="str">
        <f t="shared" si="114"/>
        <v/>
      </c>
      <c r="JJ13" s="36" t="str">
        <f t="shared" si="115"/>
        <v/>
      </c>
      <c r="JK13" s="36" t="str">
        <f t="shared" si="116"/>
        <v/>
      </c>
      <c r="JL13" s="16"/>
      <c r="JM13" s="16"/>
      <c r="JN13" s="16"/>
      <c r="JO13" s="16"/>
      <c r="JP13" s="16"/>
      <c r="JQ13" s="16"/>
      <c r="JR13" s="16"/>
      <c r="JS13" s="16"/>
      <c r="JT13" s="16"/>
      <c r="JU13" s="16"/>
      <c r="JV13" s="16"/>
      <c r="JW13" s="16"/>
      <c r="JX13" s="16"/>
      <c r="JY13" s="16"/>
      <c r="JZ13" s="16"/>
      <c r="KA13" s="16"/>
      <c r="KB13" s="16"/>
      <c r="KC13" s="16"/>
      <c r="KD13" s="16"/>
      <c r="KE13" s="16"/>
      <c r="KF13" s="11" t="str">
        <f t="shared" si="117"/>
        <v/>
      </c>
      <c r="KG13" s="11" t="str">
        <f t="shared" si="118"/>
        <v/>
      </c>
      <c r="KH13" s="11" t="str">
        <f t="shared" si="119"/>
        <v/>
      </c>
      <c r="KI13" s="11" t="str">
        <f t="shared" si="120"/>
        <v/>
      </c>
      <c r="KJ13" s="11" t="str">
        <f t="shared" si="121"/>
        <v/>
      </c>
      <c r="KK13" s="11" t="str">
        <f t="shared" si="122"/>
        <v/>
      </c>
      <c r="KL13" s="11" t="str">
        <f t="shared" si="123"/>
        <v/>
      </c>
      <c r="KM13" s="11" t="str">
        <f t="shared" si="124"/>
        <v/>
      </c>
      <c r="KN13" s="11" t="str">
        <f t="shared" si="125"/>
        <v/>
      </c>
      <c r="KO13" s="11" t="str">
        <f t="shared" si="126"/>
        <v/>
      </c>
      <c r="KP13" s="11" t="str">
        <f t="shared" si="127"/>
        <v/>
      </c>
      <c r="KQ13" s="11" t="str">
        <f t="shared" si="128"/>
        <v/>
      </c>
      <c r="KR13" s="11" t="str">
        <f t="shared" si="129"/>
        <v/>
      </c>
      <c r="KS13" s="11" t="str">
        <f t="shared" si="130"/>
        <v/>
      </c>
      <c r="KT13" s="15"/>
      <c r="KU13" s="15"/>
      <c r="KV13" s="15"/>
      <c r="KW13" s="15"/>
      <c r="KX13" s="15"/>
      <c r="KY13" s="15"/>
      <c r="KZ13" s="15"/>
      <c r="LA13" s="15"/>
      <c r="LB13" s="15"/>
      <c r="LC13" s="15"/>
      <c r="LD13" s="15"/>
      <c r="LE13" s="15"/>
      <c r="LF13" s="15"/>
      <c r="LG13" s="15"/>
      <c r="LH13" s="15"/>
      <c r="LI13" s="15"/>
      <c r="LJ13" s="15"/>
      <c r="LK13" s="15"/>
      <c r="LL13" s="15"/>
      <c r="LM13" s="15"/>
      <c r="LN13" s="36" t="str">
        <f t="shared" si="131"/>
        <v/>
      </c>
      <c r="LO13" s="36" t="str">
        <f t="shared" si="132"/>
        <v/>
      </c>
      <c r="LP13" s="36" t="str">
        <f t="shared" si="133"/>
        <v/>
      </c>
      <c r="LQ13" s="36" t="str">
        <f t="shared" si="134"/>
        <v/>
      </c>
      <c r="LR13" s="36" t="str">
        <f t="shared" si="135"/>
        <v/>
      </c>
      <c r="LS13" s="36" t="str">
        <f t="shared" si="136"/>
        <v/>
      </c>
      <c r="LT13" s="36" t="str">
        <f t="shared" si="137"/>
        <v/>
      </c>
      <c r="LU13" s="36" t="str">
        <f t="shared" si="138"/>
        <v/>
      </c>
      <c r="LV13" s="36" t="str">
        <f t="shared" si="139"/>
        <v/>
      </c>
      <c r="LW13" s="36" t="str">
        <f t="shared" si="140"/>
        <v/>
      </c>
      <c r="LX13" s="36" t="str">
        <f t="shared" si="141"/>
        <v/>
      </c>
      <c r="LY13" s="36" t="str">
        <f t="shared" si="142"/>
        <v/>
      </c>
      <c r="LZ13" s="36" t="str">
        <f t="shared" si="143"/>
        <v/>
      </c>
      <c r="MA13" s="36" t="str">
        <f t="shared" si="144"/>
        <v/>
      </c>
      <c r="MB13" s="16"/>
      <c r="MC13" s="16"/>
      <c r="MD13" s="16"/>
      <c r="ME13" s="16"/>
      <c r="MF13" s="16"/>
      <c r="MG13" s="16"/>
      <c r="MH13" s="16"/>
      <c r="MI13" s="16"/>
      <c r="MJ13" s="16"/>
      <c r="MK13" s="16"/>
      <c r="ML13" s="16"/>
      <c r="MM13" s="16"/>
      <c r="MN13" s="16"/>
      <c r="MO13" s="16"/>
      <c r="MP13" s="16"/>
      <c r="MQ13" s="16"/>
      <c r="MR13" s="16"/>
      <c r="MS13" s="16"/>
      <c r="MT13" s="16"/>
      <c r="MU13" s="16"/>
      <c r="MV13" s="11" t="str">
        <f t="shared" si="145"/>
        <v/>
      </c>
      <c r="MW13" s="11" t="str">
        <f t="shared" si="146"/>
        <v/>
      </c>
      <c r="MX13" s="11" t="str">
        <f t="shared" si="147"/>
        <v/>
      </c>
      <c r="MY13" s="11" t="str">
        <f t="shared" si="148"/>
        <v/>
      </c>
      <c r="MZ13" s="11" t="str">
        <f t="shared" si="149"/>
        <v/>
      </c>
      <c r="NA13" s="11" t="str">
        <f t="shared" si="150"/>
        <v/>
      </c>
      <c r="NB13" s="11" t="str">
        <f t="shared" si="151"/>
        <v/>
      </c>
      <c r="NC13" s="11" t="str">
        <f t="shared" si="152"/>
        <v/>
      </c>
      <c r="ND13" s="11" t="str">
        <f t="shared" si="153"/>
        <v/>
      </c>
      <c r="NE13" s="11" t="str">
        <f t="shared" si="154"/>
        <v/>
      </c>
      <c r="NF13" s="11" t="str">
        <f t="shared" si="155"/>
        <v/>
      </c>
      <c r="NG13" s="11" t="str">
        <f t="shared" si="156"/>
        <v/>
      </c>
      <c r="NH13" s="11" t="str">
        <f t="shared" si="157"/>
        <v/>
      </c>
      <c r="NI13" s="11" t="str">
        <f t="shared" si="158"/>
        <v/>
      </c>
      <c r="NJ13" s="15"/>
      <c r="NK13" s="15"/>
      <c r="NL13" s="15"/>
      <c r="NM13" s="15"/>
      <c r="NN13" s="15"/>
      <c r="NO13" s="15"/>
      <c r="NP13" s="15"/>
      <c r="NQ13" s="15"/>
      <c r="NR13" s="15"/>
      <c r="NS13" s="15"/>
      <c r="NT13" s="15"/>
      <c r="NU13" s="15"/>
      <c r="NV13" s="15"/>
      <c r="NW13" s="15"/>
      <c r="NX13" s="15"/>
      <c r="NY13" s="15"/>
      <c r="NZ13" s="15"/>
      <c r="OA13" s="15"/>
      <c r="OB13" s="15"/>
      <c r="OC13" s="15"/>
      <c r="OD13" s="36" t="str">
        <f t="shared" si="159"/>
        <v/>
      </c>
      <c r="OE13" s="36" t="str">
        <f t="shared" si="160"/>
        <v/>
      </c>
      <c r="OF13" s="36" t="str">
        <f t="shared" si="161"/>
        <v/>
      </c>
      <c r="OG13" s="36" t="str">
        <f t="shared" si="162"/>
        <v/>
      </c>
      <c r="OH13" s="36" t="str">
        <f t="shared" si="163"/>
        <v/>
      </c>
      <c r="OI13" s="36" t="str">
        <f t="shared" si="164"/>
        <v/>
      </c>
      <c r="OJ13" s="36" t="str">
        <f t="shared" si="165"/>
        <v/>
      </c>
      <c r="OK13" s="36" t="str">
        <f t="shared" si="166"/>
        <v/>
      </c>
      <c r="OL13" s="36" t="str">
        <f t="shared" si="167"/>
        <v/>
      </c>
      <c r="OM13" s="36" t="str">
        <f t="shared" si="168"/>
        <v/>
      </c>
      <c r="ON13" s="36" t="str">
        <f t="shared" si="169"/>
        <v/>
      </c>
      <c r="OO13" s="36" t="str">
        <f t="shared" si="170"/>
        <v/>
      </c>
      <c r="OP13" s="36" t="str">
        <f t="shared" si="171"/>
        <v/>
      </c>
      <c r="OQ13" s="36" t="str">
        <f t="shared" si="172"/>
        <v/>
      </c>
      <c r="OR13" s="16"/>
      <c r="OS13" s="16"/>
      <c r="OT13" s="16"/>
      <c r="OU13" s="16"/>
      <c r="OV13" s="16"/>
      <c r="OW13" s="16"/>
      <c r="OX13" s="16"/>
      <c r="OY13" s="16"/>
      <c r="OZ13" s="16"/>
      <c r="PA13" s="16"/>
      <c r="PB13" s="16"/>
      <c r="PC13" s="16"/>
      <c r="PD13" s="16"/>
      <c r="PE13" s="16"/>
      <c r="PF13" s="16"/>
      <c r="PG13" s="16"/>
      <c r="PH13" s="16"/>
      <c r="PI13" s="16"/>
      <c r="PJ13" s="16"/>
      <c r="PK13" s="16"/>
      <c r="PL13" s="11" t="str">
        <f t="shared" si="173"/>
        <v/>
      </c>
      <c r="PM13" s="11" t="str">
        <f t="shared" si="174"/>
        <v/>
      </c>
      <c r="PN13" s="11" t="str">
        <f t="shared" si="175"/>
        <v/>
      </c>
      <c r="PO13" s="11" t="str">
        <f t="shared" si="176"/>
        <v/>
      </c>
      <c r="PP13" s="11" t="str">
        <f t="shared" si="177"/>
        <v/>
      </c>
      <c r="PQ13" s="11" t="str">
        <f t="shared" si="178"/>
        <v/>
      </c>
      <c r="PR13" s="11" t="str">
        <f t="shared" si="179"/>
        <v/>
      </c>
      <c r="PS13" s="11" t="str">
        <f t="shared" si="180"/>
        <v/>
      </c>
      <c r="PT13" s="11" t="str">
        <f t="shared" si="181"/>
        <v/>
      </c>
      <c r="PU13" s="11" t="str">
        <f t="shared" si="182"/>
        <v/>
      </c>
      <c r="PV13" s="11" t="str">
        <f t="shared" si="183"/>
        <v/>
      </c>
      <c r="PW13" s="11" t="str">
        <f t="shared" si="184"/>
        <v/>
      </c>
      <c r="PX13" s="11" t="str">
        <f t="shared" si="185"/>
        <v/>
      </c>
      <c r="PY13" s="11" t="str">
        <f t="shared" si="186"/>
        <v/>
      </c>
      <c r="PZ13" s="15"/>
      <c r="QA13" s="15"/>
      <c r="QB13" s="15"/>
      <c r="QC13" s="15"/>
      <c r="QD13" s="15"/>
      <c r="QE13" s="15"/>
      <c r="QF13" s="15"/>
      <c r="QG13" s="15"/>
      <c r="QH13" s="15"/>
      <c r="QI13" s="15"/>
      <c r="QJ13" s="15"/>
      <c r="QK13" s="15"/>
      <c r="QL13" s="15"/>
      <c r="QM13" s="15"/>
      <c r="QN13" s="15"/>
      <c r="QO13" s="15"/>
      <c r="QP13" s="15"/>
      <c r="QQ13" s="15"/>
      <c r="QR13" s="15"/>
      <c r="QS13" s="15"/>
      <c r="QT13" s="36" t="str">
        <f t="shared" si="187"/>
        <v/>
      </c>
      <c r="QU13" s="36" t="str">
        <f t="shared" si="188"/>
        <v/>
      </c>
      <c r="QV13" s="36" t="str">
        <f t="shared" si="189"/>
        <v/>
      </c>
      <c r="QW13" s="36" t="str">
        <f t="shared" si="190"/>
        <v/>
      </c>
      <c r="QX13" s="36" t="str">
        <f t="shared" si="191"/>
        <v/>
      </c>
      <c r="QY13" s="36" t="str">
        <f t="shared" si="192"/>
        <v/>
      </c>
      <c r="QZ13" s="36" t="str">
        <f t="shared" si="193"/>
        <v/>
      </c>
      <c r="RA13" s="36" t="str">
        <f t="shared" si="194"/>
        <v/>
      </c>
      <c r="RB13" s="36" t="str">
        <f t="shared" si="195"/>
        <v/>
      </c>
      <c r="RC13" s="36" t="str">
        <f t="shared" si="196"/>
        <v/>
      </c>
      <c r="RD13" s="36" t="str">
        <f t="shared" si="197"/>
        <v/>
      </c>
      <c r="RE13" s="36" t="str">
        <f t="shared" si="198"/>
        <v/>
      </c>
      <c r="RF13" s="36" t="str">
        <f t="shared" si="199"/>
        <v/>
      </c>
      <c r="RG13" s="36" t="str">
        <f t="shared" si="200"/>
        <v/>
      </c>
      <c r="RH13" s="16"/>
      <c r="RI13" s="16"/>
      <c r="RJ13" s="16"/>
      <c r="RK13" s="16"/>
      <c r="RL13" s="16"/>
      <c r="RM13" s="16"/>
      <c r="RN13" s="16"/>
      <c r="RO13" s="16"/>
      <c r="RP13" s="16"/>
      <c r="RQ13" s="16"/>
      <c r="RR13" s="16"/>
      <c r="RS13" s="16"/>
      <c r="RT13" s="16"/>
      <c r="RU13" s="16"/>
      <c r="RV13" s="16"/>
      <c r="RW13" s="16"/>
      <c r="RX13" s="16"/>
      <c r="RY13" s="16"/>
      <c r="RZ13" s="16"/>
      <c r="SA13" s="16"/>
      <c r="SB13" s="11" t="str">
        <f t="shared" si="201"/>
        <v/>
      </c>
      <c r="SC13" s="11" t="str">
        <f t="shared" si="202"/>
        <v/>
      </c>
      <c r="SD13" s="11" t="str">
        <f t="shared" si="203"/>
        <v/>
      </c>
      <c r="SE13" s="11" t="str">
        <f t="shared" si="204"/>
        <v/>
      </c>
      <c r="SF13" s="11" t="str">
        <f t="shared" si="205"/>
        <v/>
      </c>
      <c r="SG13" s="11" t="str">
        <f t="shared" si="206"/>
        <v/>
      </c>
      <c r="SH13" s="11" t="str">
        <f t="shared" si="207"/>
        <v/>
      </c>
      <c r="SI13" s="11" t="str">
        <f t="shared" si="208"/>
        <v/>
      </c>
      <c r="SJ13" s="11" t="str">
        <f t="shared" si="209"/>
        <v/>
      </c>
      <c r="SK13" s="11" t="str">
        <f t="shared" si="210"/>
        <v/>
      </c>
      <c r="SL13" s="11" t="str">
        <f t="shared" si="211"/>
        <v/>
      </c>
      <c r="SM13" s="11" t="str">
        <f t="shared" si="212"/>
        <v/>
      </c>
      <c r="SN13" s="11" t="str">
        <f t="shared" si="213"/>
        <v/>
      </c>
      <c r="SO13" s="11" t="str">
        <f t="shared" si="214"/>
        <v/>
      </c>
      <c r="SP13" s="15"/>
      <c r="SQ13" s="15"/>
      <c r="SR13" s="15"/>
      <c r="SS13" s="15"/>
      <c r="ST13" s="15"/>
      <c r="SU13" s="15"/>
      <c r="SV13" s="15"/>
      <c r="SW13" s="15"/>
      <c r="SX13" s="15"/>
      <c r="SY13" s="15"/>
      <c r="SZ13" s="15"/>
      <c r="TA13" s="15"/>
      <c r="TB13" s="15"/>
      <c r="TC13" s="15"/>
      <c r="TD13" s="15"/>
      <c r="TE13" s="15"/>
      <c r="TF13" s="15"/>
      <c r="TG13" s="15"/>
      <c r="TH13" s="15"/>
      <c r="TI13" s="15"/>
      <c r="TJ13" s="36" t="str">
        <f t="shared" si="215"/>
        <v/>
      </c>
      <c r="TK13" s="36" t="str">
        <f t="shared" si="216"/>
        <v/>
      </c>
      <c r="TL13" s="36" t="str">
        <f t="shared" si="217"/>
        <v/>
      </c>
      <c r="TM13" s="36" t="str">
        <f t="shared" si="218"/>
        <v/>
      </c>
      <c r="TN13" s="36" t="str">
        <f t="shared" si="219"/>
        <v/>
      </c>
      <c r="TO13" s="36" t="str">
        <f t="shared" si="220"/>
        <v/>
      </c>
      <c r="TP13" s="36" t="str">
        <f t="shared" si="221"/>
        <v/>
      </c>
      <c r="TQ13" s="36" t="str">
        <f t="shared" si="222"/>
        <v/>
      </c>
      <c r="TR13" s="36" t="str">
        <f t="shared" si="223"/>
        <v/>
      </c>
      <c r="TS13" s="36" t="str">
        <f t="shared" si="224"/>
        <v/>
      </c>
      <c r="TT13" s="36" t="str">
        <f t="shared" si="225"/>
        <v/>
      </c>
      <c r="TU13" s="36" t="str">
        <f t="shared" si="226"/>
        <v/>
      </c>
      <c r="TV13" s="36" t="str">
        <f t="shared" si="227"/>
        <v/>
      </c>
      <c r="TW13" s="36" t="str">
        <f t="shared" si="228"/>
        <v/>
      </c>
      <c r="TX13" s="16"/>
      <c r="TY13" s="16"/>
      <c r="TZ13" s="16"/>
      <c r="UA13" s="16"/>
      <c r="UB13" s="16"/>
      <c r="UC13" s="16"/>
      <c r="UD13" s="16"/>
      <c r="UE13" s="16"/>
      <c r="UF13" s="16"/>
      <c r="UG13" s="16"/>
      <c r="UH13" s="16"/>
      <c r="UI13" s="16"/>
      <c r="UJ13" s="16"/>
      <c r="UK13" s="16"/>
      <c r="UL13" s="16"/>
      <c r="UM13" s="16"/>
      <c r="UN13" s="16"/>
      <c r="UO13" s="16"/>
      <c r="UP13" s="16"/>
      <c r="UQ13" s="16"/>
      <c r="UR13" s="11" t="str">
        <f t="shared" si="229"/>
        <v/>
      </c>
      <c r="US13" s="11" t="str">
        <f t="shared" si="230"/>
        <v/>
      </c>
      <c r="UT13" s="11" t="str">
        <f t="shared" si="231"/>
        <v/>
      </c>
      <c r="UU13" s="11" t="str">
        <f t="shared" si="232"/>
        <v/>
      </c>
      <c r="UV13" s="11" t="str">
        <f t="shared" si="233"/>
        <v/>
      </c>
      <c r="UW13" s="11" t="str">
        <f t="shared" si="234"/>
        <v/>
      </c>
      <c r="UX13" s="11" t="str">
        <f t="shared" si="235"/>
        <v/>
      </c>
      <c r="UY13" s="11" t="str">
        <f t="shared" si="236"/>
        <v/>
      </c>
      <c r="UZ13" s="11" t="str">
        <f t="shared" si="237"/>
        <v/>
      </c>
      <c r="VA13" s="11" t="str">
        <f t="shared" si="238"/>
        <v/>
      </c>
      <c r="VB13" s="11" t="str">
        <f t="shared" si="239"/>
        <v/>
      </c>
      <c r="VC13" s="11" t="str">
        <f t="shared" si="240"/>
        <v/>
      </c>
      <c r="VD13" s="11" t="str">
        <f t="shared" si="241"/>
        <v/>
      </c>
      <c r="VE13" s="11" t="str">
        <f t="shared" si="242"/>
        <v/>
      </c>
      <c r="VF13" s="15"/>
      <c r="VG13" s="15"/>
      <c r="VH13" s="15"/>
      <c r="VI13" s="15"/>
      <c r="VJ13" s="15"/>
      <c r="VK13" s="15"/>
      <c r="VL13" s="15"/>
      <c r="VM13" s="15"/>
      <c r="VN13" s="15"/>
      <c r="VO13" s="15"/>
      <c r="VP13" s="15"/>
      <c r="VQ13" s="15"/>
      <c r="VR13" s="15"/>
      <c r="VS13" s="15"/>
      <c r="VT13" s="15"/>
      <c r="VU13" s="15"/>
      <c r="VV13" s="15"/>
      <c r="VW13" s="15"/>
      <c r="VX13" s="15"/>
      <c r="VY13" s="15"/>
      <c r="VZ13" s="36" t="str">
        <f t="shared" si="243"/>
        <v/>
      </c>
      <c r="WA13" s="36" t="str">
        <f t="shared" si="244"/>
        <v/>
      </c>
      <c r="WB13" s="36" t="str">
        <f t="shared" si="245"/>
        <v/>
      </c>
      <c r="WC13" s="36" t="str">
        <f t="shared" si="246"/>
        <v/>
      </c>
      <c r="WD13" s="36" t="str">
        <f t="shared" si="247"/>
        <v/>
      </c>
      <c r="WE13" s="36" t="str">
        <f t="shared" si="248"/>
        <v/>
      </c>
      <c r="WF13" s="36" t="str">
        <f t="shared" si="249"/>
        <v/>
      </c>
      <c r="WG13" s="36" t="str">
        <f t="shared" si="250"/>
        <v/>
      </c>
      <c r="WH13" s="36" t="str">
        <f t="shared" si="251"/>
        <v/>
      </c>
      <c r="WI13" s="36" t="str">
        <f t="shared" si="252"/>
        <v/>
      </c>
      <c r="WJ13" s="36" t="str">
        <f t="shared" si="253"/>
        <v/>
      </c>
      <c r="WK13" s="36" t="str">
        <f t="shared" si="254"/>
        <v/>
      </c>
      <c r="WL13" s="36" t="str">
        <f t="shared" si="255"/>
        <v/>
      </c>
      <c r="WM13" s="36" t="str">
        <f t="shared" si="256"/>
        <v/>
      </c>
    </row>
    <row r="14" spans="1:611" x14ac:dyDescent="0.2">
      <c r="A14" s="4" t="str" cm="1">
        <f t="array" ref="A14">IF(AND(H14&lt;&gt;"",H14&lt;&gt;"No DD"),SUMPRODUCT((H$4:H$15&lt;&gt;"")*(H$4:H$15&lt;&gt;"No DD")*(E$4:E$15&gt;E14))+1,IF(H14="No DD",SUMPRODUCT((H$4:H$15="No DD")*(E$4:E$15&gt;E14))+1+SUMPRODUCT((H$4:H$15&lt;&gt;"")*(H$4:H$15&lt;&gt;"No DD")),""))</f>
        <v/>
      </c>
      <c r="B14" s="5" t="s">
        <v>82</v>
      </c>
      <c r="C14" s="4" t="s">
        <v>5</v>
      </c>
      <c r="D14" s="4">
        <v>2004</v>
      </c>
      <c r="E14" s="9">
        <f t="shared" si="0"/>
        <v>106.37001063700414</v>
      </c>
      <c r="F14" s="3" t="str">
        <f t="shared" si="1"/>
        <v/>
      </c>
      <c r="G14" s="3" t="str">
        <f t="shared" si="2"/>
        <v/>
      </c>
      <c r="H14" s="32" t="str">
        <f t="shared" si="3"/>
        <v/>
      </c>
      <c r="I14" s="3" t="str">
        <f t="shared" si="4"/>
        <v/>
      </c>
      <c r="J14" s="8">
        <f t="shared" si="5"/>
        <v>41.45</v>
      </c>
      <c r="K14" s="8" t="str">
        <f t="shared" si="6"/>
        <v>2025 Elite Canada</v>
      </c>
      <c r="L14" s="8">
        <f>IFERROR(IF(J14=AR14,LARGE((AK14,AN14,BL14,BO14,BS14,CM14,CP14,CT14),1),IF(J14=BS14,LARGE((AK14,AN14,AR14,BL14,BO14,CM14,CP14,CT14),1),LARGE((AK14,AN14,AR14,BL14,BO14,BS14,CM14,CP14),1))),0)</f>
        <v>41.37</v>
      </c>
      <c r="M14" s="8" t="str">
        <f t="shared" si="7"/>
        <v>2025 Elite Canada</v>
      </c>
      <c r="N14" s="8">
        <f>IFERROR(IF(J14=AR14,LARGE((AK14,AN14,BL14,BO14,BS14,CM14,CP14,CT14),2),IF(J14=BS14,LARGE((AK14,AN14,AR14,BL14,BO14,CM14,CP14,CT14),2),LARGE((AK14,AN14,AR14,BL14,BO14,BS14,CM14,CP14),2))),0)</f>
        <v>23.55</v>
      </c>
      <c r="O14" s="8" t="str">
        <f t="shared" si="8"/>
        <v>2025 Elite Canada</v>
      </c>
      <c r="P14" s="8">
        <f t="shared" si="9"/>
        <v>0</v>
      </c>
      <c r="Q14" s="11" t="str">
        <f t="shared" si="10"/>
        <v/>
      </c>
      <c r="R14" s="8" t="str">
        <f t="shared" si="11"/>
        <v/>
      </c>
      <c r="S14" s="18">
        <v>6.3</v>
      </c>
      <c r="T14" s="18">
        <v>4.7</v>
      </c>
      <c r="U14" s="18">
        <v>5.8</v>
      </c>
      <c r="V14" s="18">
        <v>6.75</v>
      </c>
      <c r="W14" s="18">
        <v>0</v>
      </c>
      <c r="X14" s="18">
        <v>12.7</v>
      </c>
      <c r="Y14" s="18">
        <v>8.6</v>
      </c>
      <c r="Z14" s="18">
        <v>7.6</v>
      </c>
      <c r="AA14" s="18">
        <v>12.47</v>
      </c>
      <c r="AB14" s="18">
        <v>0</v>
      </c>
      <c r="AC14" s="18">
        <v>13.7</v>
      </c>
      <c r="AD14" s="18">
        <v>8.9</v>
      </c>
      <c r="AE14" s="18">
        <v>9.1</v>
      </c>
      <c r="AF14" s="18">
        <v>13.35</v>
      </c>
      <c r="AG14" s="18">
        <v>3.6</v>
      </c>
      <c r="AH14" s="23"/>
      <c r="AI14" s="34">
        <f t="shared" si="12"/>
        <v>5.8</v>
      </c>
      <c r="AJ14" s="34">
        <f t="shared" si="13"/>
        <v>6.75</v>
      </c>
      <c r="AK14" s="36">
        <f t="shared" si="14"/>
        <v>23.55</v>
      </c>
      <c r="AL14" s="36">
        <f t="shared" si="15"/>
        <v>7.6</v>
      </c>
      <c r="AM14" s="36">
        <f t="shared" si="16"/>
        <v>12.47</v>
      </c>
      <c r="AN14" s="36">
        <f t="shared" si="17"/>
        <v>41.37</v>
      </c>
      <c r="AO14" s="36">
        <f t="shared" si="18"/>
        <v>41.37</v>
      </c>
      <c r="AP14" s="36">
        <f t="shared" si="19"/>
        <v>9.1</v>
      </c>
      <c r="AQ14" s="36">
        <f t="shared" si="20"/>
        <v>13.35</v>
      </c>
      <c r="AR14" s="36">
        <f t="shared" si="21"/>
        <v>41.45</v>
      </c>
      <c r="AS14" s="36">
        <f t="shared" si="22"/>
        <v>82.82</v>
      </c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4"/>
      <c r="BJ14" s="35" t="str">
        <f t="shared" si="23"/>
        <v/>
      </c>
      <c r="BK14" s="35" t="str">
        <f t="shared" si="24"/>
        <v/>
      </c>
      <c r="BL14" s="11" t="str">
        <f t="shared" si="25"/>
        <v/>
      </c>
      <c r="BM14" s="11" t="str">
        <f t="shared" si="26"/>
        <v/>
      </c>
      <c r="BN14" s="11" t="str">
        <f t="shared" si="27"/>
        <v/>
      </c>
      <c r="BO14" s="11" t="str">
        <f t="shared" si="28"/>
        <v/>
      </c>
      <c r="BP14" s="11" t="str">
        <f t="shared" si="29"/>
        <v/>
      </c>
      <c r="BQ14" s="11" t="str">
        <f t="shared" si="30"/>
        <v/>
      </c>
      <c r="BR14" s="11" t="str">
        <f t="shared" si="31"/>
        <v/>
      </c>
      <c r="BS14" s="11" t="str">
        <f t="shared" si="32"/>
        <v/>
      </c>
      <c r="BT14" s="11" t="str">
        <f t="shared" si="33"/>
        <v/>
      </c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23"/>
      <c r="CK14" s="34" t="str">
        <f t="shared" si="34"/>
        <v/>
      </c>
      <c r="CL14" s="34" t="str">
        <f t="shared" si="35"/>
        <v/>
      </c>
      <c r="CM14" s="36" t="str">
        <f t="shared" si="36"/>
        <v/>
      </c>
      <c r="CN14" s="36" t="str">
        <f t="shared" si="37"/>
        <v/>
      </c>
      <c r="CO14" s="36" t="str">
        <f t="shared" si="38"/>
        <v/>
      </c>
      <c r="CP14" s="36" t="str">
        <f t="shared" si="39"/>
        <v/>
      </c>
      <c r="CQ14" s="36" t="str">
        <f t="shared" si="40"/>
        <v/>
      </c>
      <c r="CR14" s="36" t="str">
        <f t="shared" si="41"/>
        <v/>
      </c>
      <c r="CS14" s="36" t="str">
        <f t="shared" si="42"/>
        <v/>
      </c>
      <c r="CT14" s="36" t="str">
        <f t="shared" si="43"/>
        <v/>
      </c>
      <c r="CU14" s="36" t="str">
        <f t="shared" si="44"/>
        <v/>
      </c>
      <c r="CV14" s="47" t="str">
        <f t="shared" si="45"/>
        <v/>
      </c>
      <c r="CW14" s="47" t="str">
        <f t="shared" si="46"/>
        <v/>
      </c>
      <c r="CX14" s="15"/>
      <c r="CY14" s="15"/>
      <c r="CZ14" s="15"/>
      <c r="DA14" s="15"/>
      <c r="DB14" s="15"/>
      <c r="DC14" s="15"/>
      <c r="DD14" s="15"/>
      <c r="DE14" s="15"/>
      <c r="DF14" s="15"/>
      <c r="DG14" s="15"/>
      <c r="DH14" s="15"/>
      <c r="DI14" s="15"/>
      <c r="DJ14" s="15"/>
      <c r="DK14" s="15"/>
      <c r="DL14" s="15"/>
      <c r="DM14" s="15"/>
      <c r="DN14" s="15"/>
      <c r="DO14" s="15"/>
      <c r="DP14" s="15"/>
      <c r="DQ14" s="15"/>
      <c r="DR14" s="36" t="str">
        <f t="shared" si="47"/>
        <v/>
      </c>
      <c r="DS14" s="36" t="str">
        <f t="shared" si="48"/>
        <v/>
      </c>
      <c r="DT14" s="36" t="str">
        <f t="shared" si="49"/>
        <v/>
      </c>
      <c r="DU14" s="36" t="str">
        <f t="shared" si="50"/>
        <v/>
      </c>
      <c r="DV14" s="36" t="str">
        <f t="shared" si="51"/>
        <v/>
      </c>
      <c r="DW14" s="36" t="str">
        <f t="shared" si="52"/>
        <v/>
      </c>
      <c r="DX14" s="36" t="str">
        <f t="shared" si="53"/>
        <v/>
      </c>
      <c r="DY14" s="36" t="str">
        <f t="shared" si="54"/>
        <v/>
      </c>
      <c r="DZ14" s="36" t="str">
        <f t="shared" si="55"/>
        <v/>
      </c>
      <c r="EA14" s="36" t="str">
        <f t="shared" si="56"/>
        <v/>
      </c>
      <c r="EB14" s="36" t="str">
        <f t="shared" si="57"/>
        <v/>
      </c>
      <c r="EC14" s="36" t="str">
        <f t="shared" si="58"/>
        <v/>
      </c>
      <c r="ED14" s="36" t="str">
        <f t="shared" si="59"/>
        <v/>
      </c>
      <c r="EE14" s="36" t="str">
        <f t="shared" si="60"/>
        <v/>
      </c>
      <c r="EF14" s="16"/>
      <c r="EG14" s="16"/>
      <c r="EH14" s="16"/>
      <c r="EI14" s="16"/>
      <c r="EJ14" s="16"/>
      <c r="EK14" s="16"/>
      <c r="EL14" s="16"/>
      <c r="EM14" s="16"/>
      <c r="EN14" s="16"/>
      <c r="EO14" s="16"/>
      <c r="EP14" s="16"/>
      <c r="EQ14" s="16"/>
      <c r="ER14" s="16"/>
      <c r="ES14" s="16"/>
      <c r="ET14" s="16"/>
      <c r="EU14" s="16"/>
      <c r="EV14" s="16"/>
      <c r="EW14" s="16"/>
      <c r="EX14" s="16"/>
      <c r="EY14" s="16"/>
      <c r="EZ14" s="11" t="str">
        <f t="shared" si="61"/>
        <v/>
      </c>
      <c r="FA14" s="11" t="str">
        <f t="shared" si="62"/>
        <v/>
      </c>
      <c r="FB14" s="11" t="str">
        <f t="shared" si="63"/>
        <v/>
      </c>
      <c r="FC14" s="11" t="str">
        <f t="shared" si="64"/>
        <v/>
      </c>
      <c r="FD14" s="11" t="str">
        <f t="shared" si="65"/>
        <v/>
      </c>
      <c r="FE14" s="11" t="str">
        <f t="shared" si="66"/>
        <v/>
      </c>
      <c r="FF14" s="11" t="str">
        <f t="shared" si="67"/>
        <v/>
      </c>
      <c r="FG14" s="11" t="str">
        <f t="shared" si="68"/>
        <v/>
      </c>
      <c r="FH14" s="11" t="str">
        <f t="shared" si="69"/>
        <v/>
      </c>
      <c r="FI14" s="11" t="str">
        <f t="shared" si="70"/>
        <v/>
      </c>
      <c r="FJ14" s="11" t="str">
        <f t="shared" si="71"/>
        <v/>
      </c>
      <c r="FK14" s="11" t="str">
        <f t="shared" si="72"/>
        <v/>
      </c>
      <c r="FL14" s="11" t="str">
        <f t="shared" si="73"/>
        <v/>
      </c>
      <c r="FM14" s="11" t="str">
        <f t="shared" si="74"/>
        <v/>
      </c>
      <c r="FN14" s="15"/>
      <c r="FO14" s="15"/>
      <c r="FP14" s="15"/>
      <c r="FQ14" s="15"/>
      <c r="FR14" s="15"/>
      <c r="FS14" s="15"/>
      <c r="FT14" s="15"/>
      <c r="FU14" s="15"/>
      <c r="FV14" s="15"/>
      <c r="FW14" s="15"/>
      <c r="FX14" s="15"/>
      <c r="FY14" s="15"/>
      <c r="FZ14" s="15"/>
      <c r="GA14" s="15"/>
      <c r="GB14" s="15"/>
      <c r="GC14" s="15"/>
      <c r="GD14" s="15"/>
      <c r="GE14" s="15"/>
      <c r="GF14" s="15"/>
      <c r="GG14" s="15"/>
      <c r="GH14" s="36" t="str">
        <f t="shared" si="75"/>
        <v/>
      </c>
      <c r="GI14" s="36" t="str">
        <f t="shared" si="76"/>
        <v/>
      </c>
      <c r="GJ14" s="36" t="str">
        <f t="shared" si="77"/>
        <v/>
      </c>
      <c r="GK14" s="36" t="str">
        <f t="shared" si="78"/>
        <v/>
      </c>
      <c r="GL14" s="36" t="str">
        <f t="shared" si="79"/>
        <v/>
      </c>
      <c r="GM14" s="36" t="str">
        <f t="shared" si="80"/>
        <v/>
      </c>
      <c r="GN14" s="36" t="str">
        <f t="shared" si="81"/>
        <v/>
      </c>
      <c r="GO14" s="36" t="str">
        <f t="shared" si="82"/>
        <v/>
      </c>
      <c r="GP14" s="36" t="str">
        <f t="shared" si="83"/>
        <v/>
      </c>
      <c r="GQ14" s="36" t="str">
        <f t="shared" si="84"/>
        <v/>
      </c>
      <c r="GR14" s="36" t="str">
        <f t="shared" si="85"/>
        <v/>
      </c>
      <c r="GS14" s="36" t="str">
        <f t="shared" si="86"/>
        <v/>
      </c>
      <c r="GT14" s="36" t="str">
        <f t="shared" si="87"/>
        <v/>
      </c>
      <c r="GU14" s="36" t="str">
        <f t="shared" si="88"/>
        <v/>
      </c>
      <c r="GV14" s="16"/>
      <c r="GW14" s="16"/>
      <c r="GX14" s="16"/>
      <c r="GY14" s="16"/>
      <c r="GZ14" s="16"/>
      <c r="HA14" s="16"/>
      <c r="HB14" s="16"/>
      <c r="HC14" s="16"/>
      <c r="HD14" s="16"/>
      <c r="HE14" s="16"/>
      <c r="HF14" s="16"/>
      <c r="HG14" s="16"/>
      <c r="HH14" s="16"/>
      <c r="HI14" s="16"/>
      <c r="HJ14" s="16"/>
      <c r="HK14" s="16"/>
      <c r="HL14" s="16"/>
      <c r="HM14" s="16"/>
      <c r="HN14" s="16"/>
      <c r="HO14" s="16"/>
      <c r="HP14" s="11" t="str">
        <f t="shared" si="89"/>
        <v/>
      </c>
      <c r="HQ14" s="11" t="str">
        <f t="shared" si="90"/>
        <v/>
      </c>
      <c r="HR14" s="11" t="str">
        <f t="shared" si="91"/>
        <v/>
      </c>
      <c r="HS14" s="11" t="str">
        <f t="shared" si="92"/>
        <v/>
      </c>
      <c r="HT14" s="11" t="str">
        <f t="shared" si="93"/>
        <v/>
      </c>
      <c r="HU14" s="11" t="str">
        <f t="shared" si="94"/>
        <v/>
      </c>
      <c r="HV14" s="11" t="str">
        <f t="shared" si="95"/>
        <v/>
      </c>
      <c r="HW14" s="11" t="str">
        <f t="shared" si="96"/>
        <v/>
      </c>
      <c r="HX14" s="11" t="str">
        <f t="shared" si="97"/>
        <v/>
      </c>
      <c r="HY14" s="11" t="str">
        <f t="shared" si="98"/>
        <v/>
      </c>
      <c r="HZ14" s="11" t="str">
        <f t="shared" si="99"/>
        <v/>
      </c>
      <c r="IA14" s="11" t="str">
        <f t="shared" si="100"/>
        <v/>
      </c>
      <c r="IB14" s="11" t="str">
        <f t="shared" si="101"/>
        <v/>
      </c>
      <c r="IC14" s="11" t="str">
        <f t="shared" si="102"/>
        <v/>
      </c>
      <c r="ID14" s="15"/>
      <c r="IE14" s="15"/>
      <c r="IF14" s="15"/>
      <c r="IG14" s="15"/>
      <c r="IH14" s="15"/>
      <c r="II14" s="15"/>
      <c r="IJ14" s="15"/>
      <c r="IK14" s="15"/>
      <c r="IL14" s="15"/>
      <c r="IM14" s="15"/>
      <c r="IN14" s="15"/>
      <c r="IO14" s="15"/>
      <c r="IP14" s="15"/>
      <c r="IQ14" s="15"/>
      <c r="IR14" s="15"/>
      <c r="IS14" s="15"/>
      <c r="IT14" s="15"/>
      <c r="IU14" s="15"/>
      <c r="IV14" s="15"/>
      <c r="IW14" s="15"/>
      <c r="IX14" s="36" t="str">
        <f t="shared" si="103"/>
        <v/>
      </c>
      <c r="IY14" s="36" t="str">
        <f t="shared" si="104"/>
        <v/>
      </c>
      <c r="IZ14" s="36" t="str">
        <f t="shared" si="105"/>
        <v/>
      </c>
      <c r="JA14" s="36" t="str">
        <f t="shared" si="106"/>
        <v/>
      </c>
      <c r="JB14" s="36" t="str">
        <f t="shared" si="107"/>
        <v/>
      </c>
      <c r="JC14" s="36" t="str">
        <f t="shared" si="108"/>
        <v/>
      </c>
      <c r="JD14" s="36" t="str">
        <f t="shared" si="109"/>
        <v/>
      </c>
      <c r="JE14" s="36" t="str">
        <f t="shared" si="110"/>
        <v/>
      </c>
      <c r="JF14" s="36" t="str">
        <f t="shared" si="111"/>
        <v/>
      </c>
      <c r="JG14" s="36" t="str">
        <f t="shared" si="112"/>
        <v/>
      </c>
      <c r="JH14" s="36" t="str">
        <f t="shared" si="113"/>
        <v/>
      </c>
      <c r="JI14" s="36" t="str">
        <f t="shared" si="114"/>
        <v/>
      </c>
      <c r="JJ14" s="36" t="str">
        <f t="shared" si="115"/>
        <v/>
      </c>
      <c r="JK14" s="36" t="str">
        <f t="shared" si="116"/>
        <v/>
      </c>
      <c r="JL14" s="16"/>
      <c r="JM14" s="16"/>
      <c r="JN14" s="16"/>
      <c r="JO14" s="16"/>
      <c r="JP14" s="16"/>
      <c r="JQ14" s="16"/>
      <c r="JR14" s="16"/>
      <c r="JS14" s="16"/>
      <c r="JT14" s="16"/>
      <c r="JU14" s="16"/>
      <c r="JV14" s="16"/>
      <c r="JW14" s="16"/>
      <c r="JX14" s="16"/>
      <c r="JY14" s="16"/>
      <c r="JZ14" s="16"/>
      <c r="KA14" s="16"/>
      <c r="KB14" s="16"/>
      <c r="KC14" s="16"/>
      <c r="KD14" s="16"/>
      <c r="KE14" s="16"/>
      <c r="KF14" s="11" t="str">
        <f t="shared" si="117"/>
        <v/>
      </c>
      <c r="KG14" s="11" t="str">
        <f t="shared" si="118"/>
        <v/>
      </c>
      <c r="KH14" s="11" t="str">
        <f t="shared" si="119"/>
        <v/>
      </c>
      <c r="KI14" s="11" t="str">
        <f t="shared" si="120"/>
        <v/>
      </c>
      <c r="KJ14" s="11" t="str">
        <f t="shared" si="121"/>
        <v/>
      </c>
      <c r="KK14" s="11" t="str">
        <f t="shared" si="122"/>
        <v/>
      </c>
      <c r="KL14" s="11" t="str">
        <f t="shared" si="123"/>
        <v/>
      </c>
      <c r="KM14" s="11" t="str">
        <f t="shared" si="124"/>
        <v/>
      </c>
      <c r="KN14" s="11" t="str">
        <f t="shared" si="125"/>
        <v/>
      </c>
      <c r="KO14" s="11" t="str">
        <f t="shared" si="126"/>
        <v/>
      </c>
      <c r="KP14" s="11" t="str">
        <f t="shared" si="127"/>
        <v/>
      </c>
      <c r="KQ14" s="11" t="str">
        <f t="shared" si="128"/>
        <v/>
      </c>
      <c r="KR14" s="11" t="str">
        <f t="shared" si="129"/>
        <v/>
      </c>
      <c r="KS14" s="11" t="str">
        <f t="shared" si="130"/>
        <v/>
      </c>
      <c r="KT14" s="15"/>
      <c r="KU14" s="15"/>
      <c r="KV14" s="15"/>
      <c r="KW14" s="15"/>
      <c r="KX14" s="15"/>
      <c r="KY14" s="15"/>
      <c r="KZ14" s="15"/>
      <c r="LA14" s="15"/>
      <c r="LB14" s="15"/>
      <c r="LC14" s="15"/>
      <c r="LD14" s="15"/>
      <c r="LE14" s="15"/>
      <c r="LF14" s="15"/>
      <c r="LG14" s="15"/>
      <c r="LH14" s="15"/>
      <c r="LI14" s="15"/>
      <c r="LJ14" s="15"/>
      <c r="LK14" s="15"/>
      <c r="LL14" s="15"/>
      <c r="LM14" s="15"/>
      <c r="LN14" s="36" t="str">
        <f t="shared" si="131"/>
        <v/>
      </c>
      <c r="LO14" s="36" t="str">
        <f t="shared" si="132"/>
        <v/>
      </c>
      <c r="LP14" s="36" t="str">
        <f t="shared" si="133"/>
        <v/>
      </c>
      <c r="LQ14" s="36" t="str">
        <f t="shared" si="134"/>
        <v/>
      </c>
      <c r="LR14" s="36" t="str">
        <f t="shared" si="135"/>
        <v/>
      </c>
      <c r="LS14" s="36" t="str">
        <f t="shared" si="136"/>
        <v/>
      </c>
      <c r="LT14" s="36" t="str">
        <f t="shared" si="137"/>
        <v/>
      </c>
      <c r="LU14" s="36" t="str">
        <f t="shared" si="138"/>
        <v/>
      </c>
      <c r="LV14" s="36" t="str">
        <f t="shared" si="139"/>
        <v/>
      </c>
      <c r="LW14" s="36" t="str">
        <f t="shared" si="140"/>
        <v/>
      </c>
      <c r="LX14" s="36" t="str">
        <f t="shared" si="141"/>
        <v/>
      </c>
      <c r="LY14" s="36" t="str">
        <f t="shared" si="142"/>
        <v/>
      </c>
      <c r="LZ14" s="36" t="str">
        <f t="shared" si="143"/>
        <v/>
      </c>
      <c r="MA14" s="36" t="str">
        <f t="shared" si="144"/>
        <v/>
      </c>
      <c r="MB14" s="16"/>
      <c r="MC14" s="16"/>
      <c r="MD14" s="16"/>
      <c r="ME14" s="16"/>
      <c r="MF14" s="16"/>
      <c r="MG14" s="16"/>
      <c r="MH14" s="16"/>
      <c r="MI14" s="16"/>
      <c r="MJ14" s="16"/>
      <c r="MK14" s="16"/>
      <c r="ML14" s="16"/>
      <c r="MM14" s="16"/>
      <c r="MN14" s="16"/>
      <c r="MO14" s="16"/>
      <c r="MP14" s="16"/>
      <c r="MQ14" s="16"/>
      <c r="MR14" s="16"/>
      <c r="MS14" s="16"/>
      <c r="MT14" s="16"/>
      <c r="MU14" s="16"/>
      <c r="MV14" s="11" t="str">
        <f t="shared" si="145"/>
        <v/>
      </c>
      <c r="MW14" s="11" t="str">
        <f t="shared" si="146"/>
        <v/>
      </c>
      <c r="MX14" s="11" t="str">
        <f t="shared" si="147"/>
        <v/>
      </c>
      <c r="MY14" s="11" t="str">
        <f t="shared" si="148"/>
        <v/>
      </c>
      <c r="MZ14" s="11" t="str">
        <f t="shared" si="149"/>
        <v/>
      </c>
      <c r="NA14" s="11" t="str">
        <f t="shared" si="150"/>
        <v/>
      </c>
      <c r="NB14" s="11" t="str">
        <f t="shared" si="151"/>
        <v/>
      </c>
      <c r="NC14" s="11" t="str">
        <f t="shared" si="152"/>
        <v/>
      </c>
      <c r="ND14" s="11" t="str">
        <f t="shared" si="153"/>
        <v/>
      </c>
      <c r="NE14" s="11" t="str">
        <f t="shared" si="154"/>
        <v/>
      </c>
      <c r="NF14" s="11" t="str">
        <f t="shared" si="155"/>
        <v/>
      </c>
      <c r="NG14" s="11" t="str">
        <f t="shared" si="156"/>
        <v/>
      </c>
      <c r="NH14" s="11" t="str">
        <f t="shared" si="157"/>
        <v/>
      </c>
      <c r="NI14" s="11" t="str">
        <f t="shared" si="158"/>
        <v/>
      </c>
      <c r="NJ14" s="15"/>
      <c r="NK14" s="15"/>
      <c r="NL14" s="15"/>
      <c r="NM14" s="15"/>
      <c r="NN14" s="15"/>
      <c r="NO14" s="15"/>
      <c r="NP14" s="15"/>
      <c r="NQ14" s="15"/>
      <c r="NR14" s="15"/>
      <c r="NS14" s="15"/>
      <c r="NT14" s="15"/>
      <c r="NU14" s="15"/>
      <c r="NV14" s="15"/>
      <c r="NW14" s="15"/>
      <c r="NX14" s="15"/>
      <c r="NY14" s="15"/>
      <c r="NZ14" s="15"/>
      <c r="OA14" s="15"/>
      <c r="OB14" s="15"/>
      <c r="OC14" s="15"/>
      <c r="OD14" s="36" t="str">
        <f t="shared" si="159"/>
        <v/>
      </c>
      <c r="OE14" s="36" t="str">
        <f t="shared" si="160"/>
        <v/>
      </c>
      <c r="OF14" s="36" t="str">
        <f t="shared" si="161"/>
        <v/>
      </c>
      <c r="OG14" s="36" t="str">
        <f t="shared" si="162"/>
        <v/>
      </c>
      <c r="OH14" s="36" t="str">
        <f t="shared" si="163"/>
        <v/>
      </c>
      <c r="OI14" s="36" t="str">
        <f t="shared" si="164"/>
        <v/>
      </c>
      <c r="OJ14" s="36" t="str">
        <f t="shared" si="165"/>
        <v/>
      </c>
      <c r="OK14" s="36" t="str">
        <f t="shared" si="166"/>
        <v/>
      </c>
      <c r="OL14" s="36" t="str">
        <f t="shared" si="167"/>
        <v/>
      </c>
      <c r="OM14" s="36" t="str">
        <f t="shared" si="168"/>
        <v/>
      </c>
      <c r="ON14" s="36" t="str">
        <f t="shared" si="169"/>
        <v/>
      </c>
      <c r="OO14" s="36" t="str">
        <f t="shared" si="170"/>
        <v/>
      </c>
      <c r="OP14" s="36" t="str">
        <f t="shared" si="171"/>
        <v/>
      </c>
      <c r="OQ14" s="36" t="str">
        <f t="shared" si="172"/>
        <v/>
      </c>
      <c r="OR14" s="16"/>
      <c r="OS14" s="16"/>
      <c r="OT14" s="16"/>
      <c r="OU14" s="16"/>
      <c r="OV14" s="16"/>
      <c r="OW14" s="16"/>
      <c r="OX14" s="16"/>
      <c r="OY14" s="16"/>
      <c r="OZ14" s="16"/>
      <c r="PA14" s="16"/>
      <c r="PB14" s="16"/>
      <c r="PC14" s="16"/>
      <c r="PD14" s="16"/>
      <c r="PE14" s="16"/>
      <c r="PF14" s="16"/>
      <c r="PG14" s="16"/>
      <c r="PH14" s="16"/>
      <c r="PI14" s="16"/>
      <c r="PJ14" s="16"/>
      <c r="PK14" s="16"/>
      <c r="PL14" s="11" t="str">
        <f t="shared" si="173"/>
        <v/>
      </c>
      <c r="PM14" s="11" t="str">
        <f t="shared" si="174"/>
        <v/>
      </c>
      <c r="PN14" s="11" t="str">
        <f t="shared" si="175"/>
        <v/>
      </c>
      <c r="PO14" s="11" t="str">
        <f t="shared" si="176"/>
        <v/>
      </c>
      <c r="PP14" s="11" t="str">
        <f t="shared" si="177"/>
        <v/>
      </c>
      <c r="PQ14" s="11" t="str">
        <f t="shared" si="178"/>
        <v/>
      </c>
      <c r="PR14" s="11" t="str">
        <f t="shared" si="179"/>
        <v/>
      </c>
      <c r="PS14" s="11" t="str">
        <f t="shared" si="180"/>
        <v/>
      </c>
      <c r="PT14" s="11" t="str">
        <f t="shared" si="181"/>
        <v/>
      </c>
      <c r="PU14" s="11" t="str">
        <f t="shared" si="182"/>
        <v/>
      </c>
      <c r="PV14" s="11" t="str">
        <f t="shared" si="183"/>
        <v/>
      </c>
      <c r="PW14" s="11" t="str">
        <f t="shared" si="184"/>
        <v/>
      </c>
      <c r="PX14" s="11" t="str">
        <f t="shared" si="185"/>
        <v/>
      </c>
      <c r="PY14" s="11" t="str">
        <f t="shared" si="186"/>
        <v/>
      </c>
      <c r="PZ14" s="15"/>
      <c r="QA14" s="15"/>
      <c r="QB14" s="15"/>
      <c r="QC14" s="15"/>
      <c r="QD14" s="15"/>
      <c r="QE14" s="15"/>
      <c r="QF14" s="15"/>
      <c r="QG14" s="15"/>
      <c r="QH14" s="15"/>
      <c r="QI14" s="15"/>
      <c r="QJ14" s="15"/>
      <c r="QK14" s="15"/>
      <c r="QL14" s="15"/>
      <c r="QM14" s="15"/>
      <c r="QN14" s="15"/>
      <c r="QO14" s="15"/>
      <c r="QP14" s="15"/>
      <c r="QQ14" s="15"/>
      <c r="QR14" s="15"/>
      <c r="QS14" s="15"/>
      <c r="QT14" s="36" t="str">
        <f t="shared" si="187"/>
        <v/>
      </c>
      <c r="QU14" s="36" t="str">
        <f t="shared" si="188"/>
        <v/>
      </c>
      <c r="QV14" s="36" t="str">
        <f t="shared" si="189"/>
        <v/>
      </c>
      <c r="QW14" s="36" t="str">
        <f t="shared" si="190"/>
        <v/>
      </c>
      <c r="QX14" s="36" t="str">
        <f t="shared" si="191"/>
        <v/>
      </c>
      <c r="QY14" s="36" t="str">
        <f t="shared" si="192"/>
        <v/>
      </c>
      <c r="QZ14" s="36" t="str">
        <f t="shared" si="193"/>
        <v/>
      </c>
      <c r="RA14" s="36" t="str">
        <f t="shared" si="194"/>
        <v/>
      </c>
      <c r="RB14" s="36" t="str">
        <f t="shared" si="195"/>
        <v/>
      </c>
      <c r="RC14" s="36" t="str">
        <f t="shared" si="196"/>
        <v/>
      </c>
      <c r="RD14" s="36" t="str">
        <f t="shared" si="197"/>
        <v/>
      </c>
      <c r="RE14" s="36" t="str">
        <f t="shared" si="198"/>
        <v/>
      </c>
      <c r="RF14" s="36" t="str">
        <f t="shared" si="199"/>
        <v/>
      </c>
      <c r="RG14" s="36" t="str">
        <f t="shared" si="200"/>
        <v/>
      </c>
      <c r="RH14" s="16"/>
      <c r="RI14" s="16"/>
      <c r="RJ14" s="16"/>
      <c r="RK14" s="16"/>
      <c r="RL14" s="16"/>
      <c r="RM14" s="16"/>
      <c r="RN14" s="16"/>
      <c r="RO14" s="16"/>
      <c r="RP14" s="16"/>
      <c r="RQ14" s="16"/>
      <c r="RR14" s="16"/>
      <c r="RS14" s="16"/>
      <c r="RT14" s="16"/>
      <c r="RU14" s="16"/>
      <c r="RV14" s="16"/>
      <c r="RW14" s="16"/>
      <c r="RX14" s="16"/>
      <c r="RY14" s="16"/>
      <c r="RZ14" s="16"/>
      <c r="SA14" s="16"/>
      <c r="SB14" s="11" t="str">
        <f t="shared" si="201"/>
        <v/>
      </c>
      <c r="SC14" s="11" t="str">
        <f t="shared" si="202"/>
        <v/>
      </c>
      <c r="SD14" s="11" t="str">
        <f t="shared" si="203"/>
        <v/>
      </c>
      <c r="SE14" s="11" t="str">
        <f t="shared" si="204"/>
        <v/>
      </c>
      <c r="SF14" s="11" t="str">
        <f t="shared" si="205"/>
        <v/>
      </c>
      <c r="SG14" s="11" t="str">
        <f t="shared" si="206"/>
        <v/>
      </c>
      <c r="SH14" s="11" t="str">
        <f t="shared" si="207"/>
        <v/>
      </c>
      <c r="SI14" s="11" t="str">
        <f t="shared" si="208"/>
        <v/>
      </c>
      <c r="SJ14" s="11" t="str">
        <f t="shared" si="209"/>
        <v/>
      </c>
      <c r="SK14" s="11" t="str">
        <f t="shared" si="210"/>
        <v/>
      </c>
      <c r="SL14" s="11" t="str">
        <f t="shared" si="211"/>
        <v/>
      </c>
      <c r="SM14" s="11" t="str">
        <f t="shared" si="212"/>
        <v/>
      </c>
      <c r="SN14" s="11" t="str">
        <f t="shared" si="213"/>
        <v/>
      </c>
      <c r="SO14" s="11" t="str">
        <f t="shared" si="214"/>
        <v/>
      </c>
      <c r="SP14" s="15"/>
      <c r="SQ14" s="15"/>
      <c r="SR14" s="15"/>
      <c r="SS14" s="15"/>
      <c r="ST14" s="15"/>
      <c r="SU14" s="15"/>
      <c r="SV14" s="15"/>
      <c r="SW14" s="15"/>
      <c r="SX14" s="15"/>
      <c r="SY14" s="15"/>
      <c r="SZ14" s="15"/>
      <c r="TA14" s="15"/>
      <c r="TB14" s="15"/>
      <c r="TC14" s="15"/>
      <c r="TD14" s="15"/>
      <c r="TE14" s="15"/>
      <c r="TF14" s="15"/>
      <c r="TG14" s="15"/>
      <c r="TH14" s="15"/>
      <c r="TI14" s="15"/>
      <c r="TJ14" s="36" t="str">
        <f t="shared" si="215"/>
        <v/>
      </c>
      <c r="TK14" s="36" t="str">
        <f t="shared" si="216"/>
        <v/>
      </c>
      <c r="TL14" s="36" t="str">
        <f t="shared" si="217"/>
        <v/>
      </c>
      <c r="TM14" s="36" t="str">
        <f t="shared" si="218"/>
        <v/>
      </c>
      <c r="TN14" s="36" t="str">
        <f t="shared" si="219"/>
        <v/>
      </c>
      <c r="TO14" s="36" t="str">
        <f t="shared" si="220"/>
        <v/>
      </c>
      <c r="TP14" s="36" t="str">
        <f t="shared" si="221"/>
        <v/>
      </c>
      <c r="TQ14" s="36" t="str">
        <f t="shared" si="222"/>
        <v/>
      </c>
      <c r="TR14" s="36" t="str">
        <f t="shared" si="223"/>
        <v/>
      </c>
      <c r="TS14" s="36" t="str">
        <f t="shared" si="224"/>
        <v/>
      </c>
      <c r="TT14" s="36" t="str">
        <f t="shared" si="225"/>
        <v/>
      </c>
      <c r="TU14" s="36" t="str">
        <f t="shared" si="226"/>
        <v/>
      </c>
      <c r="TV14" s="36" t="str">
        <f t="shared" si="227"/>
        <v/>
      </c>
      <c r="TW14" s="36" t="str">
        <f t="shared" si="228"/>
        <v/>
      </c>
      <c r="TX14" s="16"/>
      <c r="TY14" s="16"/>
      <c r="TZ14" s="16"/>
      <c r="UA14" s="16"/>
      <c r="UB14" s="16"/>
      <c r="UC14" s="16"/>
      <c r="UD14" s="16"/>
      <c r="UE14" s="16"/>
      <c r="UF14" s="16"/>
      <c r="UG14" s="16"/>
      <c r="UH14" s="16"/>
      <c r="UI14" s="16"/>
      <c r="UJ14" s="16"/>
      <c r="UK14" s="16"/>
      <c r="UL14" s="16"/>
      <c r="UM14" s="16"/>
      <c r="UN14" s="16"/>
      <c r="UO14" s="16"/>
      <c r="UP14" s="16"/>
      <c r="UQ14" s="16"/>
      <c r="UR14" s="11" t="str">
        <f t="shared" si="229"/>
        <v/>
      </c>
      <c r="US14" s="11" t="str">
        <f t="shared" si="230"/>
        <v/>
      </c>
      <c r="UT14" s="11" t="str">
        <f t="shared" si="231"/>
        <v/>
      </c>
      <c r="UU14" s="11" t="str">
        <f t="shared" si="232"/>
        <v/>
      </c>
      <c r="UV14" s="11" t="str">
        <f t="shared" si="233"/>
        <v/>
      </c>
      <c r="UW14" s="11" t="str">
        <f t="shared" si="234"/>
        <v/>
      </c>
      <c r="UX14" s="11" t="str">
        <f t="shared" si="235"/>
        <v/>
      </c>
      <c r="UY14" s="11" t="str">
        <f t="shared" si="236"/>
        <v/>
      </c>
      <c r="UZ14" s="11" t="str">
        <f t="shared" si="237"/>
        <v/>
      </c>
      <c r="VA14" s="11" t="str">
        <f t="shared" si="238"/>
        <v/>
      </c>
      <c r="VB14" s="11" t="str">
        <f t="shared" si="239"/>
        <v/>
      </c>
      <c r="VC14" s="11" t="str">
        <f t="shared" si="240"/>
        <v/>
      </c>
      <c r="VD14" s="11" t="str">
        <f t="shared" si="241"/>
        <v/>
      </c>
      <c r="VE14" s="11" t="str">
        <f t="shared" si="242"/>
        <v/>
      </c>
      <c r="VF14" s="15"/>
      <c r="VG14" s="15"/>
      <c r="VH14" s="15"/>
      <c r="VI14" s="15"/>
      <c r="VJ14" s="15"/>
      <c r="VK14" s="15"/>
      <c r="VL14" s="15"/>
      <c r="VM14" s="15"/>
      <c r="VN14" s="15"/>
      <c r="VO14" s="15"/>
      <c r="VP14" s="15"/>
      <c r="VQ14" s="15"/>
      <c r="VR14" s="15"/>
      <c r="VS14" s="15"/>
      <c r="VT14" s="15"/>
      <c r="VU14" s="15"/>
      <c r="VV14" s="15"/>
      <c r="VW14" s="15"/>
      <c r="VX14" s="15"/>
      <c r="VY14" s="15"/>
      <c r="VZ14" s="36" t="str">
        <f t="shared" si="243"/>
        <v/>
      </c>
      <c r="WA14" s="36" t="str">
        <f t="shared" si="244"/>
        <v/>
      </c>
      <c r="WB14" s="36" t="str">
        <f t="shared" si="245"/>
        <v/>
      </c>
      <c r="WC14" s="36" t="str">
        <f t="shared" si="246"/>
        <v/>
      </c>
      <c r="WD14" s="36" t="str">
        <f t="shared" si="247"/>
        <v/>
      </c>
      <c r="WE14" s="36" t="str">
        <f t="shared" si="248"/>
        <v/>
      </c>
      <c r="WF14" s="36" t="str">
        <f t="shared" si="249"/>
        <v/>
      </c>
      <c r="WG14" s="36" t="str">
        <f t="shared" si="250"/>
        <v/>
      </c>
      <c r="WH14" s="36" t="str">
        <f t="shared" si="251"/>
        <v/>
      </c>
      <c r="WI14" s="36" t="str">
        <f t="shared" si="252"/>
        <v/>
      </c>
      <c r="WJ14" s="36" t="str">
        <f t="shared" si="253"/>
        <v/>
      </c>
      <c r="WK14" s="36" t="str">
        <f t="shared" si="254"/>
        <v/>
      </c>
      <c r="WL14" s="36" t="str">
        <f t="shared" si="255"/>
        <v/>
      </c>
      <c r="WM14" s="36" t="str">
        <f t="shared" si="256"/>
        <v/>
      </c>
    </row>
    <row r="15" spans="1:611" x14ac:dyDescent="0.2">
      <c r="B15" s="5"/>
      <c r="D15" s="1"/>
    </row>
    <row r="16" spans="1:611" x14ac:dyDescent="0.2">
      <c r="G16" s="32"/>
      <c r="I16" s="32"/>
    </row>
    <row r="17" spans="1:611" x14ac:dyDescent="0.2">
      <c r="B17" s="19" t="s">
        <v>40</v>
      </c>
      <c r="C17" s="5"/>
      <c r="G17" s="3"/>
      <c r="AL17" s="37"/>
      <c r="AM17" s="37"/>
      <c r="AN17" s="37"/>
      <c r="AP17" s="28"/>
      <c r="AQ17" s="28"/>
      <c r="AS17" s="38">
        <v>13.2</v>
      </c>
      <c r="BM17" s="37"/>
      <c r="BN17" s="37"/>
      <c r="BO17" s="37"/>
      <c r="BQ17" s="28"/>
      <c r="BR17" s="28"/>
      <c r="BT17" s="38">
        <v>13.2</v>
      </c>
      <c r="CN17" s="37"/>
      <c r="CO17" s="37"/>
      <c r="CP17" s="37"/>
      <c r="CR17" s="28"/>
      <c r="CS17" s="28"/>
      <c r="CU17" s="38">
        <v>13.2</v>
      </c>
      <c r="DR17" s="5"/>
      <c r="DS17" s="5"/>
      <c r="EB17" s="2"/>
      <c r="EC17" s="2"/>
      <c r="EE17" s="38">
        <v>13.2</v>
      </c>
      <c r="EZ17" s="5"/>
      <c r="FA17" s="5"/>
      <c r="FJ17" s="2"/>
      <c r="FK17" s="2"/>
      <c r="FM17" s="38">
        <v>13.2</v>
      </c>
      <c r="GH17" s="5"/>
      <c r="GI17" s="5"/>
      <c r="GR17" s="2"/>
      <c r="GS17" s="2"/>
      <c r="GU17" s="38">
        <v>13.2</v>
      </c>
      <c r="HP17" s="5"/>
      <c r="HQ17" s="5"/>
      <c r="HZ17" s="2"/>
      <c r="IA17" s="2"/>
      <c r="IC17" s="38">
        <v>13.2</v>
      </c>
      <c r="IX17" s="5"/>
      <c r="IY17" s="5"/>
      <c r="JH17" s="2"/>
      <c r="JI17" s="2"/>
      <c r="JK17" s="38">
        <v>13.2</v>
      </c>
      <c r="KF17" s="5"/>
      <c r="KG17" s="5"/>
      <c r="KP17" s="2"/>
      <c r="KQ17" s="2"/>
      <c r="KS17" s="38">
        <v>13.2</v>
      </c>
      <c r="LN17" s="5"/>
      <c r="LO17" s="5"/>
      <c r="LX17" s="2"/>
      <c r="LY17" s="2"/>
      <c r="MA17" s="38">
        <v>13.2</v>
      </c>
      <c r="MV17" s="5"/>
      <c r="MW17" s="5"/>
      <c r="NF17" s="2"/>
      <c r="NG17" s="2"/>
      <c r="NI17" s="38">
        <v>13.2</v>
      </c>
      <c r="OD17" s="5"/>
      <c r="OE17" s="5"/>
      <c r="ON17" s="2"/>
      <c r="OO17" s="2"/>
      <c r="OQ17" s="38">
        <v>13.2</v>
      </c>
      <c r="PL17" s="5"/>
      <c r="PM17" s="5"/>
      <c r="PV17" s="2"/>
      <c r="PW17" s="2"/>
      <c r="PY17" s="38">
        <v>13.2</v>
      </c>
      <c r="QT17" s="5"/>
      <c r="QU17" s="5"/>
      <c r="RD17" s="2"/>
      <c r="RE17" s="2"/>
      <c r="RG17" s="38">
        <v>13.4</v>
      </c>
      <c r="SB17" s="5"/>
      <c r="SC17" s="5"/>
      <c r="SL17" s="2"/>
      <c r="SM17" s="2"/>
      <c r="SO17" s="38">
        <v>13.4</v>
      </c>
      <c r="TJ17" s="5"/>
      <c r="TK17" s="5"/>
      <c r="TT17" s="2"/>
      <c r="TU17" s="2"/>
      <c r="TW17" s="38">
        <v>13.4</v>
      </c>
      <c r="UR17" s="5"/>
      <c r="US17" s="5"/>
      <c r="VB17" s="2"/>
      <c r="VC17" s="2"/>
      <c r="VE17" s="38">
        <v>13.4</v>
      </c>
      <c r="VZ17" s="5"/>
      <c r="WA17" s="5"/>
      <c r="WJ17" s="2"/>
      <c r="WK17" s="2"/>
      <c r="WM17" s="38">
        <v>13.4</v>
      </c>
    </row>
    <row r="18" spans="1:611" hidden="1" x14ac:dyDescent="0.2">
      <c r="B18" s="26" t="s">
        <v>39</v>
      </c>
      <c r="C18" s="5"/>
      <c r="R18" s="2"/>
      <c r="AL18" s="37"/>
      <c r="AM18" s="37"/>
      <c r="AN18" s="37"/>
      <c r="AP18" s="28"/>
      <c r="AQ18" s="28"/>
      <c r="AS18" s="39">
        <v>1000</v>
      </c>
      <c r="BM18" s="37"/>
      <c r="BN18" s="37"/>
      <c r="BO18" s="37"/>
      <c r="BQ18" s="28"/>
      <c r="BR18" s="28"/>
      <c r="BT18" s="39">
        <v>1000</v>
      </c>
      <c r="CN18" s="37"/>
      <c r="CO18" s="37"/>
      <c r="CP18" s="37"/>
      <c r="CR18" s="28"/>
      <c r="CS18" s="28"/>
      <c r="CU18" s="39">
        <v>1000</v>
      </c>
      <c r="DR18" s="5"/>
      <c r="DS18" s="5"/>
      <c r="EB18" s="2"/>
      <c r="EC18" s="2"/>
      <c r="EE18" s="39">
        <v>1000</v>
      </c>
      <c r="EZ18" s="5"/>
      <c r="FA18" s="5"/>
      <c r="FJ18" s="2"/>
      <c r="FK18" s="2"/>
      <c r="FM18" s="39">
        <v>1000</v>
      </c>
      <c r="GH18" s="5"/>
      <c r="GI18" s="5"/>
      <c r="GR18" s="2"/>
      <c r="GS18" s="2"/>
      <c r="GU18" s="39">
        <v>1000</v>
      </c>
      <c r="HP18" s="5"/>
      <c r="HQ18" s="5"/>
      <c r="HZ18" s="2"/>
      <c r="IA18" s="2"/>
      <c r="IC18" s="39">
        <v>1000</v>
      </c>
      <c r="IX18" s="5"/>
      <c r="IY18" s="5"/>
      <c r="JH18" s="2"/>
      <c r="JI18" s="2"/>
      <c r="JK18" s="39">
        <v>1000</v>
      </c>
      <c r="KF18" s="5"/>
      <c r="KG18" s="5"/>
      <c r="KP18" s="2"/>
      <c r="KQ18" s="2"/>
      <c r="KS18" s="39">
        <v>1000</v>
      </c>
      <c r="LN18" s="5"/>
      <c r="LO18" s="5"/>
      <c r="LX18" s="2"/>
      <c r="LY18" s="2"/>
      <c r="MA18" s="39">
        <v>1000</v>
      </c>
      <c r="MV18" s="5"/>
      <c r="MW18" s="5"/>
      <c r="NF18" s="2"/>
      <c r="NG18" s="2"/>
      <c r="NI18" s="39">
        <v>1000</v>
      </c>
      <c r="OD18" s="5"/>
      <c r="OE18" s="5"/>
      <c r="ON18" s="2"/>
      <c r="OO18" s="2"/>
      <c r="OQ18" s="39">
        <v>1000</v>
      </c>
      <c r="PL18" s="5"/>
      <c r="PM18" s="5"/>
      <c r="PV18" s="2"/>
      <c r="PW18" s="2"/>
      <c r="PY18" s="39">
        <v>1000</v>
      </c>
      <c r="QT18" s="5"/>
      <c r="QU18" s="5"/>
      <c r="RD18" s="2"/>
      <c r="RE18" s="2"/>
      <c r="RG18" s="39">
        <v>1000</v>
      </c>
      <c r="SB18" s="5"/>
      <c r="SC18" s="5"/>
      <c r="SL18" s="2"/>
      <c r="SM18" s="2"/>
      <c r="SO18" s="39">
        <v>1000</v>
      </c>
      <c r="TJ18" s="5"/>
      <c r="TK18" s="5"/>
      <c r="TT18" s="2"/>
      <c r="TU18" s="2"/>
      <c r="TW18" s="39">
        <v>1000</v>
      </c>
      <c r="UR18" s="5"/>
      <c r="US18" s="5"/>
      <c r="VB18" s="2"/>
      <c r="VC18" s="2"/>
      <c r="VE18" s="39">
        <v>1000</v>
      </c>
      <c r="VZ18" s="5"/>
      <c r="WA18" s="5"/>
      <c r="WJ18" s="2"/>
      <c r="WK18" s="2"/>
      <c r="WM18" s="39">
        <v>1000</v>
      </c>
    </row>
    <row r="19" spans="1:611" hidden="1" x14ac:dyDescent="0.2">
      <c r="A19" s="5"/>
      <c r="B19" s="27" t="s">
        <v>50</v>
      </c>
      <c r="C19" s="5"/>
      <c r="E19" s="2"/>
      <c r="AL19" s="37"/>
      <c r="AM19" s="37"/>
      <c r="AN19" s="37"/>
      <c r="AO19" s="28"/>
      <c r="AP19" s="28"/>
      <c r="AQ19" s="28"/>
      <c r="AR19" s="28"/>
      <c r="AS19" s="40">
        <v>1000</v>
      </c>
      <c r="BM19" s="37"/>
      <c r="BN19" s="37"/>
      <c r="BO19" s="37"/>
      <c r="BQ19" s="28"/>
      <c r="BR19" s="28"/>
      <c r="BT19" s="40">
        <v>1000</v>
      </c>
      <c r="CN19" s="37"/>
      <c r="CO19" s="37"/>
      <c r="CP19" s="37"/>
      <c r="CQ19" s="28"/>
      <c r="CR19" s="28"/>
      <c r="CS19" s="28"/>
      <c r="CT19" s="28"/>
      <c r="CU19" s="40">
        <v>1000</v>
      </c>
      <c r="DR19" s="5"/>
      <c r="DS19" s="5"/>
      <c r="EB19" s="2"/>
      <c r="EC19" s="2"/>
      <c r="EE19" s="40">
        <v>0</v>
      </c>
      <c r="EZ19" s="5"/>
      <c r="FA19" s="5"/>
      <c r="FJ19" s="2"/>
      <c r="FK19" s="2"/>
      <c r="FM19" s="40">
        <v>0</v>
      </c>
      <c r="GH19" s="5"/>
      <c r="GI19" s="5"/>
      <c r="GR19" s="2"/>
      <c r="GS19" s="2"/>
      <c r="GU19" s="40">
        <v>0</v>
      </c>
      <c r="HP19" s="5"/>
      <c r="HQ19" s="5"/>
      <c r="HZ19" s="2"/>
      <c r="IA19" s="2"/>
      <c r="IC19" s="40">
        <v>0</v>
      </c>
      <c r="IX19" s="5"/>
      <c r="IY19" s="5"/>
      <c r="JH19" s="2"/>
      <c r="JI19" s="2"/>
      <c r="JK19" s="40">
        <v>0</v>
      </c>
      <c r="KF19" s="5"/>
      <c r="KG19" s="5"/>
      <c r="KP19" s="2"/>
      <c r="KQ19" s="2"/>
      <c r="KS19" s="40">
        <v>0</v>
      </c>
      <c r="LN19" s="5"/>
      <c r="LO19" s="5"/>
      <c r="LX19" s="2"/>
      <c r="LY19" s="2"/>
      <c r="MA19" s="40">
        <v>0</v>
      </c>
      <c r="MV19" s="5"/>
      <c r="MW19" s="5"/>
      <c r="NF19" s="2"/>
      <c r="NG19" s="2"/>
      <c r="NI19" s="40">
        <v>0</v>
      </c>
      <c r="OD19" s="5"/>
      <c r="OE19" s="5"/>
      <c r="ON19" s="2"/>
      <c r="OO19" s="2"/>
      <c r="OQ19" s="40">
        <v>0</v>
      </c>
      <c r="PL19" s="5"/>
      <c r="PM19" s="5"/>
      <c r="PV19" s="2"/>
      <c r="PW19" s="2"/>
      <c r="PY19" s="40">
        <v>0</v>
      </c>
      <c r="QT19" s="5"/>
      <c r="QU19" s="5"/>
      <c r="RD19" s="2"/>
      <c r="RE19" s="2"/>
      <c r="RG19" s="40">
        <v>0</v>
      </c>
      <c r="SB19" s="5"/>
      <c r="SC19" s="5"/>
      <c r="SL19" s="2"/>
      <c r="SM19" s="2"/>
      <c r="SO19" s="40">
        <v>0</v>
      </c>
      <c r="TJ19" s="5"/>
      <c r="TK19" s="5"/>
      <c r="TT19" s="2"/>
      <c r="TU19" s="2"/>
      <c r="TW19" s="40">
        <v>0</v>
      </c>
      <c r="UR19" s="5"/>
      <c r="US19" s="5"/>
      <c r="VB19" s="2"/>
      <c r="VC19" s="2"/>
      <c r="VE19" s="40">
        <v>0</v>
      </c>
      <c r="VZ19" s="5"/>
      <c r="WA19" s="5"/>
      <c r="WJ19" s="2"/>
      <c r="WK19" s="2"/>
      <c r="WM19" s="40">
        <v>0</v>
      </c>
    </row>
    <row r="20" spans="1:611" hidden="1" x14ac:dyDescent="0.2">
      <c r="A20" s="5"/>
      <c r="B20" s="31" t="s">
        <v>57</v>
      </c>
      <c r="C20" s="5"/>
      <c r="E20" s="2"/>
      <c r="AL20" s="37"/>
      <c r="AM20" s="37"/>
      <c r="AN20" s="37"/>
      <c r="AO20" s="28"/>
      <c r="AP20" s="28"/>
      <c r="AQ20" s="28"/>
      <c r="AR20" s="28"/>
      <c r="AS20" s="41">
        <v>1000</v>
      </c>
      <c r="BM20" s="37"/>
      <c r="BN20" s="37"/>
      <c r="BO20" s="37"/>
      <c r="BQ20" s="28"/>
      <c r="BR20" s="28"/>
      <c r="BT20" s="41">
        <v>1000</v>
      </c>
      <c r="CN20" s="37"/>
      <c r="CO20" s="37"/>
      <c r="CP20" s="37"/>
      <c r="CQ20" s="28"/>
      <c r="CR20" s="28"/>
      <c r="CS20" s="28"/>
      <c r="CT20" s="28"/>
      <c r="CU20" s="41">
        <v>1000</v>
      </c>
      <c r="DR20" s="5"/>
      <c r="DS20" s="5"/>
      <c r="EB20" s="2"/>
      <c r="EC20" s="2"/>
      <c r="EE20" s="41">
        <v>0</v>
      </c>
      <c r="EZ20" s="5"/>
      <c r="FA20" s="5"/>
      <c r="FJ20" s="2"/>
      <c r="FK20" s="2"/>
      <c r="FM20" s="41">
        <v>0</v>
      </c>
      <c r="GH20" s="5"/>
      <c r="GI20" s="5"/>
      <c r="GR20" s="2"/>
      <c r="GS20" s="2"/>
      <c r="GU20" s="41">
        <v>0</v>
      </c>
      <c r="HP20" s="5"/>
      <c r="HQ20" s="5"/>
      <c r="HZ20" s="2"/>
      <c r="IA20" s="2"/>
      <c r="IC20" s="41">
        <v>0</v>
      </c>
      <c r="IX20" s="5"/>
      <c r="IY20" s="5"/>
      <c r="JH20" s="2"/>
      <c r="JI20" s="2"/>
      <c r="JK20" s="41">
        <v>0</v>
      </c>
      <c r="KF20" s="5"/>
      <c r="KG20" s="5"/>
      <c r="KP20" s="2"/>
      <c r="KQ20" s="2"/>
      <c r="KS20" s="41">
        <v>0</v>
      </c>
      <c r="LN20" s="5"/>
      <c r="LO20" s="5"/>
      <c r="LX20" s="2"/>
      <c r="LY20" s="2"/>
      <c r="MA20" s="41">
        <v>0</v>
      </c>
      <c r="MV20" s="5"/>
      <c r="MW20" s="5"/>
      <c r="NF20" s="2"/>
      <c r="NG20" s="2"/>
      <c r="NI20" s="41">
        <v>0</v>
      </c>
      <c r="OD20" s="5"/>
      <c r="OE20" s="5"/>
      <c r="ON20" s="2"/>
      <c r="OO20" s="2"/>
      <c r="OQ20" s="41">
        <v>0</v>
      </c>
      <c r="PL20" s="5"/>
      <c r="PM20" s="5"/>
      <c r="PV20" s="2"/>
      <c r="PW20" s="2"/>
      <c r="PY20" s="41">
        <v>0</v>
      </c>
      <c r="QT20" s="5"/>
      <c r="QU20" s="5"/>
      <c r="RD20" s="2"/>
      <c r="RE20" s="2"/>
      <c r="RG20" s="41">
        <v>0</v>
      </c>
      <c r="SB20" s="5"/>
      <c r="SC20" s="5"/>
      <c r="SL20" s="2"/>
      <c r="SM20" s="2"/>
      <c r="SO20" s="41">
        <v>0</v>
      </c>
      <c r="TJ20" s="5"/>
      <c r="TK20" s="5"/>
      <c r="TT20" s="2"/>
      <c r="TU20" s="2"/>
      <c r="TW20" s="41">
        <v>0</v>
      </c>
      <c r="UR20" s="5"/>
      <c r="US20" s="5"/>
      <c r="VB20" s="2"/>
      <c r="VC20" s="2"/>
      <c r="VE20" s="41">
        <v>0</v>
      </c>
      <c r="VZ20" s="5"/>
      <c r="WA20" s="5"/>
      <c r="WJ20" s="2"/>
      <c r="WK20" s="2"/>
      <c r="WM20" s="41">
        <v>0</v>
      </c>
    </row>
    <row r="21" spans="1:611" x14ac:dyDescent="0.2">
      <c r="A21" s="5"/>
      <c r="B21" s="30" t="s">
        <v>37</v>
      </c>
      <c r="C21" s="5"/>
      <c r="AL21" s="37"/>
      <c r="AM21" s="37"/>
      <c r="AN21" s="37"/>
      <c r="AO21" s="28"/>
      <c r="AP21" s="28"/>
      <c r="AQ21" s="28"/>
      <c r="AR21" s="28"/>
      <c r="AS21" s="42">
        <v>51.6</v>
      </c>
      <c r="BM21" s="37"/>
      <c r="BN21" s="37"/>
      <c r="BO21" s="37"/>
      <c r="BQ21" s="28"/>
      <c r="BR21" s="28"/>
      <c r="BT21" s="42">
        <v>51.6</v>
      </c>
      <c r="CN21" s="37"/>
      <c r="CO21" s="37"/>
      <c r="CP21" s="37"/>
      <c r="CQ21" s="28"/>
      <c r="CR21" s="28"/>
      <c r="CS21" s="28"/>
      <c r="CT21" s="28"/>
      <c r="CU21" s="42">
        <v>51.6</v>
      </c>
      <c r="DR21" s="5"/>
      <c r="DS21" s="5"/>
      <c r="EB21" s="2"/>
      <c r="EC21" s="2"/>
      <c r="EE21" s="42">
        <v>51.6</v>
      </c>
      <c r="EZ21" s="5"/>
      <c r="FA21" s="5"/>
      <c r="FJ21" s="2"/>
      <c r="FK21" s="2"/>
      <c r="FM21" s="42">
        <v>51.6</v>
      </c>
      <c r="GH21" s="5"/>
      <c r="GI21" s="5"/>
      <c r="GR21" s="2"/>
      <c r="GS21" s="2"/>
      <c r="GU21" s="42">
        <v>51.6</v>
      </c>
      <c r="HP21" s="5"/>
      <c r="HQ21" s="5"/>
      <c r="HZ21" s="2"/>
      <c r="IA21" s="2"/>
      <c r="IC21" s="42">
        <v>51.6</v>
      </c>
      <c r="IX21" s="5"/>
      <c r="IY21" s="5"/>
      <c r="JH21" s="2"/>
      <c r="JI21" s="2"/>
      <c r="JK21" s="42">
        <v>51.6</v>
      </c>
      <c r="KF21" s="5"/>
      <c r="KG21" s="5"/>
      <c r="KP21" s="2"/>
      <c r="KQ21" s="2"/>
      <c r="KS21" s="42">
        <v>51.6</v>
      </c>
      <c r="LN21" s="5"/>
      <c r="LO21" s="5"/>
      <c r="LX21" s="2"/>
      <c r="LY21" s="2"/>
      <c r="MA21" s="42">
        <v>51.6</v>
      </c>
      <c r="MV21" s="5"/>
      <c r="MW21" s="5"/>
      <c r="NF21" s="2"/>
      <c r="NG21" s="2"/>
      <c r="NI21" s="42">
        <v>51.6</v>
      </c>
      <c r="OD21" s="5"/>
      <c r="OE21" s="5"/>
      <c r="ON21" s="2"/>
      <c r="OO21" s="2"/>
      <c r="OQ21" s="42">
        <v>51.6</v>
      </c>
      <c r="PL21" s="5"/>
      <c r="PM21" s="5"/>
      <c r="PV21" s="2"/>
      <c r="PW21" s="2"/>
      <c r="PY21" s="42">
        <v>51.6</v>
      </c>
      <c r="QT21" s="5"/>
      <c r="QU21" s="5"/>
      <c r="RD21" s="2"/>
      <c r="RE21" s="2"/>
      <c r="RG21" s="42">
        <v>51.8</v>
      </c>
      <c r="SB21" s="5"/>
      <c r="SC21" s="5"/>
      <c r="SL21" s="2"/>
      <c r="SM21" s="2"/>
      <c r="SO21" s="42">
        <v>51.8</v>
      </c>
      <c r="TJ21" s="5"/>
      <c r="TK21" s="5"/>
      <c r="TT21" s="2"/>
      <c r="TU21" s="2"/>
      <c r="TW21" s="42">
        <v>51.8</v>
      </c>
      <c r="UR21" s="5"/>
      <c r="US21" s="5"/>
      <c r="VB21" s="2"/>
      <c r="VC21" s="2"/>
      <c r="VE21" s="42">
        <v>51.8</v>
      </c>
      <c r="VZ21" s="5"/>
      <c r="WA21" s="5"/>
      <c r="WJ21" s="2"/>
      <c r="WK21" s="2"/>
      <c r="WM21" s="42">
        <v>51.8</v>
      </c>
    </row>
    <row r="22" spans="1:611" hidden="1" x14ac:dyDescent="0.2">
      <c r="A22" s="5"/>
      <c r="B22" s="20" t="s">
        <v>38</v>
      </c>
      <c r="C22" s="5"/>
      <c r="AL22" s="37"/>
      <c r="AM22" s="37"/>
      <c r="AN22" s="37"/>
      <c r="AO22" s="28"/>
      <c r="AP22" s="28"/>
      <c r="AQ22" s="28"/>
      <c r="AR22" s="28"/>
      <c r="AS22" s="43">
        <v>1000</v>
      </c>
      <c r="BM22" s="37"/>
      <c r="BN22" s="37"/>
      <c r="BO22" s="37"/>
      <c r="BQ22" s="28"/>
      <c r="BR22" s="28"/>
      <c r="BT22" s="43">
        <v>1000</v>
      </c>
      <c r="CN22" s="37"/>
      <c r="CO22" s="37"/>
      <c r="CP22" s="37"/>
      <c r="CQ22" s="28"/>
      <c r="CR22" s="28"/>
      <c r="CS22" s="28"/>
      <c r="CT22" s="28"/>
      <c r="CU22" s="43">
        <v>1000</v>
      </c>
      <c r="DR22" s="5"/>
      <c r="DS22" s="5"/>
      <c r="EB22" s="2"/>
      <c r="EC22" s="2"/>
      <c r="EE22" s="43">
        <v>1000</v>
      </c>
      <c r="EZ22" s="5"/>
      <c r="FA22" s="5"/>
      <c r="FJ22" s="2"/>
      <c r="FK22" s="2"/>
      <c r="FM22" s="43">
        <v>1000</v>
      </c>
      <c r="GH22" s="5"/>
      <c r="GI22" s="5"/>
      <c r="GR22" s="2"/>
      <c r="GS22" s="2"/>
      <c r="GU22" s="43">
        <v>1000</v>
      </c>
      <c r="HP22" s="5"/>
      <c r="HQ22" s="5"/>
      <c r="HZ22" s="2"/>
      <c r="IA22" s="2"/>
      <c r="IC22" s="43">
        <v>1000</v>
      </c>
      <c r="IX22" s="5"/>
      <c r="IY22" s="5"/>
      <c r="JH22" s="2"/>
      <c r="JI22" s="2"/>
      <c r="JK22" s="43">
        <v>1000</v>
      </c>
      <c r="KF22" s="5"/>
      <c r="KG22" s="5"/>
      <c r="KP22" s="2"/>
      <c r="KQ22" s="2"/>
      <c r="KS22" s="43">
        <v>1000</v>
      </c>
      <c r="LN22" s="5"/>
      <c r="LO22" s="5"/>
      <c r="LX22" s="2"/>
      <c r="LY22" s="2"/>
      <c r="MA22" s="43">
        <v>1000</v>
      </c>
      <c r="MV22" s="5"/>
      <c r="MW22" s="5"/>
      <c r="NF22" s="2"/>
      <c r="NG22" s="2"/>
      <c r="NI22" s="43">
        <v>1000</v>
      </c>
      <c r="OD22" s="5"/>
      <c r="OE22" s="5"/>
      <c r="ON22" s="2"/>
      <c r="OO22" s="2"/>
      <c r="OQ22" s="43">
        <v>1000</v>
      </c>
      <c r="PL22" s="5"/>
      <c r="PM22" s="5"/>
      <c r="PV22" s="2"/>
      <c r="PW22" s="2"/>
      <c r="PY22" s="43">
        <v>1000</v>
      </c>
      <c r="QT22" s="5"/>
      <c r="QU22" s="5"/>
      <c r="RD22" s="2"/>
      <c r="RE22" s="2"/>
      <c r="RG22" s="43">
        <v>1000</v>
      </c>
      <c r="SB22" s="5"/>
      <c r="SC22" s="5"/>
      <c r="SL22" s="2"/>
      <c r="SM22" s="2"/>
      <c r="SO22" s="43">
        <v>1000</v>
      </c>
      <c r="TJ22" s="5"/>
      <c r="TK22" s="5"/>
      <c r="TT22" s="2"/>
      <c r="TU22" s="2"/>
      <c r="TW22" s="43">
        <v>1000</v>
      </c>
      <c r="UR22" s="5"/>
      <c r="US22" s="5"/>
      <c r="VB22" s="2"/>
      <c r="VC22" s="2"/>
      <c r="VE22" s="43">
        <v>1000</v>
      </c>
      <c r="VZ22" s="5"/>
      <c r="WA22" s="5"/>
      <c r="WJ22" s="2"/>
      <c r="WK22" s="2"/>
      <c r="WM22" s="43">
        <v>1000</v>
      </c>
    </row>
    <row r="23" spans="1:611" hidden="1" x14ac:dyDescent="0.2">
      <c r="A23" s="5"/>
      <c r="B23" s="29" t="s">
        <v>49</v>
      </c>
      <c r="C23" s="5"/>
      <c r="AL23" s="37"/>
      <c r="AM23" s="37"/>
      <c r="AN23" s="37"/>
      <c r="AO23" s="28"/>
      <c r="AP23" s="28"/>
      <c r="AQ23" s="28"/>
      <c r="AR23" s="28"/>
      <c r="AS23" s="44">
        <v>1000</v>
      </c>
      <c r="BM23" s="37"/>
      <c r="BN23" s="37"/>
      <c r="BO23" s="37"/>
      <c r="BQ23" s="28"/>
      <c r="BR23" s="28"/>
      <c r="BT23" s="44">
        <v>1000</v>
      </c>
      <c r="CN23" s="37"/>
      <c r="CO23" s="37"/>
      <c r="CP23" s="37"/>
      <c r="CQ23" s="28"/>
      <c r="CR23" s="28"/>
      <c r="CS23" s="28"/>
      <c r="CT23" s="28"/>
      <c r="CU23" s="44">
        <v>1000</v>
      </c>
      <c r="DR23" s="5"/>
      <c r="DS23" s="5"/>
      <c r="EB23" s="2"/>
      <c r="EC23" s="2"/>
      <c r="ED23" s="33"/>
      <c r="EE23" s="44">
        <v>1000</v>
      </c>
      <c r="EZ23" s="5"/>
      <c r="FA23" s="5"/>
      <c r="FJ23" s="2"/>
      <c r="FK23" s="2"/>
      <c r="FL23" s="33"/>
      <c r="FM23" s="44">
        <v>1000</v>
      </c>
      <c r="GH23" s="5"/>
      <c r="GI23" s="5"/>
      <c r="GR23" s="2"/>
      <c r="GS23" s="2"/>
      <c r="GT23" s="33"/>
      <c r="GU23" s="44">
        <v>1000</v>
      </c>
      <c r="HP23" s="5"/>
      <c r="HQ23" s="5"/>
      <c r="HZ23" s="2"/>
      <c r="IA23" s="2"/>
      <c r="IB23" s="33"/>
      <c r="IC23" s="44">
        <v>1000</v>
      </c>
      <c r="IX23" s="5"/>
      <c r="IY23" s="5"/>
      <c r="JH23" s="2"/>
      <c r="JI23" s="2"/>
      <c r="JJ23" s="33"/>
      <c r="JK23" s="44">
        <v>1000</v>
      </c>
      <c r="KF23" s="5"/>
      <c r="KG23" s="5"/>
      <c r="KP23" s="2"/>
      <c r="KQ23" s="2"/>
      <c r="KR23" s="33"/>
      <c r="KS23" s="44">
        <v>1000</v>
      </c>
      <c r="LN23" s="5"/>
      <c r="LO23" s="5"/>
      <c r="LX23" s="2"/>
      <c r="LY23" s="2"/>
      <c r="LZ23" s="33"/>
      <c r="MA23" s="44">
        <v>1000</v>
      </c>
      <c r="MV23" s="5"/>
      <c r="MW23" s="5"/>
      <c r="NF23" s="2"/>
      <c r="NG23" s="2"/>
      <c r="NH23" s="33"/>
      <c r="NI23" s="44">
        <v>1000</v>
      </c>
      <c r="OD23" s="5"/>
      <c r="OE23" s="5"/>
      <c r="ON23" s="2"/>
      <c r="OO23" s="2"/>
      <c r="OP23" s="33"/>
      <c r="OQ23" s="44">
        <v>1000</v>
      </c>
      <c r="PL23" s="5"/>
      <c r="PM23" s="5"/>
      <c r="PV23" s="2"/>
      <c r="PW23" s="2"/>
      <c r="PX23" s="33"/>
      <c r="PY23" s="44">
        <v>1000</v>
      </c>
      <c r="QT23" s="5"/>
      <c r="QU23" s="5"/>
      <c r="RD23" s="2"/>
      <c r="RE23" s="2"/>
      <c r="RF23" s="33"/>
      <c r="RG23" s="44">
        <v>1000</v>
      </c>
      <c r="SB23" s="5"/>
      <c r="SC23" s="5"/>
      <c r="SL23" s="2"/>
      <c r="SM23" s="2"/>
      <c r="SN23" s="33"/>
      <c r="SO23" s="44">
        <v>1000</v>
      </c>
      <c r="TJ23" s="5"/>
      <c r="TK23" s="5"/>
      <c r="TT23" s="2"/>
      <c r="TU23" s="2"/>
      <c r="TV23" s="33"/>
      <c r="TW23" s="44">
        <v>1000</v>
      </c>
      <c r="UR23" s="5"/>
      <c r="US23" s="5"/>
      <c r="VB23" s="2"/>
      <c r="VC23" s="2"/>
      <c r="VD23" s="33"/>
      <c r="VE23" s="44">
        <v>1000</v>
      </c>
      <c r="VZ23" s="5"/>
      <c r="WA23" s="5"/>
      <c r="WJ23" s="2"/>
      <c r="WK23" s="2"/>
      <c r="WL23" s="33"/>
      <c r="WM23" s="44">
        <v>1000</v>
      </c>
    </row>
    <row r="24" spans="1:611" hidden="1" x14ac:dyDescent="0.2">
      <c r="A24" s="5"/>
      <c r="B24" s="21" t="s">
        <v>30</v>
      </c>
      <c r="C24" s="5"/>
      <c r="AL24" s="37"/>
      <c r="AM24" s="37"/>
      <c r="AN24" s="37"/>
      <c r="AO24" s="28"/>
      <c r="AP24" s="37"/>
      <c r="AQ24" s="37"/>
      <c r="AR24" s="28"/>
      <c r="AS24" s="45">
        <v>1000</v>
      </c>
      <c r="BM24" s="37"/>
      <c r="BN24" s="37"/>
      <c r="BO24" s="37"/>
      <c r="BQ24" s="37"/>
      <c r="BR24" s="28"/>
      <c r="BT24" s="45">
        <v>1000</v>
      </c>
      <c r="CN24" s="37"/>
      <c r="CO24" s="37"/>
      <c r="CP24" s="37"/>
      <c r="CQ24" s="28"/>
      <c r="CR24" s="37"/>
      <c r="CS24" s="28"/>
      <c r="CT24" s="28"/>
      <c r="CU24" s="45">
        <v>1000</v>
      </c>
      <c r="DR24" s="5"/>
      <c r="DS24" s="5"/>
      <c r="EB24" s="37"/>
      <c r="EC24" s="2"/>
      <c r="EE24" s="45">
        <v>1000</v>
      </c>
      <c r="EZ24" s="5"/>
      <c r="FA24" s="5"/>
      <c r="FJ24" s="37"/>
      <c r="FK24" s="2"/>
      <c r="FM24" s="45">
        <v>1000</v>
      </c>
      <c r="GH24" s="5"/>
      <c r="GI24" s="5"/>
      <c r="GR24" s="2"/>
      <c r="GS24" s="2"/>
      <c r="GU24" s="45">
        <v>1000</v>
      </c>
      <c r="HP24" s="5"/>
      <c r="HQ24" s="5"/>
      <c r="HZ24" s="37"/>
      <c r="IA24" s="2"/>
      <c r="IC24" s="45">
        <v>1000</v>
      </c>
      <c r="IX24" s="5"/>
      <c r="IY24" s="5"/>
      <c r="JH24" s="2"/>
      <c r="JI24" s="2"/>
      <c r="JK24" s="45">
        <v>1000</v>
      </c>
      <c r="KF24" s="5"/>
      <c r="KG24" s="5"/>
      <c r="KP24" s="2"/>
      <c r="KQ24" s="2"/>
      <c r="KS24" s="45">
        <v>1000</v>
      </c>
      <c r="LN24" s="5"/>
      <c r="LO24" s="5"/>
      <c r="LX24" s="2"/>
      <c r="LY24" s="2"/>
      <c r="MA24" s="45">
        <v>1000</v>
      </c>
      <c r="MV24" s="5"/>
      <c r="MW24" s="5"/>
      <c r="NF24" s="2"/>
      <c r="NG24" s="2"/>
      <c r="NI24" s="45">
        <v>1000</v>
      </c>
      <c r="OD24" s="5"/>
      <c r="OE24" s="5"/>
      <c r="ON24" s="2"/>
      <c r="OO24" s="2"/>
      <c r="OQ24" s="45">
        <v>1000</v>
      </c>
      <c r="PL24" s="5"/>
      <c r="PM24" s="5"/>
      <c r="PV24" s="2"/>
      <c r="PW24" s="2"/>
      <c r="PY24" s="45">
        <v>1000</v>
      </c>
      <c r="QT24" s="5"/>
      <c r="QU24" s="5"/>
      <c r="RD24" s="2"/>
      <c r="RE24" s="2"/>
      <c r="RG24" s="45">
        <v>1000</v>
      </c>
      <c r="SB24" s="5"/>
      <c r="SC24" s="5"/>
      <c r="SL24" s="2"/>
      <c r="SM24" s="2"/>
      <c r="SO24" s="45">
        <v>1000</v>
      </c>
      <c r="TJ24" s="5"/>
      <c r="TK24" s="5"/>
      <c r="TT24" s="2"/>
      <c r="TU24" s="2"/>
      <c r="TW24" s="45">
        <v>1000</v>
      </c>
      <c r="UR24" s="5"/>
      <c r="US24" s="5"/>
      <c r="VB24" s="2"/>
      <c r="VC24" s="2"/>
      <c r="VE24" s="45">
        <v>1000</v>
      </c>
      <c r="VZ24" s="5"/>
      <c r="WA24" s="5"/>
      <c r="WJ24" s="2"/>
      <c r="WK24" s="2"/>
      <c r="WM24" s="45">
        <v>1000</v>
      </c>
    </row>
    <row r="25" spans="1:611" x14ac:dyDescent="0.2">
      <c r="B25" s="25" t="s">
        <v>43</v>
      </c>
      <c r="C25" s="2"/>
      <c r="AO25" s="28"/>
      <c r="AR25" s="28"/>
      <c r="CQ25" s="28"/>
      <c r="CT25" s="28"/>
    </row>
    <row r="26" spans="1:611" x14ac:dyDescent="0.2">
      <c r="A26" s="5"/>
      <c r="B26" s="5"/>
      <c r="C26" s="17"/>
      <c r="AK26" s="28"/>
      <c r="AL26" s="28"/>
      <c r="AM26" s="28"/>
      <c r="AN26" s="28"/>
      <c r="AO26" s="28"/>
      <c r="AR26" s="28"/>
      <c r="CM26" s="28"/>
      <c r="CN26" s="28"/>
      <c r="CO26" s="28"/>
      <c r="CP26" s="28"/>
      <c r="CQ26" s="28"/>
      <c r="CT26" s="28"/>
    </row>
    <row r="27" spans="1:611" ht="17" x14ac:dyDescent="0.2">
      <c r="A27" s="5"/>
      <c r="B27" s="5"/>
      <c r="C27" s="17"/>
      <c r="P27" s="10"/>
      <c r="Q27" s="10"/>
      <c r="AK27" s="28"/>
      <c r="AL27" s="28"/>
      <c r="AM27" s="28"/>
      <c r="AN27" s="28"/>
      <c r="AO27" s="28"/>
      <c r="AR27" s="28"/>
      <c r="CM27" s="28"/>
      <c r="CN27" s="28"/>
      <c r="CO27" s="28"/>
      <c r="CP27" s="28"/>
      <c r="CQ27" s="28"/>
      <c r="CT27" s="28"/>
    </row>
    <row r="28" spans="1:611" ht="17" x14ac:dyDescent="0.2">
      <c r="A28" s="5"/>
      <c r="B28" s="5"/>
      <c r="C28" s="17"/>
      <c r="P28" s="10"/>
      <c r="AK28" s="28"/>
      <c r="AL28" s="28"/>
      <c r="AM28" s="28"/>
      <c r="AN28" s="28"/>
      <c r="AO28" s="28"/>
      <c r="AR28" s="28"/>
      <c r="CM28" s="28"/>
      <c r="CN28" s="28"/>
      <c r="CO28" s="28"/>
      <c r="CP28" s="28"/>
      <c r="CQ28" s="28"/>
      <c r="CT28" s="28"/>
    </row>
    <row r="29" spans="1:611" ht="17" x14ac:dyDescent="0.2">
      <c r="P29" s="10"/>
      <c r="Q29" s="10"/>
      <c r="AK29" s="28"/>
      <c r="AL29" s="28"/>
      <c r="AM29" s="28"/>
      <c r="AN29" s="28"/>
      <c r="AO29" s="28"/>
      <c r="AR29" s="28"/>
      <c r="CM29" s="28"/>
      <c r="CN29" s="28"/>
      <c r="CO29" s="28"/>
      <c r="CP29" s="28"/>
      <c r="CQ29" s="28"/>
      <c r="CT29" s="28"/>
    </row>
    <row r="30" spans="1:611" ht="17" x14ac:dyDescent="0.2">
      <c r="P30" s="10"/>
      <c r="Q30" s="10"/>
      <c r="AK30" s="28"/>
      <c r="AL30" s="28"/>
      <c r="AM30" s="28"/>
      <c r="AN30" s="28"/>
      <c r="AO30" s="28"/>
      <c r="AR30" s="28"/>
      <c r="CM30" s="28"/>
      <c r="CN30" s="28"/>
      <c r="CO30" s="28"/>
      <c r="CP30" s="28"/>
      <c r="CQ30" s="28"/>
      <c r="CT30" s="28"/>
    </row>
    <row r="31" spans="1:611" ht="17" x14ac:dyDescent="0.2">
      <c r="P31" s="10"/>
      <c r="Q31" s="10"/>
      <c r="AK31" s="28"/>
      <c r="AL31" s="28"/>
      <c r="AM31" s="28"/>
      <c r="AN31" s="28"/>
      <c r="AO31" s="28"/>
      <c r="AR31" s="28"/>
      <c r="CM31" s="28"/>
      <c r="CN31" s="28"/>
      <c r="CO31" s="28"/>
      <c r="CP31" s="28"/>
      <c r="CQ31" s="28"/>
      <c r="CT31" s="28"/>
    </row>
    <row r="32" spans="1:611" ht="17" x14ac:dyDescent="0.2">
      <c r="P32" s="10"/>
      <c r="Q32" s="10"/>
      <c r="R32" s="10"/>
    </row>
    <row r="33" spans="16:18" ht="17" x14ac:dyDescent="0.2">
      <c r="P33" s="10"/>
      <c r="Q33" s="10"/>
      <c r="R33" s="10"/>
    </row>
    <row r="34" spans="16:18" ht="17" x14ac:dyDescent="0.2">
      <c r="P34" s="10"/>
      <c r="Q34" s="10"/>
      <c r="R34" s="10"/>
    </row>
    <row r="35" spans="16:18" ht="17" x14ac:dyDescent="0.2">
      <c r="P35" s="10"/>
      <c r="Q35" s="10"/>
      <c r="R35" s="10"/>
    </row>
    <row r="36" spans="16:18" ht="17" x14ac:dyDescent="0.2">
      <c r="P36" s="10"/>
      <c r="Q36" s="10"/>
      <c r="R36" s="10"/>
    </row>
    <row r="37" spans="16:18" ht="17" x14ac:dyDescent="0.2">
      <c r="P37" s="10"/>
      <c r="Q37" s="10"/>
      <c r="R37" s="10"/>
    </row>
    <row r="38" spans="16:18" ht="17" x14ac:dyDescent="0.2">
      <c r="P38" s="10"/>
      <c r="Q38" s="10"/>
      <c r="R38" s="10"/>
    </row>
    <row r="39" spans="16:18" ht="17" x14ac:dyDescent="0.2">
      <c r="P39" s="10"/>
      <c r="Q39" s="10"/>
      <c r="R39" s="10"/>
    </row>
    <row r="40" spans="16:18" ht="17" x14ac:dyDescent="0.2">
      <c r="P40" s="10"/>
      <c r="Q40" s="10"/>
      <c r="R40" s="10"/>
    </row>
    <row r="41" spans="16:18" ht="17" x14ac:dyDescent="0.2">
      <c r="P41" s="10"/>
      <c r="Q41" s="10"/>
      <c r="R41" s="10"/>
    </row>
    <row r="42" spans="16:18" ht="17" x14ac:dyDescent="0.2">
      <c r="P42" s="10"/>
      <c r="Q42" s="10"/>
      <c r="R42" s="10"/>
    </row>
    <row r="43" spans="16:18" ht="17" x14ac:dyDescent="0.2">
      <c r="P43" s="10"/>
      <c r="Q43" s="10"/>
      <c r="R43" s="10"/>
    </row>
    <row r="44" spans="16:18" ht="17" x14ac:dyDescent="0.2">
      <c r="P44" s="10"/>
      <c r="Q44" s="10"/>
      <c r="R44" s="10"/>
    </row>
    <row r="45" spans="16:18" ht="17" x14ac:dyDescent="0.2">
      <c r="P45" s="10"/>
      <c r="Q45" s="10"/>
      <c r="R45" s="10"/>
    </row>
    <row r="46" spans="16:18" ht="17" x14ac:dyDescent="0.2">
      <c r="P46" s="10"/>
      <c r="Q46" s="10"/>
      <c r="R46" s="10"/>
    </row>
  </sheetData>
  <sheetProtection sheet="1" formatCells="0" formatColumns="0" formatRows="0"/>
  <autoFilter ref="A1:WM1" xr:uid="{00000000-0001-0000-0100-000000000000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9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4" showButton="0"/>
    <filterColumn colId="575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8" showButton="0"/>
    <filterColumn colId="609" showButton="0"/>
    <sortState xmlns:xlrd2="http://schemas.microsoft.com/office/spreadsheetml/2017/richdata2" ref="A6:WM14">
      <sortCondition descending="1" ref="F1:F15"/>
    </sortState>
  </autoFilter>
  <mergeCells count="106"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BU1:CU1"/>
    <mergeCell ref="CV1:CW1"/>
    <mergeCell ref="CX1:EE1"/>
    <mergeCell ref="EF1:FM1"/>
    <mergeCell ref="M1:M3"/>
    <mergeCell ref="N1:N3"/>
    <mergeCell ref="O1:O3"/>
    <mergeCell ref="P1:P3"/>
    <mergeCell ref="Q1:Q3"/>
    <mergeCell ref="R1:R3"/>
    <mergeCell ref="EP2:ET2"/>
    <mergeCell ref="EU2:EY2"/>
    <mergeCell ref="VF1:WM1"/>
    <mergeCell ref="S2:W2"/>
    <mergeCell ref="X2:AB2"/>
    <mergeCell ref="AC2:AG2"/>
    <mergeCell ref="AT2:AX2"/>
    <mergeCell ref="AY2:BC2"/>
    <mergeCell ref="BD2:BH2"/>
    <mergeCell ref="BU2:BY2"/>
    <mergeCell ref="BZ2:CD2"/>
    <mergeCell ref="CE2:CI2"/>
    <mergeCell ref="NJ1:OQ1"/>
    <mergeCell ref="OR1:PY1"/>
    <mergeCell ref="PZ1:RG1"/>
    <mergeCell ref="RH1:SO1"/>
    <mergeCell ref="SP1:TW1"/>
    <mergeCell ref="TX1:VE1"/>
    <mergeCell ref="FN1:GU1"/>
    <mergeCell ref="GV1:IC1"/>
    <mergeCell ref="ID1:JK1"/>
    <mergeCell ref="JL1:KS1"/>
    <mergeCell ref="KT1:MA1"/>
    <mergeCell ref="MB1:NI1"/>
    <mergeCell ref="S1:AS1"/>
    <mergeCell ref="AT1:BT1"/>
    <mergeCell ref="FN2:FR2"/>
    <mergeCell ref="FS2:FW2"/>
    <mergeCell ref="FX2:GB2"/>
    <mergeCell ref="GC2:GG2"/>
    <mergeCell ref="CX2:DB2"/>
    <mergeCell ref="DC2:DG2"/>
    <mergeCell ref="DH2:DL2"/>
    <mergeCell ref="DM2:DQ2"/>
    <mergeCell ref="EF2:EJ2"/>
    <mergeCell ref="EK2:EO2"/>
    <mergeCell ref="IN2:IR2"/>
    <mergeCell ref="IS2:IW2"/>
    <mergeCell ref="JL2:JP2"/>
    <mergeCell ref="JQ2:JU2"/>
    <mergeCell ref="JV2:JZ2"/>
    <mergeCell ref="KA2:KE2"/>
    <mergeCell ref="GV2:GZ2"/>
    <mergeCell ref="HA2:HE2"/>
    <mergeCell ref="HF2:HJ2"/>
    <mergeCell ref="HK2:HO2"/>
    <mergeCell ref="ID2:IH2"/>
    <mergeCell ref="II2:IM2"/>
    <mergeCell ref="ML2:MP2"/>
    <mergeCell ref="MQ2:MU2"/>
    <mergeCell ref="NJ2:NN2"/>
    <mergeCell ref="NO2:NS2"/>
    <mergeCell ref="NT2:NX2"/>
    <mergeCell ref="NY2:OC2"/>
    <mergeCell ref="KT2:KX2"/>
    <mergeCell ref="KY2:LC2"/>
    <mergeCell ref="LD2:LH2"/>
    <mergeCell ref="LI2:LM2"/>
    <mergeCell ref="MB2:MF2"/>
    <mergeCell ref="MG2:MK2"/>
    <mergeCell ref="QJ2:QN2"/>
    <mergeCell ref="QO2:QS2"/>
    <mergeCell ref="RH2:RL2"/>
    <mergeCell ref="RM2:RQ2"/>
    <mergeCell ref="RR2:RV2"/>
    <mergeCell ref="RW2:SA2"/>
    <mergeCell ref="OR2:OV2"/>
    <mergeCell ref="OW2:PA2"/>
    <mergeCell ref="PB2:PF2"/>
    <mergeCell ref="PG2:PK2"/>
    <mergeCell ref="PZ2:QD2"/>
    <mergeCell ref="QE2:QI2"/>
    <mergeCell ref="UH2:UL2"/>
    <mergeCell ref="UM2:UQ2"/>
    <mergeCell ref="VF2:VJ2"/>
    <mergeCell ref="VK2:VO2"/>
    <mergeCell ref="VP2:VT2"/>
    <mergeCell ref="VU2:VY2"/>
    <mergeCell ref="SP2:ST2"/>
    <mergeCell ref="SU2:SY2"/>
    <mergeCell ref="SZ2:TD2"/>
    <mergeCell ref="TE2:TI2"/>
    <mergeCell ref="TX2:UB2"/>
    <mergeCell ref="UC2:UG2"/>
  </mergeCells>
  <conditionalFormatting sqref="H1:H1048576">
    <cfRule type="containsText" dxfId="827" priority="129" operator="containsText" text="No DD">
      <formula>NOT(ISERROR(SEARCH("No DD",H1)))</formula>
    </cfRule>
    <cfRule type="containsText" dxfId="826" priority="130" operator="containsText" text="Merit">
      <formula>NOT(ISERROR(SEARCH("Merit",H1)))</formula>
    </cfRule>
    <cfRule type="containsText" dxfId="825" priority="131" operator="containsText" text="Excellence">
      <formula>NOT(ISERROR(SEARCH("Excellence",H1)))</formula>
    </cfRule>
    <cfRule type="containsText" dxfId="824" priority="132" operator="containsText" text="Worlds Team">
      <formula>NOT(ISERROR(SEARCH("Worlds Team",H1)))</formula>
    </cfRule>
    <cfRule type="containsText" dxfId="823" priority="133" operator="containsText" text="National Team">
      <formula>NOT(ISERROR(SEARCH("National Team",H1)))</formula>
    </cfRule>
  </conditionalFormatting>
  <conditionalFormatting sqref="S4:AS14">
    <cfRule type="expression" dxfId="822" priority="91" stopIfTrue="1">
      <formula>IF($AH4&lt;&gt;"",1,0)</formula>
    </cfRule>
  </conditionalFormatting>
  <conditionalFormatting sqref="AT4:BT14">
    <cfRule type="expression" dxfId="821" priority="123" stopIfTrue="1">
      <formula>IF($BI4&lt;&gt;"",1,0)</formula>
    </cfRule>
  </conditionalFormatting>
  <conditionalFormatting sqref="BU4:CU14">
    <cfRule type="expression" dxfId="820" priority="119" stopIfTrue="1">
      <formula>IF($CJ4&lt;&gt;"",1,0)</formula>
    </cfRule>
  </conditionalFormatting>
  <conditionalFormatting sqref="BQ25:BQ1048576 BJ1:BJ1048576 BM1:BM1048576 BQ1:BQ23">
    <cfRule type="cellIs" dxfId="819" priority="124" operator="between">
      <formula>$BT$20</formula>
      <formula>1000</formula>
    </cfRule>
    <cfRule type="cellIs" dxfId="818" priority="125" operator="between">
      <formula>$BT$19</formula>
      <formula>$BT$20</formula>
    </cfRule>
    <cfRule type="cellIs" dxfId="817" priority="126" operator="between">
      <formula>$BT$18</formula>
      <formula>$BT$19</formula>
    </cfRule>
    <cfRule type="cellIs" dxfId="816" priority="128" operator="between">
      <formula>$BT$17</formula>
      <formula>$BT$18</formula>
    </cfRule>
  </conditionalFormatting>
  <conditionalFormatting sqref="CR25:CR1048576 CK1:CK1048576 CN1:CN1048576 CR1:CR23">
    <cfRule type="cellIs" dxfId="815" priority="120" operator="between">
      <formula>$CU$20</formula>
      <formula>1000</formula>
    </cfRule>
    <cfRule type="cellIs" dxfId="814" priority="121" operator="between">
      <formula>$CU$19</formula>
      <formula>$CU$20</formula>
    </cfRule>
    <cfRule type="cellIs" dxfId="813" priority="122" operator="between">
      <formula>$CU$18</formula>
      <formula>$CU$19</formula>
    </cfRule>
    <cfRule type="cellIs" dxfId="812" priority="127" operator="between">
      <formula>$CU$17</formula>
      <formula>$CU$18</formula>
    </cfRule>
  </conditionalFormatting>
  <conditionalFormatting sqref="EB25:EB1048576 DR1:DR1048576 DU1:DU1048576 DY1:DY1048576 EB1:EB23">
    <cfRule type="cellIs" dxfId="811" priority="118" operator="between">
      <formula>$EE$17</formula>
      <formula>$EE$18</formula>
    </cfRule>
  </conditionalFormatting>
  <conditionalFormatting sqref="FJ25:FJ1048576 EZ1:EZ1048576 FC1:FC1048576 FG1:FG1048576 FJ1:FJ23">
    <cfRule type="cellIs" dxfId="810" priority="117" operator="between">
      <formula>$FM$17</formula>
      <formula>$FM$18</formula>
    </cfRule>
  </conditionalFormatting>
  <conditionalFormatting sqref="HZ25:HZ1048576 HP1:HP1048576 HS1:HS1048576 HW1:HW1048576 HZ1:HZ23">
    <cfRule type="cellIs" dxfId="809" priority="116" operator="between">
      <formula>$IC$17</formula>
      <formula>$IC$18</formula>
    </cfRule>
  </conditionalFormatting>
  <conditionalFormatting sqref="AQ24 AI1:AI1048576 AL1:AL1048576 AP1:AP1048576">
    <cfRule type="cellIs" dxfId="808" priority="112" operator="between">
      <formula>$AS$20</formula>
      <formula>1000</formula>
    </cfRule>
    <cfRule type="cellIs" dxfId="807" priority="113" operator="between">
      <formula>$AS$19</formula>
      <formula>$AS$20</formula>
    </cfRule>
    <cfRule type="cellIs" dxfId="806" priority="114" operator="between">
      <formula>$AS$18</formula>
      <formula>$AS$19</formula>
    </cfRule>
    <cfRule type="cellIs" dxfId="805" priority="115" operator="between">
      <formula>$AS$17</formula>
      <formula>$AS$18</formula>
    </cfRule>
  </conditionalFormatting>
  <conditionalFormatting sqref="BQ24">
    <cfRule type="cellIs" dxfId="804" priority="108" operator="between">
      <formula>$AS$20</formula>
      <formula>1000</formula>
    </cfRule>
    <cfRule type="cellIs" dxfId="803" priority="109" operator="between">
      <formula>$AS$19</formula>
      <formula>$AS$20</formula>
    </cfRule>
    <cfRule type="cellIs" dxfId="802" priority="110" operator="between">
      <formula>$AS$18</formula>
      <formula>$AS$19</formula>
    </cfRule>
    <cfRule type="cellIs" dxfId="801" priority="111" operator="between">
      <formula>$AS$17</formula>
      <formula>$AS$18</formula>
    </cfRule>
  </conditionalFormatting>
  <conditionalFormatting sqref="CR24">
    <cfRule type="cellIs" dxfId="800" priority="104" operator="between">
      <formula>$AS$20</formula>
      <formula>1000</formula>
    </cfRule>
    <cfRule type="cellIs" dxfId="799" priority="105" operator="between">
      <formula>$AS$19</formula>
      <formula>$AS$20</formula>
    </cfRule>
    <cfRule type="cellIs" dxfId="798" priority="106" operator="between">
      <formula>$AS$18</formula>
      <formula>$AS$19</formula>
    </cfRule>
    <cfRule type="cellIs" dxfId="797" priority="107" operator="between">
      <formula>$AS$17</formula>
      <formula>$AS$18</formula>
    </cfRule>
  </conditionalFormatting>
  <conditionalFormatting sqref="EB24">
    <cfRule type="cellIs" dxfId="796" priority="100" operator="between">
      <formula>$AS$20</formula>
      <formula>1000</formula>
    </cfRule>
    <cfRule type="cellIs" dxfId="795" priority="101" operator="between">
      <formula>$AS$19</formula>
      <formula>$AS$20</formula>
    </cfRule>
    <cfRule type="cellIs" dxfId="794" priority="102" operator="between">
      <formula>$AS$18</formula>
      <formula>$AS$19</formula>
    </cfRule>
    <cfRule type="cellIs" dxfId="793" priority="103" operator="between">
      <formula>$AS$17</formula>
      <formula>$AS$18</formula>
    </cfRule>
  </conditionalFormatting>
  <conditionalFormatting sqref="FJ24">
    <cfRule type="cellIs" dxfId="792" priority="96" operator="between">
      <formula>$AS$20</formula>
      <formula>1000</formula>
    </cfRule>
    <cfRule type="cellIs" dxfId="791" priority="97" operator="between">
      <formula>$AS$19</formula>
      <formula>$AS$20</formula>
    </cfRule>
    <cfRule type="cellIs" dxfId="790" priority="98" operator="between">
      <formula>$AS$18</formula>
      <formula>$AS$19</formula>
    </cfRule>
    <cfRule type="cellIs" dxfId="789" priority="99" operator="between">
      <formula>$AS$17</formula>
      <formula>$AS$18</formula>
    </cfRule>
  </conditionalFormatting>
  <conditionalFormatting sqref="HZ24">
    <cfRule type="cellIs" dxfId="788" priority="92" operator="between">
      <formula>$AS$20</formula>
      <formula>1000</formula>
    </cfRule>
    <cfRule type="cellIs" dxfId="787" priority="93" operator="between">
      <formula>$AS$19</formula>
      <formula>$AS$20</formula>
    </cfRule>
    <cfRule type="cellIs" dxfId="786" priority="94" operator="between">
      <formula>$AS$18</formula>
      <formula>$AS$19</formula>
    </cfRule>
    <cfRule type="cellIs" dxfId="785" priority="95" operator="between">
      <formula>$AS$17</formula>
      <formula>$AS$18</formula>
    </cfRule>
  </conditionalFormatting>
  <conditionalFormatting sqref="O1:O1048576 K1:K1048576 M1:M1048576">
    <cfRule type="expression" dxfId="784" priority="88" stopIfTrue="1">
      <formula>IF(K1=$BU$1,1,0)</formula>
    </cfRule>
    <cfRule type="expression" dxfId="783" priority="89">
      <formula>IF(K1=$AT$1,1,0)</formula>
    </cfRule>
    <cfRule type="expression" dxfId="782" priority="90">
      <formula>IF(K1=$S$1,1,0)</formula>
    </cfRule>
  </conditionalFormatting>
  <conditionalFormatting sqref="A4:A1048576">
    <cfRule type="expression" dxfId="781" priority="86">
      <formula>AND(G4&lt;&gt;"",F4="")</formula>
    </cfRule>
    <cfRule type="expression" dxfId="780" priority="87">
      <formula>IF(A4&gt;8,1,0)</formula>
    </cfRule>
  </conditionalFormatting>
  <conditionalFormatting sqref="CP1:CP1048576 AN1:AN1048576">
    <cfRule type="cellIs" dxfId="779" priority="169357" operator="between">
      <formula>AS$24</formula>
      <formula>1000</formula>
    </cfRule>
    <cfRule type="cellIs" dxfId="778" priority="169358" operator="between">
      <formula>AS$23</formula>
      <formula>AS$24</formula>
    </cfRule>
  </conditionalFormatting>
  <conditionalFormatting sqref="DW1:DW1048576 FE1:FE1048576 GM1:GM1048576 HU1:HU1048576 JC1:JC1048576 KK1:KK1048576 LS1:LS1048576 NA1:NA1048576 OI1:OI1048576 PQ1:PQ1048576 QY1:QY1048576 SG1:SG1048576 TO1:TO24 UW1:UW24 WE1:WE24">
    <cfRule type="cellIs" dxfId="777" priority="169369" operator="between">
      <formula>EE$24</formula>
      <formula>1000</formula>
    </cfRule>
    <cfRule type="cellIs" dxfId="776" priority="169370" operator="between">
      <formula>EE$23</formula>
      <formula>EE$24</formula>
    </cfRule>
  </conditionalFormatting>
  <conditionalFormatting sqref="AK1:AK1048576 AN1:AN1048576 AR1:AR1048576">
    <cfRule type="cellIs" dxfId="775" priority="169453" operator="between">
      <formula>$AS$24</formula>
      <formula>1000</formula>
    </cfRule>
    <cfRule type="cellIs" dxfId="774" priority="169454" operator="between">
      <formula>$AS$23</formula>
      <formula>$AS$24</formula>
    </cfRule>
    <cfRule type="cellIs" dxfId="773" priority="169455" operator="between">
      <formula>$AS$22</formula>
      <formula>$AS$23</formula>
    </cfRule>
    <cfRule type="cellIs" dxfId="772" priority="169456" operator="between">
      <formula>$AS$21</formula>
      <formula>$AS$22</formula>
    </cfRule>
  </conditionalFormatting>
  <conditionalFormatting sqref="BL1:BL1048576 BO1:BO1048576 BS1:BS1048576">
    <cfRule type="cellIs" dxfId="771" priority="169489" operator="between">
      <formula>$BT$24</formula>
      <formula>1000</formula>
    </cfRule>
    <cfRule type="cellIs" dxfId="770" priority="169490" operator="between">
      <formula>$BT$23</formula>
      <formula>$BT$24</formula>
    </cfRule>
    <cfRule type="cellIs" dxfId="769" priority="169491" operator="between">
      <formula>$BT$22</formula>
      <formula>$BT$23</formula>
    </cfRule>
    <cfRule type="cellIs" dxfId="768" priority="169492" operator="between">
      <formula>$BT$21</formula>
      <formula>$BT$22</formula>
    </cfRule>
  </conditionalFormatting>
  <conditionalFormatting sqref="CM1:CM1048576 CP1:CP1048576 CT1:CT1048576">
    <cfRule type="cellIs" dxfId="767" priority="169525" operator="between">
      <formula>$CU$24</formula>
      <formula>1000</formula>
    </cfRule>
    <cfRule type="cellIs" dxfId="766" priority="169526" operator="between">
      <formula>$CU$23</formula>
      <formula>$CU$24</formula>
    </cfRule>
    <cfRule type="cellIs" dxfId="765" priority="169527" operator="between">
      <formula>$CU$22</formula>
      <formula>$CU$23</formula>
    </cfRule>
    <cfRule type="cellIs" dxfId="764" priority="169528" operator="between">
      <formula>$CU$21</formula>
      <formula>$CU$22</formula>
    </cfRule>
  </conditionalFormatting>
  <conditionalFormatting sqref="MV1:MV1048576 MY1:MY1048576 NC1:NC1048576 NF1:NF1048576">
    <cfRule type="cellIs" dxfId="763" priority="169561" operator="between">
      <formula>$NI$17</formula>
      <formula>$NI$18</formula>
    </cfRule>
  </conditionalFormatting>
  <conditionalFormatting sqref="DT1:DT1048576 DW1:DW1048576 EA1:EA1048576 ED1:ED1048576">
    <cfRule type="cellIs" dxfId="762" priority="169573" operator="between">
      <formula>$EE$24</formula>
      <formula>1000</formula>
    </cfRule>
    <cfRule type="cellIs" dxfId="761" priority="169574" operator="between">
      <formula>$EE$23</formula>
      <formula>$EE$24</formula>
    </cfRule>
    <cfRule type="cellIs" dxfId="760" priority="169575" operator="between">
      <formula>$EE$22</formula>
      <formula>$EE$23</formula>
    </cfRule>
    <cfRule type="cellIs" dxfId="759" priority="169576" operator="between">
      <formula>$EE$21</formula>
      <formula>$EE$22</formula>
    </cfRule>
  </conditionalFormatting>
  <conditionalFormatting sqref="FB1:FB1048576 FE1:FE1048576 FI1:FI1048576 FL1:FL1048576">
    <cfRule type="cellIs" dxfId="758" priority="169621" operator="between">
      <formula>$FM$24</formula>
      <formula>1000</formula>
    </cfRule>
    <cfRule type="cellIs" dxfId="757" priority="169622" operator="between">
      <formula>$FM$23</formula>
      <formula>$FM$24</formula>
    </cfRule>
    <cfRule type="cellIs" dxfId="756" priority="169623" operator="between">
      <formula>$FM$22</formula>
      <formula>$FM$23</formula>
    </cfRule>
    <cfRule type="cellIs" dxfId="755" priority="169624" operator="between">
      <formula>$FM$21</formula>
      <formula>$FM$22</formula>
    </cfRule>
  </conditionalFormatting>
  <conditionalFormatting sqref="GH1:GH1048576 GK1:GK1048576 GO1:GO1048576 GR1:GR1048576">
    <cfRule type="cellIs" dxfId="754" priority="169669" stopIfTrue="1" operator="between">
      <formula>$GU$18</formula>
      <formula>1000</formula>
    </cfRule>
    <cfRule type="cellIs" dxfId="753" priority="169670" operator="between">
      <formula>$GU$17</formula>
      <formula>$GU$18</formula>
    </cfRule>
  </conditionalFormatting>
  <conditionalFormatting sqref="GJ1:GJ1048576 GM1:GM1048576 GQ1:GQ1048576 GT1:GT1048576">
    <cfRule type="cellIs" dxfId="752" priority="169693" operator="between">
      <formula>$GU$24</formula>
      <formula>1000</formula>
    </cfRule>
    <cfRule type="cellIs" dxfId="751" priority="169694" operator="between">
      <formula>$GU$23</formula>
      <formula>$GU$24</formula>
    </cfRule>
    <cfRule type="cellIs" dxfId="750" priority="169695" operator="between">
      <formula>$GU$22</formula>
      <formula>$GU$23</formula>
    </cfRule>
    <cfRule type="cellIs" dxfId="749" priority="169696" operator="between">
      <formula>$GU$21</formula>
      <formula>$GU$22</formula>
    </cfRule>
  </conditionalFormatting>
  <conditionalFormatting sqref="HR1:HR1048576 HU1:HU1048576 HY1:HY1048576 IB1:IB1048576">
    <cfRule type="cellIs" dxfId="748" priority="169741" operator="between">
      <formula>$IC$24</formula>
      <formula>1000</formula>
    </cfRule>
    <cfRule type="cellIs" dxfId="747" priority="169742" operator="between">
      <formula>$IC$23</formula>
      <formula>$IC$24</formula>
    </cfRule>
    <cfRule type="cellIs" dxfId="746" priority="169743" operator="between">
      <formula>$IC$22</formula>
      <formula>$IC$23</formula>
    </cfRule>
    <cfRule type="cellIs" dxfId="745" priority="169744" operator="between">
      <formula>$IC$21</formula>
      <formula>$IC$22</formula>
    </cfRule>
  </conditionalFormatting>
  <conditionalFormatting sqref="IX1:IX1048576 JA1:JA1048576 JE1:JE1048576 JH1:JH1048576">
    <cfRule type="cellIs" dxfId="744" priority="169789" stopIfTrue="1" operator="between">
      <formula>$JK$18</formula>
      <formula>1000</formula>
    </cfRule>
    <cfRule type="cellIs" dxfId="743" priority="169790" operator="between">
      <formula>$JK$17</formula>
      <formula>$JK$18</formula>
    </cfRule>
  </conditionalFormatting>
  <conditionalFormatting sqref="IZ1:IZ1048576 JC1:JC1048576 JG1:JG1048576 JJ1:JJ1048576">
    <cfRule type="cellIs" dxfId="742" priority="169813" operator="between">
      <formula>$JK$24</formula>
      <formula>1000</formula>
    </cfRule>
    <cfRule type="cellIs" dxfId="741" priority="169814" operator="between">
      <formula>$JK$23</formula>
      <formula>$JK$24</formula>
    </cfRule>
    <cfRule type="cellIs" dxfId="740" priority="169815" operator="between">
      <formula>$JK$22</formula>
      <formula>$JK$23</formula>
    </cfRule>
    <cfRule type="cellIs" dxfId="739" priority="169816" operator="between">
      <formula>$JK$21</formula>
      <formula>$JK$22</formula>
    </cfRule>
  </conditionalFormatting>
  <conditionalFormatting sqref="KF1:KF1048576 KI1:KI1048576 KM1:KM1048576 KP1:KP1048576">
    <cfRule type="cellIs" dxfId="738" priority="169861" stopIfTrue="1" operator="between">
      <formula>$KS$18</formula>
      <formula>1000</formula>
    </cfRule>
    <cfRule type="cellIs" dxfId="737" priority="169862" operator="between">
      <formula>$KS$17</formula>
      <formula>$KS$18</formula>
    </cfRule>
  </conditionalFormatting>
  <conditionalFormatting sqref="KH1:KH1048576 KK1:KK1048576 KO1:KO1048576 KR1:KR1048576">
    <cfRule type="cellIs" dxfId="736" priority="169885" operator="between">
      <formula>$KS$24</formula>
      <formula>1000</formula>
    </cfRule>
    <cfRule type="cellIs" dxfId="735" priority="169886" operator="between">
      <formula>$KS$23</formula>
      <formula>$KS$24</formula>
    </cfRule>
    <cfRule type="cellIs" dxfId="734" priority="169887" operator="between">
      <formula>$KS$22</formula>
      <formula>$KS$23</formula>
    </cfRule>
    <cfRule type="cellIs" dxfId="733" priority="169888" operator="between">
      <formula>$KS$21</formula>
      <formula>$KS$22</formula>
    </cfRule>
  </conditionalFormatting>
  <conditionalFormatting sqref="LN1:LN1048576 LQ1:LQ1048576 LU1:LU1048576 LX1:LX1048576">
    <cfRule type="cellIs" dxfId="732" priority="169933" stopIfTrue="1" operator="between">
      <formula>$MA$18</formula>
      <formula>1000</formula>
    </cfRule>
    <cfRule type="cellIs" dxfId="731" priority="169934" operator="between">
      <formula>$MA$17</formula>
      <formula>$MA$18</formula>
    </cfRule>
  </conditionalFormatting>
  <conditionalFormatting sqref="LP1:LP1048576 LS1:LS1048576 LW1:LW1048576 LZ1:LZ1048576">
    <cfRule type="cellIs" dxfId="730" priority="169957" operator="between">
      <formula>$MA$24</formula>
      <formula>1000</formula>
    </cfRule>
    <cfRule type="cellIs" dxfId="729" priority="169958" operator="between">
      <formula>$MA$23</formula>
      <formula>$MA$24</formula>
    </cfRule>
    <cfRule type="cellIs" dxfId="728" priority="169959" operator="between">
      <formula>$MA$22</formula>
      <formula>$MA$23</formula>
    </cfRule>
    <cfRule type="cellIs" dxfId="727" priority="169960" operator="between">
      <formula>$MA$21</formula>
      <formula>$MA$22</formula>
    </cfRule>
  </conditionalFormatting>
  <conditionalFormatting sqref="MV1:MV1048576 MY1:MY1048576 NC1:NC1048576">
    <cfRule type="cellIs" dxfId="726" priority="170005" operator="between">
      <formula>$NI$18</formula>
      <formula>1000</formula>
    </cfRule>
  </conditionalFormatting>
  <conditionalFormatting sqref="MX1:MX1048576 NA1:NA1048576 NE1:NE1048576 NH1:NH1048576">
    <cfRule type="cellIs" dxfId="725" priority="170014" operator="between">
      <formula>$NI$24</formula>
      <formula>1000</formula>
    </cfRule>
    <cfRule type="cellIs" dxfId="724" priority="170015" operator="between">
      <formula>$NI$23</formula>
      <formula>$NI$24</formula>
    </cfRule>
    <cfRule type="cellIs" dxfId="723" priority="170016" operator="between">
      <formula>$NI$22</formula>
      <formula>$NI$23</formula>
    </cfRule>
    <cfRule type="cellIs" dxfId="722" priority="170017" operator="between">
      <formula>$NI$21</formula>
      <formula>$NI$22</formula>
    </cfRule>
  </conditionalFormatting>
  <conditionalFormatting sqref="OD1:OD1048576 OG1:OG1048576 OK1:OK1048576 ON1:ON1048576">
    <cfRule type="cellIs" dxfId="721" priority="170062" stopIfTrue="1" operator="between">
      <formula>$OQ$18</formula>
      <formula>1000</formula>
    </cfRule>
    <cfRule type="cellIs" dxfId="720" priority="170063" operator="between">
      <formula>$OQ$17</formula>
      <formula>$OQ$18</formula>
    </cfRule>
  </conditionalFormatting>
  <conditionalFormatting sqref="OF1:OF1048576 OI1:OI1048576 OM1:OM1048576 OP1:OP1048576">
    <cfRule type="cellIs" dxfId="719" priority="170086" operator="between">
      <formula>$OQ$24</formula>
      <formula>1000</formula>
    </cfRule>
    <cfRule type="cellIs" dxfId="718" priority="170087" operator="between">
      <formula>$OQ$23</formula>
      <formula>$OQ$24</formula>
    </cfRule>
    <cfRule type="cellIs" dxfId="717" priority="170088" operator="between">
      <formula>$OQ$22</formula>
      <formula>$OQ$23</formula>
    </cfRule>
    <cfRule type="cellIs" dxfId="716" priority="170089" operator="between">
      <formula>$OQ$21</formula>
      <formula>$OQ$22</formula>
    </cfRule>
  </conditionalFormatting>
  <conditionalFormatting sqref="PL1:PL1048576 PO1:PO1048576 PS1:PS1048576 PV1:PV1048576">
    <cfRule type="cellIs" dxfId="715" priority="170134" stopIfTrue="1" operator="between">
      <formula>$PY$18</formula>
      <formula>1000</formula>
    </cfRule>
    <cfRule type="cellIs" dxfId="714" priority="170135" operator="between">
      <formula>$PY$17</formula>
      <formula>$PY$18</formula>
    </cfRule>
  </conditionalFormatting>
  <conditionalFormatting sqref="PN1:PN1048576 PQ1:PQ1048576 PU1:PU1048576 PX1:PX1048576">
    <cfRule type="cellIs" dxfId="713" priority="170158" operator="between">
      <formula>$PY$24</formula>
      <formula>1000</formula>
    </cfRule>
    <cfRule type="cellIs" dxfId="712" priority="170159" operator="between">
      <formula>$PY$23</formula>
      <formula>$PY$24</formula>
    </cfRule>
    <cfRule type="cellIs" dxfId="711" priority="170160" operator="between">
      <formula>$PY$22</formula>
      <formula>$PY$23</formula>
    </cfRule>
    <cfRule type="cellIs" dxfId="710" priority="170161" operator="between">
      <formula>$PY$21</formula>
      <formula>$PY$22</formula>
    </cfRule>
  </conditionalFormatting>
  <conditionalFormatting sqref="QT1:QT1048576 QW1:QW1048576 RA1:RA1048576 RD1:RD1048576">
    <cfRule type="cellIs" dxfId="709" priority="170206" stopIfTrue="1" operator="between">
      <formula>$RG$18</formula>
      <formula>1000</formula>
    </cfRule>
    <cfRule type="cellIs" dxfId="708" priority="170207" operator="between">
      <formula>$RG$17</formula>
      <formula>$RG$18</formula>
    </cfRule>
  </conditionalFormatting>
  <conditionalFormatting sqref="QV1:QV1048576 QY1:QY1048576 RC1:RC1048576 RF1:RF1048576">
    <cfRule type="cellIs" dxfId="707" priority="170230" operator="between">
      <formula>$RG$24</formula>
      <formula>1000</formula>
    </cfRule>
    <cfRule type="cellIs" dxfId="706" priority="170231" operator="between">
      <formula>$RG$23</formula>
      <formula>$RG$24</formula>
    </cfRule>
    <cfRule type="cellIs" dxfId="705" priority="170232" operator="between">
      <formula>$RG$22</formula>
      <formula>$RG$23</formula>
    </cfRule>
    <cfRule type="cellIs" dxfId="704" priority="170233" operator="between">
      <formula>$RG$21</formula>
      <formula>$RG$22</formula>
    </cfRule>
  </conditionalFormatting>
  <conditionalFormatting sqref="SB1:SB1048576 SE1:SE1048576 SI1:SI1048576 SL1:SL1048576 TJ1:TJ24 TM1:TM24 TQ1:TQ24 TT1:TT24 UR1:UR24 UU1:UU24 UY1:UY24 VB1:VB24 VZ1:VZ24 WC1:WC24 WG1:WG24 WJ1:WJ24">
    <cfRule type="cellIs" dxfId="703" priority="170278" operator="between">
      <formula>$SO$18</formula>
      <formula>1000</formula>
    </cfRule>
    <cfRule type="cellIs" dxfId="702" priority="170279" operator="between">
      <formula>$SO$17</formula>
      <formula>$SO$18</formula>
    </cfRule>
  </conditionalFormatting>
  <conditionalFormatting sqref="SD1:SD1048576 SG1:SG1048576 SK1:SK1048576 SN1:SN1048576 TL1:TL24 TO1:TO24 TS1:TS24 TV1:TV24 UT1:UT24 UW1:UW24 VA1:VA24 VD1:VD24 WB1:WB24 WE1:WE24 WI1:WI24 WL1:WL24">
    <cfRule type="cellIs" dxfId="701" priority="170350" operator="between">
      <formula>$SO$24</formula>
      <formula>1000</formula>
    </cfRule>
    <cfRule type="cellIs" dxfId="700" priority="170351" operator="between">
      <formula>$SO$23</formula>
      <formula>$SO$24</formula>
    </cfRule>
    <cfRule type="cellIs" dxfId="699" priority="170352" operator="between">
      <formula>$SO$22</formula>
      <formula>$SO$23</formula>
    </cfRule>
    <cfRule type="cellIs" dxfId="698" priority="170353" operator="between">
      <formula>$SO$21</formula>
      <formula>$SO$22</formula>
    </cfRule>
  </conditionalFormatting>
  <conditionalFormatting sqref="EB1:EB1048576 DR1:DR1048576 DU1:DU1048576 DY1:DY1048576">
    <cfRule type="cellIs" dxfId="697" priority="170494" stopIfTrue="1" operator="between">
      <formula>$EE$18</formula>
      <formula>1000</formula>
    </cfRule>
  </conditionalFormatting>
  <conditionalFormatting sqref="FJ1:FJ1048576 EZ1:EZ1048576 FC1:FC1048576 FG1:FG1048576">
    <cfRule type="cellIs" dxfId="696" priority="170506" stopIfTrue="1" operator="between">
      <formula>$FM$18</formula>
      <formula>1000</formula>
    </cfRule>
  </conditionalFormatting>
  <conditionalFormatting sqref="HZ1:HZ1048576 HP1:HP1048576 HS1:HS1048576 HW1:HW1048576">
    <cfRule type="cellIs" dxfId="695" priority="170518" stopIfTrue="1" operator="between">
      <formula>$IC$18</formula>
      <formula>1000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A5E64-7C54-C349-8B42-7E9EA5339312}">
  <sheetPr codeName="Sheet2"/>
  <dimension ref="A1:WJ59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7.6640625" bestFit="1" customWidth="1"/>
    <col min="3" max="3" width="8.1640625" bestFit="1" customWidth="1"/>
    <col min="4" max="4" width="12" customWidth="1"/>
    <col min="6" max="6" width="16.33203125" customWidth="1"/>
    <col min="7" max="7" width="10.83203125" customWidth="1"/>
    <col min="8" max="8" width="13.33203125" bestFit="1" customWidth="1"/>
    <col min="9" max="9" width="19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2" customWidth="1"/>
    <col min="44" max="59" width="10.83203125" hidden="1" customWidth="1"/>
    <col min="60" max="70" width="10.83203125" style="32" customWidth="1"/>
    <col min="71" max="86" width="10.83203125" hidden="1" customWidth="1"/>
    <col min="87" max="97" width="10.83203125" style="32" customWidth="1"/>
    <col min="98" max="98" width="12.83203125" style="32" customWidth="1"/>
    <col min="99" max="118" width="10.83203125" hidden="1" customWidth="1"/>
    <col min="119" max="131" width="10.83203125" customWidth="1"/>
    <col min="132" max="132" width="10.83203125" style="32" customWidth="1"/>
    <col min="133" max="152" width="10.83203125" hidden="1" customWidth="1"/>
    <col min="153" max="165" width="10.83203125" customWidth="1"/>
    <col min="166" max="166" width="10.83203125" style="32" customWidth="1"/>
    <col min="167" max="186" width="10.83203125" hidden="1" customWidth="1"/>
    <col min="187" max="199" width="10.83203125" customWidth="1"/>
    <col min="200" max="200" width="10.83203125" style="32" customWidth="1"/>
    <col min="201" max="220" width="10.83203125" hidden="1" customWidth="1"/>
    <col min="221" max="233" width="10.83203125" customWidth="1"/>
    <col min="234" max="234" width="10.83203125" style="32" customWidth="1"/>
    <col min="235" max="254" width="10.83203125" hidden="1" customWidth="1"/>
    <col min="255" max="267" width="10.83203125" customWidth="1"/>
    <col min="268" max="268" width="10.83203125" style="32" customWidth="1"/>
    <col min="269" max="288" width="10.83203125" hidden="1" customWidth="1"/>
    <col min="289" max="302" width="10.83203125" customWidth="1"/>
    <col min="303" max="322" width="10.83203125" hidden="1" customWidth="1"/>
    <col min="323" max="336" width="10.83203125" customWidth="1"/>
    <col min="337" max="356" width="10.83203125" hidden="1" customWidth="1"/>
    <col min="357" max="370" width="10.83203125" customWidth="1"/>
    <col min="371" max="533" width="10.83203125" hidden="1" customWidth="1"/>
    <col min="534" max="534" width="11.83203125" hidden="1" customWidth="1"/>
    <col min="535" max="535" width="12.83203125" hidden="1" customWidth="1"/>
    <col min="536" max="567" width="10.83203125" hidden="1" customWidth="1"/>
    <col min="568" max="568" width="11.83203125" hidden="1" customWidth="1"/>
    <col min="569" max="569" width="12.83203125" hidden="1" customWidth="1"/>
    <col min="570" max="601" width="10.83203125" hidden="1" customWidth="1"/>
    <col min="602" max="602" width="11.83203125" hidden="1" customWidth="1"/>
    <col min="603" max="603" width="12.83203125" hidden="1" customWidth="1"/>
    <col min="604" max="608" width="10.83203125" hidden="1" customWidth="1"/>
  </cols>
  <sheetData>
    <row r="1" spans="1:608" x14ac:dyDescent="0.2">
      <c r="A1" s="56" t="s">
        <v>1</v>
      </c>
      <c r="B1" s="56" t="s">
        <v>26</v>
      </c>
      <c r="C1" s="56" t="s">
        <v>0</v>
      </c>
      <c r="D1" s="56" t="s">
        <v>44</v>
      </c>
      <c r="E1" s="56" t="s">
        <v>2</v>
      </c>
      <c r="F1" s="60" t="s">
        <v>188</v>
      </c>
      <c r="G1" s="56" t="s">
        <v>9</v>
      </c>
      <c r="H1" s="56" t="s">
        <v>10</v>
      </c>
      <c r="I1" s="56" t="s">
        <v>209</v>
      </c>
      <c r="J1" s="57" t="s">
        <v>75</v>
      </c>
      <c r="K1" s="58" t="s">
        <v>28</v>
      </c>
      <c r="L1" s="57" t="s">
        <v>86</v>
      </c>
      <c r="M1" s="58" t="s">
        <v>28</v>
      </c>
      <c r="N1" s="61" t="s">
        <v>12</v>
      </c>
      <c r="O1" s="58" t="s">
        <v>29</v>
      </c>
      <c r="P1" s="58" t="s">
        <v>28</v>
      </c>
      <c r="Q1" s="52" t="s">
        <v>118</v>
      </c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52"/>
      <c r="AF1" s="52"/>
      <c r="AG1" s="52"/>
      <c r="AH1" s="52"/>
      <c r="AI1" s="52"/>
      <c r="AJ1" s="52"/>
      <c r="AK1" s="52"/>
      <c r="AL1" s="52"/>
      <c r="AM1" s="52"/>
      <c r="AN1" s="52"/>
      <c r="AO1" s="52"/>
      <c r="AP1" s="52"/>
      <c r="AQ1" s="52"/>
      <c r="AR1" s="53" t="s">
        <v>145</v>
      </c>
      <c r="AS1" s="53"/>
      <c r="AT1" s="53"/>
      <c r="AU1" s="53"/>
      <c r="AV1" s="53"/>
      <c r="AW1" s="53"/>
      <c r="AX1" s="53"/>
      <c r="AY1" s="53"/>
      <c r="AZ1" s="53"/>
      <c r="BA1" s="53"/>
      <c r="BB1" s="53"/>
      <c r="BC1" s="53"/>
      <c r="BD1" s="53"/>
      <c r="BE1" s="53"/>
      <c r="BF1" s="53"/>
      <c r="BG1" s="53"/>
      <c r="BH1" s="53"/>
      <c r="BI1" s="53"/>
      <c r="BJ1" s="53"/>
      <c r="BK1" s="53"/>
      <c r="BL1" s="53"/>
      <c r="BM1" s="53"/>
      <c r="BN1" s="53"/>
      <c r="BO1" s="53"/>
      <c r="BP1" s="53"/>
      <c r="BQ1" s="53"/>
      <c r="BR1" s="53"/>
      <c r="BS1" s="52" t="s">
        <v>161</v>
      </c>
      <c r="BT1" s="52"/>
      <c r="BU1" s="52"/>
      <c r="BV1" s="52"/>
      <c r="BW1" s="52"/>
      <c r="BX1" s="52"/>
      <c r="BY1" s="52"/>
      <c r="BZ1" s="52"/>
      <c r="CA1" s="52"/>
      <c r="CB1" s="52"/>
      <c r="CC1" s="52"/>
      <c r="CD1" s="52"/>
      <c r="CE1" s="52"/>
      <c r="CF1" s="52"/>
      <c r="CG1" s="52"/>
      <c r="CH1" s="52"/>
      <c r="CI1" s="52"/>
      <c r="CJ1" s="52"/>
      <c r="CK1" s="52"/>
      <c r="CL1" s="52"/>
      <c r="CM1" s="52"/>
      <c r="CN1" s="52"/>
      <c r="CO1" s="52"/>
      <c r="CP1" s="52"/>
      <c r="CQ1" s="52"/>
      <c r="CR1" s="52"/>
      <c r="CS1" s="52"/>
      <c r="CT1" s="50" t="s">
        <v>12</v>
      </c>
      <c r="CU1" s="52" t="s">
        <v>138</v>
      </c>
      <c r="CV1" s="52"/>
      <c r="CW1" s="52"/>
      <c r="CX1" s="52"/>
      <c r="CY1" s="52"/>
      <c r="CZ1" s="52"/>
      <c r="DA1" s="52"/>
      <c r="DB1" s="52"/>
      <c r="DC1" s="52"/>
      <c r="DD1" s="52"/>
      <c r="DE1" s="52"/>
      <c r="DF1" s="52"/>
      <c r="DG1" s="52"/>
      <c r="DH1" s="52"/>
      <c r="DI1" s="52"/>
      <c r="DJ1" s="52"/>
      <c r="DK1" s="52"/>
      <c r="DL1" s="52"/>
      <c r="DM1" s="52"/>
      <c r="DN1" s="52"/>
      <c r="DO1" s="52"/>
      <c r="DP1" s="52"/>
      <c r="DQ1" s="52"/>
      <c r="DR1" s="52"/>
      <c r="DS1" s="52"/>
      <c r="DT1" s="52"/>
      <c r="DU1" s="52"/>
      <c r="DV1" s="52"/>
      <c r="DW1" s="52"/>
      <c r="DX1" s="52"/>
      <c r="DY1" s="52"/>
      <c r="DZ1" s="52"/>
      <c r="EA1" s="52"/>
      <c r="EB1" s="52"/>
      <c r="EC1" s="53" t="s">
        <v>152</v>
      </c>
      <c r="ED1" s="53"/>
      <c r="EE1" s="53"/>
      <c r="EF1" s="53"/>
      <c r="EG1" s="53"/>
      <c r="EH1" s="53"/>
      <c r="EI1" s="53"/>
      <c r="EJ1" s="53"/>
      <c r="EK1" s="53"/>
      <c r="EL1" s="53"/>
      <c r="EM1" s="53"/>
      <c r="EN1" s="53"/>
      <c r="EO1" s="53"/>
      <c r="EP1" s="53"/>
      <c r="EQ1" s="53"/>
      <c r="ER1" s="53"/>
      <c r="ES1" s="53"/>
      <c r="ET1" s="53"/>
      <c r="EU1" s="53"/>
      <c r="EV1" s="53"/>
      <c r="EW1" s="53"/>
      <c r="EX1" s="53"/>
      <c r="EY1" s="53"/>
      <c r="EZ1" s="53"/>
      <c r="FA1" s="53"/>
      <c r="FB1" s="53"/>
      <c r="FC1" s="53"/>
      <c r="FD1" s="53"/>
      <c r="FE1" s="53"/>
      <c r="FF1" s="53"/>
      <c r="FG1" s="53"/>
      <c r="FH1" s="53"/>
      <c r="FI1" s="53"/>
      <c r="FJ1" s="53"/>
      <c r="FK1" s="52" t="s">
        <v>155</v>
      </c>
      <c r="FL1" s="52"/>
      <c r="FM1" s="52"/>
      <c r="FN1" s="52"/>
      <c r="FO1" s="52"/>
      <c r="FP1" s="52"/>
      <c r="FQ1" s="52"/>
      <c r="FR1" s="52"/>
      <c r="FS1" s="52"/>
      <c r="FT1" s="52"/>
      <c r="FU1" s="52"/>
      <c r="FV1" s="52"/>
      <c r="FW1" s="52"/>
      <c r="FX1" s="52"/>
      <c r="FY1" s="52"/>
      <c r="FZ1" s="52"/>
      <c r="GA1" s="52"/>
      <c r="GB1" s="52"/>
      <c r="GC1" s="52"/>
      <c r="GD1" s="52"/>
      <c r="GE1" s="52"/>
      <c r="GF1" s="52"/>
      <c r="GG1" s="52"/>
      <c r="GH1" s="52"/>
      <c r="GI1" s="52"/>
      <c r="GJ1" s="52"/>
      <c r="GK1" s="52"/>
      <c r="GL1" s="52"/>
      <c r="GM1" s="52"/>
      <c r="GN1" s="52"/>
      <c r="GO1" s="52"/>
      <c r="GP1" s="52"/>
      <c r="GQ1" s="52"/>
      <c r="GR1" s="52"/>
      <c r="GS1" s="53" t="s">
        <v>156</v>
      </c>
      <c r="GT1" s="53"/>
      <c r="GU1" s="53"/>
      <c r="GV1" s="53"/>
      <c r="GW1" s="53"/>
      <c r="GX1" s="53"/>
      <c r="GY1" s="53"/>
      <c r="GZ1" s="53"/>
      <c r="HA1" s="53"/>
      <c r="HB1" s="53"/>
      <c r="HC1" s="53"/>
      <c r="HD1" s="53"/>
      <c r="HE1" s="53"/>
      <c r="HF1" s="53"/>
      <c r="HG1" s="53"/>
      <c r="HH1" s="53"/>
      <c r="HI1" s="53"/>
      <c r="HJ1" s="53"/>
      <c r="HK1" s="53"/>
      <c r="HL1" s="53"/>
      <c r="HM1" s="53"/>
      <c r="HN1" s="53"/>
      <c r="HO1" s="53"/>
      <c r="HP1" s="53"/>
      <c r="HQ1" s="53"/>
      <c r="HR1" s="53"/>
      <c r="HS1" s="53"/>
      <c r="HT1" s="53"/>
      <c r="HU1" s="53"/>
      <c r="HV1" s="53"/>
      <c r="HW1" s="53"/>
      <c r="HX1" s="53"/>
      <c r="HY1" s="53"/>
      <c r="HZ1" s="53"/>
      <c r="IA1" s="52" t="s">
        <v>164</v>
      </c>
      <c r="IB1" s="52"/>
      <c r="IC1" s="52"/>
      <c r="ID1" s="52"/>
      <c r="IE1" s="52"/>
      <c r="IF1" s="52"/>
      <c r="IG1" s="52"/>
      <c r="IH1" s="52"/>
      <c r="II1" s="52"/>
      <c r="IJ1" s="52"/>
      <c r="IK1" s="52"/>
      <c r="IL1" s="52"/>
      <c r="IM1" s="52"/>
      <c r="IN1" s="52"/>
      <c r="IO1" s="52"/>
      <c r="IP1" s="52"/>
      <c r="IQ1" s="52"/>
      <c r="IR1" s="52"/>
      <c r="IS1" s="52"/>
      <c r="IT1" s="52"/>
      <c r="IU1" s="52"/>
      <c r="IV1" s="52"/>
      <c r="IW1" s="52"/>
      <c r="IX1" s="52"/>
      <c r="IY1" s="52"/>
      <c r="IZ1" s="52"/>
      <c r="JA1" s="52"/>
      <c r="JB1" s="52"/>
      <c r="JC1" s="52"/>
      <c r="JD1" s="52"/>
      <c r="JE1" s="52"/>
      <c r="JF1" s="52"/>
      <c r="JG1" s="52"/>
      <c r="JH1" s="52"/>
      <c r="JI1" s="53" t="s">
        <v>173</v>
      </c>
      <c r="JJ1" s="53"/>
      <c r="JK1" s="53"/>
      <c r="JL1" s="53"/>
      <c r="JM1" s="53"/>
      <c r="JN1" s="53"/>
      <c r="JO1" s="53"/>
      <c r="JP1" s="53"/>
      <c r="JQ1" s="53"/>
      <c r="JR1" s="53"/>
      <c r="JS1" s="53"/>
      <c r="JT1" s="53"/>
      <c r="JU1" s="53"/>
      <c r="JV1" s="53"/>
      <c r="JW1" s="53"/>
      <c r="JX1" s="53"/>
      <c r="JY1" s="53"/>
      <c r="JZ1" s="53"/>
      <c r="KA1" s="53"/>
      <c r="KB1" s="53"/>
      <c r="KC1" s="53"/>
      <c r="KD1" s="53"/>
      <c r="KE1" s="53"/>
      <c r="KF1" s="53"/>
      <c r="KG1" s="53"/>
      <c r="KH1" s="53"/>
      <c r="KI1" s="53"/>
      <c r="KJ1" s="53"/>
      <c r="KK1" s="53"/>
      <c r="KL1" s="53"/>
      <c r="KM1" s="53"/>
      <c r="KN1" s="53"/>
      <c r="KO1" s="53"/>
      <c r="KP1" s="53"/>
      <c r="KQ1" s="52" t="s">
        <v>176</v>
      </c>
      <c r="KR1" s="52"/>
      <c r="KS1" s="52"/>
      <c r="KT1" s="52"/>
      <c r="KU1" s="52"/>
      <c r="KV1" s="52"/>
      <c r="KW1" s="52"/>
      <c r="KX1" s="52"/>
      <c r="KY1" s="52"/>
      <c r="KZ1" s="52"/>
      <c r="LA1" s="52"/>
      <c r="LB1" s="52"/>
      <c r="LC1" s="52"/>
      <c r="LD1" s="52"/>
      <c r="LE1" s="52"/>
      <c r="LF1" s="52"/>
      <c r="LG1" s="52"/>
      <c r="LH1" s="52"/>
      <c r="LI1" s="52"/>
      <c r="LJ1" s="52"/>
      <c r="LK1" s="52"/>
      <c r="LL1" s="52"/>
      <c r="LM1" s="52"/>
      <c r="LN1" s="52"/>
      <c r="LO1" s="52"/>
      <c r="LP1" s="52"/>
      <c r="LQ1" s="52"/>
      <c r="LR1" s="52"/>
      <c r="LS1" s="52"/>
      <c r="LT1" s="52"/>
      <c r="LU1" s="52"/>
      <c r="LV1" s="52"/>
      <c r="LW1" s="52"/>
      <c r="LX1" s="52"/>
      <c r="LY1" s="53" t="s">
        <v>182</v>
      </c>
      <c r="LZ1" s="53"/>
      <c r="MA1" s="53"/>
      <c r="MB1" s="53"/>
      <c r="MC1" s="53"/>
      <c r="MD1" s="53"/>
      <c r="ME1" s="53"/>
      <c r="MF1" s="53"/>
      <c r="MG1" s="53"/>
      <c r="MH1" s="53"/>
      <c r="MI1" s="53"/>
      <c r="MJ1" s="53"/>
      <c r="MK1" s="53"/>
      <c r="ML1" s="53"/>
      <c r="MM1" s="53"/>
      <c r="MN1" s="53"/>
      <c r="MO1" s="53"/>
      <c r="MP1" s="53"/>
      <c r="MQ1" s="53"/>
      <c r="MR1" s="53"/>
      <c r="MS1" s="53"/>
      <c r="MT1" s="53"/>
      <c r="MU1" s="53"/>
      <c r="MV1" s="53"/>
      <c r="MW1" s="53"/>
      <c r="MX1" s="53"/>
      <c r="MY1" s="53"/>
      <c r="MZ1" s="53"/>
      <c r="NA1" s="53"/>
      <c r="NB1" s="53"/>
      <c r="NC1" s="53"/>
      <c r="ND1" s="53"/>
      <c r="NE1" s="53"/>
      <c r="NF1" s="53"/>
      <c r="NG1" s="52"/>
      <c r="NH1" s="52"/>
      <c r="NI1" s="52"/>
      <c r="NJ1" s="52"/>
      <c r="NK1" s="52"/>
      <c r="NL1" s="52"/>
      <c r="NM1" s="52"/>
      <c r="NN1" s="52"/>
      <c r="NO1" s="52"/>
      <c r="NP1" s="52"/>
      <c r="NQ1" s="52"/>
      <c r="NR1" s="52"/>
      <c r="NS1" s="52"/>
      <c r="NT1" s="52"/>
      <c r="NU1" s="52"/>
      <c r="NV1" s="52"/>
      <c r="NW1" s="52"/>
      <c r="NX1" s="52"/>
      <c r="NY1" s="52"/>
      <c r="NZ1" s="52"/>
      <c r="OA1" s="52"/>
      <c r="OB1" s="52"/>
      <c r="OC1" s="52"/>
      <c r="OD1" s="52"/>
      <c r="OE1" s="52"/>
      <c r="OF1" s="52"/>
      <c r="OG1" s="52"/>
      <c r="OH1" s="52"/>
      <c r="OI1" s="52"/>
      <c r="OJ1" s="52"/>
      <c r="OK1" s="52"/>
      <c r="OL1" s="52"/>
      <c r="OM1" s="52"/>
      <c r="ON1" s="52"/>
      <c r="OO1" s="53"/>
      <c r="OP1" s="53"/>
      <c r="OQ1" s="53"/>
      <c r="OR1" s="53"/>
      <c r="OS1" s="53"/>
      <c r="OT1" s="53"/>
      <c r="OU1" s="53"/>
      <c r="OV1" s="53"/>
      <c r="OW1" s="53"/>
      <c r="OX1" s="53"/>
      <c r="OY1" s="53"/>
      <c r="OZ1" s="53"/>
      <c r="PA1" s="53"/>
      <c r="PB1" s="53"/>
      <c r="PC1" s="53"/>
      <c r="PD1" s="53"/>
      <c r="PE1" s="53"/>
      <c r="PF1" s="53"/>
      <c r="PG1" s="53"/>
      <c r="PH1" s="53"/>
      <c r="PI1" s="53"/>
      <c r="PJ1" s="53"/>
      <c r="PK1" s="53"/>
      <c r="PL1" s="53"/>
      <c r="PM1" s="53"/>
      <c r="PN1" s="53"/>
      <c r="PO1" s="53"/>
      <c r="PP1" s="53"/>
      <c r="PQ1" s="53"/>
      <c r="PR1" s="53"/>
      <c r="PS1" s="53"/>
      <c r="PT1" s="53"/>
      <c r="PU1" s="53"/>
      <c r="PV1" s="53"/>
      <c r="PW1" s="52"/>
      <c r="PX1" s="52"/>
      <c r="PY1" s="52"/>
      <c r="PZ1" s="52"/>
      <c r="QA1" s="52"/>
      <c r="QB1" s="52"/>
      <c r="QC1" s="52"/>
      <c r="QD1" s="52"/>
      <c r="QE1" s="52"/>
      <c r="QF1" s="52"/>
      <c r="QG1" s="52"/>
      <c r="QH1" s="52"/>
      <c r="QI1" s="52"/>
      <c r="QJ1" s="52"/>
      <c r="QK1" s="52"/>
      <c r="QL1" s="52"/>
      <c r="QM1" s="52"/>
      <c r="QN1" s="52"/>
      <c r="QO1" s="52"/>
      <c r="QP1" s="52"/>
      <c r="QQ1" s="52"/>
      <c r="QR1" s="52"/>
      <c r="QS1" s="52"/>
      <c r="QT1" s="52"/>
      <c r="QU1" s="52"/>
      <c r="QV1" s="52"/>
      <c r="QW1" s="52"/>
      <c r="QX1" s="52"/>
      <c r="QY1" s="52"/>
      <c r="QZ1" s="52"/>
      <c r="RA1" s="52"/>
      <c r="RB1" s="52"/>
      <c r="RC1" s="52"/>
      <c r="RD1" s="52"/>
      <c r="RE1" s="53"/>
      <c r="RF1" s="53"/>
      <c r="RG1" s="53"/>
      <c r="RH1" s="53"/>
      <c r="RI1" s="53"/>
      <c r="RJ1" s="53"/>
      <c r="RK1" s="53"/>
      <c r="RL1" s="53"/>
      <c r="RM1" s="53"/>
      <c r="RN1" s="53"/>
      <c r="RO1" s="53"/>
      <c r="RP1" s="53"/>
      <c r="RQ1" s="53"/>
      <c r="RR1" s="53"/>
      <c r="RS1" s="53"/>
      <c r="RT1" s="53"/>
      <c r="RU1" s="53"/>
      <c r="RV1" s="53"/>
      <c r="RW1" s="53"/>
      <c r="RX1" s="53"/>
      <c r="RY1" s="53"/>
      <c r="RZ1" s="53"/>
      <c r="SA1" s="53"/>
      <c r="SB1" s="53"/>
      <c r="SC1" s="53"/>
      <c r="SD1" s="53"/>
      <c r="SE1" s="53"/>
      <c r="SF1" s="53"/>
      <c r="SG1" s="53"/>
      <c r="SH1" s="53"/>
      <c r="SI1" s="53"/>
      <c r="SJ1" s="53"/>
      <c r="SK1" s="53"/>
      <c r="SL1" s="53"/>
      <c r="SM1" s="52"/>
      <c r="SN1" s="52"/>
      <c r="SO1" s="52"/>
      <c r="SP1" s="52"/>
      <c r="SQ1" s="52"/>
      <c r="SR1" s="52"/>
      <c r="SS1" s="52"/>
      <c r="ST1" s="52"/>
      <c r="SU1" s="52"/>
      <c r="SV1" s="52"/>
      <c r="SW1" s="52"/>
      <c r="SX1" s="52"/>
      <c r="SY1" s="52"/>
      <c r="SZ1" s="52"/>
      <c r="TA1" s="52"/>
      <c r="TB1" s="52"/>
      <c r="TC1" s="52"/>
      <c r="TD1" s="52"/>
      <c r="TE1" s="52"/>
      <c r="TF1" s="52"/>
      <c r="TG1" s="52"/>
      <c r="TH1" s="52"/>
      <c r="TI1" s="52"/>
      <c r="TJ1" s="52"/>
      <c r="TK1" s="52"/>
      <c r="TL1" s="52"/>
      <c r="TM1" s="52"/>
      <c r="TN1" s="52"/>
      <c r="TO1" s="52"/>
      <c r="TP1" s="52"/>
      <c r="TQ1" s="52"/>
      <c r="TR1" s="52"/>
      <c r="TS1" s="52"/>
      <c r="TT1" s="52"/>
      <c r="TU1" s="53"/>
      <c r="TV1" s="53"/>
      <c r="TW1" s="53"/>
      <c r="TX1" s="53"/>
      <c r="TY1" s="53"/>
      <c r="TZ1" s="53"/>
      <c r="UA1" s="53"/>
      <c r="UB1" s="53"/>
      <c r="UC1" s="53"/>
      <c r="UD1" s="53"/>
      <c r="UE1" s="53"/>
      <c r="UF1" s="53"/>
      <c r="UG1" s="53"/>
      <c r="UH1" s="53"/>
      <c r="UI1" s="53"/>
      <c r="UJ1" s="53"/>
      <c r="UK1" s="53"/>
      <c r="UL1" s="53"/>
      <c r="UM1" s="53"/>
      <c r="UN1" s="53"/>
      <c r="UO1" s="53"/>
      <c r="UP1" s="53"/>
      <c r="UQ1" s="53"/>
      <c r="UR1" s="53"/>
      <c r="US1" s="53"/>
      <c r="UT1" s="53"/>
      <c r="UU1" s="53"/>
      <c r="UV1" s="53"/>
      <c r="UW1" s="53"/>
      <c r="UX1" s="53"/>
      <c r="UY1" s="53"/>
      <c r="UZ1" s="53"/>
      <c r="VA1" s="53"/>
      <c r="VB1" s="53"/>
      <c r="VC1" s="52"/>
      <c r="VD1" s="52"/>
      <c r="VE1" s="52"/>
      <c r="VF1" s="52"/>
      <c r="VG1" s="52"/>
      <c r="VH1" s="52"/>
      <c r="VI1" s="52"/>
      <c r="VJ1" s="52"/>
      <c r="VK1" s="52"/>
      <c r="VL1" s="52"/>
      <c r="VM1" s="52"/>
      <c r="VN1" s="52"/>
      <c r="VO1" s="52"/>
      <c r="VP1" s="52"/>
      <c r="VQ1" s="52"/>
      <c r="VR1" s="52"/>
      <c r="VS1" s="52"/>
      <c r="VT1" s="52"/>
      <c r="VU1" s="52"/>
      <c r="VV1" s="52"/>
      <c r="VW1" s="52"/>
      <c r="VX1" s="52"/>
      <c r="VY1" s="52"/>
      <c r="VZ1" s="52"/>
      <c r="WA1" s="52"/>
      <c r="WB1" s="52"/>
      <c r="WC1" s="52"/>
      <c r="WD1" s="52"/>
      <c r="WE1" s="52"/>
      <c r="WF1" s="52"/>
      <c r="WG1" s="52"/>
      <c r="WH1" s="52"/>
      <c r="WI1" s="52"/>
      <c r="WJ1" s="52"/>
    </row>
    <row r="2" spans="1:608" x14ac:dyDescent="0.2">
      <c r="A2" s="56"/>
      <c r="B2" s="56"/>
      <c r="C2" s="56"/>
      <c r="D2" s="56"/>
      <c r="E2" s="56"/>
      <c r="F2" s="60"/>
      <c r="G2" s="56"/>
      <c r="H2" s="56"/>
      <c r="I2" s="56"/>
      <c r="J2" s="57"/>
      <c r="K2" s="58"/>
      <c r="L2" s="57"/>
      <c r="M2" s="58"/>
      <c r="N2" s="61"/>
      <c r="O2" s="58"/>
      <c r="P2" s="58"/>
      <c r="Q2" s="54" t="s">
        <v>17</v>
      </c>
      <c r="R2" s="54"/>
      <c r="S2" s="54"/>
      <c r="T2" s="54"/>
      <c r="U2" s="54"/>
      <c r="V2" s="54" t="s">
        <v>18</v>
      </c>
      <c r="W2" s="54"/>
      <c r="X2" s="54"/>
      <c r="Y2" s="54"/>
      <c r="Z2" s="54"/>
      <c r="AA2" s="54" t="s">
        <v>21</v>
      </c>
      <c r="AB2" s="54"/>
      <c r="AC2" s="54"/>
      <c r="AD2" s="54"/>
      <c r="AE2" s="54"/>
      <c r="AF2" s="14"/>
      <c r="AG2" s="14" t="s">
        <v>67</v>
      </c>
      <c r="AH2" s="14" t="s">
        <v>68</v>
      </c>
      <c r="AI2" s="14" t="s">
        <v>19</v>
      </c>
      <c r="AJ2" s="14" t="s">
        <v>58</v>
      </c>
      <c r="AK2" s="14" t="s">
        <v>69</v>
      </c>
      <c r="AL2" s="14" t="s">
        <v>20</v>
      </c>
      <c r="AM2" s="14" t="s">
        <v>22</v>
      </c>
      <c r="AN2" s="14" t="s">
        <v>70</v>
      </c>
      <c r="AO2" s="14" t="s">
        <v>71</v>
      </c>
      <c r="AP2" s="14" t="s">
        <v>21</v>
      </c>
      <c r="AQ2" s="14" t="s">
        <v>16</v>
      </c>
      <c r="AR2" s="55" t="s">
        <v>17</v>
      </c>
      <c r="AS2" s="55"/>
      <c r="AT2" s="55"/>
      <c r="AU2" s="55"/>
      <c r="AV2" s="55"/>
      <c r="AW2" s="55" t="s">
        <v>18</v>
      </c>
      <c r="AX2" s="55"/>
      <c r="AY2" s="55"/>
      <c r="AZ2" s="55"/>
      <c r="BA2" s="55"/>
      <c r="BB2" s="55" t="s">
        <v>21</v>
      </c>
      <c r="BC2" s="55"/>
      <c r="BD2" s="55"/>
      <c r="BE2" s="55"/>
      <c r="BF2" s="55"/>
      <c r="BG2" s="13"/>
      <c r="BH2" s="13" t="s">
        <v>67</v>
      </c>
      <c r="BI2" s="13" t="s">
        <v>68</v>
      </c>
      <c r="BJ2" s="13" t="s">
        <v>19</v>
      </c>
      <c r="BK2" s="13" t="s">
        <v>58</v>
      </c>
      <c r="BL2" s="13" t="s">
        <v>69</v>
      </c>
      <c r="BM2" s="13" t="s">
        <v>20</v>
      </c>
      <c r="BN2" s="13" t="s">
        <v>22</v>
      </c>
      <c r="BO2" s="13" t="s">
        <v>70</v>
      </c>
      <c r="BP2" s="13" t="s">
        <v>71</v>
      </c>
      <c r="BQ2" s="13" t="s">
        <v>21</v>
      </c>
      <c r="BR2" s="13" t="s">
        <v>16</v>
      </c>
      <c r="BS2" s="54" t="s">
        <v>17</v>
      </c>
      <c r="BT2" s="54"/>
      <c r="BU2" s="54"/>
      <c r="BV2" s="54"/>
      <c r="BW2" s="54"/>
      <c r="BX2" s="54" t="s">
        <v>18</v>
      </c>
      <c r="BY2" s="54"/>
      <c r="BZ2" s="54"/>
      <c r="CA2" s="54"/>
      <c r="CB2" s="54"/>
      <c r="CC2" s="54" t="s">
        <v>21</v>
      </c>
      <c r="CD2" s="54"/>
      <c r="CE2" s="54"/>
      <c r="CF2" s="54"/>
      <c r="CG2" s="54"/>
      <c r="CH2" s="14"/>
      <c r="CI2" s="14" t="s">
        <v>67</v>
      </c>
      <c r="CJ2" s="14" t="s">
        <v>68</v>
      </c>
      <c r="CK2" s="14" t="s">
        <v>19</v>
      </c>
      <c r="CL2" s="14" t="s">
        <v>58</v>
      </c>
      <c r="CM2" s="14" t="s">
        <v>69</v>
      </c>
      <c r="CN2" s="14" t="s">
        <v>20</v>
      </c>
      <c r="CO2" s="14" t="s">
        <v>22</v>
      </c>
      <c r="CP2" s="14" t="s">
        <v>70</v>
      </c>
      <c r="CQ2" s="14" t="s">
        <v>71</v>
      </c>
      <c r="CR2" s="14" t="s">
        <v>21</v>
      </c>
      <c r="CS2" s="14" t="s">
        <v>16</v>
      </c>
      <c r="CT2" s="46" t="s">
        <v>187</v>
      </c>
      <c r="CU2" s="54" t="s">
        <v>17</v>
      </c>
      <c r="CV2" s="54"/>
      <c r="CW2" s="54"/>
      <c r="CX2" s="54"/>
      <c r="CY2" s="54"/>
      <c r="CZ2" s="54" t="s">
        <v>18</v>
      </c>
      <c r="DA2" s="54"/>
      <c r="DB2" s="54"/>
      <c r="DC2" s="54"/>
      <c r="DD2" s="54"/>
      <c r="DE2" s="54" t="s">
        <v>72</v>
      </c>
      <c r="DF2" s="54"/>
      <c r="DG2" s="54"/>
      <c r="DH2" s="54"/>
      <c r="DI2" s="54"/>
      <c r="DJ2" s="54" t="s">
        <v>21</v>
      </c>
      <c r="DK2" s="54"/>
      <c r="DL2" s="54"/>
      <c r="DM2" s="54"/>
      <c r="DN2" s="54"/>
      <c r="DO2" s="14" t="s">
        <v>67</v>
      </c>
      <c r="DP2" s="14" t="s">
        <v>68</v>
      </c>
      <c r="DQ2" s="14" t="s">
        <v>19</v>
      </c>
      <c r="DR2" s="14" t="s">
        <v>58</v>
      </c>
      <c r="DS2" s="14" t="s">
        <v>69</v>
      </c>
      <c r="DT2" s="14" t="s">
        <v>20</v>
      </c>
      <c r="DU2" s="14" t="s">
        <v>22</v>
      </c>
      <c r="DV2" s="14" t="s">
        <v>73</v>
      </c>
      <c r="DW2" s="14" t="s">
        <v>74</v>
      </c>
      <c r="DX2" s="14" t="s">
        <v>72</v>
      </c>
      <c r="DY2" s="14" t="s">
        <v>70</v>
      </c>
      <c r="DZ2" s="14" t="s">
        <v>71</v>
      </c>
      <c r="EA2" s="14" t="s">
        <v>21</v>
      </c>
      <c r="EB2" s="14" t="s">
        <v>16</v>
      </c>
      <c r="EC2" s="55" t="s">
        <v>17</v>
      </c>
      <c r="ED2" s="55"/>
      <c r="EE2" s="55"/>
      <c r="EF2" s="55"/>
      <c r="EG2" s="55"/>
      <c r="EH2" s="55" t="s">
        <v>18</v>
      </c>
      <c r="EI2" s="55"/>
      <c r="EJ2" s="55"/>
      <c r="EK2" s="55"/>
      <c r="EL2" s="55"/>
      <c r="EM2" s="55" t="s">
        <v>72</v>
      </c>
      <c r="EN2" s="55"/>
      <c r="EO2" s="55"/>
      <c r="EP2" s="55"/>
      <c r="EQ2" s="55"/>
      <c r="ER2" s="55" t="s">
        <v>21</v>
      </c>
      <c r="ES2" s="55"/>
      <c r="ET2" s="55"/>
      <c r="EU2" s="55"/>
      <c r="EV2" s="55"/>
      <c r="EW2" s="13" t="s">
        <v>67</v>
      </c>
      <c r="EX2" s="13" t="s">
        <v>68</v>
      </c>
      <c r="EY2" s="13" t="s">
        <v>19</v>
      </c>
      <c r="EZ2" s="13" t="s">
        <v>58</v>
      </c>
      <c r="FA2" s="13" t="s">
        <v>69</v>
      </c>
      <c r="FB2" s="13" t="s">
        <v>20</v>
      </c>
      <c r="FC2" s="13" t="s">
        <v>22</v>
      </c>
      <c r="FD2" s="13" t="s">
        <v>73</v>
      </c>
      <c r="FE2" s="13" t="s">
        <v>74</v>
      </c>
      <c r="FF2" s="13" t="s">
        <v>72</v>
      </c>
      <c r="FG2" s="13" t="s">
        <v>70</v>
      </c>
      <c r="FH2" s="13" t="s">
        <v>71</v>
      </c>
      <c r="FI2" s="13" t="s">
        <v>21</v>
      </c>
      <c r="FJ2" s="13" t="s">
        <v>16</v>
      </c>
      <c r="FK2" s="54" t="s">
        <v>17</v>
      </c>
      <c r="FL2" s="54"/>
      <c r="FM2" s="54"/>
      <c r="FN2" s="54"/>
      <c r="FO2" s="54"/>
      <c r="FP2" s="54" t="s">
        <v>18</v>
      </c>
      <c r="FQ2" s="54"/>
      <c r="FR2" s="54"/>
      <c r="FS2" s="54"/>
      <c r="FT2" s="54"/>
      <c r="FU2" s="54" t="s">
        <v>72</v>
      </c>
      <c r="FV2" s="54"/>
      <c r="FW2" s="54"/>
      <c r="FX2" s="54"/>
      <c r="FY2" s="54"/>
      <c r="FZ2" s="54" t="s">
        <v>21</v>
      </c>
      <c r="GA2" s="54"/>
      <c r="GB2" s="54"/>
      <c r="GC2" s="54"/>
      <c r="GD2" s="54"/>
      <c r="GE2" s="14" t="s">
        <v>67</v>
      </c>
      <c r="GF2" s="14" t="s">
        <v>68</v>
      </c>
      <c r="GG2" s="14" t="s">
        <v>19</v>
      </c>
      <c r="GH2" s="14" t="s">
        <v>58</v>
      </c>
      <c r="GI2" s="14" t="s">
        <v>69</v>
      </c>
      <c r="GJ2" s="14" t="s">
        <v>20</v>
      </c>
      <c r="GK2" s="14" t="s">
        <v>22</v>
      </c>
      <c r="GL2" s="14" t="s">
        <v>73</v>
      </c>
      <c r="GM2" s="14" t="s">
        <v>74</v>
      </c>
      <c r="GN2" s="14" t="s">
        <v>72</v>
      </c>
      <c r="GO2" s="14" t="s">
        <v>70</v>
      </c>
      <c r="GP2" s="14" t="s">
        <v>71</v>
      </c>
      <c r="GQ2" s="14" t="s">
        <v>21</v>
      </c>
      <c r="GR2" s="14" t="s">
        <v>16</v>
      </c>
      <c r="GS2" s="55" t="s">
        <v>17</v>
      </c>
      <c r="GT2" s="55"/>
      <c r="GU2" s="55"/>
      <c r="GV2" s="55"/>
      <c r="GW2" s="55"/>
      <c r="GX2" s="55" t="s">
        <v>18</v>
      </c>
      <c r="GY2" s="55"/>
      <c r="GZ2" s="55"/>
      <c r="HA2" s="55"/>
      <c r="HB2" s="55"/>
      <c r="HC2" s="55" t="s">
        <v>72</v>
      </c>
      <c r="HD2" s="55"/>
      <c r="HE2" s="55"/>
      <c r="HF2" s="55"/>
      <c r="HG2" s="55"/>
      <c r="HH2" s="55" t="s">
        <v>21</v>
      </c>
      <c r="HI2" s="55"/>
      <c r="HJ2" s="55"/>
      <c r="HK2" s="55"/>
      <c r="HL2" s="55"/>
      <c r="HM2" s="13" t="s">
        <v>67</v>
      </c>
      <c r="HN2" s="13" t="s">
        <v>68</v>
      </c>
      <c r="HO2" s="13" t="s">
        <v>19</v>
      </c>
      <c r="HP2" s="13" t="s">
        <v>58</v>
      </c>
      <c r="HQ2" s="13" t="s">
        <v>69</v>
      </c>
      <c r="HR2" s="13" t="s">
        <v>20</v>
      </c>
      <c r="HS2" s="13" t="s">
        <v>22</v>
      </c>
      <c r="HT2" s="13" t="s">
        <v>73</v>
      </c>
      <c r="HU2" s="13" t="s">
        <v>74</v>
      </c>
      <c r="HV2" s="13" t="s">
        <v>72</v>
      </c>
      <c r="HW2" s="13" t="s">
        <v>70</v>
      </c>
      <c r="HX2" s="13" t="s">
        <v>71</v>
      </c>
      <c r="HY2" s="13" t="s">
        <v>21</v>
      </c>
      <c r="HZ2" s="13" t="s">
        <v>16</v>
      </c>
      <c r="IA2" s="54" t="s">
        <v>17</v>
      </c>
      <c r="IB2" s="54"/>
      <c r="IC2" s="54"/>
      <c r="ID2" s="54"/>
      <c r="IE2" s="54"/>
      <c r="IF2" s="54" t="s">
        <v>18</v>
      </c>
      <c r="IG2" s="54"/>
      <c r="IH2" s="54"/>
      <c r="II2" s="54"/>
      <c r="IJ2" s="54"/>
      <c r="IK2" s="54" t="s">
        <v>72</v>
      </c>
      <c r="IL2" s="54"/>
      <c r="IM2" s="54"/>
      <c r="IN2" s="54"/>
      <c r="IO2" s="54"/>
      <c r="IP2" s="54" t="s">
        <v>21</v>
      </c>
      <c r="IQ2" s="54"/>
      <c r="IR2" s="54"/>
      <c r="IS2" s="54"/>
      <c r="IT2" s="54"/>
      <c r="IU2" s="14" t="s">
        <v>67</v>
      </c>
      <c r="IV2" s="14" t="s">
        <v>68</v>
      </c>
      <c r="IW2" s="14" t="s">
        <v>19</v>
      </c>
      <c r="IX2" s="14" t="s">
        <v>58</v>
      </c>
      <c r="IY2" s="14" t="s">
        <v>69</v>
      </c>
      <c r="IZ2" s="14" t="s">
        <v>20</v>
      </c>
      <c r="JA2" s="14" t="s">
        <v>22</v>
      </c>
      <c r="JB2" s="14" t="s">
        <v>73</v>
      </c>
      <c r="JC2" s="14" t="s">
        <v>74</v>
      </c>
      <c r="JD2" s="14" t="s">
        <v>72</v>
      </c>
      <c r="JE2" s="14" t="s">
        <v>70</v>
      </c>
      <c r="JF2" s="14" t="s">
        <v>71</v>
      </c>
      <c r="JG2" s="14" t="s">
        <v>21</v>
      </c>
      <c r="JH2" s="14" t="s">
        <v>16</v>
      </c>
      <c r="JI2" s="55" t="s">
        <v>17</v>
      </c>
      <c r="JJ2" s="55"/>
      <c r="JK2" s="55"/>
      <c r="JL2" s="55"/>
      <c r="JM2" s="55"/>
      <c r="JN2" s="55" t="s">
        <v>18</v>
      </c>
      <c r="JO2" s="55"/>
      <c r="JP2" s="55"/>
      <c r="JQ2" s="55"/>
      <c r="JR2" s="55"/>
      <c r="JS2" s="55" t="s">
        <v>72</v>
      </c>
      <c r="JT2" s="55"/>
      <c r="JU2" s="55"/>
      <c r="JV2" s="55"/>
      <c r="JW2" s="55"/>
      <c r="JX2" s="55" t="s">
        <v>21</v>
      </c>
      <c r="JY2" s="55"/>
      <c r="JZ2" s="55"/>
      <c r="KA2" s="55"/>
      <c r="KB2" s="55"/>
      <c r="KC2" s="13" t="s">
        <v>67</v>
      </c>
      <c r="KD2" s="13" t="s">
        <v>68</v>
      </c>
      <c r="KE2" s="13" t="s">
        <v>19</v>
      </c>
      <c r="KF2" s="13" t="s">
        <v>58</v>
      </c>
      <c r="KG2" s="13" t="s">
        <v>69</v>
      </c>
      <c r="KH2" s="13" t="s">
        <v>20</v>
      </c>
      <c r="KI2" s="13" t="s">
        <v>22</v>
      </c>
      <c r="KJ2" s="13" t="s">
        <v>73</v>
      </c>
      <c r="KK2" s="13" t="s">
        <v>74</v>
      </c>
      <c r="KL2" s="13" t="s">
        <v>72</v>
      </c>
      <c r="KM2" s="13" t="s">
        <v>70</v>
      </c>
      <c r="KN2" s="13" t="s">
        <v>71</v>
      </c>
      <c r="KO2" s="13" t="s">
        <v>21</v>
      </c>
      <c r="KP2" s="13" t="s">
        <v>16</v>
      </c>
      <c r="KQ2" s="54" t="s">
        <v>17</v>
      </c>
      <c r="KR2" s="54"/>
      <c r="KS2" s="54"/>
      <c r="KT2" s="54"/>
      <c r="KU2" s="54"/>
      <c r="KV2" s="54" t="s">
        <v>18</v>
      </c>
      <c r="KW2" s="54"/>
      <c r="KX2" s="54"/>
      <c r="KY2" s="54"/>
      <c r="KZ2" s="54"/>
      <c r="LA2" s="54" t="s">
        <v>72</v>
      </c>
      <c r="LB2" s="54"/>
      <c r="LC2" s="54"/>
      <c r="LD2" s="54"/>
      <c r="LE2" s="54"/>
      <c r="LF2" s="54" t="s">
        <v>21</v>
      </c>
      <c r="LG2" s="54"/>
      <c r="LH2" s="54"/>
      <c r="LI2" s="54"/>
      <c r="LJ2" s="54"/>
      <c r="LK2" s="14" t="s">
        <v>67</v>
      </c>
      <c r="LL2" s="14" t="s">
        <v>68</v>
      </c>
      <c r="LM2" s="14" t="s">
        <v>19</v>
      </c>
      <c r="LN2" s="14" t="s">
        <v>58</v>
      </c>
      <c r="LO2" s="14" t="s">
        <v>69</v>
      </c>
      <c r="LP2" s="14" t="s">
        <v>20</v>
      </c>
      <c r="LQ2" s="14" t="s">
        <v>22</v>
      </c>
      <c r="LR2" s="14" t="s">
        <v>73</v>
      </c>
      <c r="LS2" s="14" t="s">
        <v>74</v>
      </c>
      <c r="LT2" s="14" t="s">
        <v>72</v>
      </c>
      <c r="LU2" s="14" t="s">
        <v>70</v>
      </c>
      <c r="LV2" s="14" t="s">
        <v>71</v>
      </c>
      <c r="LW2" s="14" t="s">
        <v>21</v>
      </c>
      <c r="LX2" s="14" t="s">
        <v>16</v>
      </c>
      <c r="LY2" s="55" t="s">
        <v>17</v>
      </c>
      <c r="LZ2" s="55"/>
      <c r="MA2" s="55"/>
      <c r="MB2" s="55"/>
      <c r="MC2" s="55"/>
      <c r="MD2" s="55" t="s">
        <v>18</v>
      </c>
      <c r="ME2" s="55"/>
      <c r="MF2" s="55"/>
      <c r="MG2" s="55"/>
      <c r="MH2" s="55"/>
      <c r="MI2" s="55" t="s">
        <v>72</v>
      </c>
      <c r="MJ2" s="55"/>
      <c r="MK2" s="55"/>
      <c r="ML2" s="55"/>
      <c r="MM2" s="55"/>
      <c r="MN2" s="55" t="s">
        <v>21</v>
      </c>
      <c r="MO2" s="55"/>
      <c r="MP2" s="55"/>
      <c r="MQ2" s="55"/>
      <c r="MR2" s="55"/>
      <c r="MS2" s="13" t="s">
        <v>67</v>
      </c>
      <c r="MT2" s="13" t="s">
        <v>68</v>
      </c>
      <c r="MU2" s="13" t="s">
        <v>19</v>
      </c>
      <c r="MV2" s="13" t="s">
        <v>58</v>
      </c>
      <c r="MW2" s="13" t="s">
        <v>69</v>
      </c>
      <c r="MX2" s="13" t="s">
        <v>20</v>
      </c>
      <c r="MY2" s="13" t="s">
        <v>22</v>
      </c>
      <c r="MZ2" s="13" t="s">
        <v>73</v>
      </c>
      <c r="NA2" s="13" t="s">
        <v>74</v>
      </c>
      <c r="NB2" s="13" t="s">
        <v>72</v>
      </c>
      <c r="NC2" s="13" t="s">
        <v>70</v>
      </c>
      <c r="ND2" s="13" t="s">
        <v>71</v>
      </c>
      <c r="NE2" s="13" t="s">
        <v>21</v>
      </c>
      <c r="NF2" s="13" t="s">
        <v>16</v>
      </c>
      <c r="NG2" s="54" t="s">
        <v>17</v>
      </c>
      <c r="NH2" s="54"/>
      <c r="NI2" s="54"/>
      <c r="NJ2" s="54"/>
      <c r="NK2" s="54"/>
      <c r="NL2" s="54" t="s">
        <v>18</v>
      </c>
      <c r="NM2" s="54"/>
      <c r="NN2" s="54"/>
      <c r="NO2" s="54"/>
      <c r="NP2" s="54"/>
      <c r="NQ2" s="54" t="s">
        <v>72</v>
      </c>
      <c r="NR2" s="54"/>
      <c r="NS2" s="54"/>
      <c r="NT2" s="54"/>
      <c r="NU2" s="54"/>
      <c r="NV2" s="54" t="s">
        <v>21</v>
      </c>
      <c r="NW2" s="54"/>
      <c r="NX2" s="54"/>
      <c r="NY2" s="54"/>
      <c r="NZ2" s="54"/>
      <c r="OA2" s="14" t="s">
        <v>67</v>
      </c>
      <c r="OB2" s="14" t="s">
        <v>68</v>
      </c>
      <c r="OC2" s="14" t="s">
        <v>19</v>
      </c>
      <c r="OD2" s="14" t="s">
        <v>58</v>
      </c>
      <c r="OE2" s="14" t="s">
        <v>69</v>
      </c>
      <c r="OF2" s="14" t="s">
        <v>20</v>
      </c>
      <c r="OG2" s="14" t="s">
        <v>22</v>
      </c>
      <c r="OH2" s="14" t="s">
        <v>73</v>
      </c>
      <c r="OI2" s="14" t="s">
        <v>74</v>
      </c>
      <c r="OJ2" s="14" t="s">
        <v>72</v>
      </c>
      <c r="OK2" s="14" t="s">
        <v>70</v>
      </c>
      <c r="OL2" s="14" t="s">
        <v>71</v>
      </c>
      <c r="OM2" s="14" t="s">
        <v>21</v>
      </c>
      <c r="ON2" s="14" t="s">
        <v>16</v>
      </c>
      <c r="OO2" s="55" t="s">
        <v>17</v>
      </c>
      <c r="OP2" s="55"/>
      <c r="OQ2" s="55"/>
      <c r="OR2" s="55"/>
      <c r="OS2" s="55"/>
      <c r="OT2" s="55" t="s">
        <v>18</v>
      </c>
      <c r="OU2" s="55"/>
      <c r="OV2" s="55"/>
      <c r="OW2" s="55"/>
      <c r="OX2" s="55"/>
      <c r="OY2" s="55" t="s">
        <v>72</v>
      </c>
      <c r="OZ2" s="55"/>
      <c r="PA2" s="55"/>
      <c r="PB2" s="55"/>
      <c r="PC2" s="55"/>
      <c r="PD2" s="55" t="s">
        <v>21</v>
      </c>
      <c r="PE2" s="55"/>
      <c r="PF2" s="55"/>
      <c r="PG2" s="55"/>
      <c r="PH2" s="55"/>
      <c r="PI2" s="13" t="s">
        <v>67</v>
      </c>
      <c r="PJ2" s="13" t="s">
        <v>68</v>
      </c>
      <c r="PK2" s="13" t="s">
        <v>19</v>
      </c>
      <c r="PL2" s="13" t="s">
        <v>58</v>
      </c>
      <c r="PM2" s="13" t="s">
        <v>69</v>
      </c>
      <c r="PN2" s="13" t="s">
        <v>20</v>
      </c>
      <c r="PO2" s="13" t="s">
        <v>22</v>
      </c>
      <c r="PP2" s="13" t="s">
        <v>73</v>
      </c>
      <c r="PQ2" s="13" t="s">
        <v>74</v>
      </c>
      <c r="PR2" s="13" t="s">
        <v>72</v>
      </c>
      <c r="PS2" s="13" t="s">
        <v>70</v>
      </c>
      <c r="PT2" s="13" t="s">
        <v>71</v>
      </c>
      <c r="PU2" s="13" t="s">
        <v>21</v>
      </c>
      <c r="PV2" s="13" t="s">
        <v>16</v>
      </c>
      <c r="PW2" s="54" t="s">
        <v>17</v>
      </c>
      <c r="PX2" s="54"/>
      <c r="PY2" s="54"/>
      <c r="PZ2" s="54"/>
      <c r="QA2" s="54"/>
      <c r="QB2" s="54" t="s">
        <v>18</v>
      </c>
      <c r="QC2" s="54"/>
      <c r="QD2" s="54"/>
      <c r="QE2" s="54"/>
      <c r="QF2" s="54"/>
      <c r="QG2" s="54" t="s">
        <v>72</v>
      </c>
      <c r="QH2" s="54"/>
      <c r="QI2" s="54"/>
      <c r="QJ2" s="54"/>
      <c r="QK2" s="54"/>
      <c r="QL2" s="54" t="s">
        <v>21</v>
      </c>
      <c r="QM2" s="54"/>
      <c r="QN2" s="54"/>
      <c r="QO2" s="54"/>
      <c r="QP2" s="54"/>
      <c r="QQ2" s="14" t="s">
        <v>67</v>
      </c>
      <c r="QR2" s="14" t="s">
        <v>68</v>
      </c>
      <c r="QS2" s="14" t="s">
        <v>19</v>
      </c>
      <c r="QT2" s="14" t="s">
        <v>58</v>
      </c>
      <c r="QU2" s="14" t="s">
        <v>69</v>
      </c>
      <c r="QV2" s="14" t="s">
        <v>20</v>
      </c>
      <c r="QW2" s="14" t="s">
        <v>22</v>
      </c>
      <c r="QX2" s="14" t="s">
        <v>73</v>
      </c>
      <c r="QY2" s="14" t="s">
        <v>74</v>
      </c>
      <c r="QZ2" s="14" t="s">
        <v>72</v>
      </c>
      <c r="RA2" s="14" t="s">
        <v>70</v>
      </c>
      <c r="RB2" s="14" t="s">
        <v>71</v>
      </c>
      <c r="RC2" s="14" t="s">
        <v>21</v>
      </c>
      <c r="RD2" s="14" t="s">
        <v>16</v>
      </c>
      <c r="RE2" s="55" t="s">
        <v>17</v>
      </c>
      <c r="RF2" s="55"/>
      <c r="RG2" s="55"/>
      <c r="RH2" s="55"/>
      <c r="RI2" s="55"/>
      <c r="RJ2" s="55" t="s">
        <v>18</v>
      </c>
      <c r="RK2" s="55"/>
      <c r="RL2" s="55"/>
      <c r="RM2" s="55"/>
      <c r="RN2" s="55"/>
      <c r="RO2" s="55" t="s">
        <v>72</v>
      </c>
      <c r="RP2" s="55"/>
      <c r="RQ2" s="55"/>
      <c r="RR2" s="55"/>
      <c r="RS2" s="55"/>
      <c r="RT2" s="55" t="s">
        <v>21</v>
      </c>
      <c r="RU2" s="55"/>
      <c r="RV2" s="55"/>
      <c r="RW2" s="55"/>
      <c r="RX2" s="55"/>
      <c r="RY2" s="13" t="s">
        <v>67</v>
      </c>
      <c r="RZ2" s="13" t="s">
        <v>68</v>
      </c>
      <c r="SA2" s="13" t="s">
        <v>19</v>
      </c>
      <c r="SB2" s="13" t="s">
        <v>58</v>
      </c>
      <c r="SC2" s="13" t="s">
        <v>69</v>
      </c>
      <c r="SD2" s="13" t="s">
        <v>20</v>
      </c>
      <c r="SE2" s="13" t="s">
        <v>22</v>
      </c>
      <c r="SF2" s="13" t="s">
        <v>73</v>
      </c>
      <c r="SG2" s="13" t="s">
        <v>74</v>
      </c>
      <c r="SH2" s="13" t="s">
        <v>72</v>
      </c>
      <c r="SI2" s="13" t="s">
        <v>70</v>
      </c>
      <c r="SJ2" s="13" t="s">
        <v>71</v>
      </c>
      <c r="SK2" s="13" t="s">
        <v>21</v>
      </c>
      <c r="SL2" s="13" t="s">
        <v>16</v>
      </c>
      <c r="SM2" s="54" t="s">
        <v>17</v>
      </c>
      <c r="SN2" s="54"/>
      <c r="SO2" s="54"/>
      <c r="SP2" s="54"/>
      <c r="SQ2" s="54"/>
      <c r="SR2" s="54" t="s">
        <v>18</v>
      </c>
      <c r="SS2" s="54"/>
      <c r="ST2" s="54"/>
      <c r="SU2" s="54"/>
      <c r="SV2" s="54"/>
      <c r="SW2" s="54" t="s">
        <v>72</v>
      </c>
      <c r="SX2" s="54"/>
      <c r="SY2" s="54"/>
      <c r="SZ2" s="54"/>
      <c r="TA2" s="54"/>
      <c r="TB2" s="54" t="s">
        <v>21</v>
      </c>
      <c r="TC2" s="54"/>
      <c r="TD2" s="54"/>
      <c r="TE2" s="54"/>
      <c r="TF2" s="54"/>
      <c r="TG2" s="14" t="s">
        <v>67</v>
      </c>
      <c r="TH2" s="14" t="s">
        <v>68</v>
      </c>
      <c r="TI2" s="14" t="s">
        <v>19</v>
      </c>
      <c r="TJ2" s="14" t="s">
        <v>58</v>
      </c>
      <c r="TK2" s="14" t="s">
        <v>69</v>
      </c>
      <c r="TL2" s="14" t="s">
        <v>20</v>
      </c>
      <c r="TM2" s="14" t="s">
        <v>22</v>
      </c>
      <c r="TN2" s="14" t="s">
        <v>73</v>
      </c>
      <c r="TO2" s="14" t="s">
        <v>74</v>
      </c>
      <c r="TP2" s="14" t="s">
        <v>72</v>
      </c>
      <c r="TQ2" s="14" t="s">
        <v>70</v>
      </c>
      <c r="TR2" s="14" t="s">
        <v>71</v>
      </c>
      <c r="TS2" s="14" t="s">
        <v>21</v>
      </c>
      <c r="TT2" s="14" t="s">
        <v>16</v>
      </c>
      <c r="TU2" s="55" t="s">
        <v>17</v>
      </c>
      <c r="TV2" s="55"/>
      <c r="TW2" s="55"/>
      <c r="TX2" s="55"/>
      <c r="TY2" s="55"/>
      <c r="TZ2" s="55" t="s">
        <v>18</v>
      </c>
      <c r="UA2" s="55"/>
      <c r="UB2" s="55"/>
      <c r="UC2" s="55"/>
      <c r="UD2" s="55"/>
      <c r="UE2" s="55" t="s">
        <v>72</v>
      </c>
      <c r="UF2" s="55"/>
      <c r="UG2" s="55"/>
      <c r="UH2" s="55"/>
      <c r="UI2" s="55"/>
      <c r="UJ2" s="55" t="s">
        <v>21</v>
      </c>
      <c r="UK2" s="55"/>
      <c r="UL2" s="55"/>
      <c r="UM2" s="55"/>
      <c r="UN2" s="55"/>
      <c r="UO2" s="13" t="s">
        <v>67</v>
      </c>
      <c r="UP2" s="13" t="s">
        <v>68</v>
      </c>
      <c r="UQ2" s="13" t="s">
        <v>19</v>
      </c>
      <c r="UR2" s="13" t="s">
        <v>58</v>
      </c>
      <c r="US2" s="13" t="s">
        <v>69</v>
      </c>
      <c r="UT2" s="13" t="s">
        <v>20</v>
      </c>
      <c r="UU2" s="13" t="s">
        <v>22</v>
      </c>
      <c r="UV2" s="13" t="s">
        <v>73</v>
      </c>
      <c r="UW2" s="13" t="s">
        <v>74</v>
      </c>
      <c r="UX2" s="13" t="s">
        <v>72</v>
      </c>
      <c r="UY2" s="13" t="s">
        <v>70</v>
      </c>
      <c r="UZ2" s="13" t="s">
        <v>71</v>
      </c>
      <c r="VA2" s="13" t="s">
        <v>21</v>
      </c>
      <c r="VB2" s="13" t="s">
        <v>16</v>
      </c>
      <c r="VC2" s="54" t="s">
        <v>17</v>
      </c>
      <c r="VD2" s="54"/>
      <c r="VE2" s="54"/>
      <c r="VF2" s="54"/>
      <c r="VG2" s="54"/>
      <c r="VH2" s="54" t="s">
        <v>18</v>
      </c>
      <c r="VI2" s="54"/>
      <c r="VJ2" s="54"/>
      <c r="VK2" s="54"/>
      <c r="VL2" s="54"/>
      <c r="VM2" s="54" t="s">
        <v>72</v>
      </c>
      <c r="VN2" s="54"/>
      <c r="VO2" s="54"/>
      <c r="VP2" s="54"/>
      <c r="VQ2" s="54"/>
      <c r="VR2" s="54" t="s">
        <v>21</v>
      </c>
      <c r="VS2" s="54"/>
      <c r="VT2" s="54"/>
      <c r="VU2" s="54"/>
      <c r="VV2" s="54"/>
      <c r="VW2" s="14" t="s">
        <v>67</v>
      </c>
      <c r="VX2" s="14" t="s">
        <v>68</v>
      </c>
      <c r="VY2" s="14" t="s">
        <v>19</v>
      </c>
      <c r="VZ2" s="14" t="s">
        <v>58</v>
      </c>
      <c r="WA2" s="14" t="s">
        <v>69</v>
      </c>
      <c r="WB2" s="14" t="s">
        <v>20</v>
      </c>
      <c r="WC2" s="14" t="s">
        <v>22</v>
      </c>
      <c r="WD2" s="14" t="s">
        <v>73</v>
      </c>
      <c r="WE2" s="14" t="s">
        <v>74</v>
      </c>
      <c r="WF2" s="14" t="s">
        <v>72</v>
      </c>
      <c r="WG2" s="14" t="s">
        <v>70</v>
      </c>
      <c r="WH2" s="14" t="s">
        <v>71</v>
      </c>
      <c r="WI2" s="14" t="s">
        <v>21</v>
      </c>
      <c r="WJ2" s="14" t="s">
        <v>16</v>
      </c>
    </row>
    <row r="3" spans="1:608" x14ac:dyDescent="0.2">
      <c r="A3" s="56"/>
      <c r="B3" s="56"/>
      <c r="C3" s="56"/>
      <c r="D3" s="56"/>
      <c r="E3" s="56"/>
      <c r="F3" s="60"/>
      <c r="G3" s="56"/>
      <c r="H3" s="56"/>
      <c r="I3" s="56"/>
      <c r="J3" s="57"/>
      <c r="K3" s="58"/>
      <c r="L3" s="57"/>
      <c r="M3" s="58"/>
      <c r="N3" s="61"/>
      <c r="O3" s="58"/>
      <c r="P3" s="58"/>
      <c r="Q3" s="14" t="s">
        <v>13</v>
      </c>
      <c r="R3" s="14" t="s">
        <v>14</v>
      </c>
      <c r="S3" s="14" t="s">
        <v>8</v>
      </c>
      <c r="T3" s="14" t="s">
        <v>15</v>
      </c>
      <c r="U3" s="14" t="s">
        <v>27</v>
      </c>
      <c r="V3" s="14" t="s">
        <v>13</v>
      </c>
      <c r="W3" s="14" t="s">
        <v>14</v>
      </c>
      <c r="X3" s="14" t="s">
        <v>8</v>
      </c>
      <c r="Y3" s="14" t="s">
        <v>15</v>
      </c>
      <c r="Z3" s="14" t="s">
        <v>27</v>
      </c>
      <c r="AA3" s="14" t="s">
        <v>13</v>
      </c>
      <c r="AB3" s="14" t="s">
        <v>14</v>
      </c>
      <c r="AC3" s="14" t="s">
        <v>8</v>
      </c>
      <c r="AD3" s="14" t="s">
        <v>15</v>
      </c>
      <c r="AE3" s="14" t="s">
        <v>27</v>
      </c>
      <c r="AF3" s="14" t="s">
        <v>41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13</v>
      </c>
      <c r="AS3" s="13" t="s">
        <v>14</v>
      </c>
      <c r="AT3" s="13" t="s">
        <v>8</v>
      </c>
      <c r="AU3" s="13" t="s">
        <v>15</v>
      </c>
      <c r="AV3" s="13" t="s">
        <v>27</v>
      </c>
      <c r="AW3" s="13" t="s">
        <v>13</v>
      </c>
      <c r="AX3" s="13" t="s">
        <v>14</v>
      </c>
      <c r="AY3" s="13" t="s">
        <v>8</v>
      </c>
      <c r="AZ3" s="13" t="s">
        <v>15</v>
      </c>
      <c r="BA3" s="13" t="s">
        <v>27</v>
      </c>
      <c r="BB3" s="13" t="s">
        <v>13</v>
      </c>
      <c r="BC3" s="13" t="s">
        <v>14</v>
      </c>
      <c r="BD3" s="13" t="s">
        <v>8</v>
      </c>
      <c r="BE3" s="13" t="s">
        <v>15</v>
      </c>
      <c r="BF3" s="13" t="s">
        <v>27</v>
      </c>
      <c r="BG3" s="13" t="s">
        <v>41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13</v>
      </c>
      <c r="BT3" s="14" t="s">
        <v>14</v>
      </c>
      <c r="BU3" s="14" t="s">
        <v>8</v>
      </c>
      <c r="BV3" s="14" t="s">
        <v>15</v>
      </c>
      <c r="BW3" s="14" t="s">
        <v>27</v>
      </c>
      <c r="BX3" s="14" t="s">
        <v>13</v>
      </c>
      <c r="BY3" s="14" t="s">
        <v>14</v>
      </c>
      <c r="BZ3" s="14" t="s">
        <v>8</v>
      </c>
      <c r="CA3" s="14" t="s">
        <v>15</v>
      </c>
      <c r="CB3" s="14" t="s">
        <v>27</v>
      </c>
      <c r="CC3" s="14" t="s">
        <v>13</v>
      </c>
      <c r="CD3" s="14" t="s">
        <v>14</v>
      </c>
      <c r="CE3" s="14" t="s">
        <v>8</v>
      </c>
      <c r="CF3" s="14" t="s">
        <v>15</v>
      </c>
      <c r="CG3" s="14" t="s">
        <v>27</v>
      </c>
      <c r="CH3" s="14" t="s">
        <v>41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46"/>
      <c r="CU3" s="14" t="s">
        <v>13</v>
      </c>
      <c r="CV3" s="14" t="s">
        <v>14</v>
      </c>
      <c r="CW3" s="14" t="s">
        <v>8</v>
      </c>
      <c r="CX3" s="14" t="s">
        <v>15</v>
      </c>
      <c r="CY3" s="14" t="s">
        <v>27</v>
      </c>
      <c r="CZ3" s="14" t="s">
        <v>13</v>
      </c>
      <c r="DA3" s="14" t="s">
        <v>14</v>
      </c>
      <c r="DB3" s="14" t="s">
        <v>8</v>
      </c>
      <c r="DC3" s="14" t="s">
        <v>15</v>
      </c>
      <c r="DD3" s="14" t="s">
        <v>27</v>
      </c>
      <c r="DE3" s="14" t="s">
        <v>13</v>
      </c>
      <c r="DF3" s="14" t="s">
        <v>14</v>
      </c>
      <c r="DG3" s="14" t="s">
        <v>8</v>
      </c>
      <c r="DH3" s="14" t="s">
        <v>15</v>
      </c>
      <c r="DI3" s="14" t="s">
        <v>27</v>
      </c>
      <c r="DJ3" s="14" t="s">
        <v>13</v>
      </c>
      <c r="DK3" s="14" t="s">
        <v>14</v>
      </c>
      <c r="DL3" s="14" t="s">
        <v>8</v>
      </c>
      <c r="DM3" s="14" t="s">
        <v>15</v>
      </c>
      <c r="DN3" s="14" t="s">
        <v>27</v>
      </c>
      <c r="DO3" s="6"/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14"/>
      <c r="EC3" s="13" t="s">
        <v>13</v>
      </c>
      <c r="ED3" s="13" t="s">
        <v>14</v>
      </c>
      <c r="EE3" s="13" t="s">
        <v>8</v>
      </c>
      <c r="EF3" s="13" t="s">
        <v>15</v>
      </c>
      <c r="EG3" s="13" t="s">
        <v>27</v>
      </c>
      <c r="EH3" s="13" t="s">
        <v>13</v>
      </c>
      <c r="EI3" s="13" t="s">
        <v>14</v>
      </c>
      <c r="EJ3" s="13" t="s">
        <v>8</v>
      </c>
      <c r="EK3" s="13" t="s">
        <v>15</v>
      </c>
      <c r="EL3" s="13" t="s">
        <v>27</v>
      </c>
      <c r="EM3" s="13" t="s">
        <v>13</v>
      </c>
      <c r="EN3" s="13" t="s">
        <v>14</v>
      </c>
      <c r="EO3" s="13" t="s">
        <v>8</v>
      </c>
      <c r="EP3" s="13" t="s">
        <v>15</v>
      </c>
      <c r="EQ3" s="13" t="s">
        <v>27</v>
      </c>
      <c r="ER3" s="13" t="s">
        <v>13</v>
      </c>
      <c r="ES3" s="13" t="s">
        <v>14</v>
      </c>
      <c r="ET3" s="13" t="s">
        <v>8</v>
      </c>
      <c r="EU3" s="13" t="s">
        <v>15</v>
      </c>
      <c r="EV3" s="13" t="s">
        <v>27</v>
      </c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13"/>
      <c r="FK3" s="14" t="s">
        <v>13</v>
      </c>
      <c r="FL3" s="14" t="s">
        <v>14</v>
      </c>
      <c r="FM3" s="14" t="s">
        <v>8</v>
      </c>
      <c r="FN3" s="14" t="s">
        <v>15</v>
      </c>
      <c r="FO3" s="14" t="s">
        <v>27</v>
      </c>
      <c r="FP3" s="14" t="s">
        <v>13</v>
      </c>
      <c r="FQ3" s="14" t="s">
        <v>14</v>
      </c>
      <c r="FR3" s="14" t="s">
        <v>8</v>
      </c>
      <c r="FS3" s="14" t="s">
        <v>15</v>
      </c>
      <c r="FT3" s="14" t="s">
        <v>27</v>
      </c>
      <c r="FU3" s="14" t="s">
        <v>13</v>
      </c>
      <c r="FV3" s="14" t="s">
        <v>14</v>
      </c>
      <c r="FW3" s="14" t="s">
        <v>8</v>
      </c>
      <c r="FX3" s="14" t="s">
        <v>15</v>
      </c>
      <c r="FY3" s="14" t="s">
        <v>27</v>
      </c>
      <c r="FZ3" s="14" t="s">
        <v>13</v>
      </c>
      <c r="GA3" s="14" t="s">
        <v>14</v>
      </c>
      <c r="GB3" s="14" t="s">
        <v>8</v>
      </c>
      <c r="GC3" s="14" t="s">
        <v>15</v>
      </c>
      <c r="GD3" s="14" t="s">
        <v>27</v>
      </c>
      <c r="GE3" s="6"/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14"/>
      <c r="GS3" s="13" t="s">
        <v>13</v>
      </c>
      <c r="GT3" s="13" t="s">
        <v>14</v>
      </c>
      <c r="GU3" s="13" t="s">
        <v>8</v>
      </c>
      <c r="GV3" s="13" t="s">
        <v>15</v>
      </c>
      <c r="GW3" s="13" t="s">
        <v>27</v>
      </c>
      <c r="GX3" s="13" t="s">
        <v>13</v>
      </c>
      <c r="GY3" s="13" t="s">
        <v>14</v>
      </c>
      <c r="GZ3" s="13" t="s">
        <v>8</v>
      </c>
      <c r="HA3" s="13" t="s">
        <v>15</v>
      </c>
      <c r="HB3" s="13" t="s">
        <v>27</v>
      </c>
      <c r="HC3" s="13" t="s">
        <v>13</v>
      </c>
      <c r="HD3" s="13" t="s">
        <v>14</v>
      </c>
      <c r="HE3" s="13" t="s">
        <v>8</v>
      </c>
      <c r="HF3" s="13" t="s">
        <v>15</v>
      </c>
      <c r="HG3" s="13" t="s">
        <v>27</v>
      </c>
      <c r="HH3" s="13" t="s">
        <v>13</v>
      </c>
      <c r="HI3" s="13" t="s">
        <v>14</v>
      </c>
      <c r="HJ3" s="13" t="s">
        <v>8</v>
      </c>
      <c r="HK3" s="13" t="s">
        <v>15</v>
      </c>
      <c r="HL3" s="13" t="s">
        <v>27</v>
      </c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13"/>
      <c r="IA3" s="14" t="s">
        <v>13</v>
      </c>
      <c r="IB3" s="14" t="s">
        <v>14</v>
      </c>
      <c r="IC3" s="14" t="s">
        <v>8</v>
      </c>
      <c r="ID3" s="14" t="s">
        <v>15</v>
      </c>
      <c r="IE3" s="14" t="s">
        <v>27</v>
      </c>
      <c r="IF3" s="14" t="s">
        <v>13</v>
      </c>
      <c r="IG3" s="14" t="s">
        <v>14</v>
      </c>
      <c r="IH3" s="14" t="s">
        <v>8</v>
      </c>
      <c r="II3" s="14" t="s">
        <v>15</v>
      </c>
      <c r="IJ3" s="14" t="s">
        <v>27</v>
      </c>
      <c r="IK3" s="14" t="s">
        <v>13</v>
      </c>
      <c r="IL3" s="14" t="s">
        <v>14</v>
      </c>
      <c r="IM3" s="14" t="s">
        <v>8</v>
      </c>
      <c r="IN3" s="14" t="s">
        <v>15</v>
      </c>
      <c r="IO3" s="14" t="s">
        <v>27</v>
      </c>
      <c r="IP3" s="14" t="s">
        <v>13</v>
      </c>
      <c r="IQ3" s="14" t="s">
        <v>14</v>
      </c>
      <c r="IR3" s="14" t="s">
        <v>8</v>
      </c>
      <c r="IS3" s="14" t="s">
        <v>15</v>
      </c>
      <c r="IT3" s="14" t="s">
        <v>27</v>
      </c>
      <c r="IU3" s="6"/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14"/>
      <c r="JI3" s="13" t="s">
        <v>13</v>
      </c>
      <c r="JJ3" s="13" t="s">
        <v>14</v>
      </c>
      <c r="JK3" s="13" t="s">
        <v>8</v>
      </c>
      <c r="JL3" s="13" t="s">
        <v>15</v>
      </c>
      <c r="JM3" s="13" t="s">
        <v>27</v>
      </c>
      <c r="JN3" s="13" t="s">
        <v>13</v>
      </c>
      <c r="JO3" s="13" t="s">
        <v>14</v>
      </c>
      <c r="JP3" s="13" t="s">
        <v>8</v>
      </c>
      <c r="JQ3" s="13" t="s">
        <v>15</v>
      </c>
      <c r="JR3" s="13" t="s">
        <v>27</v>
      </c>
      <c r="JS3" s="13" t="s">
        <v>13</v>
      </c>
      <c r="JT3" s="13" t="s">
        <v>14</v>
      </c>
      <c r="JU3" s="13" t="s">
        <v>8</v>
      </c>
      <c r="JV3" s="13" t="s">
        <v>15</v>
      </c>
      <c r="JW3" s="13" t="s">
        <v>27</v>
      </c>
      <c r="JX3" s="13" t="s">
        <v>13</v>
      </c>
      <c r="JY3" s="13" t="s">
        <v>14</v>
      </c>
      <c r="JZ3" s="13" t="s">
        <v>8</v>
      </c>
      <c r="KA3" s="13" t="s">
        <v>15</v>
      </c>
      <c r="KB3" s="13" t="s">
        <v>27</v>
      </c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14" t="s">
        <v>13</v>
      </c>
      <c r="KR3" s="14" t="s">
        <v>14</v>
      </c>
      <c r="KS3" s="14" t="s">
        <v>8</v>
      </c>
      <c r="KT3" s="14" t="s">
        <v>15</v>
      </c>
      <c r="KU3" s="14" t="s">
        <v>27</v>
      </c>
      <c r="KV3" s="14" t="s">
        <v>13</v>
      </c>
      <c r="KW3" s="14" t="s">
        <v>14</v>
      </c>
      <c r="KX3" s="14" t="s">
        <v>8</v>
      </c>
      <c r="KY3" s="14" t="s">
        <v>15</v>
      </c>
      <c r="KZ3" s="14" t="s">
        <v>27</v>
      </c>
      <c r="LA3" s="14" t="s">
        <v>13</v>
      </c>
      <c r="LB3" s="14" t="s">
        <v>14</v>
      </c>
      <c r="LC3" s="14" t="s">
        <v>8</v>
      </c>
      <c r="LD3" s="14" t="s">
        <v>15</v>
      </c>
      <c r="LE3" s="14" t="s">
        <v>27</v>
      </c>
      <c r="LF3" s="14" t="s">
        <v>13</v>
      </c>
      <c r="LG3" s="14" t="s">
        <v>14</v>
      </c>
      <c r="LH3" s="14" t="s">
        <v>8</v>
      </c>
      <c r="LI3" s="14" t="s">
        <v>15</v>
      </c>
      <c r="LJ3" s="14" t="s">
        <v>27</v>
      </c>
      <c r="LK3" s="6"/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13" t="s">
        <v>13</v>
      </c>
      <c r="LZ3" s="13" t="s">
        <v>14</v>
      </c>
      <c r="MA3" s="13" t="s">
        <v>8</v>
      </c>
      <c r="MB3" s="13" t="s">
        <v>15</v>
      </c>
      <c r="MC3" s="13" t="s">
        <v>27</v>
      </c>
      <c r="MD3" s="13" t="s">
        <v>13</v>
      </c>
      <c r="ME3" s="13" t="s">
        <v>14</v>
      </c>
      <c r="MF3" s="13" t="s">
        <v>8</v>
      </c>
      <c r="MG3" s="13" t="s">
        <v>15</v>
      </c>
      <c r="MH3" s="13" t="s">
        <v>27</v>
      </c>
      <c r="MI3" s="13" t="s">
        <v>13</v>
      </c>
      <c r="MJ3" s="13" t="s">
        <v>14</v>
      </c>
      <c r="MK3" s="13" t="s">
        <v>8</v>
      </c>
      <c r="ML3" s="13" t="s">
        <v>15</v>
      </c>
      <c r="MM3" s="13" t="s">
        <v>27</v>
      </c>
      <c r="MN3" s="13" t="s">
        <v>13</v>
      </c>
      <c r="MO3" s="13" t="s">
        <v>14</v>
      </c>
      <c r="MP3" s="13" t="s">
        <v>8</v>
      </c>
      <c r="MQ3" s="13" t="s">
        <v>15</v>
      </c>
      <c r="MR3" s="13" t="s">
        <v>27</v>
      </c>
      <c r="MS3" s="7"/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14" t="s">
        <v>13</v>
      </c>
      <c r="NH3" s="14" t="s">
        <v>14</v>
      </c>
      <c r="NI3" s="14" t="s">
        <v>8</v>
      </c>
      <c r="NJ3" s="14" t="s">
        <v>15</v>
      </c>
      <c r="NK3" s="14" t="s">
        <v>27</v>
      </c>
      <c r="NL3" s="14" t="s">
        <v>13</v>
      </c>
      <c r="NM3" s="14" t="s">
        <v>14</v>
      </c>
      <c r="NN3" s="14" t="s">
        <v>8</v>
      </c>
      <c r="NO3" s="14" t="s">
        <v>15</v>
      </c>
      <c r="NP3" s="14" t="s">
        <v>27</v>
      </c>
      <c r="NQ3" s="14" t="s">
        <v>13</v>
      </c>
      <c r="NR3" s="14" t="s">
        <v>14</v>
      </c>
      <c r="NS3" s="14" t="s">
        <v>8</v>
      </c>
      <c r="NT3" s="14" t="s">
        <v>15</v>
      </c>
      <c r="NU3" s="14" t="s">
        <v>27</v>
      </c>
      <c r="NV3" s="14" t="s">
        <v>13</v>
      </c>
      <c r="NW3" s="14" t="s">
        <v>14</v>
      </c>
      <c r="NX3" s="14" t="s">
        <v>8</v>
      </c>
      <c r="NY3" s="14" t="s">
        <v>15</v>
      </c>
      <c r="NZ3" s="14" t="s">
        <v>27</v>
      </c>
      <c r="OA3" s="6"/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13" t="s">
        <v>13</v>
      </c>
      <c r="OP3" s="13" t="s">
        <v>14</v>
      </c>
      <c r="OQ3" s="13" t="s">
        <v>8</v>
      </c>
      <c r="OR3" s="13" t="s">
        <v>15</v>
      </c>
      <c r="OS3" s="13" t="s">
        <v>27</v>
      </c>
      <c r="OT3" s="13" t="s">
        <v>13</v>
      </c>
      <c r="OU3" s="13" t="s">
        <v>14</v>
      </c>
      <c r="OV3" s="13" t="s">
        <v>8</v>
      </c>
      <c r="OW3" s="13" t="s">
        <v>15</v>
      </c>
      <c r="OX3" s="13" t="s">
        <v>27</v>
      </c>
      <c r="OY3" s="13" t="s">
        <v>13</v>
      </c>
      <c r="OZ3" s="13" t="s">
        <v>14</v>
      </c>
      <c r="PA3" s="13" t="s">
        <v>8</v>
      </c>
      <c r="PB3" s="13" t="s">
        <v>15</v>
      </c>
      <c r="PC3" s="13" t="s">
        <v>27</v>
      </c>
      <c r="PD3" s="13" t="s">
        <v>13</v>
      </c>
      <c r="PE3" s="13" t="s">
        <v>14</v>
      </c>
      <c r="PF3" s="13" t="s">
        <v>8</v>
      </c>
      <c r="PG3" s="13" t="s">
        <v>15</v>
      </c>
      <c r="PH3" s="13" t="s">
        <v>27</v>
      </c>
      <c r="PI3" s="7"/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14" t="s">
        <v>13</v>
      </c>
      <c r="PX3" s="14" t="s">
        <v>14</v>
      </c>
      <c r="PY3" s="14" t="s">
        <v>8</v>
      </c>
      <c r="PZ3" s="14" t="s">
        <v>15</v>
      </c>
      <c r="QA3" s="14" t="s">
        <v>27</v>
      </c>
      <c r="QB3" s="14" t="s">
        <v>13</v>
      </c>
      <c r="QC3" s="14" t="s">
        <v>14</v>
      </c>
      <c r="QD3" s="14" t="s">
        <v>8</v>
      </c>
      <c r="QE3" s="14" t="s">
        <v>15</v>
      </c>
      <c r="QF3" s="14" t="s">
        <v>27</v>
      </c>
      <c r="QG3" s="14" t="s">
        <v>13</v>
      </c>
      <c r="QH3" s="14" t="s">
        <v>14</v>
      </c>
      <c r="QI3" s="14" t="s">
        <v>8</v>
      </c>
      <c r="QJ3" s="14" t="s">
        <v>15</v>
      </c>
      <c r="QK3" s="14" t="s">
        <v>27</v>
      </c>
      <c r="QL3" s="14" t="s">
        <v>13</v>
      </c>
      <c r="QM3" s="14" t="s">
        <v>14</v>
      </c>
      <c r="QN3" s="14" t="s">
        <v>8</v>
      </c>
      <c r="QO3" s="14" t="s">
        <v>15</v>
      </c>
      <c r="QP3" s="14" t="s">
        <v>27</v>
      </c>
      <c r="QQ3" s="6"/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13" t="s">
        <v>13</v>
      </c>
      <c r="RF3" s="13" t="s">
        <v>14</v>
      </c>
      <c r="RG3" s="13" t="s">
        <v>8</v>
      </c>
      <c r="RH3" s="13" t="s">
        <v>15</v>
      </c>
      <c r="RI3" s="13" t="s">
        <v>27</v>
      </c>
      <c r="RJ3" s="13" t="s">
        <v>13</v>
      </c>
      <c r="RK3" s="13" t="s">
        <v>14</v>
      </c>
      <c r="RL3" s="13" t="s">
        <v>8</v>
      </c>
      <c r="RM3" s="13" t="s">
        <v>15</v>
      </c>
      <c r="RN3" s="13" t="s">
        <v>27</v>
      </c>
      <c r="RO3" s="13" t="s">
        <v>13</v>
      </c>
      <c r="RP3" s="13" t="s">
        <v>14</v>
      </c>
      <c r="RQ3" s="13" t="s">
        <v>8</v>
      </c>
      <c r="RR3" s="13" t="s">
        <v>15</v>
      </c>
      <c r="RS3" s="13" t="s">
        <v>27</v>
      </c>
      <c r="RT3" s="13" t="s">
        <v>13</v>
      </c>
      <c r="RU3" s="13" t="s">
        <v>14</v>
      </c>
      <c r="RV3" s="13" t="s">
        <v>8</v>
      </c>
      <c r="RW3" s="13" t="s">
        <v>15</v>
      </c>
      <c r="RX3" s="13" t="s">
        <v>27</v>
      </c>
      <c r="RY3" s="7"/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14" t="s">
        <v>13</v>
      </c>
      <c r="SN3" s="14" t="s">
        <v>14</v>
      </c>
      <c r="SO3" s="14" t="s">
        <v>8</v>
      </c>
      <c r="SP3" s="14" t="s">
        <v>15</v>
      </c>
      <c r="SQ3" s="14" t="s">
        <v>27</v>
      </c>
      <c r="SR3" s="14" t="s">
        <v>13</v>
      </c>
      <c r="SS3" s="14" t="s">
        <v>14</v>
      </c>
      <c r="ST3" s="14" t="s">
        <v>8</v>
      </c>
      <c r="SU3" s="14" t="s">
        <v>15</v>
      </c>
      <c r="SV3" s="14" t="s">
        <v>27</v>
      </c>
      <c r="SW3" s="14" t="s">
        <v>13</v>
      </c>
      <c r="SX3" s="14" t="s">
        <v>14</v>
      </c>
      <c r="SY3" s="14" t="s">
        <v>8</v>
      </c>
      <c r="SZ3" s="14" t="s">
        <v>15</v>
      </c>
      <c r="TA3" s="14" t="s">
        <v>27</v>
      </c>
      <c r="TB3" s="14" t="s">
        <v>13</v>
      </c>
      <c r="TC3" s="14" t="s">
        <v>14</v>
      </c>
      <c r="TD3" s="14" t="s">
        <v>8</v>
      </c>
      <c r="TE3" s="14" t="s">
        <v>15</v>
      </c>
      <c r="TF3" s="14" t="s">
        <v>27</v>
      </c>
      <c r="TG3" s="6"/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13" t="s">
        <v>13</v>
      </c>
      <c r="TV3" s="13" t="s">
        <v>14</v>
      </c>
      <c r="TW3" s="13" t="s">
        <v>8</v>
      </c>
      <c r="TX3" s="13" t="s">
        <v>15</v>
      </c>
      <c r="TY3" s="13" t="s">
        <v>27</v>
      </c>
      <c r="TZ3" s="13" t="s">
        <v>13</v>
      </c>
      <c r="UA3" s="13" t="s">
        <v>14</v>
      </c>
      <c r="UB3" s="13" t="s">
        <v>8</v>
      </c>
      <c r="UC3" s="13" t="s">
        <v>15</v>
      </c>
      <c r="UD3" s="13" t="s">
        <v>27</v>
      </c>
      <c r="UE3" s="13" t="s">
        <v>13</v>
      </c>
      <c r="UF3" s="13" t="s">
        <v>14</v>
      </c>
      <c r="UG3" s="13" t="s">
        <v>8</v>
      </c>
      <c r="UH3" s="13" t="s">
        <v>15</v>
      </c>
      <c r="UI3" s="13" t="s">
        <v>27</v>
      </c>
      <c r="UJ3" s="13" t="s">
        <v>13</v>
      </c>
      <c r="UK3" s="13" t="s">
        <v>14</v>
      </c>
      <c r="UL3" s="13" t="s">
        <v>8</v>
      </c>
      <c r="UM3" s="13" t="s">
        <v>15</v>
      </c>
      <c r="UN3" s="13" t="s">
        <v>27</v>
      </c>
      <c r="UO3" s="7"/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14" t="s">
        <v>13</v>
      </c>
      <c r="VD3" s="14" t="s">
        <v>14</v>
      </c>
      <c r="VE3" s="14" t="s">
        <v>8</v>
      </c>
      <c r="VF3" s="14" t="s">
        <v>15</v>
      </c>
      <c r="VG3" s="14" t="s">
        <v>27</v>
      </c>
      <c r="VH3" s="14" t="s">
        <v>13</v>
      </c>
      <c r="VI3" s="14" t="s">
        <v>14</v>
      </c>
      <c r="VJ3" s="14" t="s">
        <v>8</v>
      </c>
      <c r="VK3" s="14" t="s">
        <v>15</v>
      </c>
      <c r="VL3" s="14" t="s">
        <v>27</v>
      </c>
      <c r="VM3" s="14" t="s">
        <v>13</v>
      </c>
      <c r="VN3" s="14" t="s">
        <v>14</v>
      </c>
      <c r="VO3" s="14" t="s">
        <v>8</v>
      </c>
      <c r="VP3" s="14" t="s">
        <v>15</v>
      </c>
      <c r="VQ3" s="14" t="s">
        <v>27</v>
      </c>
      <c r="VR3" s="14" t="s">
        <v>13</v>
      </c>
      <c r="VS3" s="14" t="s">
        <v>14</v>
      </c>
      <c r="VT3" s="14" t="s">
        <v>8</v>
      </c>
      <c r="VU3" s="14" t="s">
        <v>15</v>
      </c>
      <c r="VV3" s="14" t="s">
        <v>27</v>
      </c>
      <c r="VW3" s="6"/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</row>
    <row r="4" spans="1:608" x14ac:dyDescent="0.2">
      <c r="A4" s="4" t="str" cm="1">
        <f t="array" ref="A4">IF(AND(H4&lt;&gt;"",H4&lt;&gt;"No DD",I4&lt;&gt;"P"),SUMPRODUCT((H$4:H$28&lt;&gt;"")*(H$4:H$28&lt;&gt;"No DD")*(I$4:I$28&lt;&gt;"P")*(E$4:E$28&gt;E4))+1,IF(H4="No DD",SUMPRODUCT((H$4:H$28="No DD")*(I$4:I$28&lt;&gt;"P")*(E$4:E$28&gt;E4))+1+SUMPRODUCT((H$4:H$28&lt;&gt;"")*(I$4:I$28&lt;&gt;"P")*(H$4:H$28&lt;&gt;"No DD")),""))</f>
        <v/>
      </c>
      <c r="B4" s="5" t="s">
        <v>77</v>
      </c>
      <c r="C4" s="4" t="s">
        <v>7</v>
      </c>
      <c r="D4" s="4">
        <v>2005</v>
      </c>
      <c r="E4" s="9">
        <f t="shared" ref="E4:E27" si="0">J4+L4+N4+(J4+L4)*0.0000001+MAX(J4,L4)*0.0000000000001</f>
        <v>114.19001140300577</v>
      </c>
      <c r="F4" s="3" t="str">
        <f t="shared" ref="F4:F27" si="1">IF(OR(AND(AG4&gt;=AQ$30,AG4&lt;&gt;"",AI4&gt;=AQ$34,AI4&lt;&gt;"",AF4=""),AND(AJ4&gt;=AQ$30,AJ4&lt;&gt;"",AL4&gt;=AQ$34,AL4&lt;&gt;"",AF4=""),AND(AN4&gt;=AQ$30,AN4&lt;&gt;"",AP4&gt;=AQ$34,AP4&lt;&gt;"",AF4=""),AND(BH4&gt;=BR$30,BH4&lt;&gt;"",BJ4&gt;=BR$34,BJ4&lt;&gt;"",BG4=""),AND(BK4&gt;=BR$30,BK4&lt;&gt;"",BM4&gt;=BR$34,BM4&lt;&gt;"",BG4=""),AND(BO4&gt;=BR$30,BO4&lt;&gt;"",BQ4&gt;=BR$34,BQ4&lt;&gt;"",BG4=""),AND(CI4&gt;=CS$30,CI4&lt;&gt;"",CK4&gt;=CS$34,CK4&lt;&gt;"",CH4=""),AND(CL4&gt;=CS$30,CL4&lt;&gt;"",CN4&gt;=CS$34,CN4&lt;&gt;"",CH4=""),AND(CP4&gt;=CS$30,CP4&lt;&gt;"",CR4&gt;=CS$34,CR4&lt;&gt;"",CH4=""),AND(DO4&gt;=EB$30,DO4&lt;&gt;"",DQ4&gt;=EB$34,DQ4&lt;&gt;""),AND(DR4&gt;=EB$30,DR4&lt;&gt;"",DT4&gt;=EB$34,DT4&lt;&gt;""),AND(DV4&gt;=EB$30,DV4&lt;&gt;"",DX4&gt;=EB$34,DX4&lt;&gt;""),AND(DY4&gt;=EB$30,DY4&lt;&gt;"",EA4&gt;=EB$34,EA4&lt;&gt;""),AND(EW4&gt;=FJ$30,EW4&lt;&gt;"",EY4&gt;=FJ$34,EY4&lt;&gt;""),AND(EZ4&gt;=FJ$30,EZ4&lt;&gt;"",FB4&gt;=FJ$34,FB4&lt;&gt;""),AND(FD4&gt;=FJ$30,FD4&lt;&gt;"",FF4&gt;=FJ$34,FF4&lt;&gt;""),AND(FG4&gt;=FJ$30,FG4&lt;&gt;"",FI4&gt;=FJ$34,FI4&lt;&gt;""),AND(GE4&gt;=GR$30,GE4&lt;&gt;"",GG4&gt;=GR$34,GG4&lt;&gt;""),AND(GH4&gt;=GR$30,GH4&lt;&gt;"",GJ4&gt;=GR$34,GJ4&lt;&gt;""),AND(GL4&gt;=GR$30,GL4&lt;&gt;"",GN4&gt;=GR$34,GN4&lt;&gt;""),AND(GO4&gt;=GR$30,GO4&lt;&gt;"",GQ4&gt;=GR$34,GQ4&lt;&gt;""),AND(HM4&gt;=HZ$30,HM4&lt;&gt;"",HO4&gt;=HZ$34,HO4&lt;&gt;""),AND(HP4&gt;=HZ$30,HP4&lt;&gt;"",HR4&gt;=HZ$34,HR4&lt;&gt;""),AND(HT4&gt;=HZ$30,HT4&lt;&gt;"",HV4&gt;=HZ$34,HV4&lt;&gt;""),AND(HW4&gt;=HZ$30,HW4&lt;&gt;"",HY4&gt;=HZ$34,HY4&lt;&gt;""),AND(IU4&gt;=JH$30,IU4&lt;&gt;"",IW4&gt;=JH$34,IW4&lt;&gt;""),AND(IX4&gt;=JH$30,IX4&lt;&gt;"",IZ4&gt;=JH$34,IZ4&lt;&gt;""),AND(JB4&gt;=JH$30,JB4&lt;&gt;"",JD4&gt;=JH$34,JD4&lt;&gt;""),AND(JE4&gt;=JH$30,JE4&lt;&gt;"",JG4&gt;=JH$34,JG4&lt;&gt;""),AND(KC4&gt;=KP$30,KC4&lt;&gt;"",KE4&gt;=KP$34,KE4&lt;&gt;""),AND(KF4&gt;=KP$30,KF4&lt;&gt;"",KH4&gt;=KP$34,KH4&lt;&gt;""),AND(KJ4&gt;=KP$30,KJ4&lt;&gt;"",KL4&gt;=KP$34,KL4&lt;&gt;""),AND(KM4&gt;=KP$30,KM4&lt;&gt;"",KO4&gt;=KP$34,KO4&lt;&gt;""),AND(LK4&gt;=LX$30,LK4&lt;&gt;"",LM4&gt;=LX$34,LM4&lt;&gt;""),AND(LN4&gt;=LX$30,LN4&lt;&gt;"",LP4&gt;=LX$34,LP4&lt;&gt;""),AND(LR4&gt;=LX$30,LR4&lt;&gt;"",LT4&gt;=LX$34,LT4&lt;&gt;""),AND(LU4&gt;=LX$30,LU4&lt;&gt;"",LW4&gt;=LX$34,LW4&lt;&gt;""),AND(MS4&gt;=NF$30,MS4&lt;&gt;"",MU4&gt;=NF$34,MU4&lt;&gt;""),AND(MV4&gt;=NF$30,MV4&lt;&gt;"",MX4&gt;=NF$34,MX4&lt;&gt;""),AND(MZ4&gt;=NF$30,MZ4&lt;&gt;"",NB4&gt;=NF$34,NB4&lt;&gt;""),AND(NC4&gt;=NF$30,NC4&lt;&gt;"",NE4&gt;=NF$34,NE4&lt;&gt;""),AND(OA4&gt;=ON$30,OA4&lt;&gt;"",OC4&gt;=ON$34,OC4&lt;&gt;""),AND(OD4&gt;=ON$30,OD4&lt;&gt;"",OF4&gt;=ON$34,OF4&lt;&gt;""),AND(OH4&gt;=ON$30,OH4&lt;&gt;"",OJ4&gt;=ON$34,OJ4&lt;&gt;""),AND(OK4&gt;=ON$30,OK4&lt;&gt;"",OM4&gt;=ON$34,OM4&lt;&gt;""),AND(PI4&gt;=PV$30,PI4&lt;&gt;"",PK4&gt;=PV$34,PK4&lt;&gt;""),AND(PL4&gt;=PV$30,PL4&lt;&gt;"",PN4&gt;=PV$34,PN4&lt;&gt;""),AND(PP4&gt;=PV$30,PP4&lt;&gt;"",PR4&gt;=PV$34,PR4&lt;&gt;""),AND(PS4&gt;=PV$30,PS4&lt;&gt;"",PU4&gt;=PV$34,PU4&lt;&gt;""),AND(QQ4&gt;=RD$30,QQ4&lt;&gt;"",QS4&gt;=RD$34,QS4&lt;&gt;""),AND(QT4&gt;=RD$30,QT4&lt;&gt;"",QV4&gt;=RD$34,QV4&lt;&gt;""),AND(QX4&gt;=RD$30,QX4&lt;&gt;"",QZ4&gt;=RD$34,QZ4&lt;&gt;""),AND(RA4&gt;=RD$30,RA4&lt;&gt;"",RC4&gt;=RD$34,RC4&lt;&gt;""),AND(RY4&gt;=SL$30,RY4&lt;&gt;"",SA4&gt;=SL$34,SA4&lt;&gt;""),AND(SB4&gt;=SL$30,SB4&lt;&gt;"",SD4&gt;=SL$34,SD4&lt;&gt;""),AND(SF4&gt;=SL$30,SF4&lt;&gt;"",SH4&gt;=SL$34,SH4&lt;&gt;""),AND(SI4&gt;=SL$30,SI4&lt;&gt;"",SK4&gt;=SL$34,SK4&lt;&gt;""),AND(TG4&gt;=TT$30,TG4&lt;&gt;"",TI4&gt;=TT$34,TI4&lt;&gt;""),AND(TJ4&gt;=TT$30,TJ4&lt;&gt;"",TL4&gt;=TT$34,TL4&lt;&gt;""),AND(TN4&gt;=TT$30,TN4&lt;&gt;"",TP4&gt;=TT$34,TXN4&lt;&gt;""),AND(TQ4&gt;=TT$30,TQ4&lt;&gt;"",TS4&gt;=TT$34,TS4&lt;&gt;""),AND(UO4&gt;=VB$30,UO4&lt;&gt;"",UQ4&gt;=VB$34,UQ4&lt;&gt;""),AND(UR4&gt;=VB$30,UR4&lt;&gt;"",UT4&gt;=VB$34,UT4&lt;&gt;""),AND(UV4&gt;=VB$30,UV4&lt;&gt;"",UX4&gt;=VB$34,UX4&lt;&gt;""),AND(UY4&gt;=VB$30,UY4&lt;&gt;"",VA4&gt;=VB$34,VA4&lt;&gt;""),AND(VW4&gt;=WJ$30,VW4&lt;&gt;"",VY4&gt;=WJ$34,VY4&lt;&gt;""),AND(VZ4&gt;=WJ$30,VZ4&lt;&gt;"",WB4&gt;=WJ$34,WB4&lt;&gt;""),AND(WD4&gt;=WJ$30,WD4&lt;&gt;"",WF4&gt;=WJ$34,WF4&lt;&gt;""),AND(WG4&gt;=WJ$30,WG4&lt;&gt;"",WI4&gt;=WJ$34,WI4&lt;&gt;"")),"P","")</f>
        <v>P</v>
      </c>
      <c r="G4" s="3" t="str">
        <f t="shared" ref="G4:G27" si="2">IF(OR(AND(AI4&gt;=AQ$34,AI4&lt;&gt;"",AF4=""),AND(AL4&gt;=AQ$34,AL4&lt;&gt;"",AF4=""),AND(AP4&gt;=AQ$34,AP4&lt;&gt;"",AF4=""),AND(BJ4&gt;=BR$34,BJ4&lt;&gt;"",BG4=""),AND(BM4&gt;=BR$34,BM4&lt;&gt;"",BG4=""),AND(BQ4&gt;=BR$34,BQ4&lt;&gt;"",BG4=""),AND(CK4&gt;=CS$34,CK4&lt;&gt;"",CH4=""),AND(CN4&gt;=CS$34,CN4&lt;&gt;"",CH4=""),AND(CR4&gt;=CS$34,CR4&lt;&gt;"",CH4=""),AND(DQ4&gt;=EB$34,DQ4&lt;&gt;""),AND(DT4&gt;=EB$34,DT4&lt;&gt;""),AND(DX4&gt;=EB$34,DX4&lt;&gt;""),AND(EA4&gt;=EB$34,EA4&lt;&gt;""),AND(EY4&gt;=FJ$34,EY4&lt;&gt;""),AND(FB4&gt;=FJ$34,FB4&lt;&gt;""),AND(FF4&gt;=FJ$34,FF4&lt;&gt;""),AND(FI4&gt;=FJ$34,FI4&lt;&gt;""),AND(GG4&gt;=GR$34,GG4&lt;&gt;""),AND(GJ4&gt;=GR$34,GJ4&lt;&gt;""),AND(GN4&gt;=GR$34,GN4&lt;&gt;""),AND(GQ4&gt;=GR$34,GQ4&lt;&gt;""),AND(HO4&gt;=HZ$34,HO4&lt;&gt;""),AND(HR4&gt;=HZ$34,HR4&lt;&gt;""),AND(HV4&gt;=HZ$34,HV4&lt;&gt;""),AND(HY4&gt;=HZ$34,HY4&lt;&gt;""),AND(IW4&gt;=JH$34,IW4&lt;&gt;""),AND(IZ4&gt;=JH$34,IZ4&lt;&gt;""),AND(JD4&gt;=JH$34,JD4&lt;&gt;""),AND(JG4&gt;=JH$34,JG4&lt;&gt;""),AND(KE4&gt;=KP$34,KE4&lt;&gt;""),AND(KH4&gt;=KP$34,KH4&lt;&gt;""),AND(KL4&gt;=KP$34,KL4&lt;&gt;""),AND(KO4&gt;=KP$34,KO4&lt;&gt;""),AND(LM4&gt;=LX$34,LM4&lt;&gt;""),AND(LP4&gt;=LX$34,LP4&lt;&gt;""),AND(LT4&gt;=LX$34,LT4&lt;&gt;""),AND(LW4&gt;=LX$34,LW4&lt;&gt;""),AND(MU4&gt;=NF$34,MU4&lt;&gt;""),AND(MX4&gt;=NF$34,MX4&lt;&gt;""),AND(NB4&gt;=NF$34,NB4&lt;&gt;""),AND(NE4&gt;=NF$34,NE4&lt;&gt;""),AND(OC4&gt;=ON$34,OC4&lt;&gt;""),AND(OF4&gt;=ON$34,OF4&lt;&gt;""),AND(OJ4&gt;=ON$34,OJ4&lt;&gt;""),AND(OM4&gt;=ON$34,OM4&lt;&gt;""),AND(PK4&gt;=PV$34,PK4&lt;&gt;""),AND(PN4&gt;=PV$34,PN4&lt;&gt;""),AND(PR4&gt;=PV$34,PR4&lt;&gt;""),AND(PU4&gt;=PV$34,PU4&lt;&gt;""),AND(QS4&gt;=RD$34,QS4&lt;&gt;""),AND(QV4&gt;=RD$34,QV4&lt;&gt;""),AND(QZ4&gt;=RD$34,QZ4&lt;&gt;""),AND(RC4&gt;=RD$34,RC4&lt;&gt;""),AND(SA4&gt;=SL$34,SA4&lt;&gt;""),AND(SD4&gt;=SL$34,SD4&lt;&gt;""),AND(SH4&gt;=SL$34,SH4&lt;&gt;""),AND(SK4&gt;=SL$34,SK4&lt;&gt;""),AND(TI4&gt;=TT$34,TI4&lt;&gt;""),AND(TL4&gt;=TT$34,TL4&lt;&gt;""),AND(TP4&gt;=TT$34,TXN4&lt;&gt;""),AND(TS4&gt;=TT$34,TS4&lt;&gt;""),AND(UQ4&gt;=VB$34,UQ4&lt;&gt;""),AND(UT4&gt;=VB$34,UT4&lt;&gt;""),AND(UX4&gt;=VB$34,UX4&lt;&gt;""),AND(VA4&gt;=VB$34,VA4&lt;&gt;""),AND(VY4&gt;=WJ$34,VY4&lt;&gt;""),AND(WB4&gt;=WJ$34,WB4&lt;&gt;""),AND(WF4&gt;=WJ$34,WF4&lt;&gt;""),AND(WI4&gt;=WJ$34,WI4&lt;&gt;"")),"P","")</f>
        <v>P</v>
      </c>
      <c r="H4" s="32" t="str">
        <f t="shared" ref="H4:H27" si="3">IF(AND(G4="P",F4=""),"No DD",IF(OR(AND(AG4&gt;=AQ$33,AG4&lt;&gt;"",AI4&gt;=AQ$37,AI4&lt;&gt;"",AF4=""),AND(AJ4&gt;=AQ$33,AJ4&lt;&gt;"",AL4&gt;=AQ$37,AL4&lt;&gt;"",AF4=""),AND(AN4&gt;=AQ$33,AN4&lt;&gt;"",AP4&gt;=AQ$37,AP4&lt;&gt;"",AF4=""),AND(BH4&gt;=BR$33,BH4&lt;&gt;"",BJ4&gt;=BR$37,BJ4&lt;&gt;"",BG4=""),AND(BK4&gt;=BR$33,BK4&lt;&gt;"",BM4&gt;=BR$37,BM4&lt;&gt;"",BG4=""),AND(BO4&gt;=BR$33,BO4&lt;&gt;"",BQ4&gt;=BR$37,BQ4&lt;&gt;"",BG4=""),AND(CI4&gt;=CS$33,CI4&lt;&gt;"",CK4&gt;=CS$37,CK4&lt;&gt;"",CH4=""),AND(CL4&gt;=CS$33,CL4&lt;&gt;"",CN4&gt;=CS$37,CN4&lt;&gt;"",CH4=""),AND(CP4&gt;=CS$33,CP4&lt;&gt;"",CR4&gt;=CS$37,CR4&lt;&gt;"",CH4=""),AND(DO4&gt;=EB$33,DO4&lt;&gt;"",DQ4&gt;=EB$37,DQ4&lt;&gt;""),AND(DR4&gt;=EB$33,DR4&lt;&gt;"",DT4&gt;=EB$37,DT4&lt;&gt;""),AND(DV4&gt;=EB$33,DV4&lt;&gt;"",DX4&gt;=EB$37,DX4&lt;&gt;""),AND(DY4&gt;=EB$33,DY4&lt;&gt;"",EA4&gt;=EB$37,EA4&lt;&gt;""),AND(EW4&gt;=FJ$33,EW4&lt;&gt;"",EY4&gt;=FJ$37,EY4&lt;&gt;""),AND(EZ4&gt;=FJ$33,EZ4&lt;&gt;"",FB4&gt;=FJ$37,FB4&lt;&gt;""),AND(FD4&gt;=FJ$33,FD4&lt;&gt;"",FF4&gt;=FJ$37,FF4&lt;&gt;""),AND(FG4&gt;=FJ$33,FG4&lt;&gt;"",FI4&gt;=FJ$37,FI4&lt;&gt;""),AND(GE4&gt;=GR$33,GE4&lt;&gt;"",GG4&gt;=GR$37,GG4&lt;&gt;""),AND(GH4&gt;=GR$33,GH4&lt;&gt;"",GJ4&gt;=GR$37,GJ4&lt;&gt;""),AND(GL4&gt;=GR$33,GL4&lt;&gt;"",GN4&gt;=GR$37,GN4&lt;&gt;""),AND(GO4&gt;=GR$33,GO4&lt;&gt;"",GQ4&gt;=GR$37,GQ4&lt;&gt;""),AND(HM4&gt;=HZ$33,HM4&lt;&gt;"",HO4&gt;=HZ$37,HO4&lt;&gt;""),AND(HP4&gt;=HZ$33,HP4&lt;&gt;"",HR4&gt;=HZ$37,HR4&lt;&gt;""),AND(HT4&gt;=HZ$33,HT4&lt;&gt;"",HV4&gt;=HZ$37,HV4&lt;&gt;""),AND(HW4&gt;=HZ$33,HW4&lt;&gt;"",HY4&gt;=HZ$37,HY4&lt;&gt;""),AND(IU4&gt;=JH$33,IU4&lt;&gt;"",IW4&gt;=JH$37,IW4&lt;&gt;""),AND(IX4&gt;=JH$33,IX4&lt;&gt;"",IZ4&gt;=JH$37,IZ4&lt;&gt;""),AND(JB4&gt;=JH$33,JB4&lt;&gt;"",JD4&gt;=JH$37,JD4&lt;&gt;""),AND(JE4&gt;=JH$33,JE4&lt;&gt;"",JG4&gt;=JH$37,JG4&lt;&gt;""),AND(KC4&gt;=KP$33,KC4&lt;&gt;"",KE4&gt;=KP$37,KE4&lt;&gt;""),AND(KF4&gt;=KP$33,KF4&lt;&gt;"",KH4&gt;=KP$37,KH4&lt;&gt;""),AND(KJ4&gt;=KP$33,KJ4&lt;&gt;"",KL4&gt;=KP$37,KL4&lt;&gt;""),AND(KM4&gt;=KP$33,KM4&lt;&gt;"",KO4&gt;=KP$37,KO4&lt;&gt;""),AND(LK4&gt;=LX$33,LK4&lt;&gt;"",LM4&gt;=LX$37,LM4&lt;&gt;""),AND(LN4&gt;=LX$33,LN4&lt;&gt;"",LP4&gt;=LX$37,LP4&lt;&gt;""),AND(LR4&gt;=LX$33,LR4&lt;&gt;"",LT4&gt;=LX$37,LT4&lt;&gt;""),AND(LU4&gt;=LX$33,LU4&lt;&gt;"",LW4&gt;=LX$37,LW4&lt;&gt;""),AND(MS4&gt;=NF$33,MS4&lt;&gt;"",MU4&gt;=NF$37,MU4&lt;&gt;""),AND(MV4&gt;=NF$33,MV4&lt;&gt;"",MX4&gt;=NF$37,MX4&lt;&gt;""),AND(MZ4&gt;=NF$33,MZ4&lt;&gt;"",NB4&gt;=NF$37,NB4&lt;&gt;""),AND(NC4&gt;=NF$33,NC4&lt;&gt;"",NE4&gt;=NF$37,NE4&lt;&gt;""),AND(OA4&gt;=ON$33,OA4&lt;&gt;"",OC4&gt;=ON$37,OC4&lt;&gt;""),AND(OD4&gt;=ON$33,OD4&lt;&gt;"",OF4&gt;=ON$37,OF4&lt;&gt;""),AND(OH4&gt;=ON$33,OH4&lt;&gt;"",OJ4&gt;=ON$37,OJ4&lt;&gt;""),AND(OK4&gt;=ON$33,OK4&lt;&gt;"",OM4&gt;=ON$37,OM4&lt;&gt;""),AND(PI4&gt;=PV$33,PI4&lt;&gt;"",PK4&gt;=PV$37,PK4&lt;&gt;""),AND(PL4&gt;=PV$33,PL4&lt;&gt;"",PN4&gt;=PV$37,PN4&lt;&gt;""),AND(PP4&gt;=PV$33,PP4&lt;&gt;"",PR4&gt;=PV$37,PR4&lt;&gt;""),AND(PS4&gt;=PV$33,PS4&lt;&gt;"",PU4&gt;=PV$37,PU4&lt;&gt;""),AND(QQ4&gt;=RD$33,QQ4&lt;&gt;"",QS4&gt;=RD$37,QS4&lt;&gt;""),AND(QT4&gt;=RD$33,QT4&lt;&gt;"",QV4&gt;=RD$37,QV4&lt;&gt;""),AND(QX4&gt;=RD$33,QX4&lt;&gt;"",QZ4&gt;=RD$37,QZ4&lt;&gt;""),AND(RA4&gt;=RD$33,RA4&lt;&gt;"",RC4&gt;=RD$37,RC4&lt;&gt;""),AND(RY4&gt;=SL$33,RY4&lt;&gt;"",SA4&gt;=SL$37,SA4&lt;&gt;""),AND(SB4&gt;=SL$33,SB4&lt;&gt;"",SD4&gt;=SL$37,SD4&lt;&gt;""),AND(SF4&gt;=SL$33,SF4&lt;&gt;"",SH4&gt;=SL$37,SH4&lt;&gt;""),AND(SI4&gt;=SL$33,SI4&lt;&gt;"",SK4&gt;=SL$37,SK4&lt;&gt;""),AND(TG4&gt;=TT$33,TG4&lt;&gt;"",TI4&gt;=TT$37,TI4&lt;&gt;""),AND(TJ4&gt;=TT$33,TJ4&lt;&gt;"",TL4&gt;=TT$37,TL4&lt;&gt;""),AND(TN4&gt;=TT$33,TN4&lt;&gt;"",TP4&gt;=TT$357,TXN4&lt;&gt;""),AND(TQ4&gt;=TT$33,TQ4&lt;&gt;"",TS4&gt;=TT$37,TS4&lt;&gt;""),AND(UO4&gt;=VB$33,UO4&lt;&gt;"",UQ4&gt;=VB$37,UQ4&lt;&gt;""),AND(UR4&gt;=VB$33,UR4&lt;&gt;"",UT4&gt;=VB$37,UT4&lt;&gt;""),AND(UV4&gt;=VB$33,UV4&lt;&gt;"",UX4&gt;=VB$37,UX4&lt;&gt;""),AND(UY4&gt;=VB$33,UY4&lt;&gt;"",VA4&gt;=VB$37,VA4&lt;&gt;""),AND(VW4&gt;=WJ$33,VW4&lt;&gt;"",VY4&gt;=WJ$37,VY4&lt;&gt;""),AND(VZ4&gt;=WJ$33,VZ4&lt;&gt;"",WB4&gt;=WJ$37,WB4&lt;&gt;""),AND(WD4&gt;=WJ$33,WD4&lt;&gt;"",WF4&gt;=WJ$37,WF4&lt;&gt;""),AND(WG4&gt;=WJ$33,WG4&lt;&gt;"",WI4&gt;=WJ$37,WI4&lt;&gt;"")),"Merit",IF(OR(AND(AG4&gt;=AQ$32,AG4&lt;&gt;"",AI4&gt;=AQ$36,AI4&lt;&gt;"",AF4=""),AND(AJ4&gt;=AQ$32,AJ4&lt;&gt;"",AL4&gt;=AQ$36,AL4&lt;&gt;"",AF4=""),AND(AN4&gt;=AQ$32,AN4&lt;&gt;"",AP4&gt;=AQ$36,AP4&lt;&gt;"",AF4=""),AND(BH4&gt;=BR$32,BH4&lt;&gt;"",BJ4&gt;=BR$36,BJ4&lt;&gt;"",BG4=""),AND(BK4&gt;=BR$32,BK4&lt;&gt;"",BM4&gt;=BR$36,BM4&lt;&gt;"",BG4=""),AND(BO4&gt;=BR$32,BO4&lt;&gt;"",BQ4&gt;=BR$36,BQ4&lt;&gt;"",BG4=""),AND(CI4&gt;=CS$32,CI4&lt;&gt;"",CK4&gt;=CS$36,CK4&lt;&gt;"",CH4=""),AND(CL4&gt;=CS$32,CL4&lt;&gt;"",CN4&gt;=CS$36,CN4&lt;&gt;"",CH4=""),AND(CP4&gt;=CS$32,CP4&lt;&gt;"",CR4&gt;=CS$36,CR4&lt;&gt;"",CH4=""),AND(DO4&gt;=EB$32,DO4&lt;&gt;"",DQ4&gt;=EB$36,DQ4&lt;&gt;""),AND(DR4&gt;=EB$32,DR4&lt;&gt;"",DT4&gt;=EB$36,DT4&lt;&gt;""),AND(DV4&gt;=EB$32,DV4&lt;&gt;"",DX4&gt;=EB$36,DX4&lt;&gt;""),AND(DY4&gt;=EB$32,DY4&lt;&gt;"",EA4&gt;=EB$36,EA4&lt;&gt;""),AND(EW4&gt;=FJ$32,EW4&lt;&gt;"",EY4&gt;=FJ$36,EY4&lt;&gt;""),AND(EZ4&gt;=FJ$32,EZ4&lt;&gt;"",FB4&gt;=FJ$36,FB4&lt;&gt;""),AND(FD4&gt;=FJ$32,FD4&lt;&gt;"",FF4&gt;=FJ$36,FF4&lt;&gt;""),AND(FG4&gt;=FJ$32,FG4&lt;&gt;"",FI4&gt;=FJ$36,FI4&lt;&gt;""),AND(GE4&gt;=GR$32,GE4&lt;&gt;"",GG4&gt;=GR$36,GG4&lt;&gt;""),AND(GH4&gt;=GR$32,GH4&lt;&gt;"",GJ4&gt;=GR$36,GJ4&lt;&gt;""),AND(GL4&gt;=GR$32,GL4&lt;&gt;"",GN4&gt;=GR$36,GN4&lt;&gt;""),AND(GO4&gt;=GR$32,GO4&lt;&gt;"",GQ4&gt;=GR$36,GQ4&lt;&gt;""),AND(HM4&gt;=HZ$32,HM4&lt;&gt;"",HO4&gt;=HZ$36,HO4&lt;&gt;""),AND(HP4&gt;=HZ$32,HP4&lt;&gt;"",HR4&gt;=HZ$36,HR4&lt;&gt;""),AND(HT4&gt;=HZ$32,HT4&lt;&gt;"",HV4&gt;=HZ$36,HV4&lt;&gt;""),AND(HW4&gt;=HZ$32,HW4&lt;&gt;"",HY4&gt;=HZ$36,HY4&lt;&gt;""),AND(IU4&gt;=JH$32,IU4&lt;&gt;"",IW4&gt;=JH$36,IW4&lt;&gt;""),AND(IX4&gt;=JH$32,IX4&lt;&gt;"",IZ4&gt;=JH$36,IZ4&lt;&gt;""),AND(JB4&gt;=JH$32,JB4&lt;&gt;"",JD4&gt;=JH$36,JD4&lt;&gt;""),AND(JE4&gt;=JH$32,JE4&lt;&gt;"",JG4&gt;=JH$36,JG4&lt;&gt;""),AND(KC4&gt;=KP$32,KC4&lt;&gt;"",KE4&gt;=KP$36,KE4&lt;&gt;""),AND(KF4&gt;=KP$32,KF4&lt;&gt;"",KH4&gt;=KP$36,KH4&lt;&gt;""),AND(KJ4&gt;=KP$32,KJ4&lt;&gt;"",KL4&gt;=KP$36,KL4&lt;&gt;""),AND(KM4&gt;=KP$32,KM4&lt;&gt;"",KO4&gt;=KP$36,KO4&lt;&gt;""),AND(LK4&gt;=LX$32,LK4&lt;&gt;"",LM4&gt;=LX$36,LM4&lt;&gt;""),AND(LN4&gt;=LX$32,LN4&lt;&gt;"",LP4&gt;=LX$36,LP4&lt;&gt;""),AND(LR4&gt;=LX$32,LR4&lt;&gt;"",LT4&gt;=LX$36,LT4&lt;&gt;""),AND(LU4&gt;=LX$32,LU4&lt;&gt;"",LW4&gt;=LX$36,LW4&lt;&gt;""),AND(MS4&gt;=NF$32,MS4&lt;&gt;"",MU4&gt;=NF$36,MU4&lt;&gt;""),AND(MV4&gt;=NF$32,MV4&lt;&gt;"",MX4&gt;=NF$36,MX4&lt;&gt;""),AND(MZ4&gt;=NF$32,MZ4&lt;&gt;"",NB4&gt;=NF$36,NB4&lt;&gt;""),AND(NC4&gt;=NF$32,NC4&lt;&gt;"",NE4&gt;=NF$36,NE4&lt;&gt;""),AND(OA4&gt;=ON$32,OA4&lt;&gt;"",OC4&gt;=ON$36,OC4&lt;&gt;""),AND(OD4&gt;=ON$32,OD4&lt;&gt;"",OF4&gt;=ON$36,OF4&lt;&gt;""),AND(OH4&gt;=ON$32,OH4&lt;&gt;"",OJ4&gt;=ON$36,OJ4&lt;&gt;""),AND(OK4&gt;=ON$32,OK4&lt;&gt;"",OM4&gt;=ON$36,OM4&lt;&gt;""),AND(PI4&gt;=PV$32,PI4&lt;&gt;"",PK4&gt;=PV$36,PK4&lt;&gt;""),AND(PL4&gt;=PV$32,PL4&lt;&gt;"",PN4&gt;=PV$36,PN4&lt;&gt;""),AND(PP4&gt;=PV$32,PP4&lt;&gt;"",PR4&gt;=PV$36,PR4&lt;&gt;""),AND(PS4&gt;=PV$32,PS4&lt;&gt;"",PU4&gt;=PV$36,PU4&lt;&gt;""),AND(QQ4&gt;=RD$32,QQ4&lt;&gt;"",QS4&gt;=RD$36,QS4&lt;&gt;""),AND(QT4&gt;=RD$32,QT4&lt;&gt;"",QV4&gt;=RD$36,QV4&lt;&gt;""),AND(QX4&gt;=RD$32,QX4&lt;&gt;"",QZ4&gt;=RD$36,QZ4&lt;&gt;""),AND(RA4&gt;=RD$32,RA4&lt;&gt;"",RC4&gt;=RD$36,RC4&lt;&gt;""),AND(RY4&gt;=SL$32,RY4&lt;&gt;"",SA4&gt;=SL$36,SA4&lt;&gt;""),AND(SB4&gt;=SL$32,SB4&lt;&gt;"",SD4&gt;=SL$36,SD4&lt;&gt;""),AND(SF4&gt;=SL$32,SF4&lt;&gt;"",SH4&gt;=SL$36,SH4&lt;&gt;""),AND(SI4&gt;=SL$32,SI4&lt;&gt;"",SK4&gt;=SL$36,SK4&lt;&gt;""),AND(TG4&gt;=TT$32,TG4&lt;&gt;"",TI4&gt;=TT$36,TI4&lt;&gt;""),AND(TJ4&gt;=TT$32,TJ4&lt;&gt;"",TL4&gt;=TT$36,TL4&lt;&gt;""),AND(TN4&gt;=TT$32,TN4&lt;&gt;"",TP4&gt;=TT$36,TXN4&lt;&gt;""),AND(TQ4&gt;=TT$32,TQ4&lt;&gt;"",TS4&gt;=TT$36,TS4&lt;&gt;""),AND(UO4&gt;=VB$32,UO4&lt;&gt;"",UQ4&gt;=VB$36,UQ4&lt;&gt;""),AND(UR4&gt;=VB$32,UR4&lt;&gt;"",UT4&gt;=VB$36,UT4&lt;&gt;""),AND(UV4&gt;=VB$32,UV4&lt;&gt;"",UX4&gt;=VB$36,UX4&lt;&gt;""),AND(UY4&gt;=VB$32,UY4&lt;&gt;"",VA4&gt;=VB$36,VA4&lt;&gt;""),AND(VW4&gt;=WJ$32,VW4&lt;&gt;"",VY4&gt;=WJ$36,VY4&lt;&gt;""),AND(VZ4&gt;=WJ$32,VZ4&lt;&gt;"",WB4&gt;=WJ$36,WB4&lt;&gt;""),AND(WD4&gt;=WJ$32,WD4&lt;&gt;"",WF4&gt;=WJ$36,WF4&lt;&gt;""),AND(WG4&gt;=WJ$32,WG4&lt;&gt;"",WI4&gt;=WJ$36,WI4&lt;&gt;"")),"Excellence",IF(I4="P","National Team",IF(F4="P","National Team","")))))</f>
        <v>National Team</v>
      </c>
      <c r="I4" s="3" t="str">
        <f>IF(COUNTIFS('Senior-M'!B:B,B4,'Senior-M'!A:A,"&lt;9",'Senior-M'!H:H,"&lt;&gt;"&amp;"No DD"),"P","")</f>
        <v>P</v>
      </c>
      <c r="J4" s="8">
        <f t="shared" ref="J4:J27" si="4">MAX(AI4,AL4,AP4,BJ4,BM4,BQ4,CK4,CN4,CR4)</f>
        <v>57.680000000000007</v>
      </c>
      <c r="K4" s="8" t="str">
        <f t="shared" ref="K4:K27" si="5">IF(J4="","",IF(OR(J4=CK4,J4=CN4,J4=CR4),$BS$1,IF(OR(J4=BJ4,J4=BM4,J4=BQ4),$AR$1,IF(OR(J4=AI4,J4=AL4,J4=AP4),$Q$1,""))))</f>
        <v>2025 3rd Domestic Trial</v>
      </c>
      <c r="L4" s="8">
        <f>IFERROR(LARGE((AI4,AL4,AP4,BJ4,BM4,BQ4,CK4,CN4,CR4),2),0)</f>
        <v>56.35</v>
      </c>
      <c r="M4" s="8" t="str">
        <f t="shared" ref="M4:M27" si="6">IF(L4="","",IF(OR(L4=CK4,L4=CN4,L4=CR4),$BS$1,IF(OR(L4=BJ4,L4=BM4,L4=BQ4),$AR$1,IF(OR(L4=AI4,L4=AL4,L4=AP4),$Q$1,""))))</f>
        <v>2025 3rd Domestic Trial</v>
      </c>
      <c r="N4" s="8">
        <f t="shared" ref="N4:N27" si="7">IF(MAX(CT4,0)&gt;0,MAX(CT4,0),0)</f>
        <v>0.16000000000000369</v>
      </c>
      <c r="O4" s="11" t="str">
        <f>IF(N4=0,"",IF(N4=CT4,"("&amp;CT$2&amp;")",IF(N4=#REF!,"("&amp;#REF!&amp;")")))</f>
        <v>(Any)</v>
      </c>
      <c r="P4" s="8" t="str">
        <f t="shared" ref="P4:P27" si="8">IF(N4=0,"",IF(N4+MAX(L4,0)=MAX(WC4,WF4,WI4),$VC$1,IF(N4+MAX(L4,0)=MAX(UU4,UX4,VA4),$TU$1,IF(N4+MAX(L4,0)=MAX(TM4,TP4,TS4),$SM$1,IF(N4+MAX(L4,0)=MAX(SE4,SH4,SK4),$RE$1,IF(N4+MAX(L4,0)=MAX(QW4,QZ4,RC4),$PW$1,IF(N4+MAX(L4,0)=MAX(PO4,PR4,PU4),$OO$1,IF(N4+MAX(L4,0)=MAX(OG4,OJ4,OM4),$NG$1,IF(N4+MAX(L4,0)=MAX(MY4,NB4,NE4),$LY$1,IF(N4+MAX(L4,0)=MAX(LQ4,LT4,LW4),$KQ$1,IF(N4+MAX(L4,0)=MAX(KI4,KL4,KO4),$JI$1,IF(N4+MAX(L4,0)=MAX(JA4,JD4,JG4),$IA$1,IF(N4+MAX(L4,0)=MAX(HS4,HV4,HY4),$GS$1,IF(N4+MAX(L4,0)=MAX(GK4,GN4,GQ4),$FK$1,IF(N4+MAX(L4,0)=MAX(FC4,FF4,FI4),$EC$1,IF(N4+MAX(L4,0)=MAX(DU4,DX4,EA4),$CU$1))))))))))))))))</f>
        <v>2025 World Cup POR (July 6)</v>
      </c>
      <c r="Q4" s="18">
        <v>12.9</v>
      </c>
      <c r="R4" s="18">
        <v>7.9</v>
      </c>
      <c r="S4" s="18">
        <v>14.2</v>
      </c>
      <c r="T4" s="18">
        <v>13.71</v>
      </c>
      <c r="U4" s="18">
        <v>0</v>
      </c>
      <c r="V4" s="18">
        <v>13</v>
      </c>
      <c r="W4" s="18">
        <v>8.6999999999999993</v>
      </c>
      <c r="X4" s="18">
        <v>15.1</v>
      </c>
      <c r="Y4" s="18">
        <v>15.19</v>
      </c>
      <c r="Z4" s="18">
        <v>0</v>
      </c>
      <c r="AA4" s="18">
        <v>15.3</v>
      </c>
      <c r="AB4" s="18">
        <v>9.3000000000000007</v>
      </c>
      <c r="AC4" s="18">
        <v>14.7</v>
      </c>
      <c r="AD4" s="18">
        <v>15.29</v>
      </c>
      <c r="AE4" s="18">
        <v>0</v>
      </c>
      <c r="AF4" s="23"/>
      <c r="AG4" s="34">
        <f t="shared" ref="AG4:AG27" si="9">IF(S4&gt;0,S4,"")</f>
        <v>14.2</v>
      </c>
      <c r="AH4" s="34">
        <f t="shared" ref="AH4:AH27" si="10">IF(T4&gt;0,T4,"")</f>
        <v>13.71</v>
      </c>
      <c r="AI4" s="36">
        <f t="shared" ref="AI4:AI27" si="11">IF(SUM(Q4:T4)-U4&gt;0,SUM(Q4:T4)-U4,"")</f>
        <v>48.71</v>
      </c>
      <c r="AJ4" s="36">
        <f t="shared" ref="AJ4:AJ27" si="12">IF(X4&gt;0,X4,"")</f>
        <v>15.1</v>
      </c>
      <c r="AK4" s="36">
        <f t="shared" ref="AK4:AK27" si="13">IF(Y4&gt;0,Y4,"")</f>
        <v>15.19</v>
      </c>
      <c r="AL4" s="36">
        <f t="shared" ref="AL4:AL27" si="14">IF(SUM(V4:Y4)-Z4&gt;0,SUM(V4:Y4)-Z4,"")</f>
        <v>51.989999999999995</v>
      </c>
      <c r="AM4" s="36">
        <f t="shared" ref="AM4:AM27" si="15">IF(AI4="","",MAX(AI4,AL4))</f>
        <v>51.989999999999995</v>
      </c>
      <c r="AN4" s="36">
        <f t="shared" ref="AN4:AN27" si="16">IF(AC4&gt;0,AC4,"")</f>
        <v>14.7</v>
      </c>
      <c r="AO4" s="36">
        <f t="shared" ref="AO4:AO27" si="17">IF(AD4&gt;0,AD4,"")</f>
        <v>15.29</v>
      </c>
      <c r="AP4" s="36">
        <f t="shared" ref="AP4:AP27" si="18">IF(SUM(AA4:AD4)-AE4&gt;0,SUM(AA4:AD4)-AE4,"")</f>
        <v>54.589999999999996</v>
      </c>
      <c r="AQ4" s="36">
        <f t="shared" ref="AQ4:AQ27" si="19">IF(SUM(AM4,AP4)&gt;0,SUM(AM4,AP4),"")</f>
        <v>106.57999999999998</v>
      </c>
      <c r="AR4" s="22">
        <v>15.8</v>
      </c>
      <c r="AS4" s="22">
        <v>9</v>
      </c>
      <c r="AT4" s="22">
        <v>15.9</v>
      </c>
      <c r="AU4" s="22">
        <v>15.33</v>
      </c>
      <c r="AV4" s="22">
        <v>0</v>
      </c>
      <c r="AW4" s="22">
        <v>6.8</v>
      </c>
      <c r="AX4" s="22">
        <v>3.6</v>
      </c>
      <c r="AY4" s="22">
        <v>6.9</v>
      </c>
      <c r="AZ4" s="22">
        <v>6.43</v>
      </c>
      <c r="BA4" s="22">
        <v>0</v>
      </c>
      <c r="BB4" s="22">
        <v>15.5</v>
      </c>
      <c r="BC4" s="22">
        <v>9.5</v>
      </c>
      <c r="BD4" s="22">
        <v>13.9</v>
      </c>
      <c r="BE4" s="22">
        <v>15.04</v>
      </c>
      <c r="BF4" s="22">
        <v>0.6</v>
      </c>
      <c r="BG4" s="24"/>
      <c r="BH4" s="35">
        <f t="shared" ref="BH4:BH27" si="20">IF(AT4&gt;0,AT4,"")</f>
        <v>15.9</v>
      </c>
      <c r="BI4" s="35">
        <f t="shared" ref="BI4:BI27" si="21">IF(AU4&gt;0,AU4,"")</f>
        <v>15.33</v>
      </c>
      <c r="BJ4" s="11">
        <f t="shared" ref="BJ4:BJ27" si="22">IF(SUM(AR4:AU4)-AV4&gt;0,SUM(AR4:AU4)-AV4,"")</f>
        <v>56.03</v>
      </c>
      <c r="BK4" s="11">
        <f t="shared" ref="BK4:BK27" si="23">IF(AY4&gt;0,AY4,"")</f>
        <v>6.9</v>
      </c>
      <c r="BL4" s="11">
        <f t="shared" ref="BL4:BL27" si="24">IF(AZ4&gt;0,AZ4,"")</f>
        <v>6.43</v>
      </c>
      <c r="BM4" s="11">
        <f t="shared" ref="BM4:BM27" si="25">IF(SUM(AW4:AZ4)-BA4&gt;0,SUM(AW4:AZ4)-BA4,"")</f>
        <v>23.73</v>
      </c>
      <c r="BN4" s="11">
        <f t="shared" ref="BN4:BN27" si="26">IF(BJ4="","",MAX(BJ4,BM4))</f>
        <v>56.03</v>
      </c>
      <c r="BO4" s="11">
        <f t="shared" ref="BO4:BO27" si="27">IF(BD4&gt;0,BD4,"")</f>
        <v>13.9</v>
      </c>
      <c r="BP4" s="11">
        <f t="shared" ref="BP4:BP27" si="28">IF(BE4&gt;0,BE4,"")</f>
        <v>15.04</v>
      </c>
      <c r="BQ4" s="11">
        <f t="shared" ref="BQ4:BQ27" si="29">IF(SUM(BB4:BE4)-BF4&gt;0,SUM(BB4:BE4)-BF4,"")</f>
        <v>53.339999999999996</v>
      </c>
      <c r="BR4" s="11">
        <f t="shared" ref="BR4:BR27" si="30">IF(SUM(BN4,BQ4)&gt;0,SUM(BN4,BQ4),"")</f>
        <v>109.37</v>
      </c>
      <c r="BS4" s="18">
        <v>15.9</v>
      </c>
      <c r="BT4" s="18">
        <v>9.1</v>
      </c>
      <c r="BU4" s="18">
        <v>15.3</v>
      </c>
      <c r="BV4" s="18">
        <v>15.96</v>
      </c>
      <c r="BW4" s="18">
        <v>0</v>
      </c>
      <c r="BX4" s="18">
        <v>16.100000000000001</v>
      </c>
      <c r="BY4" s="18">
        <v>8.8000000000000007</v>
      </c>
      <c r="BZ4" s="18">
        <v>15.3</v>
      </c>
      <c r="CA4" s="18">
        <v>16.149999999999999</v>
      </c>
      <c r="CB4" s="18">
        <v>0</v>
      </c>
      <c r="CC4" s="18">
        <v>17</v>
      </c>
      <c r="CD4" s="18">
        <v>9.1</v>
      </c>
      <c r="CE4" s="18">
        <v>15.3</v>
      </c>
      <c r="CF4" s="18">
        <v>16.28</v>
      </c>
      <c r="CG4" s="18">
        <v>0</v>
      </c>
      <c r="CH4" s="23"/>
      <c r="CI4" s="34">
        <f t="shared" ref="CI4:CI27" si="31">IF(BU4&gt;0,BU4,"")</f>
        <v>15.3</v>
      </c>
      <c r="CJ4" s="34">
        <f t="shared" ref="CJ4:CJ27" si="32">IF(BV4&gt;0,BV4,"")</f>
        <v>15.96</v>
      </c>
      <c r="CK4" s="36">
        <f t="shared" ref="CK4:CK27" si="33">IF(SUM(BS4:BV4)-BW4&gt;0,SUM(BS4:BV4)-BW4,"")</f>
        <v>56.26</v>
      </c>
      <c r="CL4" s="36">
        <f t="shared" ref="CL4:CL27" si="34">IF(BZ4&gt;0,BZ4,"")</f>
        <v>15.3</v>
      </c>
      <c r="CM4" s="36">
        <f t="shared" ref="CM4:CM27" si="35">IF(CA4&gt;0,CA4,"")</f>
        <v>16.149999999999999</v>
      </c>
      <c r="CN4" s="36">
        <f t="shared" ref="CN4:CN27" si="36">IF(SUM(BX4:CA4)-CB4&gt;0,SUM(BX4:CA4)-CB4,"")</f>
        <v>56.35</v>
      </c>
      <c r="CO4" s="36">
        <f t="shared" ref="CO4:CO27" si="37">IF(CK4="","",MAX(CK4,CN4))</f>
        <v>56.35</v>
      </c>
      <c r="CP4" s="36">
        <f t="shared" ref="CP4:CP27" si="38">IF(CE4&gt;0,CE4,"")</f>
        <v>15.3</v>
      </c>
      <c r="CQ4" s="36">
        <f t="shared" ref="CQ4:CQ27" si="39">IF(CF4&gt;0,CF4,"")</f>
        <v>16.28</v>
      </c>
      <c r="CR4" s="36">
        <f t="shared" ref="CR4:CR27" si="40">IF(SUM(CC4:CF4)-CG4&gt;0,SUM(CC4:CF4)-CG4,"")</f>
        <v>57.680000000000007</v>
      </c>
      <c r="CS4" s="36">
        <f t="shared" ref="CS4:CS27" si="41">IF(SUM(CO4,CR4)&gt;0,SUM(CO4,CR4),"")</f>
        <v>114.03</v>
      </c>
      <c r="CT4" s="47">
        <f t="shared" ref="CT4:CT27" si="42">IF(MAX(DU4,DX4,EA4,FC4,FF4,FI4,GK4,GN4,GQ4,HS4,HV4,HY4,JA4,JD4,JG4,KI4,KL4,KO4,LQ4,LT4,LW4,MY4,NB4,NE4,OG4,OJ4,OM4,PO4,PR4,PU4,QW4,QZ4,RC4,SE4,SH4,SK4,TM4,TP4,TS4,UU4,UX4,VA4,WC4,WF4,WI4)-MAX(L4,0)&gt;0.001,MAX(DU4,DX4,EA4,FC4,FF4,FI4,GK4,GN4,GQ4,HS4,HV4,HY4,JA4,JD4,JG4,KI4,KL4,KO4,LQ4,LT4,LW4,MY4,NB4,NE4,OG4,OJ4,OM4,PO4,PR4,PU4,QW4,QZ4,RC4,SE4,SH4,SK4,TM4,TP4,TS4,UU4,UX4,VA4,WC4,WF4,WI4)-MAX(L4,0),"")</f>
        <v>0.16000000000000369</v>
      </c>
      <c r="CU4" s="15">
        <v>13.9</v>
      </c>
      <c r="CV4" s="15">
        <v>8.6</v>
      </c>
      <c r="CW4" s="15">
        <v>15.5</v>
      </c>
      <c r="CX4" s="15">
        <v>15.27</v>
      </c>
      <c r="CY4" s="15">
        <v>0</v>
      </c>
      <c r="CZ4" s="15">
        <v>2.9</v>
      </c>
      <c r="DA4" s="15">
        <v>1.7</v>
      </c>
      <c r="DB4" s="15">
        <v>3.5</v>
      </c>
      <c r="DC4" s="15">
        <v>3.22</v>
      </c>
      <c r="DD4" s="15"/>
      <c r="DE4" s="15"/>
      <c r="DF4" s="15"/>
      <c r="DG4" s="15"/>
      <c r="DH4" s="15"/>
      <c r="DI4" s="15"/>
      <c r="DJ4" s="15"/>
      <c r="DK4" s="15"/>
      <c r="DL4" s="15"/>
      <c r="DM4" s="15"/>
      <c r="DN4" s="15"/>
      <c r="DO4" s="36">
        <f t="shared" ref="DO4:DO27" si="43">IF(CW4&gt;0,CW4,"")</f>
        <v>15.5</v>
      </c>
      <c r="DP4" s="36">
        <f t="shared" ref="DP4:DP27" si="44">IF(CX4&gt;0,CX4,"")</f>
        <v>15.27</v>
      </c>
      <c r="DQ4" s="36">
        <f t="shared" ref="DQ4:DQ27" si="45">IF(SUM(CU4:CX4)-CY4&gt;0,SUM(CU4:CX4)-CY4,"")</f>
        <v>53.269999999999996</v>
      </c>
      <c r="DR4" s="36">
        <f t="shared" ref="DR4:DR27" si="46">IF(DB4&gt;0,DB4,"")</f>
        <v>3.5</v>
      </c>
      <c r="DS4" s="36">
        <f t="shared" ref="DS4:DS27" si="47">IF(DC4&gt;0,DC4,"")</f>
        <v>3.22</v>
      </c>
      <c r="DT4" s="36">
        <f t="shared" ref="DT4:DT27" si="48">IF(SUM(CZ4:DC4)-DD4&gt;0,SUM(CZ4:DC4)-DD4,"")</f>
        <v>11.32</v>
      </c>
      <c r="DU4" s="36">
        <f t="shared" ref="DU4:DU27" si="49">IF(MAX(DQ4,DT4)&gt;0,MAX(DQ4,DT4),"")</f>
        <v>53.269999999999996</v>
      </c>
      <c r="DV4" s="36" t="str">
        <f t="shared" ref="DV4:DV27" si="50">IF(DG4&gt;0,DG4,"")</f>
        <v/>
      </c>
      <c r="DW4" s="36" t="str">
        <f t="shared" ref="DW4:DW27" si="51">IF(DH4&gt;0,DH4,"")</f>
        <v/>
      </c>
      <c r="DX4" s="36" t="str">
        <f t="shared" ref="DX4:DX27" si="52">IF(SUM(DE4:DH4)-DI4&gt;0,SUM(DE4:DH4)-DI4,"")</f>
        <v/>
      </c>
      <c r="DY4" s="36" t="str">
        <f t="shared" ref="DY4:DY27" si="53">IF(DL4&gt;0,DL4,"")</f>
        <v/>
      </c>
      <c r="DZ4" s="36" t="str">
        <f t="shared" ref="DZ4:DZ27" si="54">IF(DM4&gt;0,DM4,"")</f>
        <v/>
      </c>
      <c r="EA4" s="36" t="str">
        <f t="shared" ref="EA4:EA27" si="55">IF(SUM(DJ4:DM4)-DN4&gt;0,SUM(DJ4:DM4)-DN4,"")</f>
        <v/>
      </c>
      <c r="EB4" s="36">
        <f t="shared" ref="EB4:EB27" si="56">IF(SUM(DU4,DX4,EA4)&gt;0,SUM(DU4,DX4,EA4),"")</f>
        <v>53.269999999999996</v>
      </c>
      <c r="EC4" s="16">
        <v>15.6</v>
      </c>
      <c r="ED4" s="16">
        <v>8.9</v>
      </c>
      <c r="EE4" s="16">
        <v>14.9</v>
      </c>
      <c r="EF4" s="16">
        <v>15.44</v>
      </c>
      <c r="EG4" s="16">
        <v>0</v>
      </c>
      <c r="EH4" s="16">
        <v>15.9</v>
      </c>
      <c r="EI4" s="16">
        <v>9.5</v>
      </c>
      <c r="EJ4" s="16">
        <v>15.3</v>
      </c>
      <c r="EK4" s="16">
        <v>15.81</v>
      </c>
      <c r="EL4" s="16">
        <v>0</v>
      </c>
      <c r="EM4" s="16"/>
      <c r="EN4" s="16"/>
      <c r="EO4" s="16"/>
      <c r="EP4" s="16"/>
      <c r="EQ4" s="16"/>
      <c r="ER4" s="16"/>
      <c r="ES4" s="16"/>
      <c r="ET4" s="16"/>
      <c r="EU4" s="16"/>
      <c r="EV4" s="16"/>
      <c r="EW4" s="11">
        <f t="shared" ref="EW4:EW27" si="57">IF(EE4&gt;0,EE4,"")</f>
        <v>14.9</v>
      </c>
      <c r="EX4" s="11">
        <f t="shared" ref="EX4:EX27" si="58">IF(EF4&gt;0,EF4,"")</f>
        <v>15.44</v>
      </c>
      <c r="EY4" s="11">
        <f t="shared" ref="EY4:EY27" si="59">IF(SUM(EC4:EF4)-EG4&gt;0,SUM(EC4:EF4)-EG4,"")</f>
        <v>54.839999999999996</v>
      </c>
      <c r="EZ4" s="11">
        <f t="shared" ref="EZ4:EZ27" si="60">IF(EJ4&gt;0,EJ4,"")</f>
        <v>15.3</v>
      </c>
      <c r="FA4" s="11">
        <f t="shared" ref="FA4:FA27" si="61">IF(EK4&gt;0,EK4,"")</f>
        <v>15.81</v>
      </c>
      <c r="FB4" s="11">
        <f t="shared" ref="FB4:FB27" si="62">IF(SUM(EH4:EK4)-EL4&gt;0,SUM(EH4:EK4)-EL4,"")</f>
        <v>56.510000000000005</v>
      </c>
      <c r="FC4" s="11">
        <f t="shared" ref="FC4:FC27" si="63">IF(MAX(EY4,FB4)&gt;0,MAX(EY4,FB4),"")</f>
        <v>56.510000000000005</v>
      </c>
      <c r="FD4" s="11" t="str">
        <f t="shared" ref="FD4:FD27" si="64">IF(EO4&gt;0,EO4,"")</f>
        <v/>
      </c>
      <c r="FE4" s="11" t="str">
        <f t="shared" ref="FE4:FE27" si="65">IF(EP4&gt;0,EP4,"")</f>
        <v/>
      </c>
      <c r="FF4" s="11" t="str">
        <f t="shared" ref="FF4:FF27" si="66">IF(SUM(EM4:EP4)-EQ4&gt;0,SUM(EM4:EP4)-EQ4,"")</f>
        <v/>
      </c>
      <c r="FG4" s="11" t="str">
        <f t="shared" ref="FG4:FG27" si="67">IF(ET4&gt;0,ET4,"")</f>
        <v/>
      </c>
      <c r="FH4" s="11" t="str">
        <f t="shared" ref="FH4:FH27" si="68">IF(EU4&gt;0,EU4,"")</f>
        <v/>
      </c>
      <c r="FI4" s="11" t="str">
        <f t="shared" ref="FI4:FI27" si="69">IF(SUM(ER4:EU4)-EV4&gt;0,SUM(ER4:EU4)-EV4,"")</f>
        <v/>
      </c>
      <c r="FJ4" s="11">
        <f t="shared" ref="FJ4:FJ27" si="70">IF(SUM(FC4,FF4,FI4)&gt;0,SUM(FC4,FF4,FI4),"")</f>
        <v>56.510000000000005</v>
      </c>
      <c r="FK4" s="15"/>
      <c r="FL4" s="15"/>
      <c r="FM4" s="15"/>
      <c r="FN4" s="15"/>
      <c r="FO4" s="15"/>
      <c r="FP4" s="15"/>
      <c r="FQ4" s="15"/>
      <c r="FR4" s="15"/>
      <c r="FS4" s="15"/>
      <c r="FT4" s="15"/>
      <c r="FU4" s="15"/>
      <c r="FV4" s="15"/>
      <c r="FW4" s="15"/>
      <c r="FX4" s="15"/>
      <c r="FY4" s="15"/>
      <c r="FZ4" s="15"/>
      <c r="GA4" s="15"/>
      <c r="GB4" s="15"/>
      <c r="GC4" s="15"/>
      <c r="GD4" s="15"/>
      <c r="GE4" s="36" t="str">
        <f t="shared" ref="GE4:GE27" si="71">IF(FM4&gt;0,FM4,"")</f>
        <v/>
      </c>
      <c r="GF4" s="36" t="str">
        <f t="shared" ref="GF4:GF27" si="72">IF(FN4&gt;0,FN4,"")</f>
        <v/>
      </c>
      <c r="GG4" s="36" t="str">
        <f t="shared" ref="GG4:GG27" si="73">IF(SUM(FK4:FN4)-FO4&gt;0,SUM(FK4:FN4)-FO4,"")</f>
        <v/>
      </c>
      <c r="GH4" s="36" t="str">
        <f t="shared" ref="GH4:GH27" si="74">IF(FR4&gt;0,FR4,"")</f>
        <v/>
      </c>
      <c r="GI4" s="36" t="str">
        <f t="shared" ref="GI4:GI27" si="75">IF(FS4&gt;0,FS4,"")</f>
        <v/>
      </c>
      <c r="GJ4" s="36" t="str">
        <f t="shared" ref="GJ4:GJ27" si="76">IF(SUM(FP4:FS4)-FT4&gt;0,SUM(FP4:FS4)-FT4,"")</f>
        <v/>
      </c>
      <c r="GK4" s="36" t="str">
        <f t="shared" ref="GK4:GK27" si="77">IF(MAX(GG4,GJ4)&gt;0,MAX(GG4,GJ4),"")</f>
        <v/>
      </c>
      <c r="GL4" s="36" t="str">
        <f t="shared" ref="GL4:GL27" si="78">IF(FW4&gt;0,FW4,"")</f>
        <v/>
      </c>
      <c r="GM4" s="36" t="str">
        <f t="shared" ref="GM4:GM27" si="79">IF(FX4&gt;0,FX4,"")</f>
        <v/>
      </c>
      <c r="GN4" s="36" t="str">
        <f t="shared" ref="GN4:GN27" si="80">IF(SUM(FU4:FX4)-FY4&gt;0,SUM(FU4:FX4)-FY4,"")</f>
        <v/>
      </c>
      <c r="GO4" s="36" t="str">
        <f t="shared" ref="GO4:GO27" si="81">IF(GB4&gt;0,GB4,"")</f>
        <v/>
      </c>
      <c r="GP4" s="36" t="str">
        <f t="shared" ref="GP4:GP27" si="82">IF(GC4&gt;0,GC4,"")</f>
        <v/>
      </c>
      <c r="GQ4" s="36" t="str">
        <f t="shared" ref="GQ4:GQ27" si="83">IF(SUM(FZ4:GC4)-GD4&gt;0,SUM(FZ4:GC4)-GD4,"")</f>
        <v/>
      </c>
      <c r="GR4" s="36" t="str">
        <f t="shared" ref="GR4:GR27" si="84">IF(SUM(GK4,GN4,GQ4)&gt;0,SUM(GK4,GN4,GQ4),"")</f>
        <v/>
      </c>
      <c r="GS4" s="16"/>
      <c r="GT4" s="16"/>
      <c r="GU4" s="16"/>
      <c r="GV4" s="16"/>
      <c r="GW4" s="16"/>
      <c r="GX4" s="16">
        <v>16.399999999999999</v>
      </c>
      <c r="GY4" s="16">
        <v>9.4</v>
      </c>
      <c r="GZ4" s="16">
        <v>14.9</v>
      </c>
      <c r="HA4" s="16">
        <v>15.56</v>
      </c>
      <c r="HB4" s="16">
        <v>0</v>
      </c>
      <c r="HC4" s="16"/>
      <c r="HD4" s="16"/>
      <c r="HE4" s="16"/>
      <c r="HF4" s="16"/>
      <c r="HG4" s="16"/>
      <c r="HH4" s="16">
        <v>16.2</v>
      </c>
      <c r="HI4" s="16">
        <v>8.6</v>
      </c>
      <c r="HJ4" s="16">
        <v>14.9</v>
      </c>
      <c r="HK4" s="16">
        <v>15.23</v>
      </c>
      <c r="HL4" s="16">
        <v>0</v>
      </c>
      <c r="HM4" s="11" t="str">
        <f t="shared" ref="HM4:HM27" si="85">IF(GU4&gt;0,GU4,"")</f>
        <v/>
      </c>
      <c r="HN4" s="11" t="str">
        <f t="shared" ref="HN4:HN27" si="86">IF(GV4&gt;0,GV4,"")</f>
        <v/>
      </c>
      <c r="HO4" s="11" t="str">
        <f t="shared" ref="HO4:HO27" si="87">IF(SUM(GS4:GV4)-GW4&gt;0,SUM(GS4:GV4)-GW4,"")</f>
        <v/>
      </c>
      <c r="HP4" s="11">
        <f t="shared" ref="HP4:HP27" si="88">IF(GZ4&gt;0,GZ4,"")</f>
        <v>14.9</v>
      </c>
      <c r="HQ4" s="11">
        <f t="shared" ref="HQ4:HQ27" si="89">IF(HA4&gt;0,HA4,"")</f>
        <v>15.56</v>
      </c>
      <c r="HR4" s="11">
        <f t="shared" ref="HR4:HR27" si="90">IF(SUM(GX4:HA4)-HB4&gt;0,SUM(GX4:HA4)-HB4,"")</f>
        <v>56.26</v>
      </c>
      <c r="HS4" s="11">
        <f t="shared" ref="HS4:HS27" si="91">IF(MAX(HO4,HR4)&gt;0,MAX(HO4,HR4),"")</f>
        <v>56.26</v>
      </c>
      <c r="HT4" s="11" t="str">
        <f t="shared" ref="HT4:HT27" si="92">IF(HE4&gt;0,HE4,"")</f>
        <v/>
      </c>
      <c r="HU4" s="11" t="str">
        <f t="shared" ref="HU4:HU27" si="93">IF(HF4&gt;0,HF4,"")</f>
        <v/>
      </c>
      <c r="HV4" s="11" t="str">
        <f t="shared" ref="HV4:HV27" si="94">IF(SUM(HC4:HF4)-HG4&gt;0,SUM(HC4:HF4)-HG4,"")</f>
        <v/>
      </c>
      <c r="HW4" s="11">
        <f t="shared" ref="HW4:HW27" si="95">IF(HJ4&gt;0,HJ4,"")</f>
        <v>14.9</v>
      </c>
      <c r="HX4" s="11">
        <f t="shared" ref="HX4:HX27" si="96">IF(HK4&gt;0,HK4,"")</f>
        <v>15.23</v>
      </c>
      <c r="HY4" s="11">
        <f t="shared" ref="HY4:HY27" si="97">IF(SUM(HH4:HK4)-HL4&gt;0,SUM(HH4:HK4)-HL4,"")</f>
        <v>54.929999999999993</v>
      </c>
      <c r="HZ4" s="11">
        <f t="shared" ref="HZ4:HZ27" si="98">IF(SUM(HS4,HV4,HY4)&gt;0,SUM(HS4,HV4,HY4),"")</f>
        <v>111.19</v>
      </c>
      <c r="IA4" s="15">
        <v>15.6</v>
      </c>
      <c r="IB4" s="15">
        <v>8.6</v>
      </c>
      <c r="IC4" s="15">
        <v>13.7</v>
      </c>
      <c r="ID4" s="15">
        <v>15.29</v>
      </c>
      <c r="IE4" s="15">
        <v>0</v>
      </c>
      <c r="IF4" s="15">
        <v>14.1</v>
      </c>
      <c r="IG4" s="15">
        <v>7.6</v>
      </c>
      <c r="IH4" s="15">
        <v>13.2</v>
      </c>
      <c r="II4" s="15">
        <v>14.29</v>
      </c>
      <c r="IJ4" s="15">
        <v>0</v>
      </c>
      <c r="IK4" s="15"/>
      <c r="IL4" s="15"/>
      <c r="IM4" s="15"/>
      <c r="IN4" s="15"/>
      <c r="IO4" s="15"/>
      <c r="IP4" s="15"/>
      <c r="IQ4" s="15"/>
      <c r="IR4" s="15"/>
      <c r="IS4" s="15"/>
      <c r="IT4" s="15"/>
      <c r="IU4" s="36">
        <f t="shared" ref="IU4:IU27" si="99">IF(IC4&gt;0,IC4,"")</f>
        <v>13.7</v>
      </c>
      <c r="IV4" s="36">
        <f t="shared" ref="IV4:IV27" si="100">IF(ID4&gt;0,ID4,"")</f>
        <v>15.29</v>
      </c>
      <c r="IW4" s="36">
        <f t="shared" ref="IW4:IW27" si="101">IF(SUM(IA4:ID4)-IE4&gt;0,SUM(IA4:ID4)-IE4,"")</f>
        <v>53.19</v>
      </c>
      <c r="IX4" s="36">
        <f t="shared" ref="IX4:IX27" si="102">IF(IH4&gt;0,IH4,"")</f>
        <v>13.2</v>
      </c>
      <c r="IY4" s="36">
        <f t="shared" ref="IY4:IY27" si="103">IF(II4&gt;0,II4,"")</f>
        <v>14.29</v>
      </c>
      <c r="IZ4" s="36">
        <f t="shared" ref="IZ4:IZ27" si="104">IF(SUM(IF4:II4)-IJ4&gt;0,SUM(IF4:II4)-IJ4,"")</f>
        <v>49.19</v>
      </c>
      <c r="JA4" s="36">
        <f t="shared" ref="JA4:JA27" si="105">IF(MAX(IW4,IZ4)&gt;0,MAX(IW4,IZ4),"")</f>
        <v>53.19</v>
      </c>
      <c r="JB4" s="36" t="str">
        <f t="shared" ref="JB4:JB27" si="106">IF(IM4&gt;0,IM4,"")</f>
        <v/>
      </c>
      <c r="JC4" s="36" t="str">
        <f t="shared" ref="JC4:JC27" si="107">IF(IN4&gt;0,IN4,"")</f>
        <v/>
      </c>
      <c r="JD4" s="36" t="str">
        <f t="shared" ref="JD4:JD27" si="108">IF(SUM(IK4:IN4)-IO4&gt;0,SUM(IK4:IN4)-IO4,"")</f>
        <v/>
      </c>
      <c r="JE4" s="36" t="str">
        <f t="shared" ref="JE4:JE27" si="109">IF(IR4&gt;0,IR4,"")</f>
        <v/>
      </c>
      <c r="JF4" s="36" t="str">
        <f t="shared" ref="JF4:JF27" si="110">IF(IS4&gt;0,IS4,"")</f>
        <v/>
      </c>
      <c r="JG4" s="36" t="str">
        <f t="shared" ref="JG4:JG27" si="111">IF(SUM(IP4:IS4)-IT4&gt;0,SUM(IP4:IS4)-IT4,"")</f>
        <v/>
      </c>
      <c r="JH4" s="36">
        <f t="shared" ref="JH4:JH27" si="112">IF(SUM(JA4,JD4,JG4)&gt;0,SUM(JA4,JD4,JG4),"")</f>
        <v>53.19</v>
      </c>
      <c r="JI4" s="16">
        <v>15</v>
      </c>
      <c r="JJ4" s="16">
        <v>9.3000000000000007</v>
      </c>
      <c r="JK4" s="16">
        <v>16.2</v>
      </c>
      <c r="JL4" s="16">
        <v>15.85</v>
      </c>
      <c r="JM4" s="16">
        <v>0</v>
      </c>
      <c r="JN4" s="16">
        <v>13.6</v>
      </c>
      <c r="JO4" s="16">
        <v>8.1</v>
      </c>
      <c r="JP4" s="16">
        <v>13.2</v>
      </c>
      <c r="JQ4" s="16">
        <v>14.13</v>
      </c>
      <c r="JR4" s="16">
        <v>0</v>
      </c>
      <c r="JS4" s="16"/>
      <c r="JT4" s="16"/>
      <c r="JU4" s="16"/>
      <c r="JV4" s="16"/>
      <c r="JW4" s="16"/>
      <c r="JX4" s="16"/>
      <c r="JY4" s="16"/>
      <c r="JZ4" s="16"/>
      <c r="KA4" s="16"/>
      <c r="KB4" s="16"/>
      <c r="KC4" s="11">
        <f t="shared" ref="KC4:KC27" si="113">IF(JK4&gt;0,JK4,"")</f>
        <v>16.2</v>
      </c>
      <c r="KD4" s="11">
        <f t="shared" ref="KD4:KD27" si="114">IF(JL4&gt;0,JL4,"")</f>
        <v>15.85</v>
      </c>
      <c r="KE4" s="11">
        <f t="shared" ref="KE4:KE27" si="115">IF(SUM(JI4:JL4)-JM4&gt;0,SUM(JI4:JL4)-JM4,"")</f>
        <v>56.35</v>
      </c>
      <c r="KF4" s="11">
        <f t="shared" ref="KF4:KF27" si="116">IF(JP4&gt;0,JP4,"")</f>
        <v>13.2</v>
      </c>
      <c r="KG4" s="11">
        <f t="shared" ref="KG4:KG27" si="117">IF(JQ4&gt;0,JQ4,"")</f>
        <v>14.13</v>
      </c>
      <c r="KH4" s="11">
        <f t="shared" ref="KH4:KH27" si="118">IF(SUM(JN4:JQ4)-JR4&gt;0,SUM(JN4:JQ4)-JR4,"")</f>
        <v>49.03</v>
      </c>
      <c r="KI4" s="11">
        <f t="shared" ref="KI4:KI27" si="119">IF(MAX(KE4,KH4)&gt;0,MAX(KE4,KH4),"")</f>
        <v>56.35</v>
      </c>
      <c r="KJ4" s="11" t="str">
        <f t="shared" ref="KJ4:KJ27" si="120">IF(JU4&gt;0,JU4,"")</f>
        <v/>
      </c>
      <c r="KK4" s="11" t="str">
        <f t="shared" ref="KK4:KK27" si="121">IF(JV4&gt;0,JV4,"")</f>
        <v/>
      </c>
      <c r="KL4" s="11" t="str">
        <f t="shared" ref="KL4:KL27" si="122">IF(SUM(JS4:JV4)-JW4&gt;0,SUM(JS4:JV4)-JW4,"")</f>
        <v/>
      </c>
      <c r="KM4" s="11" t="str">
        <f t="shared" ref="KM4:KM27" si="123">IF(JZ4&gt;0,JZ4,"")</f>
        <v/>
      </c>
      <c r="KN4" s="11" t="str">
        <f t="shared" ref="KN4:KN27" si="124">IF(KA4&gt;0,KA4,"")</f>
        <v/>
      </c>
      <c r="KO4" s="11" t="str">
        <f t="shared" ref="KO4:KO27" si="125">IF(SUM(JX4:KA4)-KB4&gt;0,SUM(JX4:KA4)-KB4,"")</f>
        <v/>
      </c>
      <c r="KP4" s="11">
        <f t="shared" ref="KP4:KP27" si="126">IF(SUM(KI4,KL4,KO4)&gt;0,SUM(KI4,KL4,KO4),"")</f>
        <v>56.35</v>
      </c>
      <c r="KQ4" s="15">
        <v>13</v>
      </c>
      <c r="KR4" s="15">
        <v>9.1</v>
      </c>
      <c r="KS4" s="15">
        <v>16.8</v>
      </c>
      <c r="KT4" s="15">
        <v>15.41</v>
      </c>
      <c r="KU4" s="15">
        <v>0</v>
      </c>
      <c r="KV4" s="15">
        <v>14.1</v>
      </c>
      <c r="KW4" s="15">
        <v>9.5</v>
      </c>
      <c r="KX4" s="15">
        <v>17</v>
      </c>
      <c r="KY4" s="15">
        <v>15.64</v>
      </c>
      <c r="KZ4" s="15">
        <v>0</v>
      </c>
      <c r="LA4" s="15"/>
      <c r="LB4" s="15"/>
      <c r="LC4" s="15"/>
      <c r="LD4" s="15"/>
      <c r="LE4" s="15"/>
      <c r="LF4" s="15"/>
      <c r="LG4" s="15"/>
      <c r="LH4" s="15"/>
      <c r="LI4" s="15"/>
      <c r="LJ4" s="15"/>
      <c r="LK4" s="36">
        <f t="shared" ref="LK4:LK27" si="127">IF(KS4&gt;0,KS4,"")</f>
        <v>16.8</v>
      </c>
      <c r="LL4" s="36">
        <f t="shared" ref="LL4:LL27" si="128">IF(KT4&gt;0,KT4,"")</f>
        <v>15.41</v>
      </c>
      <c r="LM4" s="36">
        <f t="shared" ref="LM4:LM27" si="129">IF(SUM(KQ4:KT4)-KU4&gt;0,SUM(KQ4:KT4)-KU4,"")</f>
        <v>54.31</v>
      </c>
      <c r="LN4" s="36">
        <f t="shared" ref="LN4:LN27" si="130">IF(KX4&gt;0,KX4,"")</f>
        <v>17</v>
      </c>
      <c r="LO4" s="36">
        <f t="shared" ref="LO4:LO27" si="131">IF(KY4&gt;0,KY4,"")</f>
        <v>15.64</v>
      </c>
      <c r="LP4" s="36">
        <f t="shared" ref="LP4:LP27" si="132">IF(SUM(KV4:KY4)-KZ4&gt;0,SUM(KV4:KY4)-KZ4,"")</f>
        <v>56.24</v>
      </c>
      <c r="LQ4" s="36">
        <f t="shared" ref="LQ4:LQ27" si="133">IF(MAX(LM4,LP4)&gt;0,MAX(LM4,LP4),"")</f>
        <v>56.24</v>
      </c>
      <c r="LR4" s="36" t="str">
        <f t="shared" ref="LR4:LR27" si="134">IF(LC4&gt;0,LC4,"")</f>
        <v/>
      </c>
      <c r="LS4" s="36" t="str">
        <f t="shared" ref="LS4:LS27" si="135">IF(LD4&gt;0,LD4,"")</f>
        <v/>
      </c>
      <c r="LT4" s="36" t="str">
        <f t="shared" ref="LT4:LT27" si="136">IF(SUM(LA4:LD4)-LE4&gt;0,SUM(LA4:LD4)-LE4,"")</f>
        <v/>
      </c>
      <c r="LU4" s="36" t="str">
        <f t="shared" ref="LU4:LU27" si="137">IF(LH4&gt;0,LH4,"")</f>
        <v/>
      </c>
      <c r="LV4" s="36" t="str">
        <f t="shared" ref="LV4:LV27" si="138">IF(LI4&gt;0,LI4,"")</f>
        <v/>
      </c>
      <c r="LW4" s="36" t="str">
        <f t="shared" ref="LW4:LW27" si="139">IF(SUM(LF4:LI4)-LJ4&gt;0,SUM(LF4:LI4)-LJ4,"")</f>
        <v/>
      </c>
      <c r="LX4" s="36">
        <f t="shared" ref="LX4:LX27" si="140">IF(SUM(LQ4,LT4,LW4)&gt;0,SUM(LQ4,LT4,LW4),"")</f>
        <v>56.24</v>
      </c>
      <c r="LY4" s="16"/>
      <c r="LZ4" s="16"/>
      <c r="MA4" s="16"/>
      <c r="MB4" s="16"/>
      <c r="MC4" s="16"/>
      <c r="MD4" s="16"/>
      <c r="ME4" s="16"/>
      <c r="MF4" s="16"/>
      <c r="MG4" s="16"/>
      <c r="MH4" s="16"/>
      <c r="MI4" s="16"/>
      <c r="MJ4" s="16"/>
      <c r="MK4" s="16"/>
      <c r="ML4" s="16"/>
      <c r="MM4" s="16"/>
      <c r="MN4" s="16"/>
      <c r="MO4" s="16"/>
      <c r="MP4" s="16"/>
      <c r="MQ4" s="16"/>
      <c r="MR4" s="16"/>
      <c r="MS4" s="11" t="str">
        <f t="shared" ref="MS4:MS27" si="141">IF(MA4&gt;0,MA4,"")</f>
        <v/>
      </c>
      <c r="MT4" s="11" t="str">
        <f t="shared" ref="MT4:MT27" si="142">IF(MB4&gt;0,MB4,"")</f>
        <v/>
      </c>
      <c r="MU4" s="11" t="str">
        <f t="shared" ref="MU4:MU27" si="143">IF(SUM(LY4:MB4)-MC4&gt;0,SUM(LY4:MB4)-MC4,"")</f>
        <v/>
      </c>
      <c r="MV4" s="11" t="str">
        <f t="shared" ref="MV4:MV27" si="144">IF(MF4&gt;0,MF4,"")</f>
        <v/>
      </c>
      <c r="MW4" s="11" t="str">
        <f t="shared" ref="MW4:MW27" si="145">IF(MG4&gt;0,MG4,"")</f>
        <v/>
      </c>
      <c r="MX4" s="11" t="str">
        <f t="shared" ref="MX4:MX27" si="146">IF(SUM(MD4:MG4)-MH4&gt;0,SUM(MD4:MG4)-MH4,"")</f>
        <v/>
      </c>
      <c r="MY4" s="11" t="str">
        <f t="shared" ref="MY4:MY27" si="147">IF(MAX(MU4,MX4)&gt;0,MAX(MU4,MX4),"")</f>
        <v/>
      </c>
      <c r="MZ4" s="11" t="str">
        <f t="shared" ref="MZ4:MZ27" si="148">IF(MK4&gt;0,MK4,"")</f>
        <v/>
      </c>
      <c r="NA4" s="11" t="str">
        <f t="shared" ref="NA4:NA27" si="149">IF(ML4&gt;0,ML4,"")</f>
        <v/>
      </c>
      <c r="NB4" s="11" t="str">
        <f t="shared" ref="NB4:NB27" si="150">IF(SUM(MI4:ML4)-MM4&gt;0,SUM(MI4:ML4)-MM4,"")</f>
        <v/>
      </c>
      <c r="NC4" s="11" t="str">
        <f t="shared" ref="NC4:NC27" si="151">IF(MP4&gt;0,MP4,"")</f>
        <v/>
      </c>
      <c r="ND4" s="11" t="str">
        <f t="shared" ref="ND4:ND27" si="152">IF(MQ4&gt;0,MQ4,"")</f>
        <v/>
      </c>
      <c r="NE4" s="11" t="str">
        <f t="shared" ref="NE4:NE27" si="153">IF(SUM(MN4:MQ4)-MR4&gt;0,SUM(MN4:MQ4)-MR4,"")</f>
        <v/>
      </c>
      <c r="NF4" s="11" t="str">
        <f t="shared" ref="NF4:NF27" si="154">IF(SUM(MY4,NB4,NE4)&gt;0,SUM(MY4,NB4,NE4),"")</f>
        <v/>
      </c>
      <c r="NG4" s="15"/>
      <c r="NH4" s="15"/>
      <c r="NI4" s="15"/>
      <c r="NJ4" s="15"/>
      <c r="NK4" s="15"/>
      <c r="NL4" s="15"/>
      <c r="NM4" s="15"/>
      <c r="NN4" s="15"/>
      <c r="NO4" s="15"/>
      <c r="NP4" s="15"/>
      <c r="NQ4" s="15"/>
      <c r="NR4" s="15"/>
      <c r="NS4" s="15"/>
      <c r="NT4" s="15"/>
      <c r="NU4" s="15"/>
      <c r="NV4" s="15"/>
      <c r="NW4" s="15"/>
      <c r="NX4" s="15"/>
      <c r="NY4" s="15"/>
      <c r="NZ4" s="15"/>
      <c r="OA4" s="36" t="str">
        <f t="shared" ref="OA4:OA27" si="155">IF(NI4&gt;0,NI4,"")</f>
        <v/>
      </c>
      <c r="OB4" s="36" t="str">
        <f t="shared" ref="OB4:OB27" si="156">IF(NJ4&gt;0,NJ4,"")</f>
        <v/>
      </c>
      <c r="OC4" s="36" t="str">
        <f t="shared" ref="OC4:OC27" si="157">IF(SUM(NG4:NJ4)-NK4&gt;0,SUM(NG4:NJ4)-NK4,"")</f>
        <v/>
      </c>
      <c r="OD4" s="36" t="str">
        <f t="shared" ref="OD4:OD27" si="158">IF(NN4&gt;0,NN4,"")</f>
        <v/>
      </c>
      <c r="OE4" s="36" t="str">
        <f t="shared" ref="OE4:OE27" si="159">IF(NO4&gt;0,NO4,"")</f>
        <v/>
      </c>
      <c r="OF4" s="36" t="str">
        <f t="shared" ref="OF4:OF27" si="160">IF(SUM(NL4:NO4)-NP4&gt;0,SUM(NL4:NO4)-NP4,"")</f>
        <v/>
      </c>
      <c r="OG4" s="36" t="str">
        <f t="shared" ref="OG4:OG27" si="161">IF(MAX(OC4,OF4)&gt;0,MAX(OC4,OF4),"")</f>
        <v/>
      </c>
      <c r="OH4" s="36" t="str">
        <f t="shared" ref="OH4:OH27" si="162">IF(NS4&gt;0,NS4,"")</f>
        <v/>
      </c>
      <c r="OI4" s="36" t="str">
        <f t="shared" ref="OI4:OI27" si="163">IF(NT4&gt;0,NT4,"")</f>
        <v/>
      </c>
      <c r="OJ4" s="36" t="str">
        <f t="shared" ref="OJ4:OJ27" si="164">IF(SUM(NQ4:NT4)-NU4&gt;0,SUM(NQ4:NT4)-NU4,"")</f>
        <v/>
      </c>
      <c r="OK4" s="36" t="str">
        <f t="shared" ref="OK4:OK27" si="165">IF(NX4&gt;0,NX4,"")</f>
        <v/>
      </c>
      <c r="OL4" s="36" t="str">
        <f t="shared" ref="OL4:OL27" si="166">IF(NY4&gt;0,NY4,"")</f>
        <v/>
      </c>
      <c r="OM4" s="36" t="str">
        <f t="shared" ref="OM4:OM27" si="167">IF(SUM(NV4:NY4)-NZ4&gt;0,SUM(NV4:NY4)-NZ4,"")</f>
        <v/>
      </c>
      <c r="ON4" s="36" t="str">
        <f t="shared" ref="ON4:ON27" si="168">IF(SUM(OG4,OJ4,OM4)&gt;0,SUM(OG4,OJ4,OM4),"")</f>
        <v/>
      </c>
      <c r="OO4" s="16"/>
      <c r="OP4" s="16"/>
      <c r="OQ4" s="16"/>
      <c r="OR4" s="16"/>
      <c r="OS4" s="16"/>
      <c r="OT4" s="16"/>
      <c r="OU4" s="16"/>
      <c r="OV4" s="16"/>
      <c r="OW4" s="16"/>
      <c r="OX4" s="16"/>
      <c r="OY4" s="16"/>
      <c r="OZ4" s="16"/>
      <c r="PA4" s="16"/>
      <c r="PB4" s="16"/>
      <c r="PC4" s="16"/>
      <c r="PD4" s="16"/>
      <c r="PE4" s="16"/>
      <c r="PF4" s="16"/>
      <c r="PG4" s="16"/>
      <c r="PH4" s="16"/>
      <c r="PI4" s="11" t="str">
        <f t="shared" ref="PI4:PI27" si="169">IF(OQ4&gt;0,OQ4,"")</f>
        <v/>
      </c>
      <c r="PJ4" s="11" t="str">
        <f t="shared" ref="PJ4:PJ27" si="170">IF(OR4&gt;0,OR4,"")</f>
        <v/>
      </c>
      <c r="PK4" s="11" t="str">
        <f t="shared" ref="PK4:PK27" si="171">IF(SUM(OO4:OR4)-OS4&gt;0,SUM(OO4:OR4)-OS4,"")</f>
        <v/>
      </c>
      <c r="PL4" s="11" t="str">
        <f t="shared" ref="PL4:PL27" si="172">IF(OV4&gt;0,OV4,"")</f>
        <v/>
      </c>
      <c r="PM4" s="11" t="str">
        <f t="shared" ref="PM4:PM27" si="173">IF(OW4&gt;0,OW4,"")</f>
        <v/>
      </c>
      <c r="PN4" s="11" t="str">
        <f t="shared" ref="PN4:PN27" si="174">IF(SUM(OT4:OW4)-OX4&gt;0,SUM(OT4:OW4)-OX4,"")</f>
        <v/>
      </c>
      <c r="PO4" s="11" t="str">
        <f t="shared" ref="PO4:PO27" si="175">IF(MAX(PK4,PN4)&gt;0,MAX(PK4,PN4),"")</f>
        <v/>
      </c>
      <c r="PP4" s="11" t="str">
        <f t="shared" ref="PP4:PP27" si="176">IF(PA4&gt;0,PA4,"")</f>
        <v/>
      </c>
      <c r="PQ4" s="11" t="str">
        <f t="shared" ref="PQ4:PQ27" si="177">IF(PB4&gt;0,PB4,"")</f>
        <v/>
      </c>
      <c r="PR4" s="11" t="str">
        <f t="shared" ref="PR4:PR27" si="178">IF(SUM(OY4:PB4)-PC4&gt;0,SUM(OY4:PB4)-PC4,"")</f>
        <v/>
      </c>
      <c r="PS4" s="11" t="str">
        <f t="shared" ref="PS4:PS27" si="179">IF(PF4&gt;0,PF4,"")</f>
        <v/>
      </c>
      <c r="PT4" s="11" t="str">
        <f t="shared" ref="PT4:PT27" si="180">IF(PG4&gt;0,PG4,"")</f>
        <v/>
      </c>
      <c r="PU4" s="11" t="str">
        <f t="shared" ref="PU4:PU27" si="181">IF(SUM(PD4:PG4)-PH4&gt;0,SUM(PD4:PG4)-PH4,"")</f>
        <v/>
      </c>
      <c r="PV4" s="11" t="str">
        <f t="shared" ref="PV4:PV27" si="182">IF(SUM(PO4,PR4,PU4)&gt;0,SUM(PO4,PR4,PU4),"")</f>
        <v/>
      </c>
      <c r="PW4" s="15"/>
      <c r="PX4" s="15"/>
      <c r="PY4" s="15"/>
      <c r="PZ4" s="15"/>
      <c r="QA4" s="15"/>
      <c r="QB4" s="15"/>
      <c r="QC4" s="15"/>
      <c r="QD4" s="15"/>
      <c r="QE4" s="15"/>
      <c r="QF4" s="15"/>
      <c r="QG4" s="15"/>
      <c r="QH4" s="15"/>
      <c r="QI4" s="15"/>
      <c r="QJ4" s="15"/>
      <c r="QK4" s="15"/>
      <c r="QL4" s="15"/>
      <c r="QM4" s="15"/>
      <c r="QN4" s="15"/>
      <c r="QO4" s="15"/>
      <c r="QP4" s="15"/>
      <c r="QQ4" s="36" t="str">
        <f t="shared" ref="QQ4:QQ27" si="183">IF(PY4&gt;0,PY4,"")</f>
        <v/>
      </c>
      <c r="QR4" s="36" t="str">
        <f t="shared" ref="QR4:QR27" si="184">IF(PZ4&gt;0,PZ4,"")</f>
        <v/>
      </c>
      <c r="QS4" s="36" t="str">
        <f t="shared" ref="QS4:QS27" si="185">IF(SUM(PW4:PZ4)-QA4&gt;0,SUM(PW4:PZ4)-QA4,"")</f>
        <v/>
      </c>
      <c r="QT4" s="36" t="str">
        <f t="shared" ref="QT4:QT27" si="186">IF(QD4&gt;0,QD4,"")</f>
        <v/>
      </c>
      <c r="QU4" s="36" t="str">
        <f t="shared" ref="QU4:QU27" si="187">IF(QE4&gt;0,QE4,"")</f>
        <v/>
      </c>
      <c r="QV4" s="36" t="str">
        <f t="shared" ref="QV4:QV27" si="188">IF(SUM(QB4:QE4)-QF4&gt;0,SUM(QB4:QE4)-QF4,"")</f>
        <v/>
      </c>
      <c r="QW4" s="36" t="str">
        <f t="shared" ref="QW4:QW27" si="189">IF(MAX(QS4,QV4)&gt;0,MAX(QS4,QV4),"")</f>
        <v/>
      </c>
      <c r="QX4" s="36" t="str">
        <f t="shared" ref="QX4:QX27" si="190">IF(QI4&gt;0,QI4,"")</f>
        <v/>
      </c>
      <c r="QY4" s="36" t="str">
        <f t="shared" ref="QY4:QY27" si="191">IF(QJ4&gt;0,QJ4,"")</f>
        <v/>
      </c>
      <c r="QZ4" s="36" t="str">
        <f t="shared" ref="QZ4:QZ27" si="192">IF(SUM(QG4:QJ4)-QK4&gt;0,SUM(QG4:QJ4)-QK4,"")</f>
        <v/>
      </c>
      <c r="RA4" s="36" t="str">
        <f t="shared" ref="RA4:RA27" si="193">IF(QN4&gt;0,QN4,"")</f>
        <v/>
      </c>
      <c r="RB4" s="36" t="str">
        <f t="shared" ref="RB4:RB27" si="194">IF(QO4&gt;0,QO4,"")</f>
        <v/>
      </c>
      <c r="RC4" s="36" t="str">
        <f t="shared" ref="RC4:RC27" si="195">IF(SUM(QL4:QO4)-QP4&gt;0,SUM(QL4:QO4)-QP4,"")</f>
        <v/>
      </c>
      <c r="RD4" s="36" t="str">
        <f t="shared" ref="RD4:RD27" si="196">IF(SUM(QW4,QZ4,RC4)&gt;0,SUM(QW4,QZ4,RC4),"")</f>
        <v/>
      </c>
      <c r="RE4" s="16"/>
      <c r="RF4" s="16"/>
      <c r="RG4" s="16"/>
      <c r="RH4" s="16"/>
      <c r="RI4" s="16"/>
      <c r="RJ4" s="16"/>
      <c r="RK4" s="16"/>
      <c r="RL4" s="16"/>
      <c r="RM4" s="16"/>
      <c r="RN4" s="16"/>
      <c r="RO4" s="16"/>
      <c r="RP4" s="16"/>
      <c r="RQ4" s="16"/>
      <c r="RR4" s="16"/>
      <c r="RS4" s="16"/>
      <c r="RT4" s="16"/>
      <c r="RU4" s="16"/>
      <c r="RV4" s="16"/>
      <c r="RW4" s="16"/>
      <c r="RX4" s="16"/>
      <c r="RY4" s="11" t="str">
        <f t="shared" ref="RY4:RY27" si="197">IF(RG4&gt;0,RG4,"")</f>
        <v/>
      </c>
      <c r="RZ4" s="11" t="str">
        <f t="shared" ref="RZ4:RZ27" si="198">IF(RH4&gt;0,RH4,"")</f>
        <v/>
      </c>
      <c r="SA4" s="11" t="str">
        <f t="shared" ref="SA4:SA27" si="199">IF(SUM(RE4:RH4)-RI4&gt;0,SUM(RE4:RH4)-RI4,"")</f>
        <v/>
      </c>
      <c r="SB4" s="11" t="str">
        <f t="shared" ref="SB4:SB27" si="200">IF(RL4&gt;0,RL4,"")</f>
        <v/>
      </c>
      <c r="SC4" s="11" t="str">
        <f t="shared" ref="SC4:SC27" si="201">IF(RM4&gt;0,RM4,"")</f>
        <v/>
      </c>
      <c r="SD4" s="11" t="str">
        <f t="shared" ref="SD4:SD27" si="202">IF(SUM(RJ4:RM4)-RN4&gt;0,SUM(RJ4:RM4)-RN4,"")</f>
        <v/>
      </c>
      <c r="SE4" s="11" t="str">
        <f t="shared" ref="SE4:SE27" si="203">IF(MAX(SA4,SD4)&gt;0,MAX(SA4,SD4),"")</f>
        <v/>
      </c>
      <c r="SF4" s="11" t="str">
        <f t="shared" ref="SF4:SF27" si="204">IF(RQ4&gt;0,RQ4,"")</f>
        <v/>
      </c>
      <c r="SG4" s="11" t="str">
        <f t="shared" ref="SG4:SG27" si="205">IF(RR4&gt;0,RR4,"")</f>
        <v/>
      </c>
      <c r="SH4" s="11" t="str">
        <f t="shared" ref="SH4:SH27" si="206">IF(SUM(RO4:RR4)-RS4&gt;0,SUM(RO4:RR4)-RS4,"")</f>
        <v/>
      </c>
      <c r="SI4" s="11" t="str">
        <f t="shared" ref="SI4:SI27" si="207">IF(RV4&gt;0,RV4,"")</f>
        <v/>
      </c>
      <c r="SJ4" s="11" t="str">
        <f t="shared" ref="SJ4:SJ27" si="208">IF(RW4&gt;0,RW4,"")</f>
        <v/>
      </c>
      <c r="SK4" s="11" t="str">
        <f t="shared" ref="SK4:SK27" si="209">IF(SUM(RT4:RW4)-RX4&gt;0,SUM(RT4:RW4)-RX4,"")</f>
        <v/>
      </c>
      <c r="SL4" s="11" t="str">
        <f t="shared" ref="SL4:SL27" si="210">IF(SUM(SE4,SH4,SK4)&gt;0,SUM(SE4,SH4,SK4),"")</f>
        <v/>
      </c>
      <c r="SM4" s="15"/>
      <c r="SN4" s="15"/>
      <c r="SO4" s="15"/>
      <c r="SP4" s="15"/>
      <c r="SQ4" s="15"/>
      <c r="SR4" s="15"/>
      <c r="SS4" s="15"/>
      <c r="ST4" s="15"/>
      <c r="SU4" s="15"/>
      <c r="SV4" s="15"/>
      <c r="SW4" s="15"/>
      <c r="SX4" s="15"/>
      <c r="SY4" s="15"/>
      <c r="SZ4" s="15"/>
      <c r="TA4" s="15"/>
      <c r="TB4" s="15"/>
      <c r="TC4" s="15"/>
      <c r="TD4" s="15"/>
      <c r="TE4" s="15"/>
      <c r="TF4" s="15"/>
      <c r="TG4" s="36" t="str">
        <f t="shared" ref="TG4:TG27" si="211">IF(SO4&gt;0,SO4,"")</f>
        <v/>
      </c>
      <c r="TH4" s="36" t="str">
        <f t="shared" ref="TH4:TH27" si="212">IF(SP4&gt;0,SP4,"")</f>
        <v/>
      </c>
      <c r="TI4" s="36" t="str">
        <f t="shared" ref="TI4:TI27" si="213">IF(SUM(SM4:SP4)-SQ4&gt;0,SUM(SM4:SP4)-SQ4,"")</f>
        <v/>
      </c>
      <c r="TJ4" s="36" t="str">
        <f t="shared" ref="TJ4:TJ27" si="214">IF(ST4&gt;0,ST4,"")</f>
        <v/>
      </c>
      <c r="TK4" s="36" t="str">
        <f t="shared" ref="TK4:TK27" si="215">IF(SU4&gt;0,SU4,"")</f>
        <v/>
      </c>
      <c r="TL4" s="36" t="str">
        <f t="shared" ref="TL4:TL27" si="216">IF(SUM(SR4:SU4)-SV4&gt;0,SUM(SR4:SU4)-SV4,"")</f>
        <v/>
      </c>
      <c r="TM4" s="36" t="str">
        <f t="shared" ref="TM4:TM27" si="217">IF(MAX(TI4,TL4)&gt;0,MAX(TI4,TL4),"")</f>
        <v/>
      </c>
      <c r="TN4" s="36" t="str">
        <f t="shared" ref="TN4:TN27" si="218">IF(SY4&gt;0,SY4,"")</f>
        <v/>
      </c>
      <c r="TO4" s="36" t="str">
        <f t="shared" ref="TO4:TO27" si="219">IF(SZ4&gt;0,SZ4,"")</f>
        <v/>
      </c>
      <c r="TP4" s="36" t="str">
        <f t="shared" ref="TP4:TP27" si="220">IF(SUM(SW4:SZ4)-TA4&gt;0,SUM(SW4:SZ4)-TA4,"")</f>
        <v/>
      </c>
      <c r="TQ4" s="36" t="str">
        <f t="shared" ref="TQ4:TQ27" si="221">IF(TD4&gt;0,TD4,"")</f>
        <v/>
      </c>
      <c r="TR4" s="36" t="str">
        <f t="shared" ref="TR4:TR27" si="222">IF(TE4&gt;0,TE4,"")</f>
        <v/>
      </c>
      <c r="TS4" s="36" t="str">
        <f t="shared" ref="TS4:TS27" si="223">IF(SUM(TB4:TE4)-TF4&gt;0,SUM(TB4:TE4)-TF4,"")</f>
        <v/>
      </c>
      <c r="TT4" s="36" t="str">
        <f t="shared" ref="TT4:TT27" si="224">IF(SUM(TM4,TP4,TS4)&gt;0,SUM(TM4,TP4,TS4),"")</f>
        <v/>
      </c>
      <c r="TU4" s="16"/>
      <c r="TV4" s="16"/>
      <c r="TW4" s="16"/>
      <c r="TX4" s="16"/>
      <c r="TY4" s="16"/>
      <c r="TZ4" s="16"/>
      <c r="UA4" s="16"/>
      <c r="UB4" s="16"/>
      <c r="UC4" s="16"/>
      <c r="UD4" s="16"/>
      <c r="UE4" s="16"/>
      <c r="UF4" s="16"/>
      <c r="UG4" s="16"/>
      <c r="UH4" s="16"/>
      <c r="UI4" s="16"/>
      <c r="UJ4" s="16"/>
      <c r="UK4" s="16"/>
      <c r="UL4" s="16"/>
      <c r="UM4" s="16"/>
      <c r="UN4" s="16"/>
      <c r="UO4" s="11" t="str">
        <f t="shared" ref="UO4:UO27" si="225">IF(TW4&gt;0,TW4,"")</f>
        <v/>
      </c>
      <c r="UP4" s="11" t="str">
        <f t="shared" ref="UP4:UP27" si="226">IF(TX4&gt;0,TX4,"")</f>
        <v/>
      </c>
      <c r="UQ4" s="11" t="str">
        <f t="shared" ref="UQ4:UQ27" si="227">IF(SUM(TU4:TX4)-TY4&gt;0,SUM(TU4:TX4)-TY4,"")</f>
        <v/>
      </c>
      <c r="UR4" s="11" t="str">
        <f t="shared" ref="UR4:UR27" si="228">IF(UB4&gt;0,UB4,"")</f>
        <v/>
      </c>
      <c r="US4" s="11" t="str">
        <f t="shared" ref="US4:US27" si="229">IF(UC4&gt;0,UC4,"")</f>
        <v/>
      </c>
      <c r="UT4" s="11" t="str">
        <f t="shared" ref="UT4:UT27" si="230">IF(SUM(TZ4:UC4)-UD4&gt;0,SUM(TZ4:UC4)-UD4,"")</f>
        <v/>
      </c>
      <c r="UU4" s="11" t="str">
        <f t="shared" ref="UU4:UU27" si="231">IF(MAX(UQ4,UT4)&gt;0,MAX(UQ4,UT4),"")</f>
        <v/>
      </c>
      <c r="UV4" s="11" t="str">
        <f t="shared" ref="UV4:UV27" si="232">IF(UG4&gt;0,UG4,"")</f>
        <v/>
      </c>
      <c r="UW4" s="11" t="str">
        <f t="shared" ref="UW4:UW27" si="233">IF(UH4&gt;0,UH4,"")</f>
        <v/>
      </c>
      <c r="UX4" s="11" t="str">
        <f t="shared" ref="UX4:UX27" si="234">IF(SUM(UE4:UH4)-UI4&gt;0,SUM(UE4:UH4)-UI4,"")</f>
        <v/>
      </c>
      <c r="UY4" s="11" t="str">
        <f t="shared" ref="UY4:UY27" si="235">IF(UL4&gt;0,UL4,"")</f>
        <v/>
      </c>
      <c r="UZ4" s="11" t="str">
        <f t="shared" ref="UZ4:UZ27" si="236">IF(UM4&gt;0,UM4,"")</f>
        <v/>
      </c>
      <c r="VA4" s="11" t="str">
        <f t="shared" ref="VA4:VA27" si="237">IF(SUM(UJ4:UM4)-UN4&gt;0,SUM(UJ4:UM4)-UN4,"")</f>
        <v/>
      </c>
      <c r="VB4" s="11" t="str">
        <f t="shared" ref="VB4:VB27" si="238">IF(SUM(UU4,UX4,VA4)&gt;0,SUM(UU4,UX4,VA4),"")</f>
        <v/>
      </c>
      <c r="VC4" s="15"/>
      <c r="VD4" s="15"/>
      <c r="VE4" s="15"/>
      <c r="VF4" s="15"/>
      <c r="VG4" s="15"/>
      <c r="VH4" s="15"/>
      <c r="VI4" s="15"/>
      <c r="VJ4" s="15"/>
      <c r="VK4" s="15"/>
      <c r="VL4" s="15"/>
      <c r="VM4" s="15"/>
      <c r="VN4" s="15"/>
      <c r="VO4" s="15"/>
      <c r="VP4" s="15"/>
      <c r="VQ4" s="15"/>
      <c r="VR4" s="15"/>
      <c r="VS4" s="15"/>
      <c r="VT4" s="15"/>
      <c r="VU4" s="15"/>
      <c r="VV4" s="15"/>
      <c r="VW4" s="36" t="str">
        <f t="shared" ref="VW4:VW27" si="239">IF(VE4&gt;0,VE4,"")</f>
        <v/>
      </c>
      <c r="VX4" s="36" t="str">
        <f t="shared" ref="VX4:VX27" si="240">IF(VF4&gt;0,VF4,"")</f>
        <v/>
      </c>
      <c r="VY4" s="36" t="str">
        <f t="shared" ref="VY4:VY27" si="241">IF(SUM(VC4:VF4)-VG4&gt;0,SUM(VC4:VF4)-VG4,"")</f>
        <v/>
      </c>
      <c r="VZ4" s="36" t="str">
        <f t="shared" ref="VZ4:VZ27" si="242">IF(VJ4&gt;0,VJ4,"")</f>
        <v/>
      </c>
      <c r="WA4" s="36" t="str">
        <f t="shared" ref="WA4:WA27" si="243">IF(VK4&gt;0,VK4,"")</f>
        <v/>
      </c>
      <c r="WB4" s="36" t="str">
        <f t="shared" ref="WB4:WB27" si="244">IF(SUM(VH4:VK4)-VL4&gt;0,SUM(VH4:VK4)-VL4,"")</f>
        <v/>
      </c>
      <c r="WC4" s="36" t="str">
        <f t="shared" ref="WC4:WC27" si="245">IF(MAX(VY4,WB4)&gt;0,MAX(VY4,WB4),"")</f>
        <v/>
      </c>
      <c r="WD4" s="36" t="str">
        <f t="shared" ref="WD4:WD27" si="246">IF(VO4&gt;0,VO4,"")</f>
        <v/>
      </c>
      <c r="WE4" s="36" t="str">
        <f t="shared" ref="WE4:WE27" si="247">IF(VP4&gt;0,VP4,"")</f>
        <v/>
      </c>
      <c r="WF4" s="36" t="str">
        <f t="shared" ref="WF4:WF27" si="248">IF(SUM(VM4:VP4)-VQ4&gt;0,SUM(VM4:VP4)-VQ4,"")</f>
        <v/>
      </c>
      <c r="WG4" s="36" t="str">
        <f t="shared" ref="WG4:WG27" si="249">IF(VT4&gt;0,VT4,"")</f>
        <v/>
      </c>
      <c r="WH4" s="36" t="str">
        <f t="shared" ref="WH4:WH27" si="250">IF(VU4&gt;0,VU4,"")</f>
        <v/>
      </c>
      <c r="WI4" s="36" t="str">
        <f t="shared" ref="WI4:WI27" si="251">IF(SUM(VR4:VU4)-VV4&gt;0,SUM(VR4:VU4)-VV4,"")</f>
        <v/>
      </c>
      <c r="WJ4" s="36" t="str">
        <f t="shared" ref="WJ4:WJ27" si="252">IF(SUM(WC4,WF4,WI4)&gt;0,SUM(WC4,WF4,WI4),"")</f>
        <v/>
      </c>
    </row>
    <row r="5" spans="1:608" x14ac:dyDescent="0.2">
      <c r="A5" s="4" cm="1">
        <f t="array" ref="A5">IF(AND(H5&lt;&gt;"",H5&lt;&gt;"No DD",I5&lt;&gt;"P"),SUMPRODUCT((H$4:H$28&lt;&gt;"")*(H$4:H$28&lt;&gt;"No DD")*(I$4:I$28&lt;&gt;"P")*(E$4:E$28&gt;E5))+1,IF(H5="No DD",SUMPRODUCT((H$4:H$28="No DD")*(I$4:I$28&lt;&gt;"P")*(E$4:E$28&gt;E5))+1+SUMPRODUCT((H$4:H$28&lt;&gt;"")*(I$4:I$28&lt;&gt;"P")*(H$4:H$28&lt;&gt;"No DD")),""))</f>
        <v>1</v>
      </c>
      <c r="B5" s="5" t="s">
        <v>98</v>
      </c>
      <c r="C5" s="4" t="s">
        <v>5</v>
      </c>
      <c r="D5" s="4">
        <v>2007</v>
      </c>
      <c r="E5" s="9">
        <f t="shared" si="0"/>
        <v>112.1000111430056</v>
      </c>
      <c r="F5" s="3" t="str">
        <f t="shared" si="1"/>
        <v>P</v>
      </c>
      <c r="G5" s="3" t="str">
        <f t="shared" si="2"/>
        <v>P</v>
      </c>
      <c r="H5" s="32" t="str">
        <f t="shared" si="3"/>
        <v>National Team</v>
      </c>
      <c r="I5" s="3" t="str">
        <f>IF(COUNTIFS('Senior-M'!B:B,B5,'Senior-M'!A:A,"&lt;9",'Senior-M'!H:H,"&lt;&gt;"&amp;"No DD"),"P","")</f>
        <v/>
      </c>
      <c r="J5" s="8">
        <f t="shared" si="4"/>
        <v>56.019999999999996</v>
      </c>
      <c r="K5" s="8" t="str">
        <f t="shared" si="5"/>
        <v>2025 Nationals</v>
      </c>
      <c r="L5" s="8">
        <f>IFERROR(LARGE((AI5,AL5,AP5,BJ5,BM5,BQ5,CK5,CN5,CR5),2),0)</f>
        <v>55.410000000000004</v>
      </c>
      <c r="M5" s="8" t="str">
        <f t="shared" si="6"/>
        <v>2025 Elite Canada</v>
      </c>
      <c r="N5" s="8">
        <f t="shared" si="7"/>
        <v>0.67000000000000171</v>
      </c>
      <c r="O5" s="11" t="str">
        <f>IF(N5=0,"",IF(N5=CT5,"("&amp;CT$2&amp;")",IF(N5=#REF!,"("&amp;#REF!&amp;")")))</f>
        <v>(Any)</v>
      </c>
      <c r="P5" s="8" t="str">
        <f t="shared" si="8"/>
        <v>2025 Coimbra Gym Fest (July 6)</v>
      </c>
      <c r="Q5" s="18">
        <v>16</v>
      </c>
      <c r="R5" s="18">
        <v>9.3000000000000007</v>
      </c>
      <c r="S5" s="18">
        <v>14.4</v>
      </c>
      <c r="T5" s="18">
        <v>15.81</v>
      </c>
      <c r="U5" s="18">
        <v>0.1</v>
      </c>
      <c r="V5" s="18">
        <v>1.6</v>
      </c>
      <c r="W5" s="18">
        <v>1</v>
      </c>
      <c r="X5" s="18">
        <v>2</v>
      </c>
      <c r="Y5" s="18">
        <v>1.67</v>
      </c>
      <c r="Z5" s="18">
        <v>0</v>
      </c>
      <c r="AA5" s="18">
        <v>7.3</v>
      </c>
      <c r="AB5" s="18">
        <v>4.4000000000000004</v>
      </c>
      <c r="AC5" s="18">
        <v>7.6</v>
      </c>
      <c r="AD5" s="18">
        <v>7.8</v>
      </c>
      <c r="AE5" s="18">
        <v>0</v>
      </c>
      <c r="AF5" s="23"/>
      <c r="AG5" s="34">
        <f t="shared" si="9"/>
        <v>14.4</v>
      </c>
      <c r="AH5" s="34">
        <f t="shared" si="10"/>
        <v>15.81</v>
      </c>
      <c r="AI5" s="36">
        <f t="shared" si="11"/>
        <v>55.410000000000004</v>
      </c>
      <c r="AJ5" s="36">
        <f t="shared" si="12"/>
        <v>2</v>
      </c>
      <c r="AK5" s="36">
        <f t="shared" si="13"/>
        <v>1.67</v>
      </c>
      <c r="AL5" s="36">
        <f t="shared" si="14"/>
        <v>6.27</v>
      </c>
      <c r="AM5" s="36">
        <f t="shared" si="15"/>
        <v>55.410000000000004</v>
      </c>
      <c r="AN5" s="36">
        <f t="shared" si="16"/>
        <v>7.6</v>
      </c>
      <c r="AO5" s="36">
        <f t="shared" si="17"/>
        <v>7.8</v>
      </c>
      <c r="AP5" s="36">
        <f t="shared" si="18"/>
        <v>27.099999999999998</v>
      </c>
      <c r="AQ5" s="36">
        <f t="shared" si="19"/>
        <v>82.51</v>
      </c>
      <c r="AR5" s="22">
        <v>12.1</v>
      </c>
      <c r="AS5" s="22">
        <v>7.2</v>
      </c>
      <c r="AT5" s="22">
        <v>12.3</v>
      </c>
      <c r="AU5" s="22">
        <v>13.37</v>
      </c>
      <c r="AV5" s="22">
        <v>0</v>
      </c>
      <c r="AW5" s="22">
        <v>14.9</v>
      </c>
      <c r="AX5" s="22">
        <v>9.1</v>
      </c>
      <c r="AY5" s="22">
        <v>15.5</v>
      </c>
      <c r="AZ5" s="22">
        <v>16.52</v>
      </c>
      <c r="BA5" s="22">
        <v>0</v>
      </c>
      <c r="BB5" s="22">
        <v>3.5</v>
      </c>
      <c r="BC5" s="22">
        <v>1.8</v>
      </c>
      <c r="BD5" s="22">
        <v>3.5</v>
      </c>
      <c r="BE5" s="22">
        <v>3.55</v>
      </c>
      <c r="BF5" s="22">
        <v>0</v>
      </c>
      <c r="BG5" s="24"/>
      <c r="BH5" s="35">
        <f t="shared" si="20"/>
        <v>12.3</v>
      </c>
      <c r="BI5" s="35">
        <f t="shared" si="21"/>
        <v>13.37</v>
      </c>
      <c r="BJ5" s="11">
        <f t="shared" si="22"/>
        <v>44.97</v>
      </c>
      <c r="BK5" s="11">
        <f t="shared" si="23"/>
        <v>15.5</v>
      </c>
      <c r="BL5" s="11">
        <f t="shared" si="24"/>
        <v>16.52</v>
      </c>
      <c r="BM5" s="11">
        <f t="shared" si="25"/>
        <v>56.019999999999996</v>
      </c>
      <c r="BN5" s="11">
        <f t="shared" si="26"/>
        <v>56.019999999999996</v>
      </c>
      <c r="BO5" s="11">
        <f t="shared" si="27"/>
        <v>3.5</v>
      </c>
      <c r="BP5" s="11">
        <f t="shared" si="28"/>
        <v>3.55</v>
      </c>
      <c r="BQ5" s="11">
        <f t="shared" si="29"/>
        <v>12.350000000000001</v>
      </c>
      <c r="BR5" s="11">
        <f t="shared" si="30"/>
        <v>68.37</v>
      </c>
      <c r="BS5" s="18">
        <v>7.2</v>
      </c>
      <c r="BT5" s="18">
        <v>4</v>
      </c>
      <c r="BU5" s="18">
        <v>8</v>
      </c>
      <c r="BV5" s="18">
        <v>8.42</v>
      </c>
      <c r="BW5" s="18">
        <v>0</v>
      </c>
      <c r="BX5" s="18">
        <v>8.1999999999999993</v>
      </c>
      <c r="BY5" s="18">
        <v>4.5999999999999996</v>
      </c>
      <c r="BZ5" s="18">
        <v>8.4</v>
      </c>
      <c r="CA5" s="18">
        <v>8.77</v>
      </c>
      <c r="CB5" s="18">
        <v>0</v>
      </c>
      <c r="CC5" s="18"/>
      <c r="CD5" s="18"/>
      <c r="CE5" s="18"/>
      <c r="CF5" s="18"/>
      <c r="CG5" s="18"/>
      <c r="CH5" s="23"/>
      <c r="CI5" s="34">
        <f t="shared" si="31"/>
        <v>8</v>
      </c>
      <c r="CJ5" s="34">
        <f t="shared" si="32"/>
        <v>8.42</v>
      </c>
      <c r="CK5" s="36">
        <f t="shared" si="33"/>
        <v>27.619999999999997</v>
      </c>
      <c r="CL5" s="36">
        <f t="shared" si="34"/>
        <v>8.4</v>
      </c>
      <c r="CM5" s="36">
        <f t="shared" si="35"/>
        <v>8.77</v>
      </c>
      <c r="CN5" s="36">
        <f t="shared" si="36"/>
        <v>29.97</v>
      </c>
      <c r="CO5" s="36">
        <f t="shared" si="37"/>
        <v>29.97</v>
      </c>
      <c r="CP5" s="36" t="str">
        <f t="shared" si="38"/>
        <v/>
      </c>
      <c r="CQ5" s="36" t="str">
        <f t="shared" si="39"/>
        <v/>
      </c>
      <c r="CR5" s="36" t="str">
        <f t="shared" si="40"/>
        <v/>
      </c>
      <c r="CS5" s="36">
        <f t="shared" si="41"/>
        <v>29.97</v>
      </c>
      <c r="CT5" s="47">
        <f t="shared" si="42"/>
        <v>0.67000000000000171</v>
      </c>
      <c r="CU5" s="15"/>
      <c r="CV5" s="15"/>
      <c r="CW5" s="15"/>
      <c r="CX5" s="15"/>
      <c r="CY5" s="15"/>
      <c r="CZ5" s="15"/>
      <c r="DA5" s="15"/>
      <c r="DB5" s="15"/>
      <c r="DC5" s="15"/>
      <c r="DD5" s="15"/>
      <c r="DE5" s="15"/>
      <c r="DF5" s="15"/>
      <c r="DG5" s="15"/>
      <c r="DH5" s="15"/>
      <c r="DI5" s="15"/>
      <c r="DJ5" s="15"/>
      <c r="DK5" s="15"/>
      <c r="DL5" s="15"/>
      <c r="DM5" s="15"/>
      <c r="DN5" s="15"/>
      <c r="DO5" s="36" t="str">
        <f t="shared" si="43"/>
        <v/>
      </c>
      <c r="DP5" s="36" t="str">
        <f t="shared" si="44"/>
        <v/>
      </c>
      <c r="DQ5" s="36" t="str">
        <f t="shared" si="45"/>
        <v/>
      </c>
      <c r="DR5" s="36" t="str">
        <f t="shared" si="46"/>
        <v/>
      </c>
      <c r="DS5" s="36" t="str">
        <f t="shared" si="47"/>
        <v/>
      </c>
      <c r="DT5" s="36" t="str">
        <f t="shared" si="48"/>
        <v/>
      </c>
      <c r="DU5" s="36" t="str">
        <f t="shared" si="49"/>
        <v/>
      </c>
      <c r="DV5" s="36" t="str">
        <f t="shared" si="50"/>
        <v/>
      </c>
      <c r="DW5" s="36" t="str">
        <f t="shared" si="51"/>
        <v/>
      </c>
      <c r="DX5" s="36" t="str">
        <f t="shared" si="52"/>
        <v/>
      </c>
      <c r="DY5" s="36" t="str">
        <f t="shared" si="53"/>
        <v/>
      </c>
      <c r="DZ5" s="36" t="str">
        <f t="shared" si="54"/>
        <v/>
      </c>
      <c r="EA5" s="36" t="str">
        <f t="shared" si="55"/>
        <v/>
      </c>
      <c r="EB5" s="36" t="str">
        <f t="shared" si="56"/>
        <v/>
      </c>
      <c r="EC5" s="16"/>
      <c r="ED5" s="16"/>
      <c r="EE5" s="16"/>
      <c r="EF5" s="16"/>
      <c r="EG5" s="16"/>
      <c r="EH5" s="16"/>
      <c r="EI5" s="16"/>
      <c r="EJ5" s="16"/>
      <c r="EK5" s="16"/>
      <c r="EL5" s="16"/>
      <c r="EM5" s="16"/>
      <c r="EN5" s="16"/>
      <c r="EO5" s="16"/>
      <c r="EP5" s="16"/>
      <c r="EQ5" s="16"/>
      <c r="ER5" s="16"/>
      <c r="ES5" s="16"/>
      <c r="ET5" s="16"/>
      <c r="EU5" s="16"/>
      <c r="EV5" s="16"/>
      <c r="EW5" s="11" t="str">
        <f t="shared" si="57"/>
        <v/>
      </c>
      <c r="EX5" s="11" t="str">
        <f t="shared" si="58"/>
        <v/>
      </c>
      <c r="EY5" s="11" t="str">
        <f t="shared" si="59"/>
        <v/>
      </c>
      <c r="EZ5" s="11" t="str">
        <f t="shared" si="60"/>
        <v/>
      </c>
      <c r="FA5" s="11" t="str">
        <f t="shared" si="61"/>
        <v/>
      </c>
      <c r="FB5" s="11" t="str">
        <f t="shared" si="62"/>
        <v/>
      </c>
      <c r="FC5" s="11" t="str">
        <f t="shared" si="63"/>
        <v/>
      </c>
      <c r="FD5" s="11" t="str">
        <f t="shared" si="64"/>
        <v/>
      </c>
      <c r="FE5" s="11" t="str">
        <f t="shared" si="65"/>
        <v/>
      </c>
      <c r="FF5" s="11" t="str">
        <f t="shared" si="66"/>
        <v/>
      </c>
      <c r="FG5" s="11" t="str">
        <f t="shared" si="67"/>
        <v/>
      </c>
      <c r="FH5" s="11" t="str">
        <f t="shared" si="68"/>
        <v/>
      </c>
      <c r="FI5" s="11" t="str">
        <f t="shared" si="69"/>
        <v/>
      </c>
      <c r="FJ5" s="11" t="str">
        <f t="shared" si="70"/>
        <v/>
      </c>
      <c r="FK5" s="15">
        <v>14.8</v>
      </c>
      <c r="FL5" s="15">
        <v>9.3000000000000007</v>
      </c>
      <c r="FM5" s="15">
        <v>15.3</v>
      </c>
      <c r="FN5" s="15">
        <v>16.68</v>
      </c>
      <c r="FO5" s="15">
        <v>0</v>
      </c>
      <c r="FP5" s="15">
        <v>13.6</v>
      </c>
      <c r="FQ5" s="15">
        <v>9.3000000000000007</v>
      </c>
      <c r="FR5" s="15">
        <v>14.5</v>
      </c>
      <c r="FS5" s="15">
        <v>16.47</v>
      </c>
      <c r="FT5" s="15">
        <v>0</v>
      </c>
      <c r="FU5" s="15">
        <v>2.8</v>
      </c>
      <c r="FV5" s="15">
        <v>1.8</v>
      </c>
      <c r="FW5" s="15">
        <v>3.5</v>
      </c>
      <c r="FX5" s="15">
        <v>3.52</v>
      </c>
      <c r="FY5" s="15">
        <v>0</v>
      </c>
      <c r="FZ5" s="15"/>
      <c r="GA5" s="15"/>
      <c r="GB5" s="15"/>
      <c r="GC5" s="15"/>
      <c r="GD5" s="15"/>
      <c r="GE5" s="36">
        <f t="shared" si="71"/>
        <v>15.3</v>
      </c>
      <c r="GF5" s="36">
        <f t="shared" si="72"/>
        <v>16.68</v>
      </c>
      <c r="GG5" s="36">
        <f t="shared" si="73"/>
        <v>56.080000000000005</v>
      </c>
      <c r="GH5" s="36">
        <f t="shared" si="74"/>
        <v>14.5</v>
      </c>
      <c r="GI5" s="36">
        <f t="shared" si="75"/>
        <v>16.47</v>
      </c>
      <c r="GJ5" s="36">
        <f t="shared" si="76"/>
        <v>53.87</v>
      </c>
      <c r="GK5" s="36">
        <f t="shared" si="77"/>
        <v>56.080000000000005</v>
      </c>
      <c r="GL5" s="36">
        <f t="shared" si="78"/>
        <v>3.5</v>
      </c>
      <c r="GM5" s="36">
        <f t="shared" si="79"/>
        <v>3.52</v>
      </c>
      <c r="GN5" s="36">
        <f t="shared" si="80"/>
        <v>11.62</v>
      </c>
      <c r="GO5" s="36" t="str">
        <f t="shared" si="81"/>
        <v/>
      </c>
      <c r="GP5" s="36" t="str">
        <f t="shared" si="82"/>
        <v/>
      </c>
      <c r="GQ5" s="36" t="str">
        <f t="shared" si="83"/>
        <v/>
      </c>
      <c r="GR5" s="36">
        <f t="shared" si="84"/>
        <v>67.7</v>
      </c>
      <c r="GS5" s="16"/>
      <c r="GT5" s="16"/>
      <c r="GU5" s="16"/>
      <c r="GV5" s="16"/>
      <c r="GW5" s="16"/>
      <c r="GX5" s="16">
        <v>14.3</v>
      </c>
      <c r="GY5" s="16">
        <v>9.1</v>
      </c>
      <c r="GZ5" s="16">
        <v>15.3</v>
      </c>
      <c r="HA5" s="16">
        <v>16.239999999999998</v>
      </c>
      <c r="HB5" s="16">
        <v>0</v>
      </c>
      <c r="HC5" s="16"/>
      <c r="HD5" s="16"/>
      <c r="HE5" s="16"/>
      <c r="HF5" s="16"/>
      <c r="HG5" s="16"/>
      <c r="HH5" s="16">
        <v>15.4</v>
      </c>
      <c r="HI5" s="16">
        <v>9.1999999999999993</v>
      </c>
      <c r="HJ5" s="16">
        <v>14.4</v>
      </c>
      <c r="HK5" s="16">
        <v>16.309999999999999</v>
      </c>
      <c r="HL5" s="16">
        <v>0</v>
      </c>
      <c r="HM5" s="11" t="str">
        <f t="shared" si="85"/>
        <v/>
      </c>
      <c r="HN5" s="11" t="str">
        <f t="shared" si="86"/>
        <v/>
      </c>
      <c r="HO5" s="11" t="str">
        <f t="shared" si="87"/>
        <v/>
      </c>
      <c r="HP5" s="11">
        <f t="shared" si="88"/>
        <v>15.3</v>
      </c>
      <c r="HQ5" s="11">
        <f t="shared" si="89"/>
        <v>16.239999999999998</v>
      </c>
      <c r="HR5" s="11">
        <f t="shared" si="90"/>
        <v>54.94</v>
      </c>
      <c r="HS5" s="11">
        <f t="shared" si="91"/>
        <v>54.94</v>
      </c>
      <c r="HT5" s="11" t="str">
        <f t="shared" si="92"/>
        <v/>
      </c>
      <c r="HU5" s="11" t="str">
        <f t="shared" si="93"/>
        <v/>
      </c>
      <c r="HV5" s="11" t="str">
        <f t="shared" si="94"/>
        <v/>
      </c>
      <c r="HW5" s="11">
        <f t="shared" si="95"/>
        <v>14.4</v>
      </c>
      <c r="HX5" s="11">
        <f t="shared" si="96"/>
        <v>16.309999999999999</v>
      </c>
      <c r="HY5" s="11">
        <f t="shared" si="97"/>
        <v>55.31</v>
      </c>
      <c r="HZ5" s="11">
        <f t="shared" si="98"/>
        <v>110.25</v>
      </c>
      <c r="IA5" s="15"/>
      <c r="IB5" s="15"/>
      <c r="IC5" s="15"/>
      <c r="ID5" s="15"/>
      <c r="IE5" s="15"/>
      <c r="IF5" s="15"/>
      <c r="IG5" s="15"/>
      <c r="IH5" s="15"/>
      <c r="II5" s="15"/>
      <c r="IJ5" s="15"/>
      <c r="IK5" s="15"/>
      <c r="IL5" s="15"/>
      <c r="IM5" s="15"/>
      <c r="IN5" s="15"/>
      <c r="IO5" s="15"/>
      <c r="IP5" s="15"/>
      <c r="IQ5" s="15"/>
      <c r="IR5" s="15"/>
      <c r="IS5" s="15"/>
      <c r="IT5" s="15"/>
      <c r="IU5" s="36" t="str">
        <f t="shared" si="99"/>
        <v/>
      </c>
      <c r="IV5" s="36" t="str">
        <f t="shared" si="100"/>
        <v/>
      </c>
      <c r="IW5" s="36" t="str">
        <f t="shared" si="101"/>
        <v/>
      </c>
      <c r="IX5" s="36" t="str">
        <f t="shared" si="102"/>
        <v/>
      </c>
      <c r="IY5" s="36" t="str">
        <f t="shared" si="103"/>
        <v/>
      </c>
      <c r="IZ5" s="36" t="str">
        <f t="shared" si="104"/>
        <v/>
      </c>
      <c r="JA5" s="36" t="str">
        <f t="shared" si="105"/>
        <v/>
      </c>
      <c r="JB5" s="36" t="str">
        <f t="shared" si="106"/>
        <v/>
      </c>
      <c r="JC5" s="36" t="str">
        <f t="shared" si="107"/>
        <v/>
      </c>
      <c r="JD5" s="36" t="str">
        <f t="shared" si="108"/>
        <v/>
      </c>
      <c r="JE5" s="36" t="str">
        <f t="shared" si="109"/>
        <v/>
      </c>
      <c r="JF5" s="36" t="str">
        <f t="shared" si="110"/>
        <v/>
      </c>
      <c r="JG5" s="36" t="str">
        <f t="shared" si="111"/>
        <v/>
      </c>
      <c r="JH5" s="36" t="str">
        <f t="shared" si="112"/>
        <v/>
      </c>
      <c r="JI5" s="16"/>
      <c r="JJ5" s="16"/>
      <c r="JK5" s="16"/>
      <c r="JL5" s="16"/>
      <c r="JM5" s="16"/>
      <c r="JN5" s="16"/>
      <c r="JO5" s="16"/>
      <c r="JP5" s="16"/>
      <c r="JQ5" s="16"/>
      <c r="JR5" s="16"/>
      <c r="JS5" s="16"/>
      <c r="JT5" s="16"/>
      <c r="JU5" s="16"/>
      <c r="JV5" s="16"/>
      <c r="JW5" s="16"/>
      <c r="JX5" s="16"/>
      <c r="JY5" s="16"/>
      <c r="JZ5" s="16"/>
      <c r="KA5" s="16"/>
      <c r="KB5" s="16"/>
      <c r="KC5" s="11" t="str">
        <f t="shared" si="113"/>
        <v/>
      </c>
      <c r="KD5" s="11" t="str">
        <f t="shared" si="114"/>
        <v/>
      </c>
      <c r="KE5" s="11" t="str">
        <f t="shared" si="115"/>
        <v/>
      </c>
      <c r="KF5" s="11" t="str">
        <f t="shared" si="116"/>
        <v/>
      </c>
      <c r="KG5" s="11" t="str">
        <f t="shared" si="117"/>
        <v/>
      </c>
      <c r="KH5" s="11" t="str">
        <f t="shared" si="118"/>
        <v/>
      </c>
      <c r="KI5" s="11" t="str">
        <f t="shared" si="119"/>
        <v/>
      </c>
      <c r="KJ5" s="11" t="str">
        <f t="shared" si="120"/>
        <v/>
      </c>
      <c r="KK5" s="11" t="str">
        <f t="shared" si="121"/>
        <v/>
      </c>
      <c r="KL5" s="11" t="str">
        <f t="shared" si="122"/>
        <v/>
      </c>
      <c r="KM5" s="11" t="str">
        <f t="shared" si="123"/>
        <v/>
      </c>
      <c r="KN5" s="11" t="str">
        <f t="shared" si="124"/>
        <v/>
      </c>
      <c r="KO5" s="11" t="str">
        <f t="shared" si="125"/>
        <v/>
      </c>
      <c r="KP5" s="11" t="str">
        <f t="shared" si="126"/>
        <v/>
      </c>
      <c r="KQ5" s="15"/>
      <c r="KR5" s="15"/>
      <c r="KS5" s="15"/>
      <c r="KT5" s="15"/>
      <c r="KU5" s="15"/>
      <c r="KV5" s="15"/>
      <c r="KW5" s="15"/>
      <c r="KX5" s="15"/>
      <c r="KY5" s="15"/>
      <c r="KZ5" s="15"/>
      <c r="LA5" s="15"/>
      <c r="LB5" s="15"/>
      <c r="LC5" s="15"/>
      <c r="LD5" s="15"/>
      <c r="LE5" s="15"/>
      <c r="LF5" s="15"/>
      <c r="LG5" s="15"/>
      <c r="LH5" s="15"/>
      <c r="LI5" s="15"/>
      <c r="LJ5" s="15"/>
      <c r="LK5" s="36" t="str">
        <f t="shared" si="127"/>
        <v/>
      </c>
      <c r="LL5" s="36" t="str">
        <f t="shared" si="128"/>
        <v/>
      </c>
      <c r="LM5" s="36" t="str">
        <f t="shared" si="129"/>
        <v/>
      </c>
      <c r="LN5" s="36" t="str">
        <f t="shared" si="130"/>
        <v/>
      </c>
      <c r="LO5" s="36" t="str">
        <f t="shared" si="131"/>
        <v/>
      </c>
      <c r="LP5" s="36" t="str">
        <f t="shared" si="132"/>
        <v/>
      </c>
      <c r="LQ5" s="36" t="str">
        <f t="shared" si="133"/>
        <v/>
      </c>
      <c r="LR5" s="36" t="str">
        <f t="shared" si="134"/>
        <v/>
      </c>
      <c r="LS5" s="36" t="str">
        <f t="shared" si="135"/>
        <v/>
      </c>
      <c r="LT5" s="36" t="str">
        <f t="shared" si="136"/>
        <v/>
      </c>
      <c r="LU5" s="36" t="str">
        <f t="shared" si="137"/>
        <v/>
      </c>
      <c r="LV5" s="36" t="str">
        <f t="shared" si="138"/>
        <v/>
      </c>
      <c r="LW5" s="36" t="str">
        <f t="shared" si="139"/>
        <v/>
      </c>
      <c r="LX5" s="36" t="str">
        <f t="shared" si="140"/>
        <v/>
      </c>
      <c r="LY5" s="16">
        <v>15.1</v>
      </c>
      <c r="LZ5" s="16">
        <v>9.3000000000000007</v>
      </c>
      <c r="MA5" s="16">
        <v>2.8</v>
      </c>
      <c r="MB5" s="16">
        <v>17.149999999999999</v>
      </c>
      <c r="MC5" s="16">
        <v>0</v>
      </c>
      <c r="MD5" s="16">
        <v>5.9</v>
      </c>
      <c r="ME5" s="16">
        <v>3.6</v>
      </c>
      <c r="MF5" s="16">
        <v>6.5</v>
      </c>
      <c r="MG5" s="16">
        <v>6.82</v>
      </c>
      <c r="MH5" s="16">
        <v>0</v>
      </c>
      <c r="MI5" s="16"/>
      <c r="MJ5" s="16"/>
      <c r="MK5" s="16"/>
      <c r="ML5" s="16"/>
      <c r="MM5" s="16"/>
      <c r="MN5" s="16"/>
      <c r="MO5" s="16"/>
      <c r="MP5" s="16"/>
      <c r="MQ5" s="16"/>
      <c r="MR5" s="16"/>
      <c r="MS5" s="11">
        <f t="shared" si="141"/>
        <v>2.8</v>
      </c>
      <c r="MT5" s="11">
        <f t="shared" si="142"/>
        <v>17.149999999999999</v>
      </c>
      <c r="MU5" s="11">
        <f t="shared" si="143"/>
        <v>44.349999999999994</v>
      </c>
      <c r="MV5" s="11">
        <f t="shared" si="144"/>
        <v>6.5</v>
      </c>
      <c r="MW5" s="11">
        <f t="shared" si="145"/>
        <v>6.82</v>
      </c>
      <c r="MX5" s="11">
        <f t="shared" si="146"/>
        <v>22.82</v>
      </c>
      <c r="MY5" s="11">
        <f t="shared" si="147"/>
        <v>44.349999999999994</v>
      </c>
      <c r="MZ5" s="11" t="str">
        <f t="shared" si="148"/>
        <v/>
      </c>
      <c r="NA5" s="11" t="str">
        <f t="shared" si="149"/>
        <v/>
      </c>
      <c r="NB5" s="11" t="str">
        <f t="shared" si="150"/>
        <v/>
      </c>
      <c r="NC5" s="11" t="str">
        <f t="shared" si="151"/>
        <v/>
      </c>
      <c r="ND5" s="11" t="str">
        <f t="shared" si="152"/>
        <v/>
      </c>
      <c r="NE5" s="11" t="str">
        <f t="shared" si="153"/>
        <v/>
      </c>
      <c r="NF5" s="11">
        <f t="shared" si="154"/>
        <v>44.349999999999994</v>
      </c>
      <c r="NG5" s="15"/>
      <c r="NH5" s="15"/>
      <c r="NI5" s="15"/>
      <c r="NJ5" s="15"/>
      <c r="NK5" s="15"/>
      <c r="NL5" s="15"/>
      <c r="NM5" s="15"/>
      <c r="NN5" s="15"/>
      <c r="NO5" s="15"/>
      <c r="NP5" s="15"/>
      <c r="NQ5" s="15"/>
      <c r="NR5" s="15"/>
      <c r="NS5" s="15"/>
      <c r="NT5" s="15"/>
      <c r="NU5" s="15"/>
      <c r="NV5" s="15"/>
      <c r="NW5" s="15"/>
      <c r="NX5" s="15"/>
      <c r="NY5" s="15"/>
      <c r="NZ5" s="15"/>
      <c r="OA5" s="36" t="str">
        <f t="shared" si="155"/>
        <v/>
      </c>
      <c r="OB5" s="36" t="str">
        <f t="shared" si="156"/>
        <v/>
      </c>
      <c r="OC5" s="36" t="str">
        <f t="shared" si="157"/>
        <v/>
      </c>
      <c r="OD5" s="36" t="str">
        <f t="shared" si="158"/>
        <v/>
      </c>
      <c r="OE5" s="36" t="str">
        <f t="shared" si="159"/>
        <v/>
      </c>
      <c r="OF5" s="36" t="str">
        <f t="shared" si="160"/>
        <v/>
      </c>
      <c r="OG5" s="36" t="str">
        <f t="shared" si="161"/>
        <v/>
      </c>
      <c r="OH5" s="36" t="str">
        <f t="shared" si="162"/>
        <v/>
      </c>
      <c r="OI5" s="36" t="str">
        <f t="shared" si="163"/>
        <v/>
      </c>
      <c r="OJ5" s="36" t="str">
        <f t="shared" si="164"/>
        <v/>
      </c>
      <c r="OK5" s="36" t="str">
        <f t="shared" si="165"/>
        <v/>
      </c>
      <c r="OL5" s="36" t="str">
        <f t="shared" si="166"/>
        <v/>
      </c>
      <c r="OM5" s="36" t="str">
        <f t="shared" si="167"/>
        <v/>
      </c>
      <c r="ON5" s="36" t="str">
        <f t="shared" si="168"/>
        <v/>
      </c>
      <c r="OO5" s="16"/>
      <c r="OP5" s="16"/>
      <c r="OQ5" s="16"/>
      <c r="OR5" s="16"/>
      <c r="OS5" s="16"/>
      <c r="OT5" s="16"/>
      <c r="OU5" s="16"/>
      <c r="OV5" s="16"/>
      <c r="OW5" s="16"/>
      <c r="OX5" s="16"/>
      <c r="OY5" s="16"/>
      <c r="OZ5" s="16"/>
      <c r="PA5" s="16"/>
      <c r="PB5" s="16"/>
      <c r="PC5" s="16"/>
      <c r="PD5" s="16"/>
      <c r="PE5" s="16"/>
      <c r="PF5" s="16"/>
      <c r="PG5" s="16"/>
      <c r="PH5" s="16"/>
      <c r="PI5" s="11" t="str">
        <f t="shared" si="169"/>
        <v/>
      </c>
      <c r="PJ5" s="11" t="str">
        <f t="shared" si="170"/>
        <v/>
      </c>
      <c r="PK5" s="11" t="str">
        <f t="shared" si="171"/>
        <v/>
      </c>
      <c r="PL5" s="11" t="str">
        <f t="shared" si="172"/>
        <v/>
      </c>
      <c r="PM5" s="11" t="str">
        <f t="shared" si="173"/>
        <v/>
      </c>
      <c r="PN5" s="11" t="str">
        <f t="shared" si="174"/>
        <v/>
      </c>
      <c r="PO5" s="11" t="str">
        <f t="shared" si="175"/>
        <v/>
      </c>
      <c r="PP5" s="11" t="str">
        <f t="shared" si="176"/>
        <v/>
      </c>
      <c r="PQ5" s="11" t="str">
        <f t="shared" si="177"/>
        <v/>
      </c>
      <c r="PR5" s="11" t="str">
        <f t="shared" si="178"/>
        <v/>
      </c>
      <c r="PS5" s="11" t="str">
        <f t="shared" si="179"/>
        <v/>
      </c>
      <c r="PT5" s="11" t="str">
        <f t="shared" si="180"/>
        <v/>
      </c>
      <c r="PU5" s="11" t="str">
        <f t="shared" si="181"/>
        <v/>
      </c>
      <c r="PV5" s="11" t="str">
        <f t="shared" si="182"/>
        <v/>
      </c>
      <c r="PW5" s="15"/>
      <c r="PX5" s="15"/>
      <c r="PY5" s="15"/>
      <c r="PZ5" s="15"/>
      <c r="QA5" s="15"/>
      <c r="QB5" s="15"/>
      <c r="QC5" s="15"/>
      <c r="QD5" s="15"/>
      <c r="QE5" s="15"/>
      <c r="QF5" s="15"/>
      <c r="QG5" s="15"/>
      <c r="QH5" s="15"/>
      <c r="QI5" s="15"/>
      <c r="QJ5" s="15"/>
      <c r="QK5" s="15"/>
      <c r="QL5" s="15"/>
      <c r="QM5" s="15"/>
      <c r="QN5" s="15"/>
      <c r="QO5" s="15"/>
      <c r="QP5" s="15"/>
      <c r="QQ5" s="36" t="str">
        <f t="shared" si="183"/>
        <v/>
      </c>
      <c r="QR5" s="36" t="str">
        <f t="shared" si="184"/>
        <v/>
      </c>
      <c r="QS5" s="36" t="str">
        <f t="shared" si="185"/>
        <v/>
      </c>
      <c r="QT5" s="36" t="str">
        <f t="shared" si="186"/>
        <v/>
      </c>
      <c r="QU5" s="36" t="str">
        <f t="shared" si="187"/>
        <v/>
      </c>
      <c r="QV5" s="36" t="str">
        <f t="shared" si="188"/>
        <v/>
      </c>
      <c r="QW5" s="36" t="str">
        <f t="shared" si="189"/>
        <v/>
      </c>
      <c r="QX5" s="36" t="str">
        <f t="shared" si="190"/>
        <v/>
      </c>
      <c r="QY5" s="36" t="str">
        <f t="shared" si="191"/>
        <v/>
      </c>
      <c r="QZ5" s="36" t="str">
        <f t="shared" si="192"/>
        <v/>
      </c>
      <c r="RA5" s="36" t="str">
        <f t="shared" si="193"/>
        <v/>
      </c>
      <c r="RB5" s="36" t="str">
        <f t="shared" si="194"/>
        <v/>
      </c>
      <c r="RC5" s="36" t="str">
        <f t="shared" si="195"/>
        <v/>
      </c>
      <c r="RD5" s="36" t="str">
        <f t="shared" si="196"/>
        <v/>
      </c>
      <c r="RE5" s="16"/>
      <c r="RF5" s="16"/>
      <c r="RG5" s="16"/>
      <c r="RH5" s="16"/>
      <c r="RI5" s="16"/>
      <c r="RJ5" s="16"/>
      <c r="RK5" s="16"/>
      <c r="RL5" s="16"/>
      <c r="RM5" s="16"/>
      <c r="RN5" s="16"/>
      <c r="RO5" s="16"/>
      <c r="RP5" s="16"/>
      <c r="RQ5" s="16"/>
      <c r="RR5" s="16"/>
      <c r="RS5" s="16"/>
      <c r="RT5" s="16"/>
      <c r="RU5" s="16"/>
      <c r="RV5" s="16"/>
      <c r="RW5" s="16"/>
      <c r="RX5" s="16"/>
      <c r="RY5" s="11" t="str">
        <f t="shared" si="197"/>
        <v/>
      </c>
      <c r="RZ5" s="11" t="str">
        <f t="shared" si="198"/>
        <v/>
      </c>
      <c r="SA5" s="11" t="str">
        <f t="shared" si="199"/>
        <v/>
      </c>
      <c r="SB5" s="11" t="str">
        <f t="shared" si="200"/>
        <v/>
      </c>
      <c r="SC5" s="11" t="str">
        <f t="shared" si="201"/>
        <v/>
      </c>
      <c r="SD5" s="11" t="str">
        <f t="shared" si="202"/>
        <v/>
      </c>
      <c r="SE5" s="11" t="str">
        <f t="shared" si="203"/>
        <v/>
      </c>
      <c r="SF5" s="11" t="str">
        <f t="shared" si="204"/>
        <v/>
      </c>
      <c r="SG5" s="11" t="str">
        <f t="shared" si="205"/>
        <v/>
      </c>
      <c r="SH5" s="11" t="str">
        <f t="shared" si="206"/>
        <v/>
      </c>
      <c r="SI5" s="11" t="str">
        <f t="shared" si="207"/>
        <v/>
      </c>
      <c r="SJ5" s="11" t="str">
        <f t="shared" si="208"/>
        <v/>
      </c>
      <c r="SK5" s="11" t="str">
        <f t="shared" si="209"/>
        <v/>
      </c>
      <c r="SL5" s="11" t="str">
        <f t="shared" si="210"/>
        <v/>
      </c>
      <c r="SM5" s="15"/>
      <c r="SN5" s="15"/>
      <c r="SO5" s="15"/>
      <c r="SP5" s="15"/>
      <c r="SQ5" s="15"/>
      <c r="SR5" s="15"/>
      <c r="SS5" s="15"/>
      <c r="ST5" s="15"/>
      <c r="SU5" s="15"/>
      <c r="SV5" s="15"/>
      <c r="SW5" s="15"/>
      <c r="SX5" s="15"/>
      <c r="SY5" s="15"/>
      <c r="SZ5" s="15"/>
      <c r="TA5" s="15"/>
      <c r="TB5" s="15"/>
      <c r="TC5" s="15"/>
      <c r="TD5" s="15"/>
      <c r="TE5" s="15"/>
      <c r="TF5" s="15"/>
      <c r="TG5" s="36" t="str">
        <f t="shared" si="211"/>
        <v/>
      </c>
      <c r="TH5" s="36" t="str">
        <f t="shared" si="212"/>
        <v/>
      </c>
      <c r="TI5" s="36" t="str">
        <f t="shared" si="213"/>
        <v/>
      </c>
      <c r="TJ5" s="36" t="str">
        <f t="shared" si="214"/>
        <v/>
      </c>
      <c r="TK5" s="36" t="str">
        <f t="shared" si="215"/>
        <v/>
      </c>
      <c r="TL5" s="36" t="str">
        <f t="shared" si="216"/>
        <v/>
      </c>
      <c r="TM5" s="36" t="str">
        <f t="shared" si="217"/>
        <v/>
      </c>
      <c r="TN5" s="36" t="str">
        <f t="shared" si="218"/>
        <v/>
      </c>
      <c r="TO5" s="36" t="str">
        <f t="shared" si="219"/>
        <v/>
      </c>
      <c r="TP5" s="36" t="str">
        <f t="shared" si="220"/>
        <v/>
      </c>
      <c r="TQ5" s="36" t="str">
        <f t="shared" si="221"/>
        <v/>
      </c>
      <c r="TR5" s="36" t="str">
        <f t="shared" si="222"/>
        <v/>
      </c>
      <c r="TS5" s="36" t="str">
        <f t="shared" si="223"/>
        <v/>
      </c>
      <c r="TT5" s="36" t="str">
        <f t="shared" si="224"/>
        <v/>
      </c>
      <c r="TU5" s="16"/>
      <c r="TV5" s="16"/>
      <c r="TW5" s="16"/>
      <c r="TX5" s="16"/>
      <c r="TY5" s="16"/>
      <c r="TZ5" s="16"/>
      <c r="UA5" s="16"/>
      <c r="UB5" s="16"/>
      <c r="UC5" s="16"/>
      <c r="UD5" s="16"/>
      <c r="UE5" s="16"/>
      <c r="UF5" s="16"/>
      <c r="UG5" s="16"/>
      <c r="UH5" s="16"/>
      <c r="UI5" s="16"/>
      <c r="UJ5" s="16"/>
      <c r="UK5" s="16"/>
      <c r="UL5" s="16"/>
      <c r="UM5" s="16"/>
      <c r="UN5" s="16"/>
      <c r="UO5" s="11" t="str">
        <f t="shared" si="225"/>
        <v/>
      </c>
      <c r="UP5" s="11" t="str">
        <f t="shared" si="226"/>
        <v/>
      </c>
      <c r="UQ5" s="11" t="str">
        <f t="shared" si="227"/>
        <v/>
      </c>
      <c r="UR5" s="11" t="str">
        <f t="shared" si="228"/>
        <v/>
      </c>
      <c r="US5" s="11" t="str">
        <f t="shared" si="229"/>
        <v/>
      </c>
      <c r="UT5" s="11" t="str">
        <f t="shared" si="230"/>
        <v/>
      </c>
      <c r="UU5" s="11" t="str">
        <f t="shared" si="231"/>
        <v/>
      </c>
      <c r="UV5" s="11" t="str">
        <f t="shared" si="232"/>
        <v/>
      </c>
      <c r="UW5" s="11" t="str">
        <f t="shared" si="233"/>
        <v/>
      </c>
      <c r="UX5" s="11" t="str">
        <f t="shared" si="234"/>
        <v/>
      </c>
      <c r="UY5" s="11" t="str">
        <f t="shared" si="235"/>
        <v/>
      </c>
      <c r="UZ5" s="11" t="str">
        <f t="shared" si="236"/>
        <v/>
      </c>
      <c r="VA5" s="11" t="str">
        <f t="shared" si="237"/>
        <v/>
      </c>
      <c r="VB5" s="11" t="str">
        <f t="shared" si="238"/>
        <v/>
      </c>
      <c r="VC5" s="15"/>
      <c r="VD5" s="15"/>
      <c r="VE5" s="15"/>
      <c r="VF5" s="15"/>
      <c r="VG5" s="15"/>
      <c r="VH5" s="15"/>
      <c r="VI5" s="15"/>
      <c r="VJ5" s="15"/>
      <c r="VK5" s="15"/>
      <c r="VL5" s="15"/>
      <c r="VM5" s="15"/>
      <c r="VN5" s="15"/>
      <c r="VO5" s="15"/>
      <c r="VP5" s="15"/>
      <c r="VQ5" s="15"/>
      <c r="VR5" s="15"/>
      <c r="VS5" s="15"/>
      <c r="VT5" s="15"/>
      <c r="VU5" s="15"/>
      <c r="VV5" s="15"/>
      <c r="VW5" s="36" t="str">
        <f t="shared" si="239"/>
        <v/>
      </c>
      <c r="VX5" s="36" t="str">
        <f t="shared" si="240"/>
        <v/>
      </c>
      <c r="VY5" s="36" t="str">
        <f t="shared" si="241"/>
        <v/>
      </c>
      <c r="VZ5" s="36" t="str">
        <f t="shared" si="242"/>
        <v/>
      </c>
      <c r="WA5" s="36" t="str">
        <f t="shared" si="243"/>
        <v/>
      </c>
      <c r="WB5" s="36" t="str">
        <f t="shared" si="244"/>
        <v/>
      </c>
      <c r="WC5" s="36" t="str">
        <f t="shared" si="245"/>
        <v/>
      </c>
      <c r="WD5" s="36" t="str">
        <f t="shared" si="246"/>
        <v/>
      </c>
      <c r="WE5" s="36" t="str">
        <f t="shared" si="247"/>
        <v/>
      </c>
      <c r="WF5" s="36" t="str">
        <f t="shared" si="248"/>
        <v/>
      </c>
      <c r="WG5" s="36" t="str">
        <f t="shared" si="249"/>
        <v/>
      </c>
      <c r="WH5" s="36" t="str">
        <f t="shared" si="250"/>
        <v/>
      </c>
      <c r="WI5" s="36" t="str">
        <f t="shared" si="251"/>
        <v/>
      </c>
      <c r="WJ5" s="36" t="str">
        <f t="shared" si="252"/>
        <v/>
      </c>
    </row>
    <row r="6" spans="1:608" x14ac:dyDescent="0.2">
      <c r="A6" s="4" t="str" cm="1">
        <f t="array" ref="A6">IF(AND(H6&lt;&gt;"",H6&lt;&gt;"No DD",I6&lt;&gt;"P"),SUMPRODUCT((H$4:H$28&lt;&gt;"")*(H$4:H$28&lt;&gt;"No DD")*(I$4:I$28&lt;&gt;"P")*(E$4:E$28&gt;E6))+1,IF(H6="No DD",SUMPRODUCT((H$4:H$28="No DD")*(I$4:I$28&lt;&gt;"P")*(E$4:E$28&gt;E6))+1+SUMPRODUCT((H$4:H$28&lt;&gt;"")*(I$4:I$28&lt;&gt;"P")*(H$4:H$28&lt;&gt;"No DD")),""))</f>
        <v/>
      </c>
      <c r="B6" s="5" t="s">
        <v>116</v>
      </c>
      <c r="C6" s="4" t="s">
        <v>7</v>
      </c>
      <c r="D6" s="4">
        <v>2008</v>
      </c>
      <c r="E6" s="9">
        <f t="shared" si="0"/>
        <v>111.52001115200559</v>
      </c>
      <c r="F6" s="3" t="str">
        <f t="shared" si="1"/>
        <v>P</v>
      </c>
      <c r="G6" s="3" t="str">
        <f t="shared" si="2"/>
        <v>P</v>
      </c>
      <c r="H6" s="32" t="str">
        <f t="shared" si="3"/>
        <v>National Team</v>
      </c>
      <c r="I6" s="3" t="str">
        <f>IF(COUNTIFS('Senior-M'!B:B,B6,'Senior-M'!A:A,"&lt;9",'Senior-M'!H:H,"&lt;&gt;"&amp;"No DD"),"P","")</f>
        <v>P</v>
      </c>
      <c r="J6" s="8">
        <f t="shared" si="4"/>
        <v>55.94</v>
      </c>
      <c r="K6" s="8" t="str">
        <f t="shared" si="5"/>
        <v>2025 3rd Domestic Trial</v>
      </c>
      <c r="L6" s="8">
        <f>IFERROR(LARGE((AI6,AL6,AP6,BJ6,BM6,BQ6,CK6,CN6,CR6),2),0)</f>
        <v>55.58</v>
      </c>
      <c r="M6" s="8" t="str">
        <f t="shared" si="6"/>
        <v>2025 Nationals</v>
      </c>
      <c r="N6" s="8">
        <f t="shared" si="7"/>
        <v>0</v>
      </c>
      <c r="O6" s="11" t="str">
        <f>IF(N6=0,"",IF(N6=CT6,"("&amp;CT$2&amp;")",IF(N6=#REF!,"("&amp;#REF!&amp;")")))</f>
        <v/>
      </c>
      <c r="P6" s="8" t="str">
        <f t="shared" si="8"/>
        <v/>
      </c>
      <c r="Q6" s="18">
        <v>14</v>
      </c>
      <c r="R6" s="18">
        <v>9.1999999999999993</v>
      </c>
      <c r="S6" s="18">
        <v>13.4</v>
      </c>
      <c r="T6" s="18">
        <v>15.21</v>
      </c>
      <c r="U6" s="18">
        <v>1.1000000000000001</v>
      </c>
      <c r="V6" s="18">
        <v>4.7</v>
      </c>
      <c r="W6" s="18">
        <v>3</v>
      </c>
      <c r="X6" s="18">
        <v>5</v>
      </c>
      <c r="Y6" s="18">
        <v>5.03</v>
      </c>
      <c r="Z6" s="18">
        <v>0</v>
      </c>
      <c r="AA6" s="18">
        <v>7.6</v>
      </c>
      <c r="AB6" s="18">
        <v>5.3</v>
      </c>
      <c r="AC6" s="18">
        <v>6.9</v>
      </c>
      <c r="AD6" s="18">
        <v>9.18</v>
      </c>
      <c r="AE6" s="18">
        <v>0</v>
      </c>
      <c r="AF6" s="23"/>
      <c r="AG6" s="34">
        <f t="shared" si="9"/>
        <v>13.4</v>
      </c>
      <c r="AH6" s="34">
        <f t="shared" si="10"/>
        <v>15.21</v>
      </c>
      <c r="AI6" s="36">
        <f t="shared" si="11"/>
        <v>50.71</v>
      </c>
      <c r="AJ6" s="36">
        <f t="shared" si="12"/>
        <v>5</v>
      </c>
      <c r="AK6" s="36">
        <f t="shared" si="13"/>
        <v>5.03</v>
      </c>
      <c r="AL6" s="36">
        <f t="shared" si="14"/>
        <v>17.73</v>
      </c>
      <c r="AM6" s="36">
        <f t="shared" si="15"/>
        <v>50.71</v>
      </c>
      <c r="AN6" s="36">
        <f t="shared" si="16"/>
        <v>6.9</v>
      </c>
      <c r="AO6" s="36">
        <f t="shared" si="17"/>
        <v>9.18</v>
      </c>
      <c r="AP6" s="36">
        <f t="shared" si="18"/>
        <v>28.979999999999997</v>
      </c>
      <c r="AQ6" s="36">
        <f t="shared" si="19"/>
        <v>79.69</v>
      </c>
      <c r="AR6" s="22">
        <v>5.7</v>
      </c>
      <c r="AS6" s="22">
        <v>3.7</v>
      </c>
      <c r="AT6" s="22">
        <v>6.9</v>
      </c>
      <c r="AU6" s="22">
        <v>6.48</v>
      </c>
      <c r="AV6" s="22">
        <v>0</v>
      </c>
      <c r="AW6" s="22">
        <v>14.7</v>
      </c>
      <c r="AX6" s="22">
        <v>9.3000000000000007</v>
      </c>
      <c r="AY6" s="22">
        <v>15.9</v>
      </c>
      <c r="AZ6" s="22">
        <v>15.68</v>
      </c>
      <c r="BA6" s="22">
        <v>0</v>
      </c>
      <c r="BB6" s="22">
        <v>15.3</v>
      </c>
      <c r="BC6" s="22">
        <v>9.1999999999999993</v>
      </c>
      <c r="BD6" s="22">
        <v>14.9</v>
      </c>
      <c r="BE6" s="22">
        <v>15.17</v>
      </c>
      <c r="BF6" s="22">
        <v>0</v>
      </c>
      <c r="BG6" s="24"/>
      <c r="BH6" s="35">
        <f t="shared" si="20"/>
        <v>6.9</v>
      </c>
      <c r="BI6" s="35">
        <f t="shared" si="21"/>
        <v>6.48</v>
      </c>
      <c r="BJ6" s="11">
        <f t="shared" si="22"/>
        <v>22.78</v>
      </c>
      <c r="BK6" s="11">
        <f t="shared" si="23"/>
        <v>15.9</v>
      </c>
      <c r="BL6" s="11">
        <f t="shared" si="24"/>
        <v>15.68</v>
      </c>
      <c r="BM6" s="11">
        <f t="shared" si="25"/>
        <v>55.58</v>
      </c>
      <c r="BN6" s="11">
        <f t="shared" si="26"/>
        <v>55.58</v>
      </c>
      <c r="BO6" s="11">
        <f t="shared" si="27"/>
        <v>14.9</v>
      </c>
      <c r="BP6" s="11">
        <f t="shared" si="28"/>
        <v>15.17</v>
      </c>
      <c r="BQ6" s="11">
        <f t="shared" si="29"/>
        <v>54.57</v>
      </c>
      <c r="BR6" s="11">
        <f t="shared" si="30"/>
        <v>110.15</v>
      </c>
      <c r="BS6" s="18">
        <v>1.7</v>
      </c>
      <c r="BT6" s="18">
        <v>0.8</v>
      </c>
      <c r="BU6" s="18">
        <v>2</v>
      </c>
      <c r="BV6" s="18">
        <v>1.75</v>
      </c>
      <c r="BW6" s="18">
        <v>0.2</v>
      </c>
      <c r="BX6" s="18">
        <v>15.1</v>
      </c>
      <c r="BY6" s="18">
        <v>9.4</v>
      </c>
      <c r="BZ6" s="18">
        <v>15.3</v>
      </c>
      <c r="CA6" s="18">
        <v>16.14</v>
      </c>
      <c r="CB6" s="18">
        <v>0</v>
      </c>
      <c r="CC6" s="18">
        <v>15.2</v>
      </c>
      <c r="CD6" s="18">
        <v>8.6999999999999993</v>
      </c>
      <c r="CE6" s="18">
        <v>15.3</v>
      </c>
      <c r="CF6" s="18">
        <v>16.32</v>
      </c>
      <c r="CG6" s="18">
        <v>0</v>
      </c>
      <c r="CH6" s="23"/>
      <c r="CI6" s="34">
        <f t="shared" si="31"/>
        <v>2</v>
      </c>
      <c r="CJ6" s="34">
        <f t="shared" si="32"/>
        <v>1.75</v>
      </c>
      <c r="CK6" s="36">
        <f t="shared" si="33"/>
        <v>6.05</v>
      </c>
      <c r="CL6" s="36">
        <f t="shared" si="34"/>
        <v>15.3</v>
      </c>
      <c r="CM6" s="36">
        <f t="shared" si="35"/>
        <v>16.14</v>
      </c>
      <c r="CN6" s="36">
        <f t="shared" si="36"/>
        <v>55.94</v>
      </c>
      <c r="CO6" s="36">
        <f t="shared" si="37"/>
        <v>55.94</v>
      </c>
      <c r="CP6" s="36">
        <f t="shared" si="38"/>
        <v>15.3</v>
      </c>
      <c r="CQ6" s="36">
        <f t="shared" si="39"/>
        <v>16.32</v>
      </c>
      <c r="CR6" s="36">
        <f t="shared" si="40"/>
        <v>55.52</v>
      </c>
      <c r="CS6" s="36">
        <f t="shared" si="41"/>
        <v>111.46000000000001</v>
      </c>
      <c r="CT6" s="47" t="str">
        <f t="shared" si="42"/>
        <v/>
      </c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  <c r="DJ6" s="15"/>
      <c r="DK6" s="15"/>
      <c r="DL6" s="15"/>
      <c r="DM6" s="15"/>
      <c r="DN6" s="15"/>
      <c r="DO6" s="36" t="str">
        <f t="shared" si="43"/>
        <v/>
      </c>
      <c r="DP6" s="36" t="str">
        <f t="shared" si="44"/>
        <v/>
      </c>
      <c r="DQ6" s="36" t="str">
        <f t="shared" si="45"/>
        <v/>
      </c>
      <c r="DR6" s="36" t="str">
        <f t="shared" si="46"/>
        <v/>
      </c>
      <c r="DS6" s="36" t="str">
        <f t="shared" si="47"/>
        <v/>
      </c>
      <c r="DT6" s="36" t="str">
        <f t="shared" si="48"/>
        <v/>
      </c>
      <c r="DU6" s="36" t="str">
        <f t="shared" si="49"/>
        <v/>
      </c>
      <c r="DV6" s="36" t="str">
        <f t="shared" si="50"/>
        <v/>
      </c>
      <c r="DW6" s="36" t="str">
        <f t="shared" si="51"/>
        <v/>
      </c>
      <c r="DX6" s="36" t="str">
        <f t="shared" si="52"/>
        <v/>
      </c>
      <c r="DY6" s="36" t="str">
        <f t="shared" si="53"/>
        <v/>
      </c>
      <c r="DZ6" s="36" t="str">
        <f t="shared" si="54"/>
        <v/>
      </c>
      <c r="EA6" s="36" t="str">
        <f t="shared" si="55"/>
        <v/>
      </c>
      <c r="EB6" s="36" t="str">
        <f t="shared" si="56"/>
        <v/>
      </c>
      <c r="EC6" s="16"/>
      <c r="ED6" s="16"/>
      <c r="EE6" s="16"/>
      <c r="EF6" s="16"/>
      <c r="EG6" s="16"/>
      <c r="EH6" s="16"/>
      <c r="EI6" s="16"/>
      <c r="EJ6" s="16"/>
      <c r="EK6" s="16"/>
      <c r="EL6" s="16"/>
      <c r="EM6" s="16"/>
      <c r="EN6" s="16"/>
      <c r="EO6" s="16"/>
      <c r="EP6" s="16"/>
      <c r="EQ6" s="16"/>
      <c r="ER6" s="16"/>
      <c r="ES6" s="16"/>
      <c r="ET6" s="16"/>
      <c r="EU6" s="16"/>
      <c r="EV6" s="16"/>
      <c r="EW6" s="11" t="str">
        <f t="shared" si="57"/>
        <v/>
      </c>
      <c r="EX6" s="11" t="str">
        <f t="shared" si="58"/>
        <v/>
      </c>
      <c r="EY6" s="11" t="str">
        <f t="shared" si="59"/>
        <v/>
      </c>
      <c r="EZ6" s="11" t="str">
        <f t="shared" si="60"/>
        <v/>
      </c>
      <c r="FA6" s="11" t="str">
        <f t="shared" si="61"/>
        <v/>
      </c>
      <c r="FB6" s="11" t="str">
        <f t="shared" si="62"/>
        <v/>
      </c>
      <c r="FC6" s="11" t="str">
        <f t="shared" si="63"/>
        <v/>
      </c>
      <c r="FD6" s="11" t="str">
        <f t="shared" si="64"/>
        <v/>
      </c>
      <c r="FE6" s="11" t="str">
        <f t="shared" si="65"/>
        <v/>
      </c>
      <c r="FF6" s="11" t="str">
        <f t="shared" si="66"/>
        <v/>
      </c>
      <c r="FG6" s="11" t="str">
        <f t="shared" si="67"/>
        <v/>
      </c>
      <c r="FH6" s="11" t="str">
        <f t="shared" si="68"/>
        <v/>
      </c>
      <c r="FI6" s="11" t="str">
        <f t="shared" si="69"/>
        <v/>
      </c>
      <c r="FJ6" s="11" t="str">
        <f t="shared" si="70"/>
        <v/>
      </c>
      <c r="FK6" s="15"/>
      <c r="FL6" s="15"/>
      <c r="FM6" s="15"/>
      <c r="FN6" s="15"/>
      <c r="FO6" s="15"/>
      <c r="FP6" s="15"/>
      <c r="FQ6" s="15"/>
      <c r="FR6" s="15"/>
      <c r="FS6" s="15"/>
      <c r="FT6" s="15"/>
      <c r="FU6" s="15"/>
      <c r="FV6" s="15"/>
      <c r="FW6" s="15"/>
      <c r="FX6" s="15"/>
      <c r="FY6" s="15"/>
      <c r="FZ6" s="15"/>
      <c r="GA6" s="15"/>
      <c r="GB6" s="15"/>
      <c r="GC6" s="15"/>
      <c r="GD6" s="15"/>
      <c r="GE6" s="36" t="str">
        <f t="shared" si="71"/>
        <v/>
      </c>
      <c r="GF6" s="36" t="str">
        <f t="shared" si="72"/>
        <v/>
      </c>
      <c r="GG6" s="36" t="str">
        <f t="shared" si="73"/>
        <v/>
      </c>
      <c r="GH6" s="36" t="str">
        <f t="shared" si="74"/>
        <v/>
      </c>
      <c r="GI6" s="36" t="str">
        <f t="shared" si="75"/>
        <v/>
      </c>
      <c r="GJ6" s="36" t="str">
        <f t="shared" si="76"/>
        <v/>
      </c>
      <c r="GK6" s="36" t="str">
        <f t="shared" si="77"/>
        <v/>
      </c>
      <c r="GL6" s="36" t="str">
        <f t="shared" si="78"/>
        <v/>
      </c>
      <c r="GM6" s="36" t="str">
        <f t="shared" si="79"/>
        <v/>
      </c>
      <c r="GN6" s="36" t="str">
        <f t="shared" si="80"/>
        <v/>
      </c>
      <c r="GO6" s="36" t="str">
        <f t="shared" si="81"/>
        <v/>
      </c>
      <c r="GP6" s="36" t="str">
        <f t="shared" si="82"/>
        <v/>
      </c>
      <c r="GQ6" s="36" t="str">
        <f t="shared" si="83"/>
        <v/>
      </c>
      <c r="GR6" s="36" t="str">
        <f t="shared" si="84"/>
        <v/>
      </c>
      <c r="GS6" s="16"/>
      <c r="GT6" s="16"/>
      <c r="GU6" s="16"/>
      <c r="GV6" s="16"/>
      <c r="GW6" s="16"/>
      <c r="GX6" s="16"/>
      <c r="GY6" s="16"/>
      <c r="GZ6" s="16"/>
      <c r="HA6" s="16"/>
      <c r="HB6" s="16"/>
      <c r="HC6" s="16"/>
      <c r="HD6" s="16"/>
      <c r="HE6" s="16"/>
      <c r="HF6" s="16"/>
      <c r="HG6" s="16"/>
      <c r="HH6" s="16"/>
      <c r="HI6" s="16"/>
      <c r="HJ6" s="16"/>
      <c r="HK6" s="16"/>
      <c r="HL6" s="16"/>
      <c r="HM6" s="11" t="str">
        <f t="shared" si="85"/>
        <v/>
      </c>
      <c r="HN6" s="11" t="str">
        <f t="shared" si="86"/>
        <v/>
      </c>
      <c r="HO6" s="11" t="str">
        <f t="shared" si="87"/>
        <v/>
      </c>
      <c r="HP6" s="11" t="str">
        <f t="shared" si="88"/>
        <v/>
      </c>
      <c r="HQ6" s="11" t="str">
        <f t="shared" si="89"/>
        <v/>
      </c>
      <c r="HR6" s="11" t="str">
        <f t="shared" si="90"/>
        <v/>
      </c>
      <c r="HS6" s="11" t="str">
        <f t="shared" si="91"/>
        <v/>
      </c>
      <c r="HT6" s="11" t="str">
        <f t="shared" si="92"/>
        <v/>
      </c>
      <c r="HU6" s="11" t="str">
        <f t="shared" si="93"/>
        <v/>
      </c>
      <c r="HV6" s="11" t="str">
        <f t="shared" si="94"/>
        <v/>
      </c>
      <c r="HW6" s="11" t="str">
        <f t="shared" si="95"/>
        <v/>
      </c>
      <c r="HX6" s="11" t="str">
        <f t="shared" si="96"/>
        <v/>
      </c>
      <c r="HY6" s="11" t="str">
        <f t="shared" si="97"/>
        <v/>
      </c>
      <c r="HZ6" s="11" t="str">
        <f t="shared" si="98"/>
        <v/>
      </c>
      <c r="IA6" s="15"/>
      <c r="IB6" s="15"/>
      <c r="IC6" s="15"/>
      <c r="ID6" s="15"/>
      <c r="IE6" s="15"/>
      <c r="IF6" s="15"/>
      <c r="IG6" s="15"/>
      <c r="IH6" s="15"/>
      <c r="II6" s="15"/>
      <c r="IJ6" s="15"/>
      <c r="IK6" s="15"/>
      <c r="IL6" s="15"/>
      <c r="IM6" s="15"/>
      <c r="IN6" s="15"/>
      <c r="IO6" s="15"/>
      <c r="IP6" s="15"/>
      <c r="IQ6" s="15"/>
      <c r="IR6" s="15"/>
      <c r="IS6" s="15"/>
      <c r="IT6" s="15"/>
      <c r="IU6" s="36" t="str">
        <f t="shared" si="99"/>
        <v/>
      </c>
      <c r="IV6" s="36" t="str">
        <f t="shared" si="100"/>
        <v/>
      </c>
      <c r="IW6" s="36" t="str">
        <f t="shared" si="101"/>
        <v/>
      </c>
      <c r="IX6" s="36" t="str">
        <f t="shared" si="102"/>
        <v/>
      </c>
      <c r="IY6" s="36" t="str">
        <f t="shared" si="103"/>
        <v/>
      </c>
      <c r="IZ6" s="36" t="str">
        <f t="shared" si="104"/>
        <v/>
      </c>
      <c r="JA6" s="36" t="str">
        <f t="shared" si="105"/>
        <v/>
      </c>
      <c r="JB6" s="36" t="str">
        <f t="shared" si="106"/>
        <v/>
      </c>
      <c r="JC6" s="36" t="str">
        <f t="shared" si="107"/>
        <v/>
      </c>
      <c r="JD6" s="36" t="str">
        <f t="shared" si="108"/>
        <v/>
      </c>
      <c r="JE6" s="36" t="str">
        <f t="shared" si="109"/>
        <v/>
      </c>
      <c r="JF6" s="36" t="str">
        <f t="shared" si="110"/>
        <v/>
      </c>
      <c r="JG6" s="36" t="str">
        <f t="shared" si="111"/>
        <v/>
      </c>
      <c r="JH6" s="36" t="str">
        <f t="shared" si="112"/>
        <v/>
      </c>
      <c r="JI6" s="16">
        <v>14.7</v>
      </c>
      <c r="JJ6" s="16">
        <v>8.9</v>
      </c>
      <c r="JK6" s="16">
        <v>15.3</v>
      </c>
      <c r="JL6" s="16">
        <v>15.96</v>
      </c>
      <c r="JM6" s="16">
        <v>0</v>
      </c>
      <c r="JN6" s="16">
        <v>9.3000000000000007</v>
      </c>
      <c r="JO6" s="16">
        <v>6.5</v>
      </c>
      <c r="JP6" s="16">
        <v>9.8000000000000007</v>
      </c>
      <c r="JQ6" s="16">
        <v>11.14</v>
      </c>
      <c r="JR6" s="16">
        <v>0</v>
      </c>
      <c r="JS6" s="16"/>
      <c r="JT6" s="16"/>
      <c r="JU6" s="16"/>
      <c r="JV6" s="16"/>
      <c r="JW6" s="16"/>
      <c r="JX6" s="16"/>
      <c r="JY6" s="16"/>
      <c r="JZ6" s="16"/>
      <c r="KA6" s="16"/>
      <c r="KB6" s="16"/>
      <c r="KC6" s="11">
        <f t="shared" si="113"/>
        <v>15.3</v>
      </c>
      <c r="KD6" s="11">
        <f t="shared" si="114"/>
        <v>15.96</v>
      </c>
      <c r="KE6" s="11">
        <f t="shared" si="115"/>
        <v>54.860000000000007</v>
      </c>
      <c r="KF6" s="11">
        <f t="shared" si="116"/>
        <v>9.8000000000000007</v>
      </c>
      <c r="KG6" s="11">
        <f t="shared" si="117"/>
        <v>11.14</v>
      </c>
      <c r="KH6" s="11">
        <f t="shared" si="118"/>
        <v>36.74</v>
      </c>
      <c r="KI6" s="11">
        <f t="shared" si="119"/>
        <v>54.860000000000007</v>
      </c>
      <c r="KJ6" s="11" t="str">
        <f t="shared" si="120"/>
        <v/>
      </c>
      <c r="KK6" s="11" t="str">
        <f t="shared" si="121"/>
        <v/>
      </c>
      <c r="KL6" s="11" t="str">
        <f t="shared" si="122"/>
        <v/>
      </c>
      <c r="KM6" s="11" t="str">
        <f t="shared" si="123"/>
        <v/>
      </c>
      <c r="KN6" s="11" t="str">
        <f t="shared" si="124"/>
        <v/>
      </c>
      <c r="KO6" s="11" t="str">
        <f t="shared" si="125"/>
        <v/>
      </c>
      <c r="KP6" s="11">
        <f t="shared" si="126"/>
        <v>54.860000000000007</v>
      </c>
      <c r="KQ6" s="15"/>
      <c r="KR6" s="15"/>
      <c r="KS6" s="15"/>
      <c r="KT6" s="15"/>
      <c r="KU6" s="15"/>
      <c r="KV6" s="15"/>
      <c r="KW6" s="15"/>
      <c r="KX6" s="15"/>
      <c r="KY6" s="15"/>
      <c r="KZ6" s="15"/>
      <c r="LA6" s="15"/>
      <c r="LB6" s="15"/>
      <c r="LC6" s="15"/>
      <c r="LD6" s="15"/>
      <c r="LE6" s="15"/>
      <c r="LF6" s="15"/>
      <c r="LG6" s="15"/>
      <c r="LH6" s="15"/>
      <c r="LI6" s="15"/>
      <c r="LJ6" s="15"/>
      <c r="LK6" s="36" t="str">
        <f t="shared" si="127"/>
        <v/>
      </c>
      <c r="LL6" s="36" t="str">
        <f t="shared" si="128"/>
        <v/>
      </c>
      <c r="LM6" s="36" t="str">
        <f t="shared" si="129"/>
        <v/>
      </c>
      <c r="LN6" s="36" t="str">
        <f t="shared" si="130"/>
        <v/>
      </c>
      <c r="LO6" s="36" t="str">
        <f t="shared" si="131"/>
        <v/>
      </c>
      <c r="LP6" s="36" t="str">
        <f t="shared" si="132"/>
        <v/>
      </c>
      <c r="LQ6" s="36" t="str">
        <f t="shared" si="133"/>
        <v/>
      </c>
      <c r="LR6" s="36" t="str">
        <f t="shared" si="134"/>
        <v/>
      </c>
      <c r="LS6" s="36" t="str">
        <f t="shared" si="135"/>
        <v/>
      </c>
      <c r="LT6" s="36" t="str">
        <f t="shared" si="136"/>
        <v/>
      </c>
      <c r="LU6" s="36" t="str">
        <f t="shared" si="137"/>
        <v/>
      </c>
      <c r="LV6" s="36" t="str">
        <f t="shared" si="138"/>
        <v/>
      </c>
      <c r="LW6" s="36" t="str">
        <f t="shared" si="139"/>
        <v/>
      </c>
      <c r="LX6" s="36" t="str">
        <f t="shared" si="140"/>
        <v/>
      </c>
      <c r="LY6" s="16"/>
      <c r="LZ6" s="16"/>
      <c r="MA6" s="16"/>
      <c r="MB6" s="16"/>
      <c r="MC6" s="16"/>
      <c r="MD6" s="16"/>
      <c r="ME6" s="16"/>
      <c r="MF6" s="16"/>
      <c r="MG6" s="16"/>
      <c r="MH6" s="16"/>
      <c r="MI6" s="16"/>
      <c r="MJ6" s="16"/>
      <c r="MK6" s="16"/>
      <c r="ML6" s="16"/>
      <c r="MM6" s="16"/>
      <c r="MN6" s="16"/>
      <c r="MO6" s="16"/>
      <c r="MP6" s="16"/>
      <c r="MQ6" s="16"/>
      <c r="MR6" s="16"/>
      <c r="MS6" s="11" t="str">
        <f t="shared" si="141"/>
        <v/>
      </c>
      <c r="MT6" s="11" t="str">
        <f t="shared" si="142"/>
        <v/>
      </c>
      <c r="MU6" s="11" t="str">
        <f t="shared" si="143"/>
        <v/>
      </c>
      <c r="MV6" s="11" t="str">
        <f t="shared" si="144"/>
        <v/>
      </c>
      <c r="MW6" s="11" t="str">
        <f t="shared" si="145"/>
        <v/>
      </c>
      <c r="MX6" s="11" t="str">
        <f t="shared" si="146"/>
        <v/>
      </c>
      <c r="MY6" s="11" t="str">
        <f t="shared" si="147"/>
        <v/>
      </c>
      <c r="MZ6" s="11" t="str">
        <f t="shared" si="148"/>
        <v/>
      </c>
      <c r="NA6" s="11" t="str">
        <f t="shared" si="149"/>
        <v/>
      </c>
      <c r="NB6" s="11" t="str">
        <f t="shared" si="150"/>
        <v/>
      </c>
      <c r="NC6" s="11" t="str">
        <f t="shared" si="151"/>
        <v/>
      </c>
      <c r="ND6" s="11" t="str">
        <f t="shared" si="152"/>
        <v/>
      </c>
      <c r="NE6" s="11" t="str">
        <f t="shared" si="153"/>
        <v/>
      </c>
      <c r="NF6" s="11" t="str">
        <f t="shared" si="154"/>
        <v/>
      </c>
      <c r="NG6" s="15"/>
      <c r="NH6" s="15"/>
      <c r="NI6" s="15"/>
      <c r="NJ6" s="15"/>
      <c r="NK6" s="15"/>
      <c r="NL6" s="15"/>
      <c r="NM6" s="15"/>
      <c r="NN6" s="15"/>
      <c r="NO6" s="15"/>
      <c r="NP6" s="15"/>
      <c r="NQ6" s="15"/>
      <c r="NR6" s="15"/>
      <c r="NS6" s="15"/>
      <c r="NT6" s="15"/>
      <c r="NU6" s="15"/>
      <c r="NV6" s="15"/>
      <c r="NW6" s="15"/>
      <c r="NX6" s="15"/>
      <c r="NY6" s="15"/>
      <c r="NZ6" s="15"/>
      <c r="OA6" s="36" t="str">
        <f t="shared" si="155"/>
        <v/>
      </c>
      <c r="OB6" s="36" t="str">
        <f t="shared" si="156"/>
        <v/>
      </c>
      <c r="OC6" s="36" t="str">
        <f t="shared" si="157"/>
        <v/>
      </c>
      <c r="OD6" s="36" t="str">
        <f t="shared" si="158"/>
        <v/>
      </c>
      <c r="OE6" s="36" t="str">
        <f t="shared" si="159"/>
        <v/>
      </c>
      <c r="OF6" s="36" t="str">
        <f t="shared" si="160"/>
        <v/>
      </c>
      <c r="OG6" s="36" t="str">
        <f t="shared" si="161"/>
        <v/>
      </c>
      <c r="OH6" s="36" t="str">
        <f t="shared" si="162"/>
        <v/>
      </c>
      <c r="OI6" s="36" t="str">
        <f t="shared" si="163"/>
        <v/>
      </c>
      <c r="OJ6" s="36" t="str">
        <f t="shared" si="164"/>
        <v/>
      </c>
      <c r="OK6" s="36" t="str">
        <f t="shared" si="165"/>
        <v/>
      </c>
      <c r="OL6" s="36" t="str">
        <f t="shared" si="166"/>
        <v/>
      </c>
      <c r="OM6" s="36" t="str">
        <f t="shared" si="167"/>
        <v/>
      </c>
      <c r="ON6" s="36" t="str">
        <f t="shared" si="168"/>
        <v/>
      </c>
      <c r="OO6" s="16"/>
      <c r="OP6" s="16"/>
      <c r="OQ6" s="16"/>
      <c r="OR6" s="16"/>
      <c r="OS6" s="16"/>
      <c r="OT6" s="16"/>
      <c r="OU6" s="16"/>
      <c r="OV6" s="16"/>
      <c r="OW6" s="16"/>
      <c r="OX6" s="16"/>
      <c r="OY6" s="16"/>
      <c r="OZ6" s="16"/>
      <c r="PA6" s="16"/>
      <c r="PB6" s="16"/>
      <c r="PC6" s="16"/>
      <c r="PD6" s="16"/>
      <c r="PE6" s="16"/>
      <c r="PF6" s="16"/>
      <c r="PG6" s="16"/>
      <c r="PH6" s="16"/>
      <c r="PI6" s="11" t="str">
        <f t="shared" si="169"/>
        <v/>
      </c>
      <c r="PJ6" s="11" t="str">
        <f t="shared" si="170"/>
        <v/>
      </c>
      <c r="PK6" s="11" t="str">
        <f t="shared" si="171"/>
        <v/>
      </c>
      <c r="PL6" s="11" t="str">
        <f t="shared" si="172"/>
        <v/>
      </c>
      <c r="PM6" s="11" t="str">
        <f t="shared" si="173"/>
        <v/>
      </c>
      <c r="PN6" s="11" t="str">
        <f t="shared" si="174"/>
        <v/>
      </c>
      <c r="PO6" s="11" t="str">
        <f t="shared" si="175"/>
        <v/>
      </c>
      <c r="PP6" s="11" t="str">
        <f t="shared" si="176"/>
        <v/>
      </c>
      <c r="PQ6" s="11" t="str">
        <f t="shared" si="177"/>
        <v/>
      </c>
      <c r="PR6" s="11" t="str">
        <f t="shared" si="178"/>
        <v/>
      </c>
      <c r="PS6" s="11" t="str">
        <f t="shared" si="179"/>
        <v/>
      </c>
      <c r="PT6" s="11" t="str">
        <f t="shared" si="180"/>
        <v/>
      </c>
      <c r="PU6" s="11" t="str">
        <f t="shared" si="181"/>
        <v/>
      </c>
      <c r="PV6" s="11" t="str">
        <f t="shared" si="182"/>
        <v/>
      </c>
      <c r="PW6" s="15"/>
      <c r="PX6" s="15"/>
      <c r="PY6" s="15"/>
      <c r="PZ6" s="15"/>
      <c r="QA6" s="15"/>
      <c r="QB6" s="15"/>
      <c r="QC6" s="15"/>
      <c r="QD6" s="15"/>
      <c r="QE6" s="15"/>
      <c r="QF6" s="15"/>
      <c r="QG6" s="15"/>
      <c r="QH6" s="15"/>
      <c r="QI6" s="15"/>
      <c r="QJ6" s="15"/>
      <c r="QK6" s="15"/>
      <c r="QL6" s="15"/>
      <c r="QM6" s="15"/>
      <c r="QN6" s="15"/>
      <c r="QO6" s="15"/>
      <c r="QP6" s="15"/>
      <c r="QQ6" s="36" t="str">
        <f t="shared" si="183"/>
        <v/>
      </c>
      <c r="QR6" s="36" t="str">
        <f t="shared" si="184"/>
        <v/>
      </c>
      <c r="QS6" s="36" t="str">
        <f t="shared" si="185"/>
        <v/>
      </c>
      <c r="QT6" s="36" t="str">
        <f t="shared" si="186"/>
        <v/>
      </c>
      <c r="QU6" s="36" t="str">
        <f t="shared" si="187"/>
        <v/>
      </c>
      <c r="QV6" s="36" t="str">
        <f t="shared" si="188"/>
        <v/>
      </c>
      <c r="QW6" s="36" t="str">
        <f t="shared" si="189"/>
        <v/>
      </c>
      <c r="QX6" s="36" t="str">
        <f t="shared" si="190"/>
        <v/>
      </c>
      <c r="QY6" s="36" t="str">
        <f t="shared" si="191"/>
        <v/>
      </c>
      <c r="QZ6" s="36" t="str">
        <f t="shared" si="192"/>
        <v/>
      </c>
      <c r="RA6" s="36" t="str">
        <f t="shared" si="193"/>
        <v/>
      </c>
      <c r="RB6" s="36" t="str">
        <f t="shared" si="194"/>
        <v/>
      </c>
      <c r="RC6" s="36" t="str">
        <f t="shared" si="195"/>
        <v/>
      </c>
      <c r="RD6" s="36" t="str">
        <f t="shared" si="196"/>
        <v/>
      </c>
      <c r="RE6" s="16"/>
      <c r="RF6" s="16"/>
      <c r="RG6" s="16"/>
      <c r="RH6" s="16"/>
      <c r="RI6" s="16"/>
      <c r="RJ6" s="16"/>
      <c r="RK6" s="16"/>
      <c r="RL6" s="16"/>
      <c r="RM6" s="16"/>
      <c r="RN6" s="16"/>
      <c r="RO6" s="16"/>
      <c r="RP6" s="16"/>
      <c r="RQ6" s="16"/>
      <c r="RR6" s="16"/>
      <c r="RS6" s="16"/>
      <c r="RT6" s="16"/>
      <c r="RU6" s="16"/>
      <c r="RV6" s="16"/>
      <c r="RW6" s="16"/>
      <c r="RX6" s="16"/>
      <c r="RY6" s="11" t="str">
        <f t="shared" si="197"/>
        <v/>
      </c>
      <c r="RZ6" s="11" t="str">
        <f t="shared" si="198"/>
        <v/>
      </c>
      <c r="SA6" s="11" t="str">
        <f t="shared" si="199"/>
        <v/>
      </c>
      <c r="SB6" s="11" t="str">
        <f t="shared" si="200"/>
        <v/>
      </c>
      <c r="SC6" s="11" t="str">
        <f t="shared" si="201"/>
        <v/>
      </c>
      <c r="SD6" s="11" t="str">
        <f t="shared" si="202"/>
        <v/>
      </c>
      <c r="SE6" s="11" t="str">
        <f t="shared" si="203"/>
        <v/>
      </c>
      <c r="SF6" s="11" t="str">
        <f t="shared" si="204"/>
        <v/>
      </c>
      <c r="SG6" s="11" t="str">
        <f t="shared" si="205"/>
        <v/>
      </c>
      <c r="SH6" s="11" t="str">
        <f t="shared" si="206"/>
        <v/>
      </c>
      <c r="SI6" s="11" t="str">
        <f t="shared" si="207"/>
        <v/>
      </c>
      <c r="SJ6" s="11" t="str">
        <f t="shared" si="208"/>
        <v/>
      </c>
      <c r="SK6" s="11" t="str">
        <f t="shared" si="209"/>
        <v/>
      </c>
      <c r="SL6" s="11" t="str">
        <f t="shared" si="210"/>
        <v/>
      </c>
      <c r="SM6" s="15"/>
      <c r="SN6" s="15"/>
      <c r="SO6" s="15"/>
      <c r="SP6" s="15"/>
      <c r="SQ6" s="15"/>
      <c r="SR6" s="15"/>
      <c r="SS6" s="15"/>
      <c r="ST6" s="15"/>
      <c r="SU6" s="15"/>
      <c r="SV6" s="15"/>
      <c r="SW6" s="15"/>
      <c r="SX6" s="15"/>
      <c r="SY6" s="15"/>
      <c r="SZ6" s="15"/>
      <c r="TA6" s="15"/>
      <c r="TB6" s="15"/>
      <c r="TC6" s="15"/>
      <c r="TD6" s="15"/>
      <c r="TE6" s="15"/>
      <c r="TF6" s="15"/>
      <c r="TG6" s="36" t="str">
        <f t="shared" si="211"/>
        <v/>
      </c>
      <c r="TH6" s="36" t="str">
        <f t="shared" si="212"/>
        <v/>
      </c>
      <c r="TI6" s="36" t="str">
        <f t="shared" si="213"/>
        <v/>
      </c>
      <c r="TJ6" s="36" t="str">
        <f t="shared" si="214"/>
        <v/>
      </c>
      <c r="TK6" s="36" t="str">
        <f t="shared" si="215"/>
        <v/>
      </c>
      <c r="TL6" s="36" t="str">
        <f t="shared" si="216"/>
        <v/>
      </c>
      <c r="TM6" s="36" t="str">
        <f t="shared" si="217"/>
        <v/>
      </c>
      <c r="TN6" s="36" t="str">
        <f t="shared" si="218"/>
        <v/>
      </c>
      <c r="TO6" s="36" t="str">
        <f t="shared" si="219"/>
        <v/>
      </c>
      <c r="TP6" s="36" t="str">
        <f t="shared" si="220"/>
        <v/>
      </c>
      <c r="TQ6" s="36" t="str">
        <f t="shared" si="221"/>
        <v/>
      </c>
      <c r="TR6" s="36" t="str">
        <f t="shared" si="222"/>
        <v/>
      </c>
      <c r="TS6" s="36" t="str">
        <f t="shared" si="223"/>
        <v/>
      </c>
      <c r="TT6" s="36" t="str">
        <f t="shared" si="224"/>
        <v/>
      </c>
      <c r="TU6" s="16"/>
      <c r="TV6" s="16"/>
      <c r="TW6" s="16"/>
      <c r="TX6" s="16"/>
      <c r="TY6" s="16"/>
      <c r="TZ6" s="16"/>
      <c r="UA6" s="16"/>
      <c r="UB6" s="16"/>
      <c r="UC6" s="16"/>
      <c r="UD6" s="16"/>
      <c r="UE6" s="16"/>
      <c r="UF6" s="16"/>
      <c r="UG6" s="16"/>
      <c r="UH6" s="16"/>
      <c r="UI6" s="16"/>
      <c r="UJ6" s="16"/>
      <c r="UK6" s="16"/>
      <c r="UL6" s="16"/>
      <c r="UM6" s="16"/>
      <c r="UN6" s="16"/>
      <c r="UO6" s="11" t="str">
        <f t="shared" si="225"/>
        <v/>
      </c>
      <c r="UP6" s="11" t="str">
        <f t="shared" si="226"/>
        <v/>
      </c>
      <c r="UQ6" s="11" t="str">
        <f t="shared" si="227"/>
        <v/>
      </c>
      <c r="UR6" s="11" t="str">
        <f t="shared" si="228"/>
        <v/>
      </c>
      <c r="US6" s="11" t="str">
        <f t="shared" si="229"/>
        <v/>
      </c>
      <c r="UT6" s="11" t="str">
        <f t="shared" si="230"/>
        <v/>
      </c>
      <c r="UU6" s="11" t="str">
        <f t="shared" si="231"/>
        <v/>
      </c>
      <c r="UV6" s="11" t="str">
        <f t="shared" si="232"/>
        <v/>
      </c>
      <c r="UW6" s="11" t="str">
        <f t="shared" si="233"/>
        <v/>
      </c>
      <c r="UX6" s="11" t="str">
        <f t="shared" si="234"/>
        <v/>
      </c>
      <c r="UY6" s="11" t="str">
        <f t="shared" si="235"/>
        <v/>
      </c>
      <c r="UZ6" s="11" t="str">
        <f t="shared" si="236"/>
        <v/>
      </c>
      <c r="VA6" s="11" t="str">
        <f t="shared" si="237"/>
        <v/>
      </c>
      <c r="VB6" s="11" t="str">
        <f t="shared" si="238"/>
        <v/>
      </c>
      <c r="VC6" s="15"/>
      <c r="VD6" s="15"/>
      <c r="VE6" s="15"/>
      <c r="VF6" s="15"/>
      <c r="VG6" s="15"/>
      <c r="VH6" s="15"/>
      <c r="VI6" s="15"/>
      <c r="VJ6" s="15"/>
      <c r="VK6" s="15"/>
      <c r="VL6" s="15"/>
      <c r="VM6" s="15"/>
      <c r="VN6" s="15"/>
      <c r="VO6" s="15"/>
      <c r="VP6" s="15"/>
      <c r="VQ6" s="15"/>
      <c r="VR6" s="15"/>
      <c r="VS6" s="15"/>
      <c r="VT6" s="15"/>
      <c r="VU6" s="15"/>
      <c r="VV6" s="15"/>
      <c r="VW6" s="36" t="str">
        <f t="shared" si="239"/>
        <v/>
      </c>
      <c r="VX6" s="36" t="str">
        <f t="shared" si="240"/>
        <v/>
      </c>
      <c r="VY6" s="36" t="str">
        <f t="shared" si="241"/>
        <v/>
      </c>
      <c r="VZ6" s="36" t="str">
        <f t="shared" si="242"/>
        <v/>
      </c>
      <c r="WA6" s="36" t="str">
        <f t="shared" si="243"/>
        <v/>
      </c>
      <c r="WB6" s="36" t="str">
        <f t="shared" si="244"/>
        <v/>
      </c>
      <c r="WC6" s="36" t="str">
        <f t="shared" si="245"/>
        <v/>
      </c>
      <c r="WD6" s="36" t="str">
        <f t="shared" si="246"/>
        <v/>
      </c>
      <c r="WE6" s="36" t="str">
        <f t="shared" si="247"/>
        <v/>
      </c>
      <c r="WF6" s="36" t="str">
        <f t="shared" si="248"/>
        <v/>
      </c>
      <c r="WG6" s="36" t="str">
        <f t="shared" si="249"/>
        <v/>
      </c>
      <c r="WH6" s="36" t="str">
        <f t="shared" si="250"/>
        <v/>
      </c>
      <c r="WI6" s="36" t="str">
        <f t="shared" si="251"/>
        <v/>
      </c>
      <c r="WJ6" s="36" t="str">
        <f t="shared" si="252"/>
        <v/>
      </c>
    </row>
    <row r="7" spans="1:608" x14ac:dyDescent="0.2">
      <c r="A7" s="4" cm="1">
        <f t="array" ref="A7">IF(AND(H7&lt;&gt;"",H7&lt;&gt;"No DD",I7&lt;&gt;"P"),SUMPRODUCT((H$4:H$28&lt;&gt;"")*(H$4:H$28&lt;&gt;"No DD")*(I$4:I$28&lt;&gt;"P")*(E$4:E$28&gt;E7))+1,IF(H7="No DD",SUMPRODUCT((H$4:H$28="No DD")*(I$4:I$28&lt;&gt;"P")*(E$4:E$28&gt;E7))+1+SUMPRODUCT((H$4:H$28&lt;&gt;"")*(I$4:I$28&lt;&gt;"P")*(H$4:H$28&lt;&gt;"No DD")),""))</f>
        <v>2</v>
      </c>
      <c r="B7" s="5" t="s">
        <v>89</v>
      </c>
      <c r="C7" s="4" t="s">
        <v>7</v>
      </c>
      <c r="D7" s="4">
        <v>2006</v>
      </c>
      <c r="E7" s="9">
        <f t="shared" si="0"/>
        <v>109.9700109970055</v>
      </c>
      <c r="F7" s="3" t="str">
        <f t="shared" si="1"/>
        <v>P</v>
      </c>
      <c r="G7" s="3" t="str">
        <f t="shared" si="2"/>
        <v>P</v>
      </c>
      <c r="H7" s="32" t="str">
        <f t="shared" si="3"/>
        <v>National Team</v>
      </c>
      <c r="I7" s="3" t="str">
        <f>IF(COUNTIFS('Senior-M'!B:B,B7,'Senior-M'!A:A,"&lt;9",'Senior-M'!H:H,"&lt;&gt;"&amp;"No DD"),"P","")</f>
        <v/>
      </c>
      <c r="J7" s="8">
        <f t="shared" si="4"/>
        <v>55.05</v>
      </c>
      <c r="K7" s="8" t="str">
        <f t="shared" si="5"/>
        <v>2025 3rd Domestic Trial</v>
      </c>
      <c r="L7" s="8">
        <f>IFERROR(LARGE((AI7,AL7,AP7,BJ7,BM7,BQ7,CK7,CN7,CR7),2),0)</f>
        <v>54.92</v>
      </c>
      <c r="M7" s="8" t="str">
        <f t="shared" si="6"/>
        <v>2025 Elite Canada</v>
      </c>
      <c r="N7" s="8">
        <f t="shared" si="7"/>
        <v>0</v>
      </c>
      <c r="O7" s="11" t="str">
        <f>IF(N7=0,"",IF(N7=CT7,"("&amp;CT$2&amp;")",IF(N7=#REF!,"("&amp;#REF!&amp;")")))</f>
        <v/>
      </c>
      <c r="P7" s="8" t="str">
        <f t="shared" si="8"/>
        <v/>
      </c>
      <c r="Q7" s="18">
        <v>15.5</v>
      </c>
      <c r="R7" s="18">
        <v>9.1999999999999993</v>
      </c>
      <c r="S7" s="18">
        <v>14.9</v>
      </c>
      <c r="T7" s="18">
        <v>15.32</v>
      </c>
      <c r="U7" s="18">
        <v>0</v>
      </c>
      <c r="V7" s="18">
        <v>14.1</v>
      </c>
      <c r="W7" s="18">
        <v>9.1999999999999993</v>
      </c>
      <c r="X7" s="18">
        <v>13.7</v>
      </c>
      <c r="Y7" s="18">
        <v>15.55</v>
      </c>
      <c r="Z7" s="18">
        <v>0.8</v>
      </c>
      <c r="AA7" s="18">
        <v>14.8</v>
      </c>
      <c r="AB7" s="18">
        <v>9.3000000000000007</v>
      </c>
      <c r="AC7" s="18">
        <v>14.9</v>
      </c>
      <c r="AD7" s="18">
        <v>15.41</v>
      </c>
      <c r="AE7" s="18">
        <v>0</v>
      </c>
      <c r="AF7" s="23"/>
      <c r="AG7" s="34">
        <f t="shared" si="9"/>
        <v>14.9</v>
      </c>
      <c r="AH7" s="34">
        <f t="shared" si="10"/>
        <v>15.32</v>
      </c>
      <c r="AI7" s="36">
        <f t="shared" si="11"/>
        <v>54.92</v>
      </c>
      <c r="AJ7" s="36">
        <f t="shared" si="12"/>
        <v>13.7</v>
      </c>
      <c r="AK7" s="36">
        <f t="shared" si="13"/>
        <v>15.55</v>
      </c>
      <c r="AL7" s="36">
        <f t="shared" si="14"/>
        <v>51.75</v>
      </c>
      <c r="AM7" s="36">
        <f t="shared" si="15"/>
        <v>54.92</v>
      </c>
      <c r="AN7" s="36">
        <f t="shared" si="16"/>
        <v>14.9</v>
      </c>
      <c r="AO7" s="36">
        <f t="shared" si="17"/>
        <v>15.41</v>
      </c>
      <c r="AP7" s="36">
        <f t="shared" si="18"/>
        <v>54.41</v>
      </c>
      <c r="AQ7" s="36">
        <f t="shared" si="19"/>
        <v>109.33</v>
      </c>
      <c r="AR7" s="22">
        <v>2.7</v>
      </c>
      <c r="AS7" s="22">
        <v>1.9</v>
      </c>
      <c r="AT7" s="22">
        <v>3.5</v>
      </c>
      <c r="AU7" s="22">
        <v>3.26</v>
      </c>
      <c r="AV7" s="22">
        <v>0</v>
      </c>
      <c r="AW7" s="22">
        <v>10.9</v>
      </c>
      <c r="AX7" s="22">
        <v>9.1999999999999993</v>
      </c>
      <c r="AY7" s="22">
        <v>15.1</v>
      </c>
      <c r="AZ7" s="22">
        <v>15.1</v>
      </c>
      <c r="BA7" s="22">
        <v>0</v>
      </c>
      <c r="BB7" s="22"/>
      <c r="BC7" s="22"/>
      <c r="BD7" s="22"/>
      <c r="BE7" s="22"/>
      <c r="BF7" s="22"/>
      <c r="BG7" s="24"/>
      <c r="BH7" s="35">
        <f t="shared" si="20"/>
        <v>3.5</v>
      </c>
      <c r="BI7" s="35">
        <f t="shared" si="21"/>
        <v>3.26</v>
      </c>
      <c r="BJ7" s="11">
        <f t="shared" si="22"/>
        <v>11.36</v>
      </c>
      <c r="BK7" s="11">
        <f t="shared" si="23"/>
        <v>15.1</v>
      </c>
      <c r="BL7" s="11">
        <f t="shared" si="24"/>
        <v>15.1</v>
      </c>
      <c r="BM7" s="11">
        <f t="shared" si="25"/>
        <v>50.300000000000004</v>
      </c>
      <c r="BN7" s="11">
        <f t="shared" si="26"/>
        <v>50.300000000000004</v>
      </c>
      <c r="BO7" s="11" t="str">
        <f t="shared" si="27"/>
        <v/>
      </c>
      <c r="BP7" s="11" t="str">
        <f t="shared" si="28"/>
        <v/>
      </c>
      <c r="BQ7" s="11" t="str">
        <f t="shared" si="29"/>
        <v/>
      </c>
      <c r="BR7" s="11">
        <f t="shared" si="30"/>
        <v>50.300000000000004</v>
      </c>
      <c r="BS7" s="18">
        <v>14.4</v>
      </c>
      <c r="BT7" s="18">
        <v>9.3000000000000007</v>
      </c>
      <c r="BU7" s="18">
        <v>15.3</v>
      </c>
      <c r="BV7" s="18">
        <v>16.05</v>
      </c>
      <c r="BW7" s="18">
        <v>0</v>
      </c>
      <c r="BX7" s="18">
        <v>13</v>
      </c>
      <c r="BY7" s="18">
        <v>9.1999999999999993</v>
      </c>
      <c r="BZ7" s="18">
        <v>16</v>
      </c>
      <c r="CA7" s="18">
        <v>16.21</v>
      </c>
      <c r="CB7" s="18">
        <v>0</v>
      </c>
      <c r="CC7" s="18">
        <v>10.199999999999999</v>
      </c>
      <c r="CD7" s="18">
        <v>6.6</v>
      </c>
      <c r="CE7" s="18">
        <v>11.7</v>
      </c>
      <c r="CF7" s="18">
        <v>12.39</v>
      </c>
      <c r="CG7" s="18">
        <v>0</v>
      </c>
      <c r="CH7" s="23"/>
      <c r="CI7" s="34">
        <f t="shared" si="31"/>
        <v>15.3</v>
      </c>
      <c r="CJ7" s="34">
        <f t="shared" si="32"/>
        <v>16.05</v>
      </c>
      <c r="CK7" s="36">
        <f t="shared" si="33"/>
        <v>55.05</v>
      </c>
      <c r="CL7" s="36">
        <f t="shared" si="34"/>
        <v>16</v>
      </c>
      <c r="CM7" s="36">
        <f t="shared" si="35"/>
        <v>16.21</v>
      </c>
      <c r="CN7" s="36">
        <f t="shared" si="36"/>
        <v>54.410000000000004</v>
      </c>
      <c r="CO7" s="36">
        <f t="shared" si="37"/>
        <v>55.05</v>
      </c>
      <c r="CP7" s="36">
        <f t="shared" si="38"/>
        <v>11.7</v>
      </c>
      <c r="CQ7" s="36">
        <f t="shared" si="39"/>
        <v>12.39</v>
      </c>
      <c r="CR7" s="36">
        <f t="shared" si="40"/>
        <v>40.89</v>
      </c>
      <c r="CS7" s="36">
        <f t="shared" si="41"/>
        <v>95.94</v>
      </c>
      <c r="CT7" s="47" t="str">
        <f t="shared" si="42"/>
        <v/>
      </c>
      <c r="CU7" s="15"/>
      <c r="CV7" s="15"/>
      <c r="CW7" s="15"/>
      <c r="CX7" s="15"/>
      <c r="CY7" s="15"/>
      <c r="CZ7" s="15"/>
      <c r="DA7" s="15"/>
      <c r="DB7" s="15"/>
      <c r="DC7" s="15"/>
      <c r="DD7" s="15"/>
      <c r="DE7" s="15"/>
      <c r="DF7" s="15"/>
      <c r="DG7" s="15"/>
      <c r="DH7" s="15"/>
      <c r="DI7" s="15"/>
      <c r="DJ7" s="15"/>
      <c r="DK7" s="15"/>
      <c r="DL7" s="15"/>
      <c r="DM7" s="15"/>
      <c r="DN7" s="15"/>
      <c r="DO7" s="36" t="str">
        <f t="shared" si="43"/>
        <v/>
      </c>
      <c r="DP7" s="36" t="str">
        <f t="shared" si="44"/>
        <v/>
      </c>
      <c r="DQ7" s="36" t="str">
        <f t="shared" si="45"/>
        <v/>
      </c>
      <c r="DR7" s="36" t="str">
        <f t="shared" si="46"/>
        <v/>
      </c>
      <c r="DS7" s="36" t="str">
        <f t="shared" si="47"/>
        <v/>
      </c>
      <c r="DT7" s="36" t="str">
        <f t="shared" si="48"/>
        <v/>
      </c>
      <c r="DU7" s="36" t="str">
        <f t="shared" si="49"/>
        <v/>
      </c>
      <c r="DV7" s="36" t="str">
        <f t="shared" si="50"/>
        <v/>
      </c>
      <c r="DW7" s="36" t="str">
        <f t="shared" si="51"/>
        <v/>
      </c>
      <c r="DX7" s="36" t="str">
        <f t="shared" si="52"/>
        <v/>
      </c>
      <c r="DY7" s="36" t="str">
        <f t="shared" si="53"/>
        <v/>
      </c>
      <c r="DZ7" s="36" t="str">
        <f t="shared" si="54"/>
        <v/>
      </c>
      <c r="EA7" s="36" t="str">
        <f t="shared" si="55"/>
        <v/>
      </c>
      <c r="EB7" s="36" t="str">
        <f t="shared" si="56"/>
        <v/>
      </c>
      <c r="EC7" s="16"/>
      <c r="ED7" s="16"/>
      <c r="EE7" s="16"/>
      <c r="EF7" s="16"/>
      <c r="EG7" s="16"/>
      <c r="EH7" s="16"/>
      <c r="EI7" s="16"/>
      <c r="EJ7" s="16"/>
      <c r="EK7" s="16"/>
      <c r="EL7" s="16"/>
      <c r="EM7" s="16"/>
      <c r="EN7" s="16"/>
      <c r="EO7" s="16"/>
      <c r="EP7" s="16"/>
      <c r="EQ7" s="16"/>
      <c r="ER7" s="16"/>
      <c r="ES7" s="16"/>
      <c r="ET7" s="16"/>
      <c r="EU7" s="16"/>
      <c r="EV7" s="16"/>
      <c r="EW7" s="11" t="str">
        <f t="shared" si="57"/>
        <v/>
      </c>
      <c r="EX7" s="11" t="str">
        <f t="shared" si="58"/>
        <v/>
      </c>
      <c r="EY7" s="11" t="str">
        <f t="shared" si="59"/>
        <v/>
      </c>
      <c r="EZ7" s="11" t="str">
        <f t="shared" si="60"/>
        <v/>
      </c>
      <c r="FA7" s="11" t="str">
        <f t="shared" si="61"/>
        <v/>
      </c>
      <c r="FB7" s="11" t="str">
        <f t="shared" si="62"/>
        <v/>
      </c>
      <c r="FC7" s="11" t="str">
        <f t="shared" si="63"/>
        <v/>
      </c>
      <c r="FD7" s="11" t="str">
        <f t="shared" si="64"/>
        <v/>
      </c>
      <c r="FE7" s="11" t="str">
        <f t="shared" si="65"/>
        <v/>
      </c>
      <c r="FF7" s="11" t="str">
        <f t="shared" si="66"/>
        <v/>
      </c>
      <c r="FG7" s="11" t="str">
        <f t="shared" si="67"/>
        <v/>
      </c>
      <c r="FH7" s="11" t="str">
        <f t="shared" si="68"/>
        <v/>
      </c>
      <c r="FI7" s="11" t="str">
        <f t="shared" si="69"/>
        <v/>
      </c>
      <c r="FJ7" s="11" t="str">
        <f t="shared" si="70"/>
        <v/>
      </c>
      <c r="FK7" s="15">
        <v>11.7</v>
      </c>
      <c r="FL7" s="15">
        <v>9.3000000000000007</v>
      </c>
      <c r="FM7" s="15">
        <v>14.7</v>
      </c>
      <c r="FN7" s="15">
        <v>15.66</v>
      </c>
      <c r="FO7" s="15">
        <v>0</v>
      </c>
      <c r="FP7" s="15">
        <v>12.2</v>
      </c>
      <c r="FQ7" s="15">
        <v>9</v>
      </c>
      <c r="FR7" s="15">
        <v>14.9</v>
      </c>
      <c r="FS7" s="15">
        <v>15.38</v>
      </c>
      <c r="FT7" s="15">
        <v>0</v>
      </c>
      <c r="FU7" s="15">
        <v>1.4</v>
      </c>
      <c r="FV7" s="15">
        <v>0.9</v>
      </c>
      <c r="FW7" s="15">
        <v>2</v>
      </c>
      <c r="FX7" s="15">
        <v>1.75</v>
      </c>
      <c r="FY7" s="15">
        <v>0</v>
      </c>
      <c r="FZ7" s="15"/>
      <c r="GA7" s="15"/>
      <c r="GB7" s="15"/>
      <c r="GC7" s="15"/>
      <c r="GD7" s="15"/>
      <c r="GE7" s="36">
        <f t="shared" si="71"/>
        <v>14.7</v>
      </c>
      <c r="GF7" s="36">
        <f t="shared" si="72"/>
        <v>15.66</v>
      </c>
      <c r="GG7" s="36">
        <f t="shared" si="73"/>
        <v>51.36</v>
      </c>
      <c r="GH7" s="36">
        <f t="shared" si="74"/>
        <v>14.9</v>
      </c>
      <c r="GI7" s="36">
        <f t="shared" si="75"/>
        <v>15.38</v>
      </c>
      <c r="GJ7" s="36">
        <f t="shared" si="76"/>
        <v>51.480000000000004</v>
      </c>
      <c r="GK7" s="36">
        <f t="shared" si="77"/>
        <v>51.480000000000004</v>
      </c>
      <c r="GL7" s="36">
        <f t="shared" si="78"/>
        <v>2</v>
      </c>
      <c r="GM7" s="36">
        <f t="shared" si="79"/>
        <v>1.75</v>
      </c>
      <c r="GN7" s="36">
        <f t="shared" si="80"/>
        <v>6.05</v>
      </c>
      <c r="GO7" s="36" t="str">
        <f t="shared" si="81"/>
        <v/>
      </c>
      <c r="GP7" s="36" t="str">
        <f t="shared" si="82"/>
        <v/>
      </c>
      <c r="GQ7" s="36" t="str">
        <f t="shared" si="83"/>
        <v/>
      </c>
      <c r="GR7" s="36">
        <f t="shared" si="84"/>
        <v>57.53</v>
      </c>
      <c r="GS7" s="16"/>
      <c r="GT7" s="16"/>
      <c r="GU7" s="16"/>
      <c r="GV7" s="16"/>
      <c r="GW7" s="16"/>
      <c r="GX7" s="16"/>
      <c r="GY7" s="16"/>
      <c r="GZ7" s="16"/>
      <c r="HA7" s="16"/>
      <c r="HB7" s="16"/>
      <c r="HC7" s="16"/>
      <c r="HD7" s="16"/>
      <c r="HE7" s="16"/>
      <c r="HF7" s="16"/>
      <c r="HG7" s="16"/>
      <c r="HH7" s="16"/>
      <c r="HI7" s="16"/>
      <c r="HJ7" s="16"/>
      <c r="HK7" s="16"/>
      <c r="HL7" s="16"/>
      <c r="HM7" s="11" t="str">
        <f t="shared" si="85"/>
        <v/>
      </c>
      <c r="HN7" s="11" t="str">
        <f t="shared" si="86"/>
        <v/>
      </c>
      <c r="HO7" s="11" t="str">
        <f t="shared" si="87"/>
        <v/>
      </c>
      <c r="HP7" s="11" t="str">
        <f t="shared" si="88"/>
        <v/>
      </c>
      <c r="HQ7" s="11" t="str">
        <f t="shared" si="89"/>
        <v/>
      </c>
      <c r="HR7" s="11" t="str">
        <f t="shared" si="90"/>
        <v/>
      </c>
      <c r="HS7" s="11" t="str">
        <f t="shared" si="91"/>
        <v/>
      </c>
      <c r="HT7" s="11" t="str">
        <f t="shared" si="92"/>
        <v/>
      </c>
      <c r="HU7" s="11" t="str">
        <f t="shared" si="93"/>
        <v/>
      </c>
      <c r="HV7" s="11" t="str">
        <f t="shared" si="94"/>
        <v/>
      </c>
      <c r="HW7" s="11" t="str">
        <f t="shared" si="95"/>
        <v/>
      </c>
      <c r="HX7" s="11" t="str">
        <f t="shared" si="96"/>
        <v/>
      </c>
      <c r="HY7" s="11" t="str">
        <f t="shared" si="97"/>
        <v/>
      </c>
      <c r="HZ7" s="11" t="str">
        <f t="shared" si="98"/>
        <v/>
      </c>
      <c r="IA7" s="15"/>
      <c r="IB7" s="15"/>
      <c r="IC7" s="15"/>
      <c r="ID7" s="15"/>
      <c r="IE7" s="15"/>
      <c r="IF7" s="15"/>
      <c r="IG7" s="15"/>
      <c r="IH7" s="15"/>
      <c r="II7" s="15"/>
      <c r="IJ7" s="15"/>
      <c r="IK7" s="15"/>
      <c r="IL7" s="15"/>
      <c r="IM7" s="15"/>
      <c r="IN7" s="15"/>
      <c r="IO7" s="15"/>
      <c r="IP7" s="15"/>
      <c r="IQ7" s="15"/>
      <c r="IR7" s="15"/>
      <c r="IS7" s="15"/>
      <c r="IT7" s="15"/>
      <c r="IU7" s="36" t="str">
        <f t="shared" si="99"/>
        <v/>
      </c>
      <c r="IV7" s="36" t="str">
        <f t="shared" si="100"/>
        <v/>
      </c>
      <c r="IW7" s="36" t="str">
        <f t="shared" si="101"/>
        <v/>
      </c>
      <c r="IX7" s="36" t="str">
        <f t="shared" si="102"/>
        <v/>
      </c>
      <c r="IY7" s="36" t="str">
        <f t="shared" si="103"/>
        <v/>
      </c>
      <c r="IZ7" s="36" t="str">
        <f t="shared" si="104"/>
        <v/>
      </c>
      <c r="JA7" s="36" t="str">
        <f t="shared" si="105"/>
        <v/>
      </c>
      <c r="JB7" s="36" t="str">
        <f t="shared" si="106"/>
        <v/>
      </c>
      <c r="JC7" s="36" t="str">
        <f t="shared" si="107"/>
        <v/>
      </c>
      <c r="JD7" s="36" t="str">
        <f t="shared" si="108"/>
        <v/>
      </c>
      <c r="JE7" s="36" t="str">
        <f t="shared" si="109"/>
        <v/>
      </c>
      <c r="JF7" s="36" t="str">
        <f t="shared" si="110"/>
        <v/>
      </c>
      <c r="JG7" s="36" t="str">
        <f t="shared" si="111"/>
        <v/>
      </c>
      <c r="JH7" s="36" t="str">
        <f t="shared" si="112"/>
        <v/>
      </c>
      <c r="JI7" s="16"/>
      <c r="JJ7" s="16"/>
      <c r="JK7" s="16"/>
      <c r="JL7" s="16"/>
      <c r="JM7" s="16"/>
      <c r="JN7" s="16"/>
      <c r="JO7" s="16"/>
      <c r="JP7" s="16"/>
      <c r="JQ7" s="16"/>
      <c r="JR7" s="16"/>
      <c r="JS7" s="16"/>
      <c r="JT7" s="16"/>
      <c r="JU7" s="16"/>
      <c r="JV7" s="16"/>
      <c r="JW7" s="16"/>
      <c r="JX7" s="16"/>
      <c r="JY7" s="16"/>
      <c r="JZ7" s="16"/>
      <c r="KA7" s="16"/>
      <c r="KB7" s="16"/>
      <c r="KC7" s="11" t="str">
        <f t="shared" si="113"/>
        <v/>
      </c>
      <c r="KD7" s="11" t="str">
        <f t="shared" si="114"/>
        <v/>
      </c>
      <c r="KE7" s="11" t="str">
        <f t="shared" si="115"/>
        <v/>
      </c>
      <c r="KF7" s="11" t="str">
        <f t="shared" si="116"/>
        <v/>
      </c>
      <c r="KG7" s="11" t="str">
        <f t="shared" si="117"/>
        <v/>
      </c>
      <c r="KH7" s="11" t="str">
        <f t="shared" si="118"/>
        <v/>
      </c>
      <c r="KI7" s="11" t="str">
        <f t="shared" si="119"/>
        <v/>
      </c>
      <c r="KJ7" s="11" t="str">
        <f t="shared" si="120"/>
        <v/>
      </c>
      <c r="KK7" s="11" t="str">
        <f t="shared" si="121"/>
        <v/>
      </c>
      <c r="KL7" s="11" t="str">
        <f t="shared" si="122"/>
        <v/>
      </c>
      <c r="KM7" s="11" t="str">
        <f t="shared" si="123"/>
        <v/>
      </c>
      <c r="KN7" s="11" t="str">
        <f t="shared" si="124"/>
        <v/>
      </c>
      <c r="KO7" s="11" t="str">
        <f t="shared" si="125"/>
        <v/>
      </c>
      <c r="KP7" s="11" t="str">
        <f t="shared" si="126"/>
        <v/>
      </c>
      <c r="KQ7" s="15"/>
      <c r="KR7" s="15"/>
      <c r="KS7" s="15"/>
      <c r="KT7" s="15"/>
      <c r="KU7" s="15"/>
      <c r="KV7" s="15"/>
      <c r="KW7" s="15"/>
      <c r="KX7" s="15"/>
      <c r="KY7" s="15"/>
      <c r="KZ7" s="15"/>
      <c r="LA7" s="15"/>
      <c r="LB7" s="15"/>
      <c r="LC7" s="15"/>
      <c r="LD7" s="15"/>
      <c r="LE7" s="15"/>
      <c r="LF7" s="15"/>
      <c r="LG7" s="15"/>
      <c r="LH7" s="15"/>
      <c r="LI7" s="15"/>
      <c r="LJ7" s="15"/>
      <c r="LK7" s="36" t="str">
        <f t="shared" si="127"/>
        <v/>
      </c>
      <c r="LL7" s="36" t="str">
        <f t="shared" si="128"/>
        <v/>
      </c>
      <c r="LM7" s="36" t="str">
        <f t="shared" si="129"/>
        <v/>
      </c>
      <c r="LN7" s="36" t="str">
        <f t="shared" si="130"/>
        <v/>
      </c>
      <c r="LO7" s="36" t="str">
        <f t="shared" si="131"/>
        <v/>
      </c>
      <c r="LP7" s="36" t="str">
        <f t="shared" si="132"/>
        <v/>
      </c>
      <c r="LQ7" s="36" t="str">
        <f t="shared" si="133"/>
        <v/>
      </c>
      <c r="LR7" s="36" t="str">
        <f t="shared" si="134"/>
        <v/>
      </c>
      <c r="LS7" s="36" t="str">
        <f t="shared" si="135"/>
        <v/>
      </c>
      <c r="LT7" s="36" t="str">
        <f t="shared" si="136"/>
        <v/>
      </c>
      <c r="LU7" s="36" t="str">
        <f t="shared" si="137"/>
        <v/>
      </c>
      <c r="LV7" s="36" t="str">
        <f t="shared" si="138"/>
        <v/>
      </c>
      <c r="LW7" s="36" t="str">
        <f t="shared" si="139"/>
        <v/>
      </c>
      <c r="LX7" s="36" t="str">
        <f t="shared" si="140"/>
        <v/>
      </c>
      <c r="LY7" s="16">
        <v>15.3</v>
      </c>
      <c r="LZ7" s="16">
        <v>9.6</v>
      </c>
      <c r="MA7" s="16">
        <v>3</v>
      </c>
      <c r="MB7" s="16">
        <v>15.83</v>
      </c>
      <c r="MC7" s="16">
        <v>0</v>
      </c>
      <c r="MD7" s="16">
        <v>12.7</v>
      </c>
      <c r="ME7" s="16">
        <v>9.1</v>
      </c>
      <c r="MF7" s="16">
        <v>12.2</v>
      </c>
      <c r="MG7" s="16">
        <v>15.36</v>
      </c>
      <c r="MH7" s="16">
        <v>0</v>
      </c>
      <c r="MI7" s="16"/>
      <c r="MJ7" s="16"/>
      <c r="MK7" s="16"/>
      <c r="ML7" s="16"/>
      <c r="MM7" s="16"/>
      <c r="MN7" s="16"/>
      <c r="MO7" s="16"/>
      <c r="MP7" s="16"/>
      <c r="MQ7" s="16"/>
      <c r="MR7" s="16"/>
      <c r="MS7" s="11">
        <f t="shared" si="141"/>
        <v>3</v>
      </c>
      <c r="MT7" s="11">
        <f t="shared" si="142"/>
        <v>15.83</v>
      </c>
      <c r="MU7" s="11">
        <f t="shared" si="143"/>
        <v>43.73</v>
      </c>
      <c r="MV7" s="11">
        <f t="shared" si="144"/>
        <v>12.2</v>
      </c>
      <c r="MW7" s="11">
        <f t="shared" si="145"/>
        <v>15.36</v>
      </c>
      <c r="MX7" s="11">
        <f t="shared" si="146"/>
        <v>49.36</v>
      </c>
      <c r="MY7" s="11">
        <f t="shared" si="147"/>
        <v>49.36</v>
      </c>
      <c r="MZ7" s="11" t="str">
        <f t="shared" si="148"/>
        <v/>
      </c>
      <c r="NA7" s="11" t="str">
        <f t="shared" si="149"/>
        <v/>
      </c>
      <c r="NB7" s="11" t="str">
        <f t="shared" si="150"/>
        <v/>
      </c>
      <c r="NC7" s="11" t="str">
        <f t="shared" si="151"/>
        <v/>
      </c>
      <c r="ND7" s="11" t="str">
        <f t="shared" si="152"/>
        <v/>
      </c>
      <c r="NE7" s="11" t="str">
        <f t="shared" si="153"/>
        <v/>
      </c>
      <c r="NF7" s="11">
        <f t="shared" si="154"/>
        <v>49.36</v>
      </c>
      <c r="NG7" s="15"/>
      <c r="NH7" s="15"/>
      <c r="NI7" s="15"/>
      <c r="NJ7" s="15"/>
      <c r="NK7" s="15"/>
      <c r="NL7" s="15"/>
      <c r="NM7" s="15"/>
      <c r="NN7" s="15"/>
      <c r="NO7" s="15"/>
      <c r="NP7" s="15"/>
      <c r="NQ7" s="15"/>
      <c r="NR7" s="15"/>
      <c r="NS7" s="15"/>
      <c r="NT7" s="15"/>
      <c r="NU7" s="15"/>
      <c r="NV7" s="15"/>
      <c r="NW7" s="15"/>
      <c r="NX7" s="15"/>
      <c r="NY7" s="15"/>
      <c r="NZ7" s="15"/>
      <c r="OA7" s="36" t="str">
        <f t="shared" si="155"/>
        <v/>
      </c>
      <c r="OB7" s="36" t="str">
        <f t="shared" si="156"/>
        <v/>
      </c>
      <c r="OC7" s="36" t="str">
        <f t="shared" si="157"/>
        <v/>
      </c>
      <c r="OD7" s="36" t="str">
        <f t="shared" si="158"/>
        <v/>
      </c>
      <c r="OE7" s="36" t="str">
        <f t="shared" si="159"/>
        <v/>
      </c>
      <c r="OF7" s="36" t="str">
        <f t="shared" si="160"/>
        <v/>
      </c>
      <c r="OG7" s="36" t="str">
        <f t="shared" si="161"/>
        <v/>
      </c>
      <c r="OH7" s="36" t="str">
        <f t="shared" si="162"/>
        <v/>
      </c>
      <c r="OI7" s="36" t="str">
        <f t="shared" si="163"/>
        <v/>
      </c>
      <c r="OJ7" s="36" t="str">
        <f t="shared" si="164"/>
        <v/>
      </c>
      <c r="OK7" s="36" t="str">
        <f t="shared" si="165"/>
        <v/>
      </c>
      <c r="OL7" s="36" t="str">
        <f t="shared" si="166"/>
        <v/>
      </c>
      <c r="OM7" s="36" t="str">
        <f t="shared" si="167"/>
        <v/>
      </c>
      <c r="ON7" s="36" t="str">
        <f t="shared" si="168"/>
        <v/>
      </c>
      <c r="OO7" s="16"/>
      <c r="OP7" s="16"/>
      <c r="OQ7" s="16"/>
      <c r="OR7" s="16"/>
      <c r="OS7" s="16"/>
      <c r="OT7" s="16"/>
      <c r="OU7" s="16"/>
      <c r="OV7" s="16"/>
      <c r="OW7" s="16"/>
      <c r="OX7" s="16"/>
      <c r="OY7" s="16"/>
      <c r="OZ7" s="16"/>
      <c r="PA7" s="16"/>
      <c r="PB7" s="16"/>
      <c r="PC7" s="16"/>
      <c r="PD7" s="16"/>
      <c r="PE7" s="16"/>
      <c r="PF7" s="16"/>
      <c r="PG7" s="16"/>
      <c r="PH7" s="16"/>
      <c r="PI7" s="11" t="str">
        <f t="shared" si="169"/>
        <v/>
      </c>
      <c r="PJ7" s="11" t="str">
        <f t="shared" si="170"/>
        <v/>
      </c>
      <c r="PK7" s="11" t="str">
        <f t="shared" si="171"/>
        <v/>
      </c>
      <c r="PL7" s="11" t="str">
        <f t="shared" si="172"/>
        <v/>
      </c>
      <c r="PM7" s="11" t="str">
        <f t="shared" si="173"/>
        <v/>
      </c>
      <c r="PN7" s="11" t="str">
        <f t="shared" si="174"/>
        <v/>
      </c>
      <c r="PO7" s="11" t="str">
        <f t="shared" si="175"/>
        <v/>
      </c>
      <c r="PP7" s="11" t="str">
        <f t="shared" si="176"/>
        <v/>
      </c>
      <c r="PQ7" s="11" t="str">
        <f t="shared" si="177"/>
        <v/>
      </c>
      <c r="PR7" s="11" t="str">
        <f t="shared" si="178"/>
        <v/>
      </c>
      <c r="PS7" s="11" t="str">
        <f t="shared" si="179"/>
        <v/>
      </c>
      <c r="PT7" s="11" t="str">
        <f t="shared" si="180"/>
        <v/>
      </c>
      <c r="PU7" s="11" t="str">
        <f t="shared" si="181"/>
        <v/>
      </c>
      <c r="PV7" s="11" t="str">
        <f t="shared" si="182"/>
        <v/>
      </c>
      <c r="PW7" s="15"/>
      <c r="PX7" s="15"/>
      <c r="PY7" s="15"/>
      <c r="PZ7" s="15"/>
      <c r="QA7" s="15"/>
      <c r="QB7" s="15"/>
      <c r="QC7" s="15"/>
      <c r="QD7" s="15"/>
      <c r="QE7" s="15"/>
      <c r="QF7" s="15"/>
      <c r="QG7" s="15"/>
      <c r="QH7" s="15"/>
      <c r="QI7" s="15"/>
      <c r="QJ7" s="15"/>
      <c r="QK7" s="15"/>
      <c r="QL7" s="15"/>
      <c r="QM7" s="15"/>
      <c r="QN7" s="15"/>
      <c r="QO7" s="15"/>
      <c r="QP7" s="15"/>
      <c r="QQ7" s="36" t="str">
        <f t="shared" si="183"/>
        <v/>
      </c>
      <c r="QR7" s="36" t="str">
        <f t="shared" si="184"/>
        <v/>
      </c>
      <c r="QS7" s="36" t="str">
        <f t="shared" si="185"/>
        <v/>
      </c>
      <c r="QT7" s="36" t="str">
        <f t="shared" si="186"/>
        <v/>
      </c>
      <c r="QU7" s="36" t="str">
        <f t="shared" si="187"/>
        <v/>
      </c>
      <c r="QV7" s="36" t="str">
        <f t="shared" si="188"/>
        <v/>
      </c>
      <c r="QW7" s="36" t="str">
        <f t="shared" si="189"/>
        <v/>
      </c>
      <c r="QX7" s="36" t="str">
        <f t="shared" si="190"/>
        <v/>
      </c>
      <c r="QY7" s="36" t="str">
        <f t="shared" si="191"/>
        <v/>
      </c>
      <c r="QZ7" s="36" t="str">
        <f t="shared" si="192"/>
        <v/>
      </c>
      <c r="RA7" s="36" t="str">
        <f t="shared" si="193"/>
        <v/>
      </c>
      <c r="RB7" s="36" t="str">
        <f t="shared" si="194"/>
        <v/>
      </c>
      <c r="RC7" s="36" t="str">
        <f t="shared" si="195"/>
        <v/>
      </c>
      <c r="RD7" s="36" t="str">
        <f t="shared" si="196"/>
        <v/>
      </c>
      <c r="RE7" s="16"/>
      <c r="RF7" s="16"/>
      <c r="RG7" s="16"/>
      <c r="RH7" s="16"/>
      <c r="RI7" s="16"/>
      <c r="RJ7" s="16"/>
      <c r="RK7" s="16"/>
      <c r="RL7" s="16"/>
      <c r="RM7" s="16"/>
      <c r="RN7" s="16"/>
      <c r="RO7" s="16"/>
      <c r="RP7" s="16"/>
      <c r="RQ7" s="16"/>
      <c r="RR7" s="16"/>
      <c r="RS7" s="16"/>
      <c r="RT7" s="16"/>
      <c r="RU7" s="16"/>
      <c r="RV7" s="16"/>
      <c r="RW7" s="16"/>
      <c r="RX7" s="16"/>
      <c r="RY7" s="11" t="str">
        <f t="shared" si="197"/>
        <v/>
      </c>
      <c r="RZ7" s="11" t="str">
        <f t="shared" si="198"/>
        <v/>
      </c>
      <c r="SA7" s="11" t="str">
        <f t="shared" si="199"/>
        <v/>
      </c>
      <c r="SB7" s="11" t="str">
        <f t="shared" si="200"/>
        <v/>
      </c>
      <c r="SC7" s="11" t="str">
        <f t="shared" si="201"/>
        <v/>
      </c>
      <c r="SD7" s="11" t="str">
        <f t="shared" si="202"/>
        <v/>
      </c>
      <c r="SE7" s="11" t="str">
        <f t="shared" si="203"/>
        <v/>
      </c>
      <c r="SF7" s="11" t="str">
        <f t="shared" si="204"/>
        <v/>
      </c>
      <c r="SG7" s="11" t="str">
        <f t="shared" si="205"/>
        <v/>
      </c>
      <c r="SH7" s="11" t="str">
        <f t="shared" si="206"/>
        <v/>
      </c>
      <c r="SI7" s="11" t="str">
        <f t="shared" si="207"/>
        <v/>
      </c>
      <c r="SJ7" s="11" t="str">
        <f t="shared" si="208"/>
        <v/>
      </c>
      <c r="SK7" s="11" t="str">
        <f t="shared" si="209"/>
        <v/>
      </c>
      <c r="SL7" s="11" t="str">
        <f t="shared" si="210"/>
        <v/>
      </c>
      <c r="SM7" s="15"/>
      <c r="SN7" s="15"/>
      <c r="SO7" s="15"/>
      <c r="SP7" s="15"/>
      <c r="SQ7" s="15"/>
      <c r="SR7" s="15"/>
      <c r="SS7" s="15"/>
      <c r="ST7" s="15"/>
      <c r="SU7" s="15"/>
      <c r="SV7" s="15"/>
      <c r="SW7" s="15"/>
      <c r="SX7" s="15"/>
      <c r="SY7" s="15"/>
      <c r="SZ7" s="15"/>
      <c r="TA7" s="15"/>
      <c r="TB7" s="15"/>
      <c r="TC7" s="15"/>
      <c r="TD7" s="15"/>
      <c r="TE7" s="15"/>
      <c r="TF7" s="15"/>
      <c r="TG7" s="36" t="str">
        <f t="shared" si="211"/>
        <v/>
      </c>
      <c r="TH7" s="36" t="str">
        <f t="shared" si="212"/>
        <v/>
      </c>
      <c r="TI7" s="36" t="str">
        <f t="shared" si="213"/>
        <v/>
      </c>
      <c r="TJ7" s="36" t="str">
        <f t="shared" si="214"/>
        <v/>
      </c>
      <c r="TK7" s="36" t="str">
        <f t="shared" si="215"/>
        <v/>
      </c>
      <c r="TL7" s="36" t="str">
        <f t="shared" si="216"/>
        <v/>
      </c>
      <c r="TM7" s="36" t="str">
        <f t="shared" si="217"/>
        <v/>
      </c>
      <c r="TN7" s="36" t="str">
        <f t="shared" si="218"/>
        <v/>
      </c>
      <c r="TO7" s="36" t="str">
        <f t="shared" si="219"/>
        <v/>
      </c>
      <c r="TP7" s="36" t="str">
        <f t="shared" si="220"/>
        <v/>
      </c>
      <c r="TQ7" s="36" t="str">
        <f t="shared" si="221"/>
        <v/>
      </c>
      <c r="TR7" s="36" t="str">
        <f t="shared" si="222"/>
        <v/>
      </c>
      <c r="TS7" s="36" t="str">
        <f t="shared" si="223"/>
        <v/>
      </c>
      <c r="TT7" s="36" t="str">
        <f t="shared" si="224"/>
        <v/>
      </c>
      <c r="TU7" s="16"/>
      <c r="TV7" s="16"/>
      <c r="TW7" s="16"/>
      <c r="TX7" s="16"/>
      <c r="TY7" s="16"/>
      <c r="TZ7" s="16"/>
      <c r="UA7" s="16"/>
      <c r="UB7" s="16"/>
      <c r="UC7" s="16"/>
      <c r="UD7" s="16"/>
      <c r="UE7" s="16"/>
      <c r="UF7" s="16"/>
      <c r="UG7" s="16"/>
      <c r="UH7" s="16"/>
      <c r="UI7" s="16"/>
      <c r="UJ7" s="16"/>
      <c r="UK7" s="16"/>
      <c r="UL7" s="16"/>
      <c r="UM7" s="16"/>
      <c r="UN7" s="16"/>
      <c r="UO7" s="11" t="str">
        <f t="shared" si="225"/>
        <v/>
      </c>
      <c r="UP7" s="11" t="str">
        <f t="shared" si="226"/>
        <v/>
      </c>
      <c r="UQ7" s="11" t="str">
        <f t="shared" si="227"/>
        <v/>
      </c>
      <c r="UR7" s="11" t="str">
        <f t="shared" si="228"/>
        <v/>
      </c>
      <c r="US7" s="11" t="str">
        <f t="shared" si="229"/>
        <v/>
      </c>
      <c r="UT7" s="11" t="str">
        <f t="shared" si="230"/>
        <v/>
      </c>
      <c r="UU7" s="11" t="str">
        <f t="shared" si="231"/>
        <v/>
      </c>
      <c r="UV7" s="11" t="str">
        <f t="shared" si="232"/>
        <v/>
      </c>
      <c r="UW7" s="11" t="str">
        <f t="shared" si="233"/>
        <v/>
      </c>
      <c r="UX7" s="11" t="str">
        <f t="shared" si="234"/>
        <v/>
      </c>
      <c r="UY7" s="11" t="str">
        <f t="shared" si="235"/>
        <v/>
      </c>
      <c r="UZ7" s="11" t="str">
        <f t="shared" si="236"/>
        <v/>
      </c>
      <c r="VA7" s="11" t="str">
        <f t="shared" si="237"/>
        <v/>
      </c>
      <c r="VB7" s="11" t="str">
        <f t="shared" si="238"/>
        <v/>
      </c>
      <c r="VC7" s="15"/>
      <c r="VD7" s="15"/>
      <c r="VE7" s="15"/>
      <c r="VF7" s="15"/>
      <c r="VG7" s="15"/>
      <c r="VH7" s="15"/>
      <c r="VI7" s="15"/>
      <c r="VJ7" s="15"/>
      <c r="VK7" s="15"/>
      <c r="VL7" s="15"/>
      <c r="VM7" s="15"/>
      <c r="VN7" s="15"/>
      <c r="VO7" s="15"/>
      <c r="VP7" s="15"/>
      <c r="VQ7" s="15"/>
      <c r="VR7" s="15"/>
      <c r="VS7" s="15"/>
      <c r="VT7" s="15"/>
      <c r="VU7" s="15"/>
      <c r="VV7" s="15"/>
      <c r="VW7" s="36" t="str">
        <f t="shared" si="239"/>
        <v/>
      </c>
      <c r="VX7" s="36" t="str">
        <f t="shared" si="240"/>
        <v/>
      </c>
      <c r="VY7" s="36" t="str">
        <f t="shared" si="241"/>
        <v/>
      </c>
      <c r="VZ7" s="36" t="str">
        <f t="shared" si="242"/>
        <v/>
      </c>
      <c r="WA7" s="36" t="str">
        <f t="shared" si="243"/>
        <v/>
      </c>
      <c r="WB7" s="36" t="str">
        <f t="shared" si="244"/>
        <v/>
      </c>
      <c r="WC7" s="36" t="str">
        <f t="shared" si="245"/>
        <v/>
      </c>
      <c r="WD7" s="36" t="str">
        <f t="shared" si="246"/>
        <v/>
      </c>
      <c r="WE7" s="36" t="str">
        <f t="shared" si="247"/>
        <v/>
      </c>
      <c r="WF7" s="36" t="str">
        <f t="shared" si="248"/>
        <v/>
      </c>
      <c r="WG7" s="36" t="str">
        <f t="shared" si="249"/>
        <v/>
      </c>
      <c r="WH7" s="36" t="str">
        <f t="shared" si="250"/>
        <v/>
      </c>
      <c r="WI7" s="36" t="str">
        <f t="shared" si="251"/>
        <v/>
      </c>
      <c r="WJ7" s="36" t="str">
        <f t="shared" si="252"/>
        <v/>
      </c>
    </row>
    <row r="8" spans="1:608" x14ac:dyDescent="0.2">
      <c r="A8" s="4" cm="1">
        <f t="array" ref="A8">IF(AND(H8&lt;&gt;"",H8&lt;&gt;"No DD",I8&lt;&gt;"P"),SUMPRODUCT((H$4:H$28&lt;&gt;"")*(H$4:H$28&lt;&gt;"No DD")*(I$4:I$28&lt;&gt;"P")*(E$4:E$28&gt;E8))+1,IF(H8="No DD",SUMPRODUCT((H$4:H$28="No DD")*(I$4:I$28&lt;&gt;"P")*(E$4:E$28&gt;E8))+1+SUMPRODUCT((H$4:H$28&lt;&gt;"")*(I$4:I$28&lt;&gt;"P")*(H$4:H$28&lt;&gt;"No DD")),""))</f>
        <v>3</v>
      </c>
      <c r="B8" s="5" t="s">
        <v>119</v>
      </c>
      <c r="C8" s="4" t="s">
        <v>3</v>
      </c>
      <c r="D8" s="4">
        <v>2007</v>
      </c>
      <c r="E8" s="9">
        <f t="shared" si="0"/>
        <v>107.05001070500548</v>
      </c>
      <c r="F8" s="3" t="str">
        <f t="shared" si="1"/>
        <v>P</v>
      </c>
      <c r="G8" s="3" t="str">
        <f t="shared" si="2"/>
        <v>P</v>
      </c>
      <c r="H8" s="32" t="str">
        <f t="shared" si="3"/>
        <v>National Team</v>
      </c>
      <c r="I8" s="3" t="str">
        <f>IF(COUNTIFS('Senior-M'!B:B,B8,'Senior-M'!A:A,"&lt;9",'Senior-M'!H:H,"&lt;&gt;"&amp;"No DD"),"P","")</f>
        <v/>
      </c>
      <c r="J8" s="8">
        <f t="shared" si="4"/>
        <v>54.74</v>
      </c>
      <c r="K8" s="8" t="str">
        <f t="shared" si="5"/>
        <v>2025 Elite Canada</v>
      </c>
      <c r="L8" s="8">
        <f>IFERROR(LARGE((AI8,AL8,AP8,BJ8,BM8,BQ8,CK8,CN8,CR8),2),0)</f>
        <v>52.31</v>
      </c>
      <c r="M8" s="8" t="str">
        <f t="shared" si="6"/>
        <v>2025 3rd Domestic Trial</v>
      </c>
      <c r="N8" s="8">
        <f t="shared" si="7"/>
        <v>0</v>
      </c>
      <c r="O8" s="11" t="str">
        <f>IF(N8=0,"",IF(N8=CT8,"("&amp;CT$2&amp;")",IF(N8=#REF!,"("&amp;#REF!&amp;")")))</f>
        <v/>
      </c>
      <c r="P8" s="8" t="str">
        <f t="shared" si="8"/>
        <v/>
      </c>
      <c r="Q8" s="18">
        <v>12.2</v>
      </c>
      <c r="R8" s="18">
        <v>8.4</v>
      </c>
      <c r="S8" s="18">
        <v>12.8</v>
      </c>
      <c r="T8" s="18">
        <v>13.33</v>
      </c>
      <c r="U8" s="18">
        <v>0.2</v>
      </c>
      <c r="V8" s="18">
        <v>15.2</v>
      </c>
      <c r="W8" s="18">
        <v>9.1999999999999993</v>
      </c>
      <c r="X8" s="18">
        <v>12.6</v>
      </c>
      <c r="Y8" s="18">
        <v>15.27</v>
      </c>
      <c r="Z8" s="18">
        <v>1.9</v>
      </c>
      <c r="AA8" s="18">
        <v>15.3</v>
      </c>
      <c r="AB8" s="18">
        <v>9.1</v>
      </c>
      <c r="AC8" s="18">
        <v>15.1</v>
      </c>
      <c r="AD8" s="18">
        <v>15.24</v>
      </c>
      <c r="AE8" s="18">
        <v>0</v>
      </c>
      <c r="AF8" s="23"/>
      <c r="AG8" s="34">
        <f t="shared" si="9"/>
        <v>12.8</v>
      </c>
      <c r="AH8" s="34">
        <f t="shared" si="10"/>
        <v>13.33</v>
      </c>
      <c r="AI8" s="36">
        <f t="shared" si="11"/>
        <v>46.53</v>
      </c>
      <c r="AJ8" s="36">
        <f t="shared" si="12"/>
        <v>12.6</v>
      </c>
      <c r="AK8" s="36">
        <f t="shared" si="13"/>
        <v>15.27</v>
      </c>
      <c r="AL8" s="36">
        <f t="shared" si="14"/>
        <v>50.37</v>
      </c>
      <c r="AM8" s="36">
        <f t="shared" si="15"/>
        <v>50.37</v>
      </c>
      <c r="AN8" s="36">
        <f t="shared" si="16"/>
        <v>15.1</v>
      </c>
      <c r="AO8" s="36">
        <f t="shared" si="17"/>
        <v>15.24</v>
      </c>
      <c r="AP8" s="36">
        <f t="shared" si="18"/>
        <v>54.74</v>
      </c>
      <c r="AQ8" s="36">
        <f t="shared" si="19"/>
        <v>105.11</v>
      </c>
      <c r="AR8" s="22">
        <v>11.8</v>
      </c>
      <c r="AS8" s="22">
        <v>8.6999999999999993</v>
      </c>
      <c r="AT8" s="22">
        <v>10.5</v>
      </c>
      <c r="AU8" s="22">
        <v>15.53</v>
      </c>
      <c r="AV8" s="22">
        <v>4</v>
      </c>
      <c r="AW8" s="22">
        <v>10.4</v>
      </c>
      <c r="AX8" s="22">
        <v>8.4</v>
      </c>
      <c r="AY8" s="22">
        <v>9.6999999999999993</v>
      </c>
      <c r="AZ8" s="22">
        <v>13.32</v>
      </c>
      <c r="BA8" s="22">
        <v>0</v>
      </c>
      <c r="BB8" s="22"/>
      <c r="BC8" s="22"/>
      <c r="BD8" s="22"/>
      <c r="BE8" s="22"/>
      <c r="BF8" s="22"/>
      <c r="BG8" s="24"/>
      <c r="BH8" s="35">
        <f t="shared" si="20"/>
        <v>10.5</v>
      </c>
      <c r="BI8" s="35">
        <f t="shared" si="21"/>
        <v>15.53</v>
      </c>
      <c r="BJ8" s="11">
        <f t="shared" si="22"/>
        <v>42.53</v>
      </c>
      <c r="BK8" s="11">
        <f t="shared" si="23"/>
        <v>9.6999999999999993</v>
      </c>
      <c r="BL8" s="11">
        <f t="shared" si="24"/>
        <v>13.32</v>
      </c>
      <c r="BM8" s="11">
        <f t="shared" si="25"/>
        <v>41.82</v>
      </c>
      <c r="BN8" s="11">
        <f t="shared" si="26"/>
        <v>42.53</v>
      </c>
      <c r="BO8" s="11" t="str">
        <f t="shared" si="27"/>
        <v/>
      </c>
      <c r="BP8" s="11" t="str">
        <f t="shared" si="28"/>
        <v/>
      </c>
      <c r="BQ8" s="11" t="str">
        <f t="shared" si="29"/>
        <v/>
      </c>
      <c r="BR8" s="11">
        <f t="shared" si="30"/>
        <v>42.53</v>
      </c>
      <c r="BS8" s="18">
        <v>15.4</v>
      </c>
      <c r="BT8" s="18">
        <v>9</v>
      </c>
      <c r="BU8" s="18">
        <v>13.1</v>
      </c>
      <c r="BV8" s="18">
        <v>16.21</v>
      </c>
      <c r="BW8" s="18">
        <v>1.4</v>
      </c>
      <c r="BX8" s="18">
        <v>1.5</v>
      </c>
      <c r="BY8" s="18">
        <v>1</v>
      </c>
      <c r="BZ8" s="18">
        <v>1.7</v>
      </c>
      <c r="CA8" s="18">
        <v>0</v>
      </c>
      <c r="CB8" s="18">
        <v>0</v>
      </c>
      <c r="CC8" s="18">
        <v>2.7</v>
      </c>
      <c r="CD8" s="18">
        <v>1.7</v>
      </c>
      <c r="CE8" s="18">
        <v>4</v>
      </c>
      <c r="CF8" s="18">
        <v>3.48</v>
      </c>
      <c r="CG8" s="18">
        <v>0</v>
      </c>
      <c r="CH8" s="23"/>
      <c r="CI8" s="34">
        <f t="shared" si="31"/>
        <v>13.1</v>
      </c>
      <c r="CJ8" s="34">
        <f t="shared" si="32"/>
        <v>16.21</v>
      </c>
      <c r="CK8" s="36">
        <f t="shared" si="33"/>
        <v>52.31</v>
      </c>
      <c r="CL8" s="36">
        <f t="shared" si="34"/>
        <v>1.7</v>
      </c>
      <c r="CM8" s="36" t="str">
        <f t="shared" si="35"/>
        <v/>
      </c>
      <c r="CN8" s="36">
        <f t="shared" si="36"/>
        <v>4.2</v>
      </c>
      <c r="CO8" s="36">
        <f t="shared" si="37"/>
        <v>52.31</v>
      </c>
      <c r="CP8" s="36">
        <f t="shared" si="38"/>
        <v>4</v>
      </c>
      <c r="CQ8" s="36">
        <f t="shared" si="39"/>
        <v>3.48</v>
      </c>
      <c r="CR8" s="36">
        <f t="shared" si="40"/>
        <v>11.88</v>
      </c>
      <c r="CS8" s="36">
        <f t="shared" si="41"/>
        <v>64.19</v>
      </c>
      <c r="CT8" s="47" t="str">
        <f t="shared" si="42"/>
        <v/>
      </c>
      <c r="CU8" s="15"/>
      <c r="CV8" s="15"/>
      <c r="CW8" s="15"/>
      <c r="CX8" s="15"/>
      <c r="CY8" s="15"/>
      <c r="CZ8" s="15"/>
      <c r="DA8" s="15"/>
      <c r="DB8" s="15"/>
      <c r="DC8" s="15"/>
      <c r="DD8" s="15"/>
      <c r="DE8" s="15"/>
      <c r="DF8" s="15"/>
      <c r="DG8" s="15"/>
      <c r="DH8" s="15"/>
      <c r="DI8" s="15"/>
      <c r="DJ8" s="15"/>
      <c r="DK8" s="15"/>
      <c r="DL8" s="15"/>
      <c r="DM8" s="15"/>
      <c r="DN8" s="15"/>
      <c r="DO8" s="36" t="str">
        <f t="shared" si="43"/>
        <v/>
      </c>
      <c r="DP8" s="36" t="str">
        <f t="shared" si="44"/>
        <v/>
      </c>
      <c r="DQ8" s="36" t="str">
        <f t="shared" si="45"/>
        <v/>
      </c>
      <c r="DR8" s="36" t="str">
        <f t="shared" si="46"/>
        <v/>
      </c>
      <c r="DS8" s="36" t="str">
        <f t="shared" si="47"/>
        <v/>
      </c>
      <c r="DT8" s="36" t="str">
        <f t="shared" si="48"/>
        <v/>
      </c>
      <c r="DU8" s="36" t="str">
        <f t="shared" si="49"/>
        <v/>
      </c>
      <c r="DV8" s="36" t="str">
        <f t="shared" si="50"/>
        <v/>
      </c>
      <c r="DW8" s="36" t="str">
        <f t="shared" si="51"/>
        <v/>
      </c>
      <c r="DX8" s="36" t="str">
        <f t="shared" si="52"/>
        <v/>
      </c>
      <c r="DY8" s="36" t="str">
        <f t="shared" si="53"/>
        <v/>
      </c>
      <c r="DZ8" s="36" t="str">
        <f t="shared" si="54"/>
        <v/>
      </c>
      <c r="EA8" s="36" t="str">
        <f t="shared" si="55"/>
        <v/>
      </c>
      <c r="EB8" s="36" t="str">
        <f t="shared" si="56"/>
        <v/>
      </c>
      <c r="EC8" s="16"/>
      <c r="ED8" s="16"/>
      <c r="EE8" s="16"/>
      <c r="EF8" s="16"/>
      <c r="EG8" s="16"/>
      <c r="EH8" s="16"/>
      <c r="EI8" s="16"/>
      <c r="EJ8" s="16"/>
      <c r="EK8" s="16"/>
      <c r="EL8" s="16"/>
      <c r="EM8" s="16"/>
      <c r="EN8" s="16"/>
      <c r="EO8" s="16"/>
      <c r="EP8" s="16"/>
      <c r="EQ8" s="16"/>
      <c r="ER8" s="16"/>
      <c r="ES8" s="16"/>
      <c r="ET8" s="16"/>
      <c r="EU8" s="16"/>
      <c r="EV8" s="16"/>
      <c r="EW8" s="11" t="str">
        <f t="shared" si="57"/>
        <v/>
      </c>
      <c r="EX8" s="11" t="str">
        <f t="shared" si="58"/>
        <v/>
      </c>
      <c r="EY8" s="11" t="str">
        <f t="shared" si="59"/>
        <v/>
      </c>
      <c r="EZ8" s="11" t="str">
        <f t="shared" si="60"/>
        <v/>
      </c>
      <c r="FA8" s="11" t="str">
        <f t="shared" si="61"/>
        <v/>
      </c>
      <c r="FB8" s="11" t="str">
        <f t="shared" si="62"/>
        <v/>
      </c>
      <c r="FC8" s="11" t="str">
        <f t="shared" si="63"/>
        <v/>
      </c>
      <c r="FD8" s="11" t="str">
        <f t="shared" si="64"/>
        <v/>
      </c>
      <c r="FE8" s="11" t="str">
        <f t="shared" si="65"/>
        <v/>
      </c>
      <c r="FF8" s="11" t="str">
        <f t="shared" si="66"/>
        <v/>
      </c>
      <c r="FG8" s="11" t="str">
        <f t="shared" si="67"/>
        <v/>
      </c>
      <c r="FH8" s="11" t="str">
        <f t="shared" si="68"/>
        <v/>
      </c>
      <c r="FI8" s="11" t="str">
        <f t="shared" si="69"/>
        <v/>
      </c>
      <c r="FJ8" s="11" t="str">
        <f t="shared" si="70"/>
        <v/>
      </c>
      <c r="FK8" s="15">
        <v>1.5</v>
      </c>
      <c r="FL8" s="15">
        <v>1</v>
      </c>
      <c r="FM8" s="15">
        <v>2</v>
      </c>
      <c r="FN8" s="15">
        <v>1.65</v>
      </c>
      <c r="FO8" s="15">
        <v>0</v>
      </c>
      <c r="FP8" s="15">
        <v>2.4</v>
      </c>
      <c r="FQ8" s="15">
        <v>1.6</v>
      </c>
      <c r="FR8" s="15">
        <v>3.5</v>
      </c>
      <c r="FS8" s="15">
        <v>3.19</v>
      </c>
      <c r="FT8" s="15">
        <v>0</v>
      </c>
      <c r="FU8" s="15"/>
      <c r="FV8" s="15"/>
      <c r="FW8" s="15"/>
      <c r="FX8" s="15"/>
      <c r="FY8" s="15"/>
      <c r="FZ8" s="15"/>
      <c r="GA8" s="15"/>
      <c r="GB8" s="15"/>
      <c r="GC8" s="15"/>
      <c r="GD8" s="15"/>
      <c r="GE8" s="36">
        <f t="shared" si="71"/>
        <v>2</v>
      </c>
      <c r="GF8" s="36">
        <f t="shared" si="72"/>
        <v>1.65</v>
      </c>
      <c r="GG8" s="36">
        <f t="shared" si="73"/>
        <v>6.15</v>
      </c>
      <c r="GH8" s="36">
        <f t="shared" si="74"/>
        <v>3.5</v>
      </c>
      <c r="GI8" s="36">
        <f t="shared" si="75"/>
        <v>3.19</v>
      </c>
      <c r="GJ8" s="36">
        <f t="shared" si="76"/>
        <v>10.69</v>
      </c>
      <c r="GK8" s="36">
        <f t="shared" si="77"/>
        <v>10.69</v>
      </c>
      <c r="GL8" s="36" t="str">
        <f t="shared" si="78"/>
        <v/>
      </c>
      <c r="GM8" s="36" t="str">
        <f t="shared" si="79"/>
        <v/>
      </c>
      <c r="GN8" s="36" t="str">
        <f t="shared" si="80"/>
        <v/>
      </c>
      <c r="GO8" s="36" t="str">
        <f t="shared" si="81"/>
        <v/>
      </c>
      <c r="GP8" s="36" t="str">
        <f t="shared" si="82"/>
        <v/>
      </c>
      <c r="GQ8" s="36" t="str">
        <f t="shared" si="83"/>
        <v/>
      </c>
      <c r="GR8" s="36">
        <f t="shared" si="84"/>
        <v>10.69</v>
      </c>
      <c r="GS8" s="16"/>
      <c r="GT8" s="16"/>
      <c r="GU8" s="16"/>
      <c r="GV8" s="16"/>
      <c r="GW8" s="16"/>
      <c r="GX8" s="16"/>
      <c r="GY8" s="16"/>
      <c r="GZ8" s="16"/>
      <c r="HA8" s="16"/>
      <c r="HB8" s="16"/>
      <c r="HC8" s="16"/>
      <c r="HD8" s="16"/>
      <c r="HE8" s="16"/>
      <c r="HF8" s="16"/>
      <c r="HG8" s="16"/>
      <c r="HH8" s="16"/>
      <c r="HI8" s="16"/>
      <c r="HJ8" s="16"/>
      <c r="HK8" s="16"/>
      <c r="HL8" s="16"/>
      <c r="HM8" s="11" t="str">
        <f t="shared" si="85"/>
        <v/>
      </c>
      <c r="HN8" s="11" t="str">
        <f t="shared" si="86"/>
        <v/>
      </c>
      <c r="HO8" s="11" t="str">
        <f t="shared" si="87"/>
        <v/>
      </c>
      <c r="HP8" s="11" t="str">
        <f t="shared" si="88"/>
        <v/>
      </c>
      <c r="HQ8" s="11" t="str">
        <f t="shared" si="89"/>
        <v/>
      </c>
      <c r="HR8" s="11" t="str">
        <f t="shared" si="90"/>
        <v/>
      </c>
      <c r="HS8" s="11" t="str">
        <f t="shared" si="91"/>
        <v/>
      </c>
      <c r="HT8" s="11" t="str">
        <f t="shared" si="92"/>
        <v/>
      </c>
      <c r="HU8" s="11" t="str">
        <f t="shared" si="93"/>
        <v/>
      </c>
      <c r="HV8" s="11" t="str">
        <f t="shared" si="94"/>
        <v/>
      </c>
      <c r="HW8" s="11" t="str">
        <f t="shared" si="95"/>
        <v/>
      </c>
      <c r="HX8" s="11" t="str">
        <f t="shared" si="96"/>
        <v/>
      </c>
      <c r="HY8" s="11" t="str">
        <f t="shared" si="97"/>
        <v/>
      </c>
      <c r="HZ8" s="11" t="str">
        <f t="shared" si="98"/>
        <v/>
      </c>
      <c r="IA8" s="15"/>
      <c r="IB8" s="15"/>
      <c r="IC8" s="15"/>
      <c r="ID8" s="15"/>
      <c r="IE8" s="15"/>
      <c r="IF8" s="15"/>
      <c r="IG8" s="15"/>
      <c r="IH8" s="15"/>
      <c r="II8" s="15"/>
      <c r="IJ8" s="15"/>
      <c r="IK8" s="15"/>
      <c r="IL8" s="15"/>
      <c r="IM8" s="15"/>
      <c r="IN8" s="15"/>
      <c r="IO8" s="15"/>
      <c r="IP8" s="15"/>
      <c r="IQ8" s="15"/>
      <c r="IR8" s="15"/>
      <c r="IS8" s="15"/>
      <c r="IT8" s="15"/>
      <c r="IU8" s="36" t="str">
        <f t="shared" si="99"/>
        <v/>
      </c>
      <c r="IV8" s="36" t="str">
        <f t="shared" si="100"/>
        <v/>
      </c>
      <c r="IW8" s="36" t="str">
        <f t="shared" si="101"/>
        <v/>
      </c>
      <c r="IX8" s="36" t="str">
        <f t="shared" si="102"/>
        <v/>
      </c>
      <c r="IY8" s="36" t="str">
        <f t="shared" si="103"/>
        <v/>
      </c>
      <c r="IZ8" s="36" t="str">
        <f t="shared" si="104"/>
        <v/>
      </c>
      <c r="JA8" s="36" t="str">
        <f t="shared" si="105"/>
        <v/>
      </c>
      <c r="JB8" s="36" t="str">
        <f t="shared" si="106"/>
        <v/>
      </c>
      <c r="JC8" s="36" t="str">
        <f t="shared" si="107"/>
        <v/>
      </c>
      <c r="JD8" s="36" t="str">
        <f t="shared" si="108"/>
        <v/>
      </c>
      <c r="JE8" s="36" t="str">
        <f t="shared" si="109"/>
        <v/>
      </c>
      <c r="JF8" s="36" t="str">
        <f t="shared" si="110"/>
        <v/>
      </c>
      <c r="JG8" s="36" t="str">
        <f t="shared" si="111"/>
        <v/>
      </c>
      <c r="JH8" s="36" t="str">
        <f t="shared" si="112"/>
        <v/>
      </c>
      <c r="JI8" s="16"/>
      <c r="JJ8" s="16"/>
      <c r="JK8" s="16"/>
      <c r="JL8" s="16"/>
      <c r="JM8" s="16"/>
      <c r="JN8" s="16"/>
      <c r="JO8" s="16"/>
      <c r="JP8" s="16"/>
      <c r="JQ8" s="16"/>
      <c r="JR8" s="16"/>
      <c r="JS8" s="16"/>
      <c r="JT8" s="16"/>
      <c r="JU8" s="16"/>
      <c r="JV8" s="16"/>
      <c r="JW8" s="16"/>
      <c r="JX8" s="16"/>
      <c r="JY8" s="16"/>
      <c r="JZ8" s="16"/>
      <c r="KA8" s="16"/>
      <c r="KB8" s="16"/>
      <c r="KC8" s="11" t="str">
        <f t="shared" si="113"/>
        <v/>
      </c>
      <c r="KD8" s="11" t="str">
        <f t="shared" si="114"/>
        <v/>
      </c>
      <c r="KE8" s="11" t="str">
        <f t="shared" si="115"/>
        <v/>
      </c>
      <c r="KF8" s="11" t="str">
        <f t="shared" si="116"/>
        <v/>
      </c>
      <c r="KG8" s="11" t="str">
        <f t="shared" si="117"/>
        <v/>
      </c>
      <c r="KH8" s="11" t="str">
        <f t="shared" si="118"/>
        <v/>
      </c>
      <c r="KI8" s="11" t="str">
        <f t="shared" si="119"/>
        <v/>
      </c>
      <c r="KJ8" s="11" t="str">
        <f t="shared" si="120"/>
        <v/>
      </c>
      <c r="KK8" s="11" t="str">
        <f t="shared" si="121"/>
        <v/>
      </c>
      <c r="KL8" s="11" t="str">
        <f t="shared" si="122"/>
        <v/>
      </c>
      <c r="KM8" s="11" t="str">
        <f t="shared" si="123"/>
        <v/>
      </c>
      <c r="KN8" s="11" t="str">
        <f t="shared" si="124"/>
        <v/>
      </c>
      <c r="KO8" s="11" t="str">
        <f t="shared" si="125"/>
        <v/>
      </c>
      <c r="KP8" s="11" t="str">
        <f t="shared" si="126"/>
        <v/>
      </c>
      <c r="KQ8" s="15"/>
      <c r="KR8" s="15"/>
      <c r="KS8" s="15"/>
      <c r="KT8" s="15"/>
      <c r="KU8" s="15"/>
      <c r="KV8" s="15"/>
      <c r="KW8" s="15"/>
      <c r="KX8" s="15"/>
      <c r="KY8" s="15"/>
      <c r="KZ8" s="15"/>
      <c r="LA8" s="15"/>
      <c r="LB8" s="15"/>
      <c r="LC8" s="15"/>
      <c r="LD8" s="15"/>
      <c r="LE8" s="15"/>
      <c r="LF8" s="15"/>
      <c r="LG8" s="15"/>
      <c r="LH8" s="15"/>
      <c r="LI8" s="15"/>
      <c r="LJ8" s="15"/>
      <c r="LK8" s="36" t="str">
        <f t="shared" si="127"/>
        <v/>
      </c>
      <c r="LL8" s="36" t="str">
        <f t="shared" si="128"/>
        <v/>
      </c>
      <c r="LM8" s="36" t="str">
        <f t="shared" si="129"/>
        <v/>
      </c>
      <c r="LN8" s="36" t="str">
        <f t="shared" si="130"/>
        <v/>
      </c>
      <c r="LO8" s="36" t="str">
        <f t="shared" si="131"/>
        <v/>
      </c>
      <c r="LP8" s="36" t="str">
        <f t="shared" si="132"/>
        <v/>
      </c>
      <c r="LQ8" s="36" t="str">
        <f t="shared" si="133"/>
        <v/>
      </c>
      <c r="LR8" s="36" t="str">
        <f t="shared" si="134"/>
        <v/>
      </c>
      <c r="LS8" s="36" t="str">
        <f t="shared" si="135"/>
        <v/>
      </c>
      <c r="LT8" s="36" t="str">
        <f t="shared" si="136"/>
        <v/>
      </c>
      <c r="LU8" s="36" t="str">
        <f t="shared" si="137"/>
        <v/>
      </c>
      <c r="LV8" s="36" t="str">
        <f t="shared" si="138"/>
        <v/>
      </c>
      <c r="LW8" s="36" t="str">
        <f t="shared" si="139"/>
        <v/>
      </c>
      <c r="LX8" s="36" t="str">
        <f t="shared" si="140"/>
        <v/>
      </c>
      <c r="LY8" s="16"/>
      <c r="LZ8" s="16"/>
      <c r="MA8" s="16"/>
      <c r="MB8" s="16"/>
      <c r="MC8" s="16"/>
      <c r="MD8" s="16"/>
      <c r="ME8" s="16"/>
      <c r="MF8" s="16"/>
      <c r="MG8" s="16"/>
      <c r="MH8" s="16"/>
      <c r="MI8" s="16"/>
      <c r="MJ8" s="16"/>
      <c r="MK8" s="16"/>
      <c r="ML8" s="16"/>
      <c r="MM8" s="16"/>
      <c r="MN8" s="16"/>
      <c r="MO8" s="16"/>
      <c r="MP8" s="16"/>
      <c r="MQ8" s="16"/>
      <c r="MR8" s="16"/>
      <c r="MS8" s="11" t="str">
        <f t="shared" si="141"/>
        <v/>
      </c>
      <c r="MT8" s="11" t="str">
        <f t="shared" si="142"/>
        <v/>
      </c>
      <c r="MU8" s="11" t="str">
        <f t="shared" si="143"/>
        <v/>
      </c>
      <c r="MV8" s="11" t="str">
        <f t="shared" si="144"/>
        <v/>
      </c>
      <c r="MW8" s="11" t="str">
        <f t="shared" si="145"/>
        <v/>
      </c>
      <c r="MX8" s="11" t="str">
        <f t="shared" si="146"/>
        <v/>
      </c>
      <c r="MY8" s="11" t="str">
        <f t="shared" si="147"/>
        <v/>
      </c>
      <c r="MZ8" s="11" t="str">
        <f t="shared" si="148"/>
        <v/>
      </c>
      <c r="NA8" s="11" t="str">
        <f t="shared" si="149"/>
        <v/>
      </c>
      <c r="NB8" s="11" t="str">
        <f t="shared" si="150"/>
        <v/>
      </c>
      <c r="NC8" s="11" t="str">
        <f t="shared" si="151"/>
        <v/>
      </c>
      <c r="ND8" s="11" t="str">
        <f t="shared" si="152"/>
        <v/>
      </c>
      <c r="NE8" s="11" t="str">
        <f t="shared" si="153"/>
        <v/>
      </c>
      <c r="NF8" s="11" t="str">
        <f t="shared" si="154"/>
        <v/>
      </c>
      <c r="NG8" s="15"/>
      <c r="NH8" s="15"/>
      <c r="NI8" s="15"/>
      <c r="NJ8" s="15"/>
      <c r="NK8" s="15"/>
      <c r="NL8" s="15"/>
      <c r="NM8" s="15"/>
      <c r="NN8" s="15"/>
      <c r="NO8" s="15"/>
      <c r="NP8" s="15"/>
      <c r="NQ8" s="15"/>
      <c r="NR8" s="15"/>
      <c r="NS8" s="15"/>
      <c r="NT8" s="15"/>
      <c r="NU8" s="15"/>
      <c r="NV8" s="15"/>
      <c r="NW8" s="15"/>
      <c r="NX8" s="15"/>
      <c r="NY8" s="15"/>
      <c r="NZ8" s="15"/>
      <c r="OA8" s="36" t="str">
        <f t="shared" si="155"/>
        <v/>
      </c>
      <c r="OB8" s="36" t="str">
        <f t="shared" si="156"/>
        <v/>
      </c>
      <c r="OC8" s="36" t="str">
        <f t="shared" si="157"/>
        <v/>
      </c>
      <c r="OD8" s="36" t="str">
        <f t="shared" si="158"/>
        <v/>
      </c>
      <c r="OE8" s="36" t="str">
        <f t="shared" si="159"/>
        <v/>
      </c>
      <c r="OF8" s="36" t="str">
        <f t="shared" si="160"/>
        <v/>
      </c>
      <c r="OG8" s="36" t="str">
        <f t="shared" si="161"/>
        <v/>
      </c>
      <c r="OH8" s="36" t="str">
        <f t="shared" si="162"/>
        <v/>
      </c>
      <c r="OI8" s="36" t="str">
        <f t="shared" si="163"/>
        <v/>
      </c>
      <c r="OJ8" s="36" t="str">
        <f t="shared" si="164"/>
        <v/>
      </c>
      <c r="OK8" s="36" t="str">
        <f t="shared" si="165"/>
        <v/>
      </c>
      <c r="OL8" s="36" t="str">
        <f t="shared" si="166"/>
        <v/>
      </c>
      <c r="OM8" s="36" t="str">
        <f t="shared" si="167"/>
        <v/>
      </c>
      <c r="ON8" s="36" t="str">
        <f t="shared" si="168"/>
        <v/>
      </c>
      <c r="OO8" s="16"/>
      <c r="OP8" s="16"/>
      <c r="OQ8" s="16"/>
      <c r="OR8" s="16"/>
      <c r="OS8" s="16"/>
      <c r="OT8" s="16"/>
      <c r="OU8" s="16"/>
      <c r="OV8" s="16"/>
      <c r="OW8" s="16"/>
      <c r="OX8" s="16"/>
      <c r="OY8" s="16"/>
      <c r="OZ8" s="16"/>
      <c r="PA8" s="16"/>
      <c r="PB8" s="16"/>
      <c r="PC8" s="16"/>
      <c r="PD8" s="16"/>
      <c r="PE8" s="16"/>
      <c r="PF8" s="16"/>
      <c r="PG8" s="16"/>
      <c r="PH8" s="16"/>
      <c r="PI8" s="11" t="str">
        <f t="shared" si="169"/>
        <v/>
      </c>
      <c r="PJ8" s="11" t="str">
        <f t="shared" si="170"/>
        <v/>
      </c>
      <c r="PK8" s="11" t="str">
        <f t="shared" si="171"/>
        <v/>
      </c>
      <c r="PL8" s="11" t="str">
        <f t="shared" si="172"/>
        <v/>
      </c>
      <c r="PM8" s="11" t="str">
        <f t="shared" si="173"/>
        <v/>
      </c>
      <c r="PN8" s="11" t="str">
        <f t="shared" si="174"/>
        <v/>
      </c>
      <c r="PO8" s="11" t="str">
        <f t="shared" si="175"/>
        <v/>
      </c>
      <c r="PP8" s="11" t="str">
        <f t="shared" si="176"/>
        <v/>
      </c>
      <c r="PQ8" s="11" t="str">
        <f t="shared" si="177"/>
        <v/>
      </c>
      <c r="PR8" s="11" t="str">
        <f t="shared" si="178"/>
        <v/>
      </c>
      <c r="PS8" s="11" t="str">
        <f t="shared" si="179"/>
        <v/>
      </c>
      <c r="PT8" s="11" t="str">
        <f t="shared" si="180"/>
        <v/>
      </c>
      <c r="PU8" s="11" t="str">
        <f t="shared" si="181"/>
        <v/>
      </c>
      <c r="PV8" s="11" t="str">
        <f t="shared" si="182"/>
        <v/>
      </c>
      <c r="PW8" s="15"/>
      <c r="PX8" s="15"/>
      <c r="PY8" s="15"/>
      <c r="PZ8" s="15"/>
      <c r="QA8" s="15"/>
      <c r="QB8" s="15"/>
      <c r="QC8" s="15"/>
      <c r="QD8" s="15"/>
      <c r="QE8" s="15"/>
      <c r="QF8" s="15"/>
      <c r="QG8" s="15"/>
      <c r="QH8" s="15"/>
      <c r="QI8" s="15"/>
      <c r="QJ8" s="15"/>
      <c r="QK8" s="15"/>
      <c r="QL8" s="15"/>
      <c r="QM8" s="15"/>
      <c r="QN8" s="15"/>
      <c r="QO8" s="15"/>
      <c r="QP8" s="15"/>
      <c r="QQ8" s="36" t="str">
        <f t="shared" si="183"/>
        <v/>
      </c>
      <c r="QR8" s="36" t="str">
        <f t="shared" si="184"/>
        <v/>
      </c>
      <c r="QS8" s="36" t="str">
        <f t="shared" si="185"/>
        <v/>
      </c>
      <c r="QT8" s="36" t="str">
        <f t="shared" si="186"/>
        <v/>
      </c>
      <c r="QU8" s="36" t="str">
        <f t="shared" si="187"/>
        <v/>
      </c>
      <c r="QV8" s="36" t="str">
        <f t="shared" si="188"/>
        <v/>
      </c>
      <c r="QW8" s="36" t="str">
        <f t="shared" si="189"/>
        <v/>
      </c>
      <c r="QX8" s="36" t="str">
        <f t="shared" si="190"/>
        <v/>
      </c>
      <c r="QY8" s="36" t="str">
        <f t="shared" si="191"/>
        <v/>
      </c>
      <c r="QZ8" s="36" t="str">
        <f t="shared" si="192"/>
        <v/>
      </c>
      <c r="RA8" s="36" t="str">
        <f t="shared" si="193"/>
        <v/>
      </c>
      <c r="RB8" s="36" t="str">
        <f t="shared" si="194"/>
        <v/>
      </c>
      <c r="RC8" s="36" t="str">
        <f t="shared" si="195"/>
        <v/>
      </c>
      <c r="RD8" s="36" t="str">
        <f t="shared" si="196"/>
        <v/>
      </c>
      <c r="RE8" s="16"/>
      <c r="RF8" s="16"/>
      <c r="RG8" s="16"/>
      <c r="RH8" s="16"/>
      <c r="RI8" s="16"/>
      <c r="RJ8" s="16"/>
      <c r="RK8" s="16"/>
      <c r="RL8" s="16"/>
      <c r="RM8" s="16"/>
      <c r="RN8" s="16"/>
      <c r="RO8" s="16"/>
      <c r="RP8" s="16"/>
      <c r="RQ8" s="16"/>
      <c r="RR8" s="16"/>
      <c r="RS8" s="16"/>
      <c r="RT8" s="16"/>
      <c r="RU8" s="16"/>
      <c r="RV8" s="16"/>
      <c r="RW8" s="16"/>
      <c r="RX8" s="16"/>
      <c r="RY8" s="11" t="str">
        <f t="shared" si="197"/>
        <v/>
      </c>
      <c r="RZ8" s="11" t="str">
        <f t="shared" si="198"/>
        <v/>
      </c>
      <c r="SA8" s="11" t="str">
        <f t="shared" si="199"/>
        <v/>
      </c>
      <c r="SB8" s="11" t="str">
        <f t="shared" si="200"/>
        <v/>
      </c>
      <c r="SC8" s="11" t="str">
        <f t="shared" si="201"/>
        <v/>
      </c>
      <c r="SD8" s="11" t="str">
        <f t="shared" si="202"/>
        <v/>
      </c>
      <c r="SE8" s="11" t="str">
        <f t="shared" si="203"/>
        <v/>
      </c>
      <c r="SF8" s="11" t="str">
        <f t="shared" si="204"/>
        <v/>
      </c>
      <c r="SG8" s="11" t="str">
        <f t="shared" si="205"/>
        <v/>
      </c>
      <c r="SH8" s="11" t="str">
        <f t="shared" si="206"/>
        <v/>
      </c>
      <c r="SI8" s="11" t="str">
        <f t="shared" si="207"/>
        <v/>
      </c>
      <c r="SJ8" s="11" t="str">
        <f t="shared" si="208"/>
        <v/>
      </c>
      <c r="SK8" s="11" t="str">
        <f t="shared" si="209"/>
        <v/>
      </c>
      <c r="SL8" s="11" t="str">
        <f t="shared" si="210"/>
        <v/>
      </c>
      <c r="SM8" s="15"/>
      <c r="SN8" s="15"/>
      <c r="SO8" s="15"/>
      <c r="SP8" s="15"/>
      <c r="SQ8" s="15"/>
      <c r="SR8" s="15"/>
      <c r="SS8" s="15"/>
      <c r="ST8" s="15"/>
      <c r="SU8" s="15"/>
      <c r="SV8" s="15"/>
      <c r="SW8" s="15"/>
      <c r="SX8" s="15"/>
      <c r="SY8" s="15"/>
      <c r="SZ8" s="15"/>
      <c r="TA8" s="15"/>
      <c r="TB8" s="15"/>
      <c r="TC8" s="15"/>
      <c r="TD8" s="15"/>
      <c r="TE8" s="15"/>
      <c r="TF8" s="15"/>
      <c r="TG8" s="36" t="str">
        <f t="shared" si="211"/>
        <v/>
      </c>
      <c r="TH8" s="36" t="str">
        <f t="shared" si="212"/>
        <v/>
      </c>
      <c r="TI8" s="36" t="str">
        <f t="shared" si="213"/>
        <v/>
      </c>
      <c r="TJ8" s="36" t="str">
        <f t="shared" si="214"/>
        <v/>
      </c>
      <c r="TK8" s="36" t="str">
        <f t="shared" si="215"/>
        <v/>
      </c>
      <c r="TL8" s="36" t="str">
        <f t="shared" si="216"/>
        <v/>
      </c>
      <c r="TM8" s="36" t="str">
        <f t="shared" si="217"/>
        <v/>
      </c>
      <c r="TN8" s="36" t="str">
        <f t="shared" si="218"/>
        <v/>
      </c>
      <c r="TO8" s="36" t="str">
        <f t="shared" si="219"/>
        <v/>
      </c>
      <c r="TP8" s="36" t="str">
        <f t="shared" si="220"/>
        <v/>
      </c>
      <c r="TQ8" s="36" t="str">
        <f t="shared" si="221"/>
        <v/>
      </c>
      <c r="TR8" s="36" t="str">
        <f t="shared" si="222"/>
        <v/>
      </c>
      <c r="TS8" s="36" t="str">
        <f t="shared" si="223"/>
        <v/>
      </c>
      <c r="TT8" s="36" t="str">
        <f t="shared" si="224"/>
        <v/>
      </c>
      <c r="TU8" s="16"/>
      <c r="TV8" s="16"/>
      <c r="TW8" s="16"/>
      <c r="TX8" s="16"/>
      <c r="TY8" s="16"/>
      <c r="TZ8" s="16"/>
      <c r="UA8" s="16"/>
      <c r="UB8" s="16"/>
      <c r="UC8" s="16"/>
      <c r="UD8" s="16"/>
      <c r="UE8" s="16"/>
      <c r="UF8" s="16"/>
      <c r="UG8" s="16"/>
      <c r="UH8" s="16"/>
      <c r="UI8" s="16"/>
      <c r="UJ8" s="16"/>
      <c r="UK8" s="16"/>
      <c r="UL8" s="16"/>
      <c r="UM8" s="16"/>
      <c r="UN8" s="16"/>
      <c r="UO8" s="11" t="str">
        <f t="shared" si="225"/>
        <v/>
      </c>
      <c r="UP8" s="11" t="str">
        <f t="shared" si="226"/>
        <v/>
      </c>
      <c r="UQ8" s="11" t="str">
        <f t="shared" si="227"/>
        <v/>
      </c>
      <c r="UR8" s="11" t="str">
        <f t="shared" si="228"/>
        <v/>
      </c>
      <c r="US8" s="11" t="str">
        <f t="shared" si="229"/>
        <v/>
      </c>
      <c r="UT8" s="11" t="str">
        <f t="shared" si="230"/>
        <v/>
      </c>
      <c r="UU8" s="11" t="str">
        <f t="shared" si="231"/>
        <v/>
      </c>
      <c r="UV8" s="11" t="str">
        <f t="shared" si="232"/>
        <v/>
      </c>
      <c r="UW8" s="11" t="str">
        <f t="shared" si="233"/>
        <v/>
      </c>
      <c r="UX8" s="11" t="str">
        <f t="shared" si="234"/>
        <v/>
      </c>
      <c r="UY8" s="11" t="str">
        <f t="shared" si="235"/>
        <v/>
      </c>
      <c r="UZ8" s="11" t="str">
        <f t="shared" si="236"/>
        <v/>
      </c>
      <c r="VA8" s="11" t="str">
        <f t="shared" si="237"/>
        <v/>
      </c>
      <c r="VB8" s="11" t="str">
        <f t="shared" si="238"/>
        <v/>
      </c>
      <c r="VC8" s="15"/>
      <c r="VD8" s="15"/>
      <c r="VE8" s="15"/>
      <c r="VF8" s="15"/>
      <c r="VG8" s="15"/>
      <c r="VH8" s="15"/>
      <c r="VI8" s="15"/>
      <c r="VJ8" s="15"/>
      <c r="VK8" s="15"/>
      <c r="VL8" s="15"/>
      <c r="VM8" s="15"/>
      <c r="VN8" s="15"/>
      <c r="VO8" s="15"/>
      <c r="VP8" s="15"/>
      <c r="VQ8" s="15"/>
      <c r="VR8" s="15"/>
      <c r="VS8" s="15"/>
      <c r="VT8" s="15"/>
      <c r="VU8" s="15"/>
      <c r="VV8" s="15"/>
      <c r="VW8" s="36" t="str">
        <f t="shared" si="239"/>
        <v/>
      </c>
      <c r="VX8" s="36" t="str">
        <f t="shared" si="240"/>
        <v/>
      </c>
      <c r="VY8" s="36" t="str">
        <f t="shared" si="241"/>
        <v/>
      </c>
      <c r="VZ8" s="36" t="str">
        <f t="shared" si="242"/>
        <v/>
      </c>
      <c r="WA8" s="36" t="str">
        <f t="shared" si="243"/>
        <v/>
      </c>
      <c r="WB8" s="36" t="str">
        <f t="shared" si="244"/>
        <v/>
      </c>
      <c r="WC8" s="36" t="str">
        <f t="shared" si="245"/>
        <v/>
      </c>
      <c r="WD8" s="36" t="str">
        <f t="shared" si="246"/>
        <v/>
      </c>
      <c r="WE8" s="36" t="str">
        <f t="shared" si="247"/>
        <v/>
      </c>
      <c r="WF8" s="36" t="str">
        <f t="shared" si="248"/>
        <v/>
      </c>
      <c r="WG8" s="36" t="str">
        <f t="shared" si="249"/>
        <v/>
      </c>
      <c r="WH8" s="36" t="str">
        <f t="shared" si="250"/>
        <v/>
      </c>
      <c r="WI8" s="36" t="str">
        <f t="shared" si="251"/>
        <v/>
      </c>
      <c r="WJ8" s="36" t="str">
        <f t="shared" si="252"/>
        <v/>
      </c>
    </row>
    <row r="9" spans="1:608" x14ac:dyDescent="0.2">
      <c r="A9" s="4" cm="1">
        <f t="array" ref="A9">IF(AND(H9&lt;&gt;"",H9&lt;&gt;"No DD",I9&lt;&gt;"P"),SUMPRODUCT((H$4:H$28&lt;&gt;"")*(H$4:H$28&lt;&gt;"No DD")*(I$4:I$28&lt;&gt;"P")*(E$4:E$28&gt;E9))+1,IF(H9="No DD",SUMPRODUCT((H$4:H$28="No DD")*(I$4:I$28&lt;&gt;"P")*(E$4:E$28&gt;E9))+1+SUMPRODUCT((H$4:H$28&lt;&gt;"")*(I$4:I$28&lt;&gt;"P")*(H$4:H$28&lt;&gt;"No DD")),""))</f>
        <v>4</v>
      </c>
      <c r="B9" s="5" t="s">
        <v>197</v>
      </c>
      <c r="C9" s="4" t="s">
        <v>7</v>
      </c>
      <c r="D9" s="4">
        <v>2005</v>
      </c>
      <c r="E9" s="9">
        <f t="shared" si="0"/>
        <v>108.29001067200544</v>
      </c>
      <c r="F9" s="3" t="str">
        <f t="shared" si="1"/>
        <v/>
      </c>
      <c r="G9" s="3" t="str">
        <f t="shared" si="2"/>
        <v>P</v>
      </c>
      <c r="H9" s="32" t="str">
        <f t="shared" si="3"/>
        <v>No DD</v>
      </c>
      <c r="I9" s="3" t="str">
        <f>IF(COUNTIFS('Senior-M'!B:B,B9,'Senior-M'!A:A,"&lt;9",'Senior-M'!H:H,"&lt;&gt;"&amp;"No DD"),"P","")</f>
        <v/>
      </c>
      <c r="J9" s="8">
        <f t="shared" si="4"/>
        <v>54.440000000000005</v>
      </c>
      <c r="K9" s="8" t="str">
        <f t="shared" si="5"/>
        <v>2025 Elite Canada</v>
      </c>
      <c r="L9" s="8">
        <f>IFERROR(LARGE((AI9,AL9,AP9,BJ9,BM9,BQ9,CK9,CN9,CR9),2),0)</f>
        <v>52.28</v>
      </c>
      <c r="M9" s="8" t="str">
        <f t="shared" si="6"/>
        <v>2025 Nationals</v>
      </c>
      <c r="N9" s="8">
        <f t="shared" si="7"/>
        <v>1.5699999999999932</v>
      </c>
      <c r="O9" s="11" t="str">
        <f>IF(N9=0,"",IF(N9=CT9,"("&amp;CT$2&amp;")",IF(N9=#REF!,"("&amp;#REF!&amp;")")))</f>
        <v>(Any)</v>
      </c>
      <c r="P9" s="8" t="str">
        <f t="shared" si="8"/>
        <v>2025 WAGC (Nov 16)</v>
      </c>
      <c r="Q9" s="18">
        <v>12.5</v>
      </c>
      <c r="R9" s="18">
        <v>9.4</v>
      </c>
      <c r="S9" s="18">
        <v>13.4</v>
      </c>
      <c r="T9" s="18">
        <v>15.26</v>
      </c>
      <c r="U9" s="18">
        <v>0</v>
      </c>
      <c r="V9" s="18">
        <v>15.4</v>
      </c>
      <c r="W9" s="18">
        <v>9.6999999999999993</v>
      </c>
      <c r="X9" s="18">
        <v>13.8</v>
      </c>
      <c r="Y9" s="18">
        <v>15.54</v>
      </c>
      <c r="Z9" s="18">
        <v>0</v>
      </c>
      <c r="AA9" s="18">
        <v>12.6</v>
      </c>
      <c r="AB9" s="18">
        <v>7.8</v>
      </c>
      <c r="AC9" s="18">
        <v>12.3</v>
      </c>
      <c r="AD9" s="18">
        <v>13.72</v>
      </c>
      <c r="AE9" s="18">
        <v>0</v>
      </c>
      <c r="AF9" s="23"/>
      <c r="AG9" s="34">
        <f t="shared" si="9"/>
        <v>13.4</v>
      </c>
      <c r="AH9" s="34">
        <f t="shared" si="10"/>
        <v>15.26</v>
      </c>
      <c r="AI9" s="36">
        <f t="shared" si="11"/>
        <v>50.559999999999995</v>
      </c>
      <c r="AJ9" s="36">
        <f t="shared" si="12"/>
        <v>13.8</v>
      </c>
      <c r="AK9" s="36">
        <f t="shared" si="13"/>
        <v>15.54</v>
      </c>
      <c r="AL9" s="36">
        <f t="shared" si="14"/>
        <v>54.440000000000005</v>
      </c>
      <c r="AM9" s="36">
        <f t="shared" si="15"/>
        <v>54.440000000000005</v>
      </c>
      <c r="AN9" s="36">
        <f t="shared" si="16"/>
        <v>12.3</v>
      </c>
      <c r="AO9" s="36">
        <f t="shared" si="17"/>
        <v>13.72</v>
      </c>
      <c r="AP9" s="36">
        <f t="shared" si="18"/>
        <v>46.42</v>
      </c>
      <c r="AQ9" s="36">
        <f t="shared" si="19"/>
        <v>100.86000000000001</v>
      </c>
      <c r="AR9" s="22">
        <v>13.3</v>
      </c>
      <c r="AS9" s="22">
        <v>9</v>
      </c>
      <c r="AT9" s="22">
        <v>14</v>
      </c>
      <c r="AU9" s="22">
        <v>15.31</v>
      </c>
      <c r="AV9" s="22">
        <v>0</v>
      </c>
      <c r="AW9" s="22">
        <v>13.4</v>
      </c>
      <c r="AX9" s="22">
        <v>8.1999999999999993</v>
      </c>
      <c r="AY9" s="22">
        <v>10.3</v>
      </c>
      <c r="AZ9" s="22">
        <v>13.58</v>
      </c>
      <c r="BA9" s="22">
        <v>0</v>
      </c>
      <c r="BB9" s="22">
        <v>13.9</v>
      </c>
      <c r="BC9" s="22">
        <v>9.1999999999999993</v>
      </c>
      <c r="BD9" s="22">
        <v>14</v>
      </c>
      <c r="BE9" s="22">
        <v>15.18</v>
      </c>
      <c r="BF9" s="22">
        <v>0</v>
      </c>
      <c r="BG9" s="24"/>
      <c r="BH9" s="35">
        <f t="shared" si="20"/>
        <v>14</v>
      </c>
      <c r="BI9" s="35">
        <f t="shared" si="21"/>
        <v>15.31</v>
      </c>
      <c r="BJ9" s="11">
        <f t="shared" si="22"/>
        <v>51.61</v>
      </c>
      <c r="BK9" s="11">
        <f t="shared" si="23"/>
        <v>10.3</v>
      </c>
      <c r="BL9" s="11">
        <f t="shared" si="24"/>
        <v>13.58</v>
      </c>
      <c r="BM9" s="11">
        <f t="shared" si="25"/>
        <v>45.480000000000004</v>
      </c>
      <c r="BN9" s="11">
        <f t="shared" si="26"/>
        <v>51.61</v>
      </c>
      <c r="BO9" s="11">
        <f t="shared" si="27"/>
        <v>14</v>
      </c>
      <c r="BP9" s="11">
        <f t="shared" si="28"/>
        <v>15.18</v>
      </c>
      <c r="BQ9" s="11">
        <f t="shared" si="29"/>
        <v>52.28</v>
      </c>
      <c r="BR9" s="11">
        <f t="shared" si="30"/>
        <v>103.89</v>
      </c>
      <c r="BS9" s="18">
        <v>5.5</v>
      </c>
      <c r="BT9" s="18">
        <v>3.5</v>
      </c>
      <c r="BU9" s="18">
        <v>4.0999999999999996</v>
      </c>
      <c r="BV9" s="18">
        <v>6.61</v>
      </c>
      <c r="BW9" s="18">
        <v>0</v>
      </c>
      <c r="BX9" s="18">
        <v>2.8</v>
      </c>
      <c r="BY9" s="18">
        <v>1.8</v>
      </c>
      <c r="BZ9" s="18">
        <v>3</v>
      </c>
      <c r="CA9" s="18">
        <v>3.46</v>
      </c>
      <c r="CB9" s="18">
        <v>0.4</v>
      </c>
      <c r="CC9" s="18">
        <v>1.4</v>
      </c>
      <c r="CD9" s="18">
        <v>1</v>
      </c>
      <c r="CE9" s="18">
        <v>1.7</v>
      </c>
      <c r="CF9" s="18">
        <v>1.78</v>
      </c>
      <c r="CG9" s="18">
        <v>0</v>
      </c>
      <c r="CH9" s="23"/>
      <c r="CI9" s="34">
        <f t="shared" si="31"/>
        <v>4.0999999999999996</v>
      </c>
      <c r="CJ9" s="34">
        <f t="shared" si="32"/>
        <v>6.61</v>
      </c>
      <c r="CK9" s="36">
        <f t="shared" si="33"/>
        <v>19.71</v>
      </c>
      <c r="CL9" s="36">
        <f t="shared" si="34"/>
        <v>3</v>
      </c>
      <c r="CM9" s="36">
        <f t="shared" si="35"/>
        <v>3.46</v>
      </c>
      <c r="CN9" s="36">
        <f t="shared" si="36"/>
        <v>10.659999999999998</v>
      </c>
      <c r="CO9" s="36">
        <f t="shared" si="37"/>
        <v>19.71</v>
      </c>
      <c r="CP9" s="36">
        <f t="shared" si="38"/>
        <v>1.7</v>
      </c>
      <c r="CQ9" s="36">
        <f t="shared" si="39"/>
        <v>1.78</v>
      </c>
      <c r="CR9" s="36">
        <f t="shared" si="40"/>
        <v>5.88</v>
      </c>
      <c r="CS9" s="36">
        <f t="shared" si="41"/>
        <v>25.59</v>
      </c>
      <c r="CT9" s="47">
        <f t="shared" si="42"/>
        <v>1.5699999999999932</v>
      </c>
      <c r="CU9" s="15"/>
      <c r="CV9" s="15"/>
      <c r="CW9" s="15"/>
      <c r="CX9" s="15"/>
      <c r="CY9" s="15"/>
      <c r="CZ9" s="15"/>
      <c r="DA9" s="15"/>
      <c r="DB9" s="15"/>
      <c r="DC9" s="15"/>
      <c r="DD9" s="15"/>
      <c r="DE9" s="15"/>
      <c r="DF9" s="15"/>
      <c r="DG9" s="15"/>
      <c r="DH9" s="15"/>
      <c r="DI9" s="15"/>
      <c r="DJ9" s="15"/>
      <c r="DK9" s="15"/>
      <c r="DL9" s="15"/>
      <c r="DM9" s="15"/>
      <c r="DN9" s="15"/>
      <c r="DO9" s="36" t="str">
        <f t="shared" si="43"/>
        <v/>
      </c>
      <c r="DP9" s="36" t="str">
        <f t="shared" si="44"/>
        <v/>
      </c>
      <c r="DQ9" s="36" t="str">
        <f t="shared" si="45"/>
        <v/>
      </c>
      <c r="DR9" s="36" t="str">
        <f t="shared" si="46"/>
        <v/>
      </c>
      <c r="DS9" s="36" t="str">
        <f t="shared" si="47"/>
        <v/>
      </c>
      <c r="DT9" s="36" t="str">
        <f t="shared" si="48"/>
        <v/>
      </c>
      <c r="DU9" s="36" t="str">
        <f t="shared" si="49"/>
        <v/>
      </c>
      <c r="DV9" s="36" t="str">
        <f t="shared" si="50"/>
        <v/>
      </c>
      <c r="DW9" s="36" t="str">
        <f t="shared" si="51"/>
        <v/>
      </c>
      <c r="DX9" s="36" t="str">
        <f t="shared" si="52"/>
        <v/>
      </c>
      <c r="DY9" s="36" t="str">
        <f t="shared" si="53"/>
        <v/>
      </c>
      <c r="DZ9" s="36" t="str">
        <f t="shared" si="54"/>
        <v/>
      </c>
      <c r="EA9" s="36" t="str">
        <f t="shared" si="55"/>
        <v/>
      </c>
      <c r="EB9" s="36" t="str">
        <f t="shared" si="56"/>
        <v/>
      </c>
      <c r="EC9" s="16"/>
      <c r="ED9" s="16"/>
      <c r="EE9" s="16"/>
      <c r="EF9" s="16"/>
      <c r="EG9" s="16"/>
      <c r="EH9" s="16"/>
      <c r="EI9" s="16"/>
      <c r="EJ9" s="16"/>
      <c r="EK9" s="16"/>
      <c r="EL9" s="16"/>
      <c r="EM9" s="16"/>
      <c r="EN9" s="16"/>
      <c r="EO9" s="16"/>
      <c r="EP9" s="16"/>
      <c r="EQ9" s="16"/>
      <c r="ER9" s="16"/>
      <c r="ES9" s="16"/>
      <c r="ET9" s="16"/>
      <c r="EU9" s="16"/>
      <c r="EV9" s="16"/>
      <c r="EW9" s="11" t="str">
        <f t="shared" si="57"/>
        <v/>
      </c>
      <c r="EX9" s="11" t="str">
        <f t="shared" si="58"/>
        <v/>
      </c>
      <c r="EY9" s="11" t="str">
        <f t="shared" si="59"/>
        <v/>
      </c>
      <c r="EZ9" s="11" t="str">
        <f t="shared" si="60"/>
        <v/>
      </c>
      <c r="FA9" s="11" t="str">
        <f t="shared" si="61"/>
        <v/>
      </c>
      <c r="FB9" s="11" t="str">
        <f t="shared" si="62"/>
        <v/>
      </c>
      <c r="FC9" s="11" t="str">
        <f t="shared" si="63"/>
        <v/>
      </c>
      <c r="FD9" s="11" t="str">
        <f t="shared" si="64"/>
        <v/>
      </c>
      <c r="FE9" s="11" t="str">
        <f t="shared" si="65"/>
        <v/>
      </c>
      <c r="FF9" s="11" t="str">
        <f t="shared" si="66"/>
        <v/>
      </c>
      <c r="FG9" s="11" t="str">
        <f t="shared" si="67"/>
        <v/>
      </c>
      <c r="FH9" s="11" t="str">
        <f t="shared" si="68"/>
        <v/>
      </c>
      <c r="FI9" s="11" t="str">
        <f t="shared" si="69"/>
        <v/>
      </c>
      <c r="FJ9" s="11" t="str">
        <f t="shared" si="70"/>
        <v/>
      </c>
      <c r="FK9" s="15"/>
      <c r="FL9" s="15"/>
      <c r="FM9" s="15"/>
      <c r="FN9" s="15"/>
      <c r="FO9" s="15"/>
      <c r="FP9" s="15"/>
      <c r="FQ9" s="15"/>
      <c r="FR9" s="15"/>
      <c r="FS9" s="15"/>
      <c r="FT9" s="15"/>
      <c r="FU9" s="15"/>
      <c r="FV9" s="15"/>
      <c r="FW9" s="15"/>
      <c r="FX9" s="15"/>
      <c r="FY9" s="15"/>
      <c r="FZ9" s="15"/>
      <c r="GA9" s="15"/>
      <c r="GB9" s="15"/>
      <c r="GC9" s="15"/>
      <c r="GD9" s="15"/>
      <c r="GE9" s="36" t="str">
        <f t="shared" si="71"/>
        <v/>
      </c>
      <c r="GF9" s="36" t="str">
        <f t="shared" si="72"/>
        <v/>
      </c>
      <c r="GG9" s="36" t="str">
        <f t="shared" si="73"/>
        <v/>
      </c>
      <c r="GH9" s="36" t="str">
        <f t="shared" si="74"/>
        <v/>
      </c>
      <c r="GI9" s="36" t="str">
        <f t="shared" si="75"/>
        <v/>
      </c>
      <c r="GJ9" s="36" t="str">
        <f t="shared" si="76"/>
        <v/>
      </c>
      <c r="GK9" s="36" t="str">
        <f t="shared" si="77"/>
        <v/>
      </c>
      <c r="GL9" s="36" t="str">
        <f t="shared" si="78"/>
        <v/>
      </c>
      <c r="GM9" s="36" t="str">
        <f t="shared" si="79"/>
        <v/>
      </c>
      <c r="GN9" s="36" t="str">
        <f t="shared" si="80"/>
        <v/>
      </c>
      <c r="GO9" s="36" t="str">
        <f t="shared" si="81"/>
        <v/>
      </c>
      <c r="GP9" s="36" t="str">
        <f t="shared" si="82"/>
        <v/>
      </c>
      <c r="GQ9" s="36" t="str">
        <f t="shared" si="83"/>
        <v/>
      </c>
      <c r="GR9" s="36" t="str">
        <f t="shared" si="84"/>
        <v/>
      </c>
      <c r="GS9" s="16"/>
      <c r="GT9" s="16"/>
      <c r="GU9" s="16"/>
      <c r="GV9" s="16"/>
      <c r="GW9" s="16"/>
      <c r="GX9" s="16"/>
      <c r="GY9" s="16"/>
      <c r="GZ9" s="16"/>
      <c r="HA9" s="16"/>
      <c r="HB9" s="16"/>
      <c r="HC9" s="16"/>
      <c r="HD9" s="16"/>
      <c r="HE9" s="16"/>
      <c r="HF9" s="16"/>
      <c r="HG9" s="16"/>
      <c r="HH9" s="16"/>
      <c r="HI9" s="16"/>
      <c r="HJ9" s="16"/>
      <c r="HK9" s="16"/>
      <c r="HL9" s="16"/>
      <c r="HM9" s="11" t="str">
        <f t="shared" si="85"/>
        <v/>
      </c>
      <c r="HN9" s="11" t="str">
        <f t="shared" si="86"/>
        <v/>
      </c>
      <c r="HO9" s="11" t="str">
        <f t="shared" si="87"/>
        <v/>
      </c>
      <c r="HP9" s="11" t="str">
        <f t="shared" si="88"/>
        <v/>
      </c>
      <c r="HQ9" s="11" t="str">
        <f t="shared" si="89"/>
        <v/>
      </c>
      <c r="HR9" s="11" t="str">
        <f t="shared" si="90"/>
        <v/>
      </c>
      <c r="HS9" s="11" t="str">
        <f t="shared" si="91"/>
        <v/>
      </c>
      <c r="HT9" s="11" t="str">
        <f t="shared" si="92"/>
        <v/>
      </c>
      <c r="HU9" s="11" t="str">
        <f t="shared" si="93"/>
        <v/>
      </c>
      <c r="HV9" s="11" t="str">
        <f t="shared" si="94"/>
        <v/>
      </c>
      <c r="HW9" s="11" t="str">
        <f t="shared" si="95"/>
        <v/>
      </c>
      <c r="HX9" s="11" t="str">
        <f t="shared" si="96"/>
        <v/>
      </c>
      <c r="HY9" s="11" t="str">
        <f t="shared" si="97"/>
        <v/>
      </c>
      <c r="HZ9" s="11" t="str">
        <f t="shared" si="98"/>
        <v/>
      </c>
      <c r="IA9" s="15"/>
      <c r="IB9" s="15"/>
      <c r="IC9" s="15"/>
      <c r="ID9" s="15"/>
      <c r="IE9" s="15"/>
      <c r="IF9" s="15"/>
      <c r="IG9" s="15"/>
      <c r="IH9" s="15"/>
      <c r="II9" s="15"/>
      <c r="IJ9" s="15"/>
      <c r="IK9" s="15"/>
      <c r="IL9" s="15"/>
      <c r="IM9" s="15"/>
      <c r="IN9" s="15"/>
      <c r="IO9" s="15"/>
      <c r="IP9" s="15"/>
      <c r="IQ9" s="15"/>
      <c r="IR9" s="15"/>
      <c r="IS9" s="15"/>
      <c r="IT9" s="15"/>
      <c r="IU9" s="36" t="str">
        <f t="shared" si="99"/>
        <v/>
      </c>
      <c r="IV9" s="36" t="str">
        <f t="shared" si="100"/>
        <v/>
      </c>
      <c r="IW9" s="36" t="str">
        <f t="shared" si="101"/>
        <v/>
      </c>
      <c r="IX9" s="36" t="str">
        <f t="shared" si="102"/>
        <v/>
      </c>
      <c r="IY9" s="36" t="str">
        <f t="shared" si="103"/>
        <v/>
      </c>
      <c r="IZ9" s="36" t="str">
        <f t="shared" si="104"/>
        <v/>
      </c>
      <c r="JA9" s="36" t="str">
        <f t="shared" si="105"/>
        <v/>
      </c>
      <c r="JB9" s="36" t="str">
        <f t="shared" si="106"/>
        <v/>
      </c>
      <c r="JC9" s="36" t="str">
        <f t="shared" si="107"/>
        <v/>
      </c>
      <c r="JD9" s="36" t="str">
        <f t="shared" si="108"/>
        <v/>
      </c>
      <c r="JE9" s="36" t="str">
        <f t="shared" si="109"/>
        <v/>
      </c>
      <c r="JF9" s="36" t="str">
        <f t="shared" si="110"/>
        <v/>
      </c>
      <c r="JG9" s="36" t="str">
        <f t="shared" si="111"/>
        <v/>
      </c>
      <c r="JH9" s="36" t="str">
        <f t="shared" si="112"/>
        <v/>
      </c>
      <c r="JI9" s="16"/>
      <c r="JJ9" s="16"/>
      <c r="JK9" s="16"/>
      <c r="JL9" s="16"/>
      <c r="JM9" s="16"/>
      <c r="JN9" s="16"/>
      <c r="JO9" s="16"/>
      <c r="JP9" s="16"/>
      <c r="JQ9" s="16"/>
      <c r="JR9" s="16"/>
      <c r="JS9" s="16"/>
      <c r="JT9" s="16"/>
      <c r="JU9" s="16"/>
      <c r="JV9" s="16"/>
      <c r="JW9" s="16"/>
      <c r="JX9" s="16"/>
      <c r="JY9" s="16"/>
      <c r="JZ9" s="16"/>
      <c r="KA9" s="16"/>
      <c r="KB9" s="16"/>
      <c r="KC9" s="11" t="str">
        <f t="shared" si="113"/>
        <v/>
      </c>
      <c r="KD9" s="11" t="str">
        <f t="shared" si="114"/>
        <v/>
      </c>
      <c r="KE9" s="11" t="str">
        <f t="shared" si="115"/>
        <v/>
      </c>
      <c r="KF9" s="11" t="str">
        <f t="shared" si="116"/>
        <v/>
      </c>
      <c r="KG9" s="11" t="str">
        <f t="shared" si="117"/>
        <v/>
      </c>
      <c r="KH9" s="11" t="str">
        <f t="shared" si="118"/>
        <v/>
      </c>
      <c r="KI9" s="11" t="str">
        <f t="shared" si="119"/>
        <v/>
      </c>
      <c r="KJ9" s="11" t="str">
        <f t="shared" si="120"/>
        <v/>
      </c>
      <c r="KK9" s="11" t="str">
        <f t="shared" si="121"/>
        <v/>
      </c>
      <c r="KL9" s="11" t="str">
        <f t="shared" si="122"/>
        <v/>
      </c>
      <c r="KM9" s="11" t="str">
        <f t="shared" si="123"/>
        <v/>
      </c>
      <c r="KN9" s="11" t="str">
        <f t="shared" si="124"/>
        <v/>
      </c>
      <c r="KO9" s="11" t="str">
        <f t="shared" si="125"/>
        <v/>
      </c>
      <c r="KP9" s="11" t="str">
        <f t="shared" si="126"/>
        <v/>
      </c>
      <c r="KQ9" s="15"/>
      <c r="KR9" s="15"/>
      <c r="KS9" s="15"/>
      <c r="KT9" s="15"/>
      <c r="KU9" s="15"/>
      <c r="KV9" s="15"/>
      <c r="KW9" s="15"/>
      <c r="KX9" s="15"/>
      <c r="KY9" s="15"/>
      <c r="KZ9" s="15"/>
      <c r="LA9" s="15"/>
      <c r="LB9" s="15"/>
      <c r="LC9" s="15"/>
      <c r="LD9" s="15"/>
      <c r="LE9" s="15"/>
      <c r="LF9" s="15"/>
      <c r="LG9" s="15"/>
      <c r="LH9" s="15"/>
      <c r="LI9" s="15"/>
      <c r="LJ9" s="15"/>
      <c r="LK9" s="36" t="str">
        <f t="shared" si="127"/>
        <v/>
      </c>
      <c r="LL9" s="36" t="str">
        <f t="shared" si="128"/>
        <v/>
      </c>
      <c r="LM9" s="36" t="str">
        <f t="shared" si="129"/>
        <v/>
      </c>
      <c r="LN9" s="36" t="str">
        <f t="shared" si="130"/>
        <v/>
      </c>
      <c r="LO9" s="36" t="str">
        <f t="shared" si="131"/>
        <v/>
      </c>
      <c r="LP9" s="36" t="str">
        <f t="shared" si="132"/>
        <v/>
      </c>
      <c r="LQ9" s="36" t="str">
        <f t="shared" si="133"/>
        <v/>
      </c>
      <c r="LR9" s="36" t="str">
        <f t="shared" si="134"/>
        <v/>
      </c>
      <c r="LS9" s="36" t="str">
        <f t="shared" si="135"/>
        <v/>
      </c>
      <c r="LT9" s="36" t="str">
        <f t="shared" si="136"/>
        <v/>
      </c>
      <c r="LU9" s="36" t="str">
        <f t="shared" si="137"/>
        <v/>
      </c>
      <c r="LV9" s="36" t="str">
        <f t="shared" si="138"/>
        <v/>
      </c>
      <c r="LW9" s="36" t="str">
        <f t="shared" si="139"/>
        <v/>
      </c>
      <c r="LX9" s="36" t="str">
        <f t="shared" si="140"/>
        <v/>
      </c>
      <c r="LY9" s="16">
        <v>15.4</v>
      </c>
      <c r="LZ9" s="16">
        <v>9.6</v>
      </c>
      <c r="MA9" s="16">
        <v>2.6</v>
      </c>
      <c r="MB9" s="16">
        <v>15.73</v>
      </c>
      <c r="MC9" s="16">
        <v>0</v>
      </c>
      <c r="MD9" s="16">
        <v>15</v>
      </c>
      <c r="ME9" s="16">
        <v>9.3000000000000007</v>
      </c>
      <c r="MF9" s="16">
        <v>14</v>
      </c>
      <c r="MG9" s="16">
        <v>15.55</v>
      </c>
      <c r="MH9" s="16">
        <v>0</v>
      </c>
      <c r="MI9" s="16"/>
      <c r="MJ9" s="16"/>
      <c r="MK9" s="16"/>
      <c r="ML9" s="16"/>
      <c r="MM9" s="16"/>
      <c r="MN9" s="16"/>
      <c r="MO9" s="16"/>
      <c r="MP9" s="16"/>
      <c r="MQ9" s="16"/>
      <c r="MR9" s="16"/>
      <c r="MS9" s="11">
        <f t="shared" si="141"/>
        <v>2.6</v>
      </c>
      <c r="MT9" s="11">
        <f t="shared" si="142"/>
        <v>15.73</v>
      </c>
      <c r="MU9" s="11">
        <f t="shared" si="143"/>
        <v>43.33</v>
      </c>
      <c r="MV9" s="11">
        <f t="shared" si="144"/>
        <v>14</v>
      </c>
      <c r="MW9" s="11">
        <f t="shared" si="145"/>
        <v>15.55</v>
      </c>
      <c r="MX9" s="11">
        <f t="shared" si="146"/>
        <v>53.849999999999994</v>
      </c>
      <c r="MY9" s="11">
        <f t="shared" si="147"/>
        <v>53.849999999999994</v>
      </c>
      <c r="MZ9" s="11" t="str">
        <f t="shared" si="148"/>
        <v/>
      </c>
      <c r="NA9" s="11" t="str">
        <f t="shared" si="149"/>
        <v/>
      </c>
      <c r="NB9" s="11" t="str">
        <f t="shared" si="150"/>
        <v/>
      </c>
      <c r="NC9" s="11" t="str">
        <f t="shared" si="151"/>
        <v/>
      </c>
      <c r="ND9" s="11" t="str">
        <f t="shared" si="152"/>
        <v/>
      </c>
      <c r="NE9" s="11" t="str">
        <f t="shared" si="153"/>
        <v/>
      </c>
      <c r="NF9" s="11">
        <f t="shared" si="154"/>
        <v>53.849999999999994</v>
      </c>
      <c r="NG9" s="15"/>
      <c r="NH9" s="15"/>
      <c r="NI9" s="15"/>
      <c r="NJ9" s="15"/>
      <c r="NK9" s="15"/>
      <c r="NL9" s="15"/>
      <c r="NM9" s="15"/>
      <c r="NN9" s="15"/>
      <c r="NO9" s="15"/>
      <c r="NP9" s="15"/>
      <c r="NQ9" s="15"/>
      <c r="NR9" s="15"/>
      <c r="NS9" s="15"/>
      <c r="NT9" s="15"/>
      <c r="NU9" s="15"/>
      <c r="NV9" s="15"/>
      <c r="NW9" s="15"/>
      <c r="NX9" s="15"/>
      <c r="NY9" s="15"/>
      <c r="NZ9" s="15"/>
      <c r="OA9" s="36" t="str">
        <f t="shared" si="155"/>
        <v/>
      </c>
      <c r="OB9" s="36" t="str">
        <f t="shared" si="156"/>
        <v/>
      </c>
      <c r="OC9" s="36" t="str">
        <f t="shared" si="157"/>
        <v/>
      </c>
      <c r="OD9" s="36" t="str">
        <f t="shared" si="158"/>
        <v/>
      </c>
      <c r="OE9" s="36" t="str">
        <f t="shared" si="159"/>
        <v/>
      </c>
      <c r="OF9" s="36" t="str">
        <f t="shared" si="160"/>
        <v/>
      </c>
      <c r="OG9" s="36" t="str">
        <f t="shared" si="161"/>
        <v/>
      </c>
      <c r="OH9" s="36" t="str">
        <f t="shared" si="162"/>
        <v/>
      </c>
      <c r="OI9" s="36" t="str">
        <f t="shared" si="163"/>
        <v/>
      </c>
      <c r="OJ9" s="36" t="str">
        <f t="shared" si="164"/>
        <v/>
      </c>
      <c r="OK9" s="36" t="str">
        <f t="shared" si="165"/>
        <v/>
      </c>
      <c r="OL9" s="36" t="str">
        <f t="shared" si="166"/>
        <v/>
      </c>
      <c r="OM9" s="36" t="str">
        <f t="shared" si="167"/>
        <v/>
      </c>
      <c r="ON9" s="36" t="str">
        <f t="shared" si="168"/>
        <v/>
      </c>
      <c r="OO9" s="16"/>
      <c r="OP9" s="16"/>
      <c r="OQ9" s="16"/>
      <c r="OR9" s="16"/>
      <c r="OS9" s="16"/>
      <c r="OT9" s="16"/>
      <c r="OU9" s="16"/>
      <c r="OV9" s="16"/>
      <c r="OW9" s="16"/>
      <c r="OX9" s="16"/>
      <c r="OY9" s="16"/>
      <c r="OZ9" s="16"/>
      <c r="PA9" s="16"/>
      <c r="PB9" s="16"/>
      <c r="PC9" s="16"/>
      <c r="PD9" s="16"/>
      <c r="PE9" s="16"/>
      <c r="PF9" s="16"/>
      <c r="PG9" s="16"/>
      <c r="PH9" s="16"/>
      <c r="PI9" s="11" t="str">
        <f t="shared" si="169"/>
        <v/>
      </c>
      <c r="PJ9" s="11" t="str">
        <f t="shared" si="170"/>
        <v/>
      </c>
      <c r="PK9" s="11" t="str">
        <f t="shared" si="171"/>
        <v/>
      </c>
      <c r="PL9" s="11" t="str">
        <f t="shared" si="172"/>
        <v/>
      </c>
      <c r="PM9" s="11" t="str">
        <f t="shared" si="173"/>
        <v/>
      </c>
      <c r="PN9" s="11" t="str">
        <f t="shared" si="174"/>
        <v/>
      </c>
      <c r="PO9" s="11" t="str">
        <f t="shared" si="175"/>
        <v/>
      </c>
      <c r="PP9" s="11" t="str">
        <f t="shared" si="176"/>
        <v/>
      </c>
      <c r="PQ9" s="11" t="str">
        <f t="shared" si="177"/>
        <v/>
      </c>
      <c r="PR9" s="11" t="str">
        <f t="shared" si="178"/>
        <v/>
      </c>
      <c r="PS9" s="11" t="str">
        <f t="shared" si="179"/>
        <v/>
      </c>
      <c r="PT9" s="11" t="str">
        <f t="shared" si="180"/>
        <v/>
      </c>
      <c r="PU9" s="11" t="str">
        <f t="shared" si="181"/>
        <v/>
      </c>
      <c r="PV9" s="11" t="str">
        <f t="shared" si="182"/>
        <v/>
      </c>
      <c r="PW9" s="15"/>
      <c r="PX9" s="15"/>
      <c r="PY9" s="15"/>
      <c r="PZ9" s="15"/>
      <c r="QA9" s="15"/>
      <c r="QB9" s="15"/>
      <c r="QC9" s="15"/>
      <c r="QD9" s="15"/>
      <c r="QE9" s="15"/>
      <c r="QF9" s="15"/>
      <c r="QG9" s="15"/>
      <c r="QH9" s="15"/>
      <c r="QI9" s="15"/>
      <c r="QJ9" s="15"/>
      <c r="QK9" s="15"/>
      <c r="QL9" s="15"/>
      <c r="QM9" s="15"/>
      <c r="QN9" s="15"/>
      <c r="QO9" s="15"/>
      <c r="QP9" s="15"/>
      <c r="QQ9" s="36" t="str">
        <f t="shared" si="183"/>
        <v/>
      </c>
      <c r="QR9" s="36" t="str">
        <f t="shared" si="184"/>
        <v/>
      </c>
      <c r="QS9" s="36" t="str">
        <f t="shared" si="185"/>
        <v/>
      </c>
      <c r="QT9" s="36" t="str">
        <f t="shared" si="186"/>
        <v/>
      </c>
      <c r="QU9" s="36" t="str">
        <f t="shared" si="187"/>
        <v/>
      </c>
      <c r="QV9" s="36" t="str">
        <f t="shared" si="188"/>
        <v/>
      </c>
      <c r="QW9" s="36" t="str">
        <f t="shared" si="189"/>
        <v/>
      </c>
      <c r="QX9" s="36" t="str">
        <f t="shared" si="190"/>
        <v/>
      </c>
      <c r="QY9" s="36" t="str">
        <f t="shared" si="191"/>
        <v/>
      </c>
      <c r="QZ9" s="36" t="str">
        <f t="shared" si="192"/>
        <v/>
      </c>
      <c r="RA9" s="36" t="str">
        <f t="shared" si="193"/>
        <v/>
      </c>
      <c r="RB9" s="36" t="str">
        <f t="shared" si="194"/>
        <v/>
      </c>
      <c r="RC9" s="36" t="str">
        <f t="shared" si="195"/>
        <v/>
      </c>
      <c r="RD9" s="36" t="str">
        <f t="shared" si="196"/>
        <v/>
      </c>
      <c r="RE9" s="16"/>
      <c r="RF9" s="16"/>
      <c r="RG9" s="16"/>
      <c r="RH9" s="16"/>
      <c r="RI9" s="16"/>
      <c r="RJ9" s="16"/>
      <c r="RK9" s="16"/>
      <c r="RL9" s="16"/>
      <c r="RM9" s="16"/>
      <c r="RN9" s="16"/>
      <c r="RO9" s="16"/>
      <c r="RP9" s="16"/>
      <c r="RQ9" s="16"/>
      <c r="RR9" s="16"/>
      <c r="RS9" s="16"/>
      <c r="RT9" s="16"/>
      <c r="RU9" s="16"/>
      <c r="RV9" s="16"/>
      <c r="RW9" s="16"/>
      <c r="RX9" s="16"/>
      <c r="RY9" s="11" t="str">
        <f t="shared" si="197"/>
        <v/>
      </c>
      <c r="RZ9" s="11" t="str">
        <f t="shared" si="198"/>
        <v/>
      </c>
      <c r="SA9" s="11" t="str">
        <f t="shared" si="199"/>
        <v/>
      </c>
      <c r="SB9" s="11" t="str">
        <f t="shared" si="200"/>
        <v/>
      </c>
      <c r="SC9" s="11" t="str">
        <f t="shared" si="201"/>
        <v/>
      </c>
      <c r="SD9" s="11" t="str">
        <f t="shared" si="202"/>
        <v/>
      </c>
      <c r="SE9" s="11" t="str">
        <f t="shared" si="203"/>
        <v/>
      </c>
      <c r="SF9" s="11" t="str">
        <f t="shared" si="204"/>
        <v/>
      </c>
      <c r="SG9" s="11" t="str">
        <f t="shared" si="205"/>
        <v/>
      </c>
      <c r="SH9" s="11" t="str">
        <f t="shared" si="206"/>
        <v/>
      </c>
      <c r="SI9" s="11" t="str">
        <f t="shared" si="207"/>
        <v/>
      </c>
      <c r="SJ9" s="11" t="str">
        <f t="shared" si="208"/>
        <v/>
      </c>
      <c r="SK9" s="11" t="str">
        <f t="shared" si="209"/>
        <v/>
      </c>
      <c r="SL9" s="11" t="str">
        <f t="shared" si="210"/>
        <v/>
      </c>
      <c r="SM9" s="15"/>
      <c r="SN9" s="15"/>
      <c r="SO9" s="15"/>
      <c r="SP9" s="15"/>
      <c r="SQ9" s="15"/>
      <c r="SR9" s="15"/>
      <c r="SS9" s="15"/>
      <c r="ST9" s="15"/>
      <c r="SU9" s="15"/>
      <c r="SV9" s="15"/>
      <c r="SW9" s="15"/>
      <c r="SX9" s="15"/>
      <c r="SY9" s="15"/>
      <c r="SZ9" s="15"/>
      <c r="TA9" s="15"/>
      <c r="TB9" s="15"/>
      <c r="TC9" s="15"/>
      <c r="TD9" s="15"/>
      <c r="TE9" s="15"/>
      <c r="TF9" s="15"/>
      <c r="TG9" s="36" t="str">
        <f t="shared" si="211"/>
        <v/>
      </c>
      <c r="TH9" s="36" t="str">
        <f t="shared" si="212"/>
        <v/>
      </c>
      <c r="TI9" s="36" t="str">
        <f t="shared" si="213"/>
        <v/>
      </c>
      <c r="TJ9" s="36" t="str">
        <f t="shared" si="214"/>
        <v/>
      </c>
      <c r="TK9" s="36" t="str">
        <f t="shared" si="215"/>
        <v/>
      </c>
      <c r="TL9" s="36" t="str">
        <f t="shared" si="216"/>
        <v/>
      </c>
      <c r="TM9" s="36" t="str">
        <f t="shared" si="217"/>
        <v/>
      </c>
      <c r="TN9" s="36" t="str">
        <f t="shared" si="218"/>
        <v/>
      </c>
      <c r="TO9" s="36" t="str">
        <f t="shared" si="219"/>
        <v/>
      </c>
      <c r="TP9" s="36" t="str">
        <f t="shared" si="220"/>
        <v/>
      </c>
      <c r="TQ9" s="36" t="str">
        <f t="shared" si="221"/>
        <v/>
      </c>
      <c r="TR9" s="36" t="str">
        <f t="shared" si="222"/>
        <v/>
      </c>
      <c r="TS9" s="36" t="str">
        <f t="shared" si="223"/>
        <v/>
      </c>
      <c r="TT9" s="36" t="str">
        <f t="shared" si="224"/>
        <v/>
      </c>
      <c r="TU9" s="16"/>
      <c r="TV9" s="16"/>
      <c r="TW9" s="16"/>
      <c r="TX9" s="16"/>
      <c r="TY9" s="16"/>
      <c r="TZ9" s="16"/>
      <c r="UA9" s="16"/>
      <c r="UB9" s="16"/>
      <c r="UC9" s="16"/>
      <c r="UD9" s="16"/>
      <c r="UE9" s="16"/>
      <c r="UF9" s="16"/>
      <c r="UG9" s="16"/>
      <c r="UH9" s="16"/>
      <c r="UI9" s="16"/>
      <c r="UJ9" s="16"/>
      <c r="UK9" s="16"/>
      <c r="UL9" s="16"/>
      <c r="UM9" s="16"/>
      <c r="UN9" s="16"/>
      <c r="UO9" s="11" t="str">
        <f t="shared" si="225"/>
        <v/>
      </c>
      <c r="UP9" s="11" t="str">
        <f t="shared" si="226"/>
        <v/>
      </c>
      <c r="UQ9" s="11" t="str">
        <f t="shared" si="227"/>
        <v/>
      </c>
      <c r="UR9" s="11" t="str">
        <f t="shared" si="228"/>
        <v/>
      </c>
      <c r="US9" s="11" t="str">
        <f t="shared" si="229"/>
        <v/>
      </c>
      <c r="UT9" s="11" t="str">
        <f t="shared" si="230"/>
        <v/>
      </c>
      <c r="UU9" s="11" t="str">
        <f t="shared" si="231"/>
        <v/>
      </c>
      <c r="UV9" s="11" t="str">
        <f t="shared" si="232"/>
        <v/>
      </c>
      <c r="UW9" s="11" t="str">
        <f t="shared" si="233"/>
        <v/>
      </c>
      <c r="UX9" s="11" t="str">
        <f t="shared" si="234"/>
        <v/>
      </c>
      <c r="UY9" s="11" t="str">
        <f t="shared" si="235"/>
        <v/>
      </c>
      <c r="UZ9" s="11" t="str">
        <f t="shared" si="236"/>
        <v/>
      </c>
      <c r="VA9" s="11" t="str">
        <f t="shared" si="237"/>
        <v/>
      </c>
      <c r="VB9" s="11" t="str">
        <f t="shared" si="238"/>
        <v/>
      </c>
      <c r="VC9" s="15"/>
      <c r="VD9" s="15"/>
      <c r="VE9" s="15"/>
      <c r="VF9" s="15"/>
      <c r="VG9" s="15"/>
      <c r="VH9" s="15"/>
      <c r="VI9" s="15"/>
      <c r="VJ9" s="15"/>
      <c r="VK9" s="15"/>
      <c r="VL9" s="15"/>
      <c r="VM9" s="15"/>
      <c r="VN9" s="15"/>
      <c r="VO9" s="15"/>
      <c r="VP9" s="15"/>
      <c r="VQ9" s="15"/>
      <c r="VR9" s="15"/>
      <c r="VS9" s="15"/>
      <c r="VT9" s="15"/>
      <c r="VU9" s="15"/>
      <c r="VV9" s="15"/>
      <c r="VW9" s="36" t="str">
        <f t="shared" si="239"/>
        <v/>
      </c>
      <c r="VX9" s="36" t="str">
        <f t="shared" si="240"/>
        <v/>
      </c>
      <c r="VY9" s="36" t="str">
        <f t="shared" si="241"/>
        <v/>
      </c>
      <c r="VZ9" s="36" t="str">
        <f t="shared" si="242"/>
        <v/>
      </c>
      <c r="WA9" s="36" t="str">
        <f t="shared" si="243"/>
        <v/>
      </c>
      <c r="WB9" s="36" t="str">
        <f t="shared" si="244"/>
        <v/>
      </c>
      <c r="WC9" s="36" t="str">
        <f t="shared" si="245"/>
        <v/>
      </c>
      <c r="WD9" s="36" t="str">
        <f t="shared" si="246"/>
        <v/>
      </c>
      <c r="WE9" s="36" t="str">
        <f t="shared" si="247"/>
        <v/>
      </c>
      <c r="WF9" s="36" t="str">
        <f t="shared" si="248"/>
        <v/>
      </c>
      <c r="WG9" s="36" t="str">
        <f t="shared" si="249"/>
        <v/>
      </c>
      <c r="WH9" s="36" t="str">
        <f t="shared" si="250"/>
        <v/>
      </c>
      <c r="WI9" s="36" t="str">
        <f t="shared" si="251"/>
        <v/>
      </c>
      <c r="WJ9" s="36" t="str">
        <f t="shared" si="252"/>
        <v/>
      </c>
    </row>
    <row r="10" spans="1:608" x14ac:dyDescent="0.2">
      <c r="A10" s="4" t="str" cm="1">
        <f t="array" ref="A10">IF(AND(H10&lt;&gt;"",H10&lt;&gt;"No DD",I10&lt;&gt;"P"),SUMPRODUCT((H$4:H$28&lt;&gt;"")*(H$4:H$28&lt;&gt;"No DD")*(I$4:I$28&lt;&gt;"P")*(E$4:E$28&gt;E10))+1,IF(H10="No DD",SUMPRODUCT((H$4:H$28="No DD")*(I$4:I$28&lt;&gt;"P")*(E$4:E$28&gt;E10))+1+SUMPRODUCT((H$4:H$28&lt;&gt;"")*(I$4:I$28&lt;&gt;"P")*(H$4:H$28&lt;&gt;"No DD")),""))</f>
        <v/>
      </c>
      <c r="B10" s="5" t="s">
        <v>90</v>
      </c>
      <c r="C10" s="4" t="s">
        <v>6</v>
      </c>
      <c r="D10" s="4">
        <v>2005</v>
      </c>
      <c r="E10" s="9">
        <f t="shared" si="0"/>
        <v>105.87001058700535</v>
      </c>
      <c r="F10" s="3" t="str">
        <f t="shared" si="1"/>
        <v/>
      </c>
      <c r="G10" s="3" t="str">
        <f t="shared" si="2"/>
        <v/>
      </c>
      <c r="H10" s="32" t="str">
        <f t="shared" si="3"/>
        <v/>
      </c>
      <c r="I10" s="3" t="str">
        <f>IF(COUNTIFS('Senior-M'!B:B,B10,'Senior-M'!A:A,"&lt;9",'Senior-M'!H:H,"&lt;&gt;"&amp;"No DD"),"P","")</f>
        <v/>
      </c>
      <c r="J10" s="8">
        <f t="shared" si="4"/>
        <v>53.38000000000001</v>
      </c>
      <c r="K10" s="8" t="str">
        <f t="shared" si="5"/>
        <v>2025 Nationals</v>
      </c>
      <c r="L10" s="8">
        <f>IFERROR(LARGE((AI10,AL10,AP10,BJ10,BM10,BQ10,CK10,CN10,CR10),2),0)</f>
        <v>52.489999999999995</v>
      </c>
      <c r="M10" s="8" t="str">
        <f t="shared" si="6"/>
        <v>2025 Nationals</v>
      </c>
      <c r="N10" s="8">
        <f t="shared" si="7"/>
        <v>0</v>
      </c>
      <c r="O10" s="11" t="str">
        <f>IF(N10=0,"",IF(N10=CT10,"("&amp;CT$2&amp;")",IF(N10=#REF!,"("&amp;#REF!&amp;")")))</f>
        <v/>
      </c>
      <c r="P10" s="8" t="str">
        <f t="shared" si="8"/>
        <v/>
      </c>
      <c r="Q10" s="18">
        <v>11.8</v>
      </c>
      <c r="R10" s="18">
        <v>9.6</v>
      </c>
      <c r="S10" s="18">
        <v>14.9</v>
      </c>
      <c r="T10" s="18">
        <v>15.75</v>
      </c>
      <c r="U10" s="18">
        <v>0</v>
      </c>
      <c r="V10" s="18">
        <v>2.7</v>
      </c>
      <c r="W10" s="18">
        <v>1.8</v>
      </c>
      <c r="X10" s="18">
        <v>3.3</v>
      </c>
      <c r="Y10" s="18">
        <v>3.33</v>
      </c>
      <c r="Z10" s="18">
        <v>0</v>
      </c>
      <c r="AA10" s="18">
        <v>12.3</v>
      </c>
      <c r="AB10" s="18">
        <v>8.4</v>
      </c>
      <c r="AC10" s="18">
        <v>13.2</v>
      </c>
      <c r="AD10" s="18">
        <v>14.33</v>
      </c>
      <c r="AE10" s="18">
        <v>0</v>
      </c>
      <c r="AF10" s="23"/>
      <c r="AG10" s="34">
        <f t="shared" si="9"/>
        <v>14.9</v>
      </c>
      <c r="AH10" s="34">
        <f t="shared" si="10"/>
        <v>15.75</v>
      </c>
      <c r="AI10" s="36">
        <f t="shared" si="11"/>
        <v>52.05</v>
      </c>
      <c r="AJ10" s="36">
        <f t="shared" si="12"/>
        <v>3.3</v>
      </c>
      <c r="AK10" s="36">
        <f t="shared" si="13"/>
        <v>3.33</v>
      </c>
      <c r="AL10" s="36">
        <f t="shared" si="14"/>
        <v>11.129999999999999</v>
      </c>
      <c r="AM10" s="36">
        <f t="shared" si="15"/>
        <v>52.05</v>
      </c>
      <c r="AN10" s="36">
        <f t="shared" si="16"/>
        <v>13.2</v>
      </c>
      <c r="AO10" s="36">
        <f t="shared" si="17"/>
        <v>14.33</v>
      </c>
      <c r="AP10" s="36">
        <f t="shared" si="18"/>
        <v>48.230000000000004</v>
      </c>
      <c r="AQ10" s="36">
        <f t="shared" si="19"/>
        <v>100.28</v>
      </c>
      <c r="AR10" s="22">
        <v>10.1</v>
      </c>
      <c r="AS10" s="22">
        <v>7.7</v>
      </c>
      <c r="AT10" s="22">
        <v>12.6</v>
      </c>
      <c r="AU10" s="22">
        <v>13.81</v>
      </c>
      <c r="AV10" s="22">
        <v>0</v>
      </c>
      <c r="AW10" s="22">
        <v>13.1</v>
      </c>
      <c r="AX10" s="22">
        <v>9</v>
      </c>
      <c r="AY10" s="22">
        <v>14.7</v>
      </c>
      <c r="AZ10" s="22">
        <v>15.69</v>
      </c>
      <c r="BA10" s="22">
        <v>0</v>
      </c>
      <c r="BB10" s="22">
        <v>14.4</v>
      </c>
      <c r="BC10" s="22">
        <v>8.8000000000000007</v>
      </c>
      <c r="BD10" s="22">
        <v>14.7</v>
      </c>
      <c r="BE10" s="22">
        <v>15.48</v>
      </c>
      <c r="BF10" s="22">
        <v>0</v>
      </c>
      <c r="BG10" s="24"/>
      <c r="BH10" s="35">
        <f t="shared" si="20"/>
        <v>12.6</v>
      </c>
      <c r="BI10" s="35">
        <f t="shared" si="21"/>
        <v>13.81</v>
      </c>
      <c r="BJ10" s="11">
        <f t="shared" si="22"/>
        <v>44.21</v>
      </c>
      <c r="BK10" s="11">
        <f t="shared" si="23"/>
        <v>14.7</v>
      </c>
      <c r="BL10" s="11">
        <f t="shared" si="24"/>
        <v>15.69</v>
      </c>
      <c r="BM10" s="11">
        <f t="shared" si="25"/>
        <v>52.489999999999995</v>
      </c>
      <c r="BN10" s="11">
        <f t="shared" si="26"/>
        <v>52.489999999999995</v>
      </c>
      <c r="BO10" s="11">
        <f t="shared" si="27"/>
        <v>14.7</v>
      </c>
      <c r="BP10" s="11">
        <f t="shared" si="28"/>
        <v>15.48</v>
      </c>
      <c r="BQ10" s="11">
        <f t="shared" si="29"/>
        <v>53.38000000000001</v>
      </c>
      <c r="BR10" s="11">
        <f t="shared" si="30"/>
        <v>105.87</v>
      </c>
      <c r="BS10" s="18">
        <v>11.3</v>
      </c>
      <c r="BT10" s="18">
        <v>9.4</v>
      </c>
      <c r="BU10" s="18">
        <v>14.4</v>
      </c>
      <c r="BV10" s="18">
        <v>15.17</v>
      </c>
      <c r="BW10" s="18">
        <v>0.1</v>
      </c>
      <c r="BX10" s="18">
        <v>1.4</v>
      </c>
      <c r="BY10" s="18">
        <v>1</v>
      </c>
      <c r="BZ10" s="18">
        <v>2</v>
      </c>
      <c r="CA10" s="18">
        <v>1.67</v>
      </c>
      <c r="CB10" s="18">
        <v>0</v>
      </c>
      <c r="CC10" s="18">
        <v>13</v>
      </c>
      <c r="CD10" s="18">
        <v>9</v>
      </c>
      <c r="CE10" s="18">
        <v>14.3</v>
      </c>
      <c r="CF10" s="18">
        <v>14.86</v>
      </c>
      <c r="CG10" s="18">
        <v>0.2</v>
      </c>
      <c r="CH10" s="23"/>
      <c r="CI10" s="34">
        <f t="shared" si="31"/>
        <v>14.4</v>
      </c>
      <c r="CJ10" s="34">
        <f t="shared" si="32"/>
        <v>15.17</v>
      </c>
      <c r="CK10" s="36">
        <f t="shared" si="33"/>
        <v>50.17</v>
      </c>
      <c r="CL10" s="36">
        <f t="shared" si="34"/>
        <v>2</v>
      </c>
      <c r="CM10" s="36">
        <f t="shared" si="35"/>
        <v>1.67</v>
      </c>
      <c r="CN10" s="36">
        <f t="shared" si="36"/>
        <v>6.07</v>
      </c>
      <c r="CO10" s="36">
        <f t="shared" si="37"/>
        <v>50.17</v>
      </c>
      <c r="CP10" s="36">
        <f t="shared" si="38"/>
        <v>14.3</v>
      </c>
      <c r="CQ10" s="36">
        <f t="shared" si="39"/>
        <v>14.86</v>
      </c>
      <c r="CR10" s="36">
        <f t="shared" si="40"/>
        <v>50.959999999999994</v>
      </c>
      <c r="CS10" s="36">
        <f t="shared" si="41"/>
        <v>101.13</v>
      </c>
      <c r="CT10" s="47" t="str">
        <f t="shared" si="42"/>
        <v/>
      </c>
      <c r="CU10" s="15"/>
      <c r="CV10" s="15"/>
      <c r="CW10" s="15"/>
      <c r="CX10" s="15"/>
      <c r="CY10" s="15"/>
      <c r="CZ10" s="15"/>
      <c r="DA10" s="15"/>
      <c r="DB10" s="15"/>
      <c r="DC10" s="15"/>
      <c r="DD10" s="15"/>
      <c r="DE10" s="15"/>
      <c r="DF10" s="15"/>
      <c r="DG10" s="15"/>
      <c r="DH10" s="15"/>
      <c r="DI10" s="15"/>
      <c r="DJ10" s="15"/>
      <c r="DK10" s="15"/>
      <c r="DL10" s="15"/>
      <c r="DM10" s="15"/>
      <c r="DN10" s="15"/>
      <c r="DO10" s="36" t="str">
        <f t="shared" si="43"/>
        <v/>
      </c>
      <c r="DP10" s="36" t="str">
        <f t="shared" si="44"/>
        <v/>
      </c>
      <c r="DQ10" s="36" t="str">
        <f t="shared" si="45"/>
        <v/>
      </c>
      <c r="DR10" s="36" t="str">
        <f t="shared" si="46"/>
        <v/>
      </c>
      <c r="DS10" s="36" t="str">
        <f t="shared" si="47"/>
        <v/>
      </c>
      <c r="DT10" s="36" t="str">
        <f t="shared" si="48"/>
        <v/>
      </c>
      <c r="DU10" s="36" t="str">
        <f t="shared" si="49"/>
        <v/>
      </c>
      <c r="DV10" s="36" t="str">
        <f t="shared" si="50"/>
        <v/>
      </c>
      <c r="DW10" s="36" t="str">
        <f t="shared" si="51"/>
        <v/>
      </c>
      <c r="DX10" s="36" t="str">
        <f t="shared" si="52"/>
        <v/>
      </c>
      <c r="DY10" s="36" t="str">
        <f t="shared" si="53"/>
        <v/>
      </c>
      <c r="DZ10" s="36" t="str">
        <f t="shared" si="54"/>
        <v/>
      </c>
      <c r="EA10" s="36" t="str">
        <f t="shared" si="55"/>
        <v/>
      </c>
      <c r="EB10" s="36" t="str">
        <f t="shared" si="56"/>
        <v/>
      </c>
      <c r="EC10" s="16"/>
      <c r="ED10" s="16"/>
      <c r="EE10" s="16"/>
      <c r="EF10" s="16"/>
      <c r="EG10" s="16"/>
      <c r="EH10" s="16"/>
      <c r="EI10" s="16"/>
      <c r="EJ10" s="16"/>
      <c r="EK10" s="16"/>
      <c r="EL10" s="16"/>
      <c r="EM10" s="16"/>
      <c r="EN10" s="16"/>
      <c r="EO10" s="16"/>
      <c r="EP10" s="16"/>
      <c r="EQ10" s="16"/>
      <c r="ER10" s="16"/>
      <c r="ES10" s="16"/>
      <c r="ET10" s="16"/>
      <c r="EU10" s="16"/>
      <c r="EV10" s="16"/>
      <c r="EW10" s="11" t="str">
        <f t="shared" si="57"/>
        <v/>
      </c>
      <c r="EX10" s="11" t="str">
        <f t="shared" si="58"/>
        <v/>
      </c>
      <c r="EY10" s="11" t="str">
        <f t="shared" si="59"/>
        <v/>
      </c>
      <c r="EZ10" s="11" t="str">
        <f t="shared" si="60"/>
        <v/>
      </c>
      <c r="FA10" s="11" t="str">
        <f t="shared" si="61"/>
        <v/>
      </c>
      <c r="FB10" s="11" t="str">
        <f t="shared" si="62"/>
        <v/>
      </c>
      <c r="FC10" s="11" t="str">
        <f t="shared" si="63"/>
        <v/>
      </c>
      <c r="FD10" s="11" t="str">
        <f t="shared" si="64"/>
        <v/>
      </c>
      <c r="FE10" s="11" t="str">
        <f t="shared" si="65"/>
        <v/>
      </c>
      <c r="FF10" s="11" t="str">
        <f t="shared" si="66"/>
        <v/>
      </c>
      <c r="FG10" s="11" t="str">
        <f t="shared" si="67"/>
        <v/>
      </c>
      <c r="FH10" s="11" t="str">
        <f t="shared" si="68"/>
        <v/>
      </c>
      <c r="FI10" s="11" t="str">
        <f t="shared" si="69"/>
        <v/>
      </c>
      <c r="FJ10" s="11" t="str">
        <f t="shared" si="70"/>
        <v/>
      </c>
      <c r="FK10" s="15">
        <v>11.3</v>
      </c>
      <c r="FL10" s="15">
        <v>8.8000000000000007</v>
      </c>
      <c r="FM10" s="15">
        <v>14.7</v>
      </c>
      <c r="FN10" s="15">
        <v>15.45</v>
      </c>
      <c r="FO10" s="15">
        <v>0</v>
      </c>
      <c r="FP10" s="15">
        <v>11.9</v>
      </c>
      <c r="FQ10" s="15">
        <v>9.1999999999999993</v>
      </c>
      <c r="FR10" s="15">
        <v>15.3</v>
      </c>
      <c r="FS10" s="15">
        <v>15.51</v>
      </c>
      <c r="FT10" s="15">
        <v>0</v>
      </c>
      <c r="FU10" s="15">
        <v>6.4</v>
      </c>
      <c r="FV10" s="15">
        <v>4.4000000000000004</v>
      </c>
      <c r="FW10" s="15">
        <v>8</v>
      </c>
      <c r="FX10" s="15">
        <v>8.09</v>
      </c>
      <c r="FY10" s="15">
        <v>0.2</v>
      </c>
      <c r="FZ10" s="15"/>
      <c r="GA10" s="15"/>
      <c r="GB10" s="15"/>
      <c r="GC10" s="15"/>
      <c r="GD10" s="15"/>
      <c r="GE10" s="36">
        <f t="shared" si="71"/>
        <v>14.7</v>
      </c>
      <c r="GF10" s="36">
        <f t="shared" si="72"/>
        <v>15.45</v>
      </c>
      <c r="GG10" s="36">
        <f t="shared" si="73"/>
        <v>50.25</v>
      </c>
      <c r="GH10" s="36">
        <f t="shared" si="74"/>
        <v>15.3</v>
      </c>
      <c r="GI10" s="36">
        <f t="shared" si="75"/>
        <v>15.51</v>
      </c>
      <c r="GJ10" s="36">
        <f t="shared" si="76"/>
        <v>51.910000000000004</v>
      </c>
      <c r="GK10" s="36">
        <f t="shared" si="77"/>
        <v>51.910000000000004</v>
      </c>
      <c r="GL10" s="36">
        <f t="shared" si="78"/>
        <v>8</v>
      </c>
      <c r="GM10" s="36">
        <f t="shared" si="79"/>
        <v>8.09</v>
      </c>
      <c r="GN10" s="36">
        <f t="shared" si="80"/>
        <v>26.69</v>
      </c>
      <c r="GO10" s="36" t="str">
        <f t="shared" si="81"/>
        <v/>
      </c>
      <c r="GP10" s="36" t="str">
        <f t="shared" si="82"/>
        <v/>
      </c>
      <c r="GQ10" s="36" t="str">
        <f t="shared" si="83"/>
        <v/>
      </c>
      <c r="GR10" s="36">
        <f t="shared" si="84"/>
        <v>78.600000000000009</v>
      </c>
      <c r="GS10" s="16"/>
      <c r="GT10" s="16"/>
      <c r="GU10" s="16"/>
      <c r="GV10" s="16"/>
      <c r="GW10" s="16"/>
      <c r="GX10" s="16"/>
      <c r="GY10" s="16"/>
      <c r="GZ10" s="16"/>
      <c r="HA10" s="16"/>
      <c r="HB10" s="16"/>
      <c r="HC10" s="16"/>
      <c r="HD10" s="16"/>
      <c r="HE10" s="16"/>
      <c r="HF10" s="16"/>
      <c r="HG10" s="16"/>
      <c r="HH10" s="16"/>
      <c r="HI10" s="16"/>
      <c r="HJ10" s="16"/>
      <c r="HK10" s="16"/>
      <c r="HL10" s="16"/>
      <c r="HM10" s="11" t="str">
        <f t="shared" si="85"/>
        <v/>
      </c>
      <c r="HN10" s="11" t="str">
        <f t="shared" si="86"/>
        <v/>
      </c>
      <c r="HO10" s="11" t="str">
        <f t="shared" si="87"/>
        <v/>
      </c>
      <c r="HP10" s="11" t="str">
        <f t="shared" si="88"/>
        <v/>
      </c>
      <c r="HQ10" s="11" t="str">
        <f t="shared" si="89"/>
        <v/>
      </c>
      <c r="HR10" s="11" t="str">
        <f t="shared" si="90"/>
        <v/>
      </c>
      <c r="HS10" s="11" t="str">
        <f t="shared" si="91"/>
        <v/>
      </c>
      <c r="HT10" s="11" t="str">
        <f t="shared" si="92"/>
        <v/>
      </c>
      <c r="HU10" s="11" t="str">
        <f t="shared" si="93"/>
        <v/>
      </c>
      <c r="HV10" s="11" t="str">
        <f t="shared" si="94"/>
        <v/>
      </c>
      <c r="HW10" s="11" t="str">
        <f t="shared" si="95"/>
        <v/>
      </c>
      <c r="HX10" s="11" t="str">
        <f t="shared" si="96"/>
        <v/>
      </c>
      <c r="HY10" s="11" t="str">
        <f t="shared" si="97"/>
        <v/>
      </c>
      <c r="HZ10" s="11" t="str">
        <f t="shared" si="98"/>
        <v/>
      </c>
      <c r="IA10" s="15"/>
      <c r="IB10" s="15"/>
      <c r="IC10" s="15"/>
      <c r="ID10" s="15"/>
      <c r="IE10" s="15"/>
      <c r="IF10" s="15"/>
      <c r="IG10" s="15"/>
      <c r="IH10" s="15"/>
      <c r="II10" s="15"/>
      <c r="IJ10" s="15"/>
      <c r="IK10" s="15"/>
      <c r="IL10" s="15"/>
      <c r="IM10" s="15"/>
      <c r="IN10" s="15"/>
      <c r="IO10" s="15"/>
      <c r="IP10" s="15"/>
      <c r="IQ10" s="15"/>
      <c r="IR10" s="15"/>
      <c r="IS10" s="15"/>
      <c r="IT10" s="15"/>
      <c r="IU10" s="36" t="str">
        <f t="shared" si="99"/>
        <v/>
      </c>
      <c r="IV10" s="36" t="str">
        <f t="shared" si="100"/>
        <v/>
      </c>
      <c r="IW10" s="36" t="str">
        <f t="shared" si="101"/>
        <v/>
      </c>
      <c r="IX10" s="36" t="str">
        <f t="shared" si="102"/>
        <v/>
      </c>
      <c r="IY10" s="36" t="str">
        <f t="shared" si="103"/>
        <v/>
      </c>
      <c r="IZ10" s="36" t="str">
        <f t="shared" si="104"/>
        <v/>
      </c>
      <c r="JA10" s="36" t="str">
        <f t="shared" si="105"/>
        <v/>
      </c>
      <c r="JB10" s="36" t="str">
        <f t="shared" si="106"/>
        <v/>
      </c>
      <c r="JC10" s="36" t="str">
        <f t="shared" si="107"/>
        <v/>
      </c>
      <c r="JD10" s="36" t="str">
        <f t="shared" si="108"/>
        <v/>
      </c>
      <c r="JE10" s="36" t="str">
        <f t="shared" si="109"/>
        <v/>
      </c>
      <c r="JF10" s="36" t="str">
        <f t="shared" si="110"/>
        <v/>
      </c>
      <c r="JG10" s="36" t="str">
        <f t="shared" si="111"/>
        <v/>
      </c>
      <c r="JH10" s="36" t="str">
        <f t="shared" si="112"/>
        <v/>
      </c>
      <c r="JI10" s="16"/>
      <c r="JJ10" s="16"/>
      <c r="JK10" s="16"/>
      <c r="JL10" s="16"/>
      <c r="JM10" s="16"/>
      <c r="JN10" s="16"/>
      <c r="JO10" s="16"/>
      <c r="JP10" s="16"/>
      <c r="JQ10" s="16"/>
      <c r="JR10" s="16"/>
      <c r="JS10" s="16"/>
      <c r="JT10" s="16"/>
      <c r="JU10" s="16"/>
      <c r="JV10" s="16"/>
      <c r="JW10" s="16"/>
      <c r="JX10" s="16"/>
      <c r="JY10" s="16"/>
      <c r="JZ10" s="16"/>
      <c r="KA10" s="16"/>
      <c r="KB10" s="16"/>
      <c r="KC10" s="11" t="str">
        <f t="shared" si="113"/>
        <v/>
      </c>
      <c r="KD10" s="11" t="str">
        <f t="shared" si="114"/>
        <v/>
      </c>
      <c r="KE10" s="11" t="str">
        <f t="shared" si="115"/>
        <v/>
      </c>
      <c r="KF10" s="11" t="str">
        <f t="shared" si="116"/>
        <v/>
      </c>
      <c r="KG10" s="11" t="str">
        <f t="shared" si="117"/>
        <v/>
      </c>
      <c r="KH10" s="11" t="str">
        <f t="shared" si="118"/>
        <v/>
      </c>
      <c r="KI10" s="11" t="str">
        <f t="shared" si="119"/>
        <v/>
      </c>
      <c r="KJ10" s="11" t="str">
        <f t="shared" si="120"/>
        <v/>
      </c>
      <c r="KK10" s="11" t="str">
        <f t="shared" si="121"/>
        <v/>
      </c>
      <c r="KL10" s="11" t="str">
        <f t="shared" si="122"/>
        <v/>
      </c>
      <c r="KM10" s="11" t="str">
        <f t="shared" si="123"/>
        <v/>
      </c>
      <c r="KN10" s="11" t="str">
        <f t="shared" si="124"/>
        <v/>
      </c>
      <c r="KO10" s="11" t="str">
        <f t="shared" si="125"/>
        <v/>
      </c>
      <c r="KP10" s="11" t="str">
        <f t="shared" si="126"/>
        <v/>
      </c>
      <c r="KQ10" s="15"/>
      <c r="KR10" s="15"/>
      <c r="KS10" s="15"/>
      <c r="KT10" s="15"/>
      <c r="KU10" s="15"/>
      <c r="KV10" s="15"/>
      <c r="KW10" s="15"/>
      <c r="KX10" s="15"/>
      <c r="KY10" s="15"/>
      <c r="KZ10" s="15"/>
      <c r="LA10" s="15"/>
      <c r="LB10" s="15"/>
      <c r="LC10" s="15"/>
      <c r="LD10" s="15"/>
      <c r="LE10" s="15"/>
      <c r="LF10" s="15"/>
      <c r="LG10" s="15"/>
      <c r="LH10" s="15"/>
      <c r="LI10" s="15"/>
      <c r="LJ10" s="15"/>
      <c r="LK10" s="36" t="str">
        <f t="shared" si="127"/>
        <v/>
      </c>
      <c r="LL10" s="36" t="str">
        <f t="shared" si="128"/>
        <v/>
      </c>
      <c r="LM10" s="36" t="str">
        <f t="shared" si="129"/>
        <v/>
      </c>
      <c r="LN10" s="36" t="str">
        <f t="shared" si="130"/>
        <v/>
      </c>
      <c r="LO10" s="36" t="str">
        <f t="shared" si="131"/>
        <v/>
      </c>
      <c r="LP10" s="36" t="str">
        <f t="shared" si="132"/>
        <v/>
      </c>
      <c r="LQ10" s="36" t="str">
        <f t="shared" si="133"/>
        <v/>
      </c>
      <c r="LR10" s="36" t="str">
        <f t="shared" si="134"/>
        <v/>
      </c>
      <c r="LS10" s="36" t="str">
        <f t="shared" si="135"/>
        <v/>
      </c>
      <c r="LT10" s="36" t="str">
        <f t="shared" si="136"/>
        <v/>
      </c>
      <c r="LU10" s="36" t="str">
        <f t="shared" si="137"/>
        <v/>
      </c>
      <c r="LV10" s="36" t="str">
        <f t="shared" si="138"/>
        <v/>
      </c>
      <c r="LW10" s="36" t="str">
        <f t="shared" si="139"/>
        <v/>
      </c>
      <c r="LX10" s="36" t="str">
        <f t="shared" si="140"/>
        <v/>
      </c>
      <c r="LY10" s="16"/>
      <c r="LZ10" s="16"/>
      <c r="MA10" s="16"/>
      <c r="MB10" s="16"/>
      <c r="MC10" s="16"/>
      <c r="MD10" s="16"/>
      <c r="ME10" s="16"/>
      <c r="MF10" s="16"/>
      <c r="MG10" s="16"/>
      <c r="MH10" s="16"/>
      <c r="MI10" s="16"/>
      <c r="MJ10" s="16"/>
      <c r="MK10" s="16"/>
      <c r="ML10" s="16"/>
      <c r="MM10" s="16"/>
      <c r="MN10" s="16"/>
      <c r="MO10" s="16"/>
      <c r="MP10" s="16"/>
      <c r="MQ10" s="16"/>
      <c r="MR10" s="16"/>
      <c r="MS10" s="11" t="str">
        <f t="shared" si="141"/>
        <v/>
      </c>
      <c r="MT10" s="11" t="str">
        <f t="shared" si="142"/>
        <v/>
      </c>
      <c r="MU10" s="11" t="str">
        <f t="shared" si="143"/>
        <v/>
      </c>
      <c r="MV10" s="11" t="str">
        <f t="shared" si="144"/>
        <v/>
      </c>
      <c r="MW10" s="11" t="str">
        <f t="shared" si="145"/>
        <v/>
      </c>
      <c r="MX10" s="11" t="str">
        <f t="shared" si="146"/>
        <v/>
      </c>
      <c r="MY10" s="11" t="str">
        <f t="shared" si="147"/>
        <v/>
      </c>
      <c r="MZ10" s="11" t="str">
        <f t="shared" si="148"/>
        <v/>
      </c>
      <c r="NA10" s="11" t="str">
        <f t="shared" si="149"/>
        <v/>
      </c>
      <c r="NB10" s="11" t="str">
        <f t="shared" si="150"/>
        <v/>
      </c>
      <c r="NC10" s="11" t="str">
        <f t="shared" si="151"/>
        <v/>
      </c>
      <c r="ND10" s="11" t="str">
        <f t="shared" si="152"/>
        <v/>
      </c>
      <c r="NE10" s="11" t="str">
        <f t="shared" si="153"/>
        <v/>
      </c>
      <c r="NF10" s="11" t="str">
        <f t="shared" si="154"/>
        <v/>
      </c>
      <c r="NG10" s="15"/>
      <c r="NH10" s="15"/>
      <c r="NI10" s="15"/>
      <c r="NJ10" s="15"/>
      <c r="NK10" s="15"/>
      <c r="NL10" s="15"/>
      <c r="NM10" s="15"/>
      <c r="NN10" s="15"/>
      <c r="NO10" s="15"/>
      <c r="NP10" s="15"/>
      <c r="NQ10" s="15"/>
      <c r="NR10" s="15"/>
      <c r="NS10" s="15"/>
      <c r="NT10" s="15"/>
      <c r="NU10" s="15"/>
      <c r="NV10" s="15"/>
      <c r="NW10" s="15"/>
      <c r="NX10" s="15"/>
      <c r="NY10" s="15"/>
      <c r="NZ10" s="15"/>
      <c r="OA10" s="36" t="str">
        <f t="shared" si="155"/>
        <v/>
      </c>
      <c r="OB10" s="36" t="str">
        <f t="shared" si="156"/>
        <v/>
      </c>
      <c r="OC10" s="36" t="str">
        <f t="shared" si="157"/>
        <v/>
      </c>
      <c r="OD10" s="36" t="str">
        <f t="shared" si="158"/>
        <v/>
      </c>
      <c r="OE10" s="36" t="str">
        <f t="shared" si="159"/>
        <v/>
      </c>
      <c r="OF10" s="36" t="str">
        <f t="shared" si="160"/>
        <v/>
      </c>
      <c r="OG10" s="36" t="str">
        <f t="shared" si="161"/>
        <v/>
      </c>
      <c r="OH10" s="36" t="str">
        <f t="shared" si="162"/>
        <v/>
      </c>
      <c r="OI10" s="36" t="str">
        <f t="shared" si="163"/>
        <v/>
      </c>
      <c r="OJ10" s="36" t="str">
        <f t="shared" si="164"/>
        <v/>
      </c>
      <c r="OK10" s="36" t="str">
        <f t="shared" si="165"/>
        <v/>
      </c>
      <c r="OL10" s="36" t="str">
        <f t="shared" si="166"/>
        <v/>
      </c>
      <c r="OM10" s="36" t="str">
        <f t="shared" si="167"/>
        <v/>
      </c>
      <c r="ON10" s="36" t="str">
        <f t="shared" si="168"/>
        <v/>
      </c>
      <c r="OO10" s="16"/>
      <c r="OP10" s="16"/>
      <c r="OQ10" s="16"/>
      <c r="OR10" s="16"/>
      <c r="OS10" s="16"/>
      <c r="OT10" s="16"/>
      <c r="OU10" s="16"/>
      <c r="OV10" s="16"/>
      <c r="OW10" s="16"/>
      <c r="OX10" s="16"/>
      <c r="OY10" s="16"/>
      <c r="OZ10" s="16"/>
      <c r="PA10" s="16"/>
      <c r="PB10" s="16"/>
      <c r="PC10" s="16"/>
      <c r="PD10" s="16"/>
      <c r="PE10" s="16"/>
      <c r="PF10" s="16"/>
      <c r="PG10" s="16"/>
      <c r="PH10" s="16"/>
      <c r="PI10" s="11" t="str">
        <f t="shared" si="169"/>
        <v/>
      </c>
      <c r="PJ10" s="11" t="str">
        <f t="shared" si="170"/>
        <v/>
      </c>
      <c r="PK10" s="11" t="str">
        <f t="shared" si="171"/>
        <v/>
      </c>
      <c r="PL10" s="11" t="str">
        <f t="shared" si="172"/>
        <v/>
      </c>
      <c r="PM10" s="11" t="str">
        <f t="shared" si="173"/>
        <v/>
      </c>
      <c r="PN10" s="11" t="str">
        <f t="shared" si="174"/>
        <v/>
      </c>
      <c r="PO10" s="11" t="str">
        <f t="shared" si="175"/>
        <v/>
      </c>
      <c r="PP10" s="11" t="str">
        <f t="shared" si="176"/>
        <v/>
      </c>
      <c r="PQ10" s="11" t="str">
        <f t="shared" si="177"/>
        <v/>
      </c>
      <c r="PR10" s="11" t="str">
        <f t="shared" si="178"/>
        <v/>
      </c>
      <c r="PS10" s="11" t="str">
        <f t="shared" si="179"/>
        <v/>
      </c>
      <c r="PT10" s="11" t="str">
        <f t="shared" si="180"/>
        <v/>
      </c>
      <c r="PU10" s="11" t="str">
        <f t="shared" si="181"/>
        <v/>
      </c>
      <c r="PV10" s="11" t="str">
        <f t="shared" si="182"/>
        <v/>
      </c>
      <c r="PW10" s="15"/>
      <c r="PX10" s="15"/>
      <c r="PY10" s="15"/>
      <c r="PZ10" s="15"/>
      <c r="QA10" s="15"/>
      <c r="QB10" s="15"/>
      <c r="QC10" s="15"/>
      <c r="QD10" s="15"/>
      <c r="QE10" s="15"/>
      <c r="QF10" s="15"/>
      <c r="QG10" s="15"/>
      <c r="QH10" s="15"/>
      <c r="QI10" s="15"/>
      <c r="QJ10" s="15"/>
      <c r="QK10" s="15"/>
      <c r="QL10" s="15"/>
      <c r="QM10" s="15"/>
      <c r="QN10" s="15"/>
      <c r="QO10" s="15"/>
      <c r="QP10" s="15"/>
      <c r="QQ10" s="36" t="str">
        <f t="shared" si="183"/>
        <v/>
      </c>
      <c r="QR10" s="36" t="str">
        <f t="shared" si="184"/>
        <v/>
      </c>
      <c r="QS10" s="36" t="str">
        <f t="shared" si="185"/>
        <v/>
      </c>
      <c r="QT10" s="36" t="str">
        <f t="shared" si="186"/>
        <v/>
      </c>
      <c r="QU10" s="36" t="str">
        <f t="shared" si="187"/>
        <v/>
      </c>
      <c r="QV10" s="36" t="str">
        <f t="shared" si="188"/>
        <v/>
      </c>
      <c r="QW10" s="36" t="str">
        <f t="shared" si="189"/>
        <v/>
      </c>
      <c r="QX10" s="36" t="str">
        <f t="shared" si="190"/>
        <v/>
      </c>
      <c r="QY10" s="36" t="str">
        <f t="shared" si="191"/>
        <v/>
      </c>
      <c r="QZ10" s="36" t="str">
        <f t="shared" si="192"/>
        <v/>
      </c>
      <c r="RA10" s="36" t="str">
        <f t="shared" si="193"/>
        <v/>
      </c>
      <c r="RB10" s="36" t="str">
        <f t="shared" si="194"/>
        <v/>
      </c>
      <c r="RC10" s="36" t="str">
        <f t="shared" si="195"/>
        <v/>
      </c>
      <c r="RD10" s="36" t="str">
        <f t="shared" si="196"/>
        <v/>
      </c>
      <c r="RE10" s="16"/>
      <c r="RF10" s="16"/>
      <c r="RG10" s="16"/>
      <c r="RH10" s="16"/>
      <c r="RI10" s="16"/>
      <c r="RJ10" s="16"/>
      <c r="RK10" s="16"/>
      <c r="RL10" s="16"/>
      <c r="RM10" s="16"/>
      <c r="RN10" s="16"/>
      <c r="RO10" s="16"/>
      <c r="RP10" s="16"/>
      <c r="RQ10" s="16"/>
      <c r="RR10" s="16"/>
      <c r="RS10" s="16"/>
      <c r="RT10" s="16"/>
      <c r="RU10" s="16"/>
      <c r="RV10" s="16"/>
      <c r="RW10" s="16"/>
      <c r="RX10" s="16"/>
      <c r="RY10" s="11" t="str">
        <f t="shared" si="197"/>
        <v/>
      </c>
      <c r="RZ10" s="11" t="str">
        <f t="shared" si="198"/>
        <v/>
      </c>
      <c r="SA10" s="11" t="str">
        <f t="shared" si="199"/>
        <v/>
      </c>
      <c r="SB10" s="11" t="str">
        <f t="shared" si="200"/>
        <v/>
      </c>
      <c r="SC10" s="11" t="str">
        <f t="shared" si="201"/>
        <v/>
      </c>
      <c r="SD10" s="11" t="str">
        <f t="shared" si="202"/>
        <v/>
      </c>
      <c r="SE10" s="11" t="str">
        <f t="shared" si="203"/>
        <v/>
      </c>
      <c r="SF10" s="11" t="str">
        <f t="shared" si="204"/>
        <v/>
      </c>
      <c r="SG10" s="11" t="str">
        <f t="shared" si="205"/>
        <v/>
      </c>
      <c r="SH10" s="11" t="str">
        <f t="shared" si="206"/>
        <v/>
      </c>
      <c r="SI10" s="11" t="str">
        <f t="shared" si="207"/>
        <v/>
      </c>
      <c r="SJ10" s="11" t="str">
        <f t="shared" si="208"/>
        <v/>
      </c>
      <c r="SK10" s="11" t="str">
        <f t="shared" si="209"/>
        <v/>
      </c>
      <c r="SL10" s="11" t="str">
        <f t="shared" si="210"/>
        <v/>
      </c>
      <c r="SM10" s="15"/>
      <c r="SN10" s="15"/>
      <c r="SO10" s="15"/>
      <c r="SP10" s="15"/>
      <c r="SQ10" s="15"/>
      <c r="SR10" s="15"/>
      <c r="SS10" s="15"/>
      <c r="ST10" s="15"/>
      <c r="SU10" s="15"/>
      <c r="SV10" s="15"/>
      <c r="SW10" s="15"/>
      <c r="SX10" s="15"/>
      <c r="SY10" s="15"/>
      <c r="SZ10" s="15"/>
      <c r="TA10" s="15"/>
      <c r="TB10" s="15"/>
      <c r="TC10" s="15"/>
      <c r="TD10" s="15"/>
      <c r="TE10" s="15"/>
      <c r="TF10" s="15"/>
      <c r="TG10" s="36" t="str">
        <f t="shared" si="211"/>
        <v/>
      </c>
      <c r="TH10" s="36" t="str">
        <f t="shared" si="212"/>
        <v/>
      </c>
      <c r="TI10" s="36" t="str">
        <f t="shared" si="213"/>
        <v/>
      </c>
      <c r="TJ10" s="36" t="str">
        <f t="shared" si="214"/>
        <v/>
      </c>
      <c r="TK10" s="36" t="str">
        <f t="shared" si="215"/>
        <v/>
      </c>
      <c r="TL10" s="36" t="str">
        <f t="shared" si="216"/>
        <v/>
      </c>
      <c r="TM10" s="36" t="str">
        <f t="shared" si="217"/>
        <v/>
      </c>
      <c r="TN10" s="36" t="str">
        <f t="shared" si="218"/>
        <v/>
      </c>
      <c r="TO10" s="36" t="str">
        <f t="shared" si="219"/>
        <v/>
      </c>
      <c r="TP10" s="36" t="str">
        <f t="shared" si="220"/>
        <v/>
      </c>
      <c r="TQ10" s="36" t="str">
        <f t="shared" si="221"/>
        <v/>
      </c>
      <c r="TR10" s="36" t="str">
        <f t="shared" si="222"/>
        <v/>
      </c>
      <c r="TS10" s="36" t="str">
        <f t="shared" si="223"/>
        <v/>
      </c>
      <c r="TT10" s="36" t="str">
        <f t="shared" si="224"/>
        <v/>
      </c>
      <c r="TU10" s="16"/>
      <c r="TV10" s="16"/>
      <c r="TW10" s="16"/>
      <c r="TX10" s="16"/>
      <c r="TY10" s="16"/>
      <c r="TZ10" s="16"/>
      <c r="UA10" s="16"/>
      <c r="UB10" s="16"/>
      <c r="UC10" s="16"/>
      <c r="UD10" s="16"/>
      <c r="UE10" s="16"/>
      <c r="UF10" s="16"/>
      <c r="UG10" s="16"/>
      <c r="UH10" s="16"/>
      <c r="UI10" s="16"/>
      <c r="UJ10" s="16"/>
      <c r="UK10" s="16"/>
      <c r="UL10" s="16"/>
      <c r="UM10" s="16"/>
      <c r="UN10" s="16"/>
      <c r="UO10" s="11" t="str">
        <f t="shared" si="225"/>
        <v/>
      </c>
      <c r="UP10" s="11" t="str">
        <f t="shared" si="226"/>
        <v/>
      </c>
      <c r="UQ10" s="11" t="str">
        <f t="shared" si="227"/>
        <v/>
      </c>
      <c r="UR10" s="11" t="str">
        <f t="shared" si="228"/>
        <v/>
      </c>
      <c r="US10" s="11" t="str">
        <f t="shared" si="229"/>
        <v/>
      </c>
      <c r="UT10" s="11" t="str">
        <f t="shared" si="230"/>
        <v/>
      </c>
      <c r="UU10" s="11" t="str">
        <f t="shared" si="231"/>
        <v/>
      </c>
      <c r="UV10" s="11" t="str">
        <f t="shared" si="232"/>
        <v/>
      </c>
      <c r="UW10" s="11" t="str">
        <f t="shared" si="233"/>
        <v/>
      </c>
      <c r="UX10" s="11" t="str">
        <f t="shared" si="234"/>
        <v/>
      </c>
      <c r="UY10" s="11" t="str">
        <f t="shared" si="235"/>
        <v/>
      </c>
      <c r="UZ10" s="11" t="str">
        <f t="shared" si="236"/>
        <v/>
      </c>
      <c r="VA10" s="11" t="str">
        <f t="shared" si="237"/>
        <v/>
      </c>
      <c r="VB10" s="11" t="str">
        <f t="shared" si="238"/>
        <v/>
      </c>
      <c r="VC10" s="15"/>
      <c r="VD10" s="15"/>
      <c r="VE10" s="15"/>
      <c r="VF10" s="15"/>
      <c r="VG10" s="15"/>
      <c r="VH10" s="15"/>
      <c r="VI10" s="15"/>
      <c r="VJ10" s="15"/>
      <c r="VK10" s="15"/>
      <c r="VL10" s="15"/>
      <c r="VM10" s="15"/>
      <c r="VN10" s="15"/>
      <c r="VO10" s="15"/>
      <c r="VP10" s="15"/>
      <c r="VQ10" s="15"/>
      <c r="VR10" s="15"/>
      <c r="VS10" s="15"/>
      <c r="VT10" s="15"/>
      <c r="VU10" s="15"/>
      <c r="VV10" s="15"/>
      <c r="VW10" s="36" t="str">
        <f t="shared" si="239"/>
        <v/>
      </c>
      <c r="VX10" s="36" t="str">
        <f t="shared" si="240"/>
        <v/>
      </c>
      <c r="VY10" s="36" t="str">
        <f t="shared" si="241"/>
        <v/>
      </c>
      <c r="VZ10" s="36" t="str">
        <f t="shared" si="242"/>
        <v/>
      </c>
      <c r="WA10" s="36" t="str">
        <f t="shared" si="243"/>
        <v/>
      </c>
      <c r="WB10" s="36" t="str">
        <f t="shared" si="244"/>
        <v/>
      </c>
      <c r="WC10" s="36" t="str">
        <f t="shared" si="245"/>
        <v/>
      </c>
      <c r="WD10" s="36" t="str">
        <f t="shared" si="246"/>
        <v/>
      </c>
      <c r="WE10" s="36" t="str">
        <f t="shared" si="247"/>
        <v/>
      </c>
      <c r="WF10" s="36" t="str">
        <f t="shared" si="248"/>
        <v/>
      </c>
      <c r="WG10" s="36" t="str">
        <f t="shared" si="249"/>
        <v/>
      </c>
      <c r="WH10" s="36" t="str">
        <f t="shared" si="250"/>
        <v/>
      </c>
      <c r="WI10" s="36" t="str">
        <f t="shared" si="251"/>
        <v/>
      </c>
      <c r="WJ10" s="36" t="str">
        <f t="shared" si="252"/>
        <v/>
      </c>
    </row>
    <row r="11" spans="1:608" x14ac:dyDescent="0.2">
      <c r="A11" s="4" t="str" cm="1">
        <f t="array" ref="A11">IF(AND(H11&lt;&gt;"",H11&lt;&gt;"No DD",I11&lt;&gt;"P"),SUMPRODUCT((H$4:H$28&lt;&gt;"")*(H$4:H$28&lt;&gt;"No DD")*(I$4:I$28&lt;&gt;"P")*(E$4:E$28&gt;E11))+1,IF(H11="No DD",SUMPRODUCT((H$4:H$28="No DD")*(I$4:I$28&lt;&gt;"P")*(E$4:E$28&gt;E11))+1+SUMPRODUCT((H$4:H$28&lt;&gt;"")*(I$4:I$28&lt;&gt;"P")*(H$4:H$28&lt;&gt;"No DD")),""))</f>
        <v/>
      </c>
      <c r="B11" s="5" t="s">
        <v>95</v>
      </c>
      <c r="C11" s="4" t="s">
        <v>3</v>
      </c>
      <c r="D11" s="4">
        <v>2005</v>
      </c>
      <c r="E11" s="9">
        <f t="shared" si="0"/>
        <v>105.46001054600529</v>
      </c>
      <c r="F11" s="3" t="str">
        <f t="shared" si="1"/>
        <v/>
      </c>
      <c r="G11" s="3" t="str">
        <f t="shared" si="2"/>
        <v/>
      </c>
      <c r="H11" s="32" t="str">
        <f t="shared" si="3"/>
        <v/>
      </c>
      <c r="I11" s="3" t="str">
        <f>IF(COUNTIFS('Senior-M'!B:B,B11,'Senior-M'!A:A,"&lt;9",'Senior-M'!H:H,"&lt;&gt;"&amp;"No DD"),"P","")</f>
        <v/>
      </c>
      <c r="J11" s="8">
        <f t="shared" si="4"/>
        <v>52.850000000000009</v>
      </c>
      <c r="K11" s="8" t="str">
        <f t="shared" si="5"/>
        <v>2025 Nationals</v>
      </c>
      <c r="L11" s="8">
        <f>IFERROR(LARGE((AI11,AL11,AP11,BJ11,BM11,BQ11,CK11,CN11,CR11),2),0)</f>
        <v>52.61</v>
      </c>
      <c r="M11" s="8" t="str">
        <f t="shared" si="6"/>
        <v>2025 Nationals</v>
      </c>
      <c r="N11" s="8">
        <f t="shared" si="7"/>
        <v>0</v>
      </c>
      <c r="O11" s="11" t="str">
        <f>IF(N11=0,"",IF(N11=CT11,"("&amp;CT$2&amp;")",IF(N11=#REF!,"("&amp;#REF!&amp;")")))</f>
        <v/>
      </c>
      <c r="P11" s="8" t="str">
        <f t="shared" si="8"/>
        <v/>
      </c>
      <c r="Q11" s="18">
        <v>4.2</v>
      </c>
      <c r="R11" s="18">
        <v>2.7</v>
      </c>
      <c r="S11" s="18">
        <v>4.7</v>
      </c>
      <c r="T11" s="18">
        <v>4.66</v>
      </c>
      <c r="U11" s="18">
        <v>0</v>
      </c>
      <c r="V11" s="18">
        <v>5.6</v>
      </c>
      <c r="W11" s="18">
        <v>3.4</v>
      </c>
      <c r="X11" s="18">
        <v>6.4</v>
      </c>
      <c r="Y11" s="18">
        <v>6.33</v>
      </c>
      <c r="Z11" s="18">
        <v>0</v>
      </c>
      <c r="AA11" s="18"/>
      <c r="AB11" s="18"/>
      <c r="AC11" s="18"/>
      <c r="AD11" s="18"/>
      <c r="AE11" s="18"/>
      <c r="AF11" s="23"/>
      <c r="AG11" s="34">
        <f t="shared" si="9"/>
        <v>4.7</v>
      </c>
      <c r="AH11" s="34">
        <f t="shared" si="10"/>
        <v>4.66</v>
      </c>
      <c r="AI11" s="36">
        <f t="shared" si="11"/>
        <v>16.260000000000002</v>
      </c>
      <c r="AJ11" s="36">
        <f t="shared" si="12"/>
        <v>6.4</v>
      </c>
      <c r="AK11" s="36">
        <f t="shared" si="13"/>
        <v>6.33</v>
      </c>
      <c r="AL11" s="36">
        <f t="shared" si="14"/>
        <v>21.73</v>
      </c>
      <c r="AM11" s="36">
        <f t="shared" si="15"/>
        <v>21.73</v>
      </c>
      <c r="AN11" s="36" t="str">
        <f t="shared" si="16"/>
        <v/>
      </c>
      <c r="AO11" s="36" t="str">
        <f t="shared" si="17"/>
        <v/>
      </c>
      <c r="AP11" s="36" t="str">
        <f t="shared" si="18"/>
        <v/>
      </c>
      <c r="AQ11" s="36">
        <f t="shared" si="19"/>
        <v>21.73</v>
      </c>
      <c r="AR11" s="22">
        <v>13.5</v>
      </c>
      <c r="AS11" s="22">
        <v>9.5</v>
      </c>
      <c r="AT11" s="22">
        <v>14.6</v>
      </c>
      <c r="AU11" s="22">
        <v>15.01</v>
      </c>
      <c r="AV11" s="22">
        <v>0</v>
      </c>
      <c r="AW11" s="22">
        <v>1.3</v>
      </c>
      <c r="AX11" s="22">
        <v>0.9</v>
      </c>
      <c r="AY11" s="22">
        <v>2</v>
      </c>
      <c r="AZ11" s="22">
        <v>1.64</v>
      </c>
      <c r="BA11" s="22">
        <v>0</v>
      </c>
      <c r="BB11" s="22">
        <v>13.9</v>
      </c>
      <c r="BC11" s="22">
        <v>9.3000000000000007</v>
      </c>
      <c r="BD11" s="22">
        <v>14.6</v>
      </c>
      <c r="BE11" s="22">
        <v>15.05</v>
      </c>
      <c r="BF11" s="22">
        <v>0</v>
      </c>
      <c r="BG11" s="24"/>
      <c r="BH11" s="35">
        <f t="shared" si="20"/>
        <v>14.6</v>
      </c>
      <c r="BI11" s="35">
        <f t="shared" si="21"/>
        <v>15.01</v>
      </c>
      <c r="BJ11" s="11">
        <f t="shared" si="22"/>
        <v>52.61</v>
      </c>
      <c r="BK11" s="11">
        <f t="shared" si="23"/>
        <v>2</v>
      </c>
      <c r="BL11" s="11">
        <f t="shared" si="24"/>
        <v>1.64</v>
      </c>
      <c r="BM11" s="11">
        <f t="shared" si="25"/>
        <v>5.84</v>
      </c>
      <c r="BN11" s="11">
        <f t="shared" si="26"/>
        <v>52.61</v>
      </c>
      <c r="BO11" s="11">
        <f t="shared" si="27"/>
        <v>14.6</v>
      </c>
      <c r="BP11" s="11">
        <f t="shared" si="28"/>
        <v>15.05</v>
      </c>
      <c r="BQ11" s="11">
        <f t="shared" si="29"/>
        <v>52.850000000000009</v>
      </c>
      <c r="BR11" s="11">
        <f t="shared" si="30"/>
        <v>105.46000000000001</v>
      </c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23"/>
      <c r="CI11" s="34" t="str">
        <f t="shared" si="31"/>
        <v/>
      </c>
      <c r="CJ11" s="34" t="str">
        <f t="shared" si="32"/>
        <v/>
      </c>
      <c r="CK11" s="36" t="str">
        <f t="shared" si="33"/>
        <v/>
      </c>
      <c r="CL11" s="36" t="str">
        <f t="shared" si="34"/>
        <v/>
      </c>
      <c r="CM11" s="36" t="str">
        <f t="shared" si="35"/>
        <v/>
      </c>
      <c r="CN11" s="36" t="str">
        <f t="shared" si="36"/>
        <v/>
      </c>
      <c r="CO11" s="36" t="str">
        <f t="shared" si="37"/>
        <v/>
      </c>
      <c r="CP11" s="36" t="str">
        <f t="shared" si="38"/>
        <v/>
      </c>
      <c r="CQ11" s="36" t="str">
        <f t="shared" si="39"/>
        <v/>
      </c>
      <c r="CR11" s="36" t="str">
        <f t="shared" si="40"/>
        <v/>
      </c>
      <c r="CS11" s="36" t="str">
        <f t="shared" si="41"/>
        <v/>
      </c>
      <c r="CT11" s="47" t="str">
        <f t="shared" si="42"/>
        <v/>
      </c>
      <c r="CU11" s="15"/>
      <c r="CV11" s="15"/>
      <c r="CW11" s="15"/>
      <c r="CX11" s="15"/>
      <c r="CY11" s="15"/>
      <c r="CZ11" s="15"/>
      <c r="DA11" s="15"/>
      <c r="DB11" s="15"/>
      <c r="DC11" s="15"/>
      <c r="DD11" s="15"/>
      <c r="DE11" s="15"/>
      <c r="DF11" s="15"/>
      <c r="DG11" s="15"/>
      <c r="DH11" s="15"/>
      <c r="DI11" s="15"/>
      <c r="DJ11" s="15"/>
      <c r="DK11" s="15"/>
      <c r="DL11" s="15"/>
      <c r="DM11" s="15"/>
      <c r="DN11" s="15"/>
      <c r="DO11" s="36" t="str">
        <f t="shared" si="43"/>
        <v/>
      </c>
      <c r="DP11" s="36" t="str">
        <f t="shared" si="44"/>
        <v/>
      </c>
      <c r="DQ11" s="36" t="str">
        <f t="shared" si="45"/>
        <v/>
      </c>
      <c r="DR11" s="36" t="str">
        <f t="shared" si="46"/>
        <v/>
      </c>
      <c r="DS11" s="36" t="str">
        <f t="shared" si="47"/>
        <v/>
      </c>
      <c r="DT11" s="36" t="str">
        <f t="shared" si="48"/>
        <v/>
      </c>
      <c r="DU11" s="36" t="str">
        <f t="shared" si="49"/>
        <v/>
      </c>
      <c r="DV11" s="36" t="str">
        <f t="shared" si="50"/>
        <v/>
      </c>
      <c r="DW11" s="36" t="str">
        <f t="shared" si="51"/>
        <v/>
      </c>
      <c r="DX11" s="36" t="str">
        <f t="shared" si="52"/>
        <v/>
      </c>
      <c r="DY11" s="36" t="str">
        <f t="shared" si="53"/>
        <v/>
      </c>
      <c r="DZ11" s="36" t="str">
        <f t="shared" si="54"/>
        <v/>
      </c>
      <c r="EA11" s="36" t="str">
        <f t="shared" si="55"/>
        <v/>
      </c>
      <c r="EB11" s="36" t="str">
        <f t="shared" si="56"/>
        <v/>
      </c>
      <c r="EC11" s="16"/>
      <c r="ED11" s="16"/>
      <c r="EE11" s="16"/>
      <c r="EF11" s="16"/>
      <c r="EG11" s="16"/>
      <c r="EH11" s="16"/>
      <c r="EI11" s="16"/>
      <c r="EJ11" s="16"/>
      <c r="EK11" s="16"/>
      <c r="EL11" s="16"/>
      <c r="EM11" s="16"/>
      <c r="EN11" s="16"/>
      <c r="EO11" s="16"/>
      <c r="EP11" s="16"/>
      <c r="EQ11" s="16"/>
      <c r="ER11" s="16"/>
      <c r="ES11" s="16"/>
      <c r="ET11" s="16"/>
      <c r="EU11" s="16"/>
      <c r="EV11" s="16"/>
      <c r="EW11" s="11" t="str">
        <f t="shared" si="57"/>
        <v/>
      </c>
      <c r="EX11" s="11" t="str">
        <f t="shared" si="58"/>
        <v/>
      </c>
      <c r="EY11" s="11" t="str">
        <f t="shared" si="59"/>
        <v/>
      </c>
      <c r="EZ11" s="11" t="str">
        <f t="shared" si="60"/>
        <v/>
      </c>
      <c r="FA11" s="11" t="str">
        <f t="shared" si="61"/>
        <v/>
      </c>
      <c r="FB11" s="11" t="str">
        <f t="shared" si="62"/>
        <v/>
      </c>
      <c r="FC11" s="11" t="str">
        <f t="shared" si="63"/>
        <v/>
      </c>
      <c r="FD11" s="11" t="str">
        <f t="shared" si="64"/>
        <v/>
      </c>
      <c r="FE11" s="11" t="str">
        <f t="shared" si="65"/>
        <v/>
      </c>
      <c r="FF11" s="11" t="str">
        <f t="shared" si="66"/>
        <v/>
      </c>
      <c r="FG11" s="11" t="str">
        <f t="shared" si="67"/>
        <v/>
      </c>
      <c r="FH11" s="11" t="str">
        <f t="shared" si="68"/>
        <v/>
      </c>
      <c r="FI11" s="11" t="str">
        <f t="shared" si="69"/>
        <v/>
      </c>
      <c r="FJ11" s="11" t="str">
        <f t="shared" si="70"/>
        <v/>
      </c>
      <c r="FK11" s="15"/>
      <c r="FL11" s="15"/>
      <c r="FM11" s="15"/>
      <c r="FN11" s="15"/>
      <c r="FO11" s="15"/>
      <c r="FP11" s="15"/>
      <c r="FQ11" s="15"/>
      <c r="FR11" s="15"/>
      <c r="FS11" s="15"/>
      <c r="FT11" s="15"/>
      <c r="FU11" s="15"/>
      <c r="FV11" s="15"/>
      <c r="FW11" s="15"/>
      <c r="FX11" s="15"/>
      <c r="FY11" s="15"/>
      <c r="FZ11" s="15"/>
      <c r="GA11" s="15"/>
      <c r="GB11" s="15"/>
      <c r="GC11" s="15"/>
      <c r="GD11" s="15"/>
      <c r="GE11" s="36" t="str">
        <f t="shared" si="71"/>
        <v/>
      </c>
      <c r="GF11" s="36" t="str">
        <f t="shared" si="72"/>
        <v/>
      </c>
      <c r="GG11" s="36" t="str">
        <f t="shared" si="73"/>
        <v/>
      </c>
      <c r="GH11" s="36" t="str">
        <f t="shared" si="74"/>
        <v/>
      </c>
      <c r="GI11" s="36" t="str">
        <f t="shared" si="75"/>
        <v/>
      </c>
      <c r="GJ11" s="36" t="str">
        <f t="shared" si="76"/>
        <v/>
      </c>
      <c r="GK11" s="36" t="str">
        <f t="shared" si="77"/>
        <v/>
      </c>
      <c r="GL11" s="36" t="str">
        <f t="shared" si="78"/>
        <v/>
      </c>
      <c r="GM11" s="36" t="str">
        <f t="shared" si="79"/>
        <v/>
      </c>
      <c r="GN11" s="36" t="str">
        <f t="shared" si="80"/>
        <v/>
      </c>
      <c r="GO11" s="36" t="str">
        <f t="shared" si="81"/>
        <v/>
      </c>
      <c r="GP11" s="36" t="str">
        <f t="shared" si="82"/>
        <v/>
      </c>
      <c r="GQ11" s="36" t="str">
        <f t="shared" si="83"/>
        <v/>
      </c>
      <c r="GR11" s="36" t="str">
        <f t="shared" si="84"/>
        <v/>
      </c>
      <c r="GS11" s="16"/>
      <c r="GT11" s="16"/>
      <c r="GU11" s="16"/>
      <c r="GV11" s="16"/>
      <c r="GW11" s="16"/>
      <c r="GX11" s="16"/>
      <c r="GY11" s="16"/>
      <c r="GZ11" s="16"/>
      <c r="HA11" s="16"/>
      <c r="HB11" s="16"/>
      <c r="HC11" s="16"/>
      <c r="HD11" s="16"/>
      <c r="HE11" s="16"/>
      <c r="HF11" s="16"/>
      <c r="HG11" s="16"/>
      <c r="HH11" s="16"/>
      <c r="HI11" s="16"/>
      <c r="HJ11" s="16"/>
      <c r="HK11" s="16"/>
      <c r="HL11" s="16"/>
      <c r="HM11" s="11" t="str">
        <f t="shared" si="85"/>
        <v/>
      </c>
      <c r="HN11" s="11" t="str">
        <f t="shared" si="86"/>
        <v/>
      </c>
      <c r="HO11" s="11" t="str">
        <f t="shared" si="87"/>
        <v/>
      </c>
      <c r="HP11" s="11" t="str">
        <f t="shared" si="88"/>
        <v/>
      </c>
      <c r="HQ11" s="11" t="str">
        <f t="shared" si="89"/>
        <v/>
      </c>
      <c r="HR11" s="11" t="str">
        <f t="shared" si="90"/>
        <v/>
      </c>
      <c r="HS11" s="11" t="str">
        <f t="shared" si="91"/>
        <v/>
      </c>
      <c r="HT11" s="11" t="str">
        <f t="shared" si="92"/>
        <v/>
      </c>
      <c r="HU11" s="11" t="str">
        <f t="shared" si="93"/>
        <v/>
      </c>
      <c r="HV11" s="11" t="str">
        <f t="shared" si="94"/>
        <v/>
      </c>
      <c r="HW11" s="11" t="str">
        <f t="shared" si="95"/>
        <v/>
      </c>
      <c r="HX11" s="11" t="str">
        <f t="shared" si="96"/>
        <v/>
      </c>
      <c r="HY11" s="11" t="str">
        <f t="shared" si="97"/>
        <v/>
      </c>
      <c r="HZ11" s="11" t="str">
        <f t="shared" si="98"/>
        <v/>
      </c>
      <c r="IA11" s="15"/>
      <c r="IB11" s="15"/>
      <c r="IC11" s="15"/>
      <c r="ID11" s="15"/>
      <c r="IE11" s="15"/>
      <c r="IF11" s="15"/>
      <c r="IG11" s="15"/>
      <c r="IH11" s="15"/>
      <c r="II11" s="15"/>
      <c r="IJ11" s="15"/>
      <c r="IK11" s="15"/>
      <c r="IL11" s="15"/>
      <c r="IM11" s="15"/>
      <c r="IN11" s="15"/>
      <c r="IO11" s="15"/>
      <c r="IP11" s="15"/>
      <c r="IQ11" s="15"/>
      <c r="IR11" s="15"/>
      <c r="IS11" s="15"/>
      <c r="IT11" s="15"/>
      <c r="IU11" s="36" t="str">
        <f t="shared" si="99"/>
        <v/>
      </c>
      <c r="IV11" s="36" t="str">
        <f t="shared" si="100"/>
        <v/>
      </c>
      <c r="IW11" s="36" t="str">
        <f t="shared" si="101"/>
        <v/>
      </c>
      <c r="IX11" s="36" t="str">
        <f t="shared" si="102"/>
        <v/>
      </c>
      <c r="IY11" s="36" t="str">
        <f t="shared" si="103"/>
        <v/>
      </c>
      <c r="IZ11" s="36" t="str">
        <f t="shared" si="104"/>
        <v/>
      </c>
      <c r="JA11" s="36" t="str">
        <f t="shared" si="105"/>
        <v/>
      </c>
      <c r="JB11" s="36" t="str">
        <f t="shared" si="106"/>
        <v/>
      </c>
      <c r="JC11" s="36" t="str">
        <f t="shared" si="107"/>
        <v/>
      </c>
      <c r="JD11" s="36" t="str">
        <f t="shared" si="108"/>
        <v/>
      </c>
      <c r="JE11" s="36" t="str">
        <f t="shared" si="109"/>
        <v/>
      </c>
      <c r="JF11" s="36" t="str">
        <f t="shared" si="110"/>
        <v/>
      </c>
      <c r="JG11" s="36" t="str">
        <f t="shared" si="111"/>
        <v/>
      </c>
      <c r="JH11" s="36" t="str">
        <f t="shared" si="112"/>
        <v/>
      </c>
      <c r="JI11" s="16"/>
      <c r="JJ11" s="16"/>
      <c r="JK11" s="16"/>
      <c r="JL11" s="16"/>
      <c r="JM11" s="16"/>
      <c r="JN11" s="16"/>
      <c r="JO11" s="16"/>
      <c r="JP11" s="16"/>
      <c r="JQ11" s="16"/>
      <c r="JR11" s="16"/>
      <c r="JS11" s="16"/>
      <c r="JT11" s="16"/>
      <c r="JU11" s="16"/>
      <c r="JV11" s="16"/>
      <c r="JW11" s="16"/>
      <c r="JX11" s="16"/>
      <c r="JY11" s="16"/>
      <c r="JZ11" s="16"/>
      <c r="KA11" s="16"/>
      <c r="KB11" s="16"/>
      <c r="KC11" s="11" t="str">
        <f t="shared" si="113"/>
        <v/>
      </c>
      <c r="KD11" s="11" t="str">
        <f t="shared" si="114"/>
        <v/>
      </c>
      <c r="KE11" s="11" t="str">
        <f t="shared" si="115"/>
        <v/>
      </c>
      <c r="KF11" s="11" t="str">
        <f t="shared" si="116"/>
        <v/>
      </c>
      <c r="KG11" s="11" t="str">
        <f t="shared" si="117"/>
        <v/>
      </c>
      <c r="KH11" s="11" t="str">
        <f t="shared" si="118"/>
        <v/>
      </c>
      <c r="KI11" s="11" t="str">
        <f t="shared" si="119"/>
        <v/>
      </c>
      <c r="KJ11" s="11" t="str">
        <f t="shared" si="120"/>
        <v/>
      </c>
      <c r="KK11" s="11" t="str">
        <f t="shared" si="121"/>
        <v/>
      </c>
      <c r="KL11" s="11" t="str">
        <f t="shared" si="122"/>
        <v/>
      </c>
      <c r="KM11" s="11" t="str">
        <f t="shared" si="123"/>
        <v/>
      </c>
      <c r="KN11" s="11" t="str">
        <f t="shared" si="124"/>
        <v/>
      </c>
      <c r="KO11" s="11" t="str">
        <f t="shared" si="125"/>
        <v/>
      </c>
      <c r="KP11" s="11" t="str">
        <f t="shared" si="126"/>
        <v/>
      </c>
      <c r="KQ11" s="15"/>
      <c r="KR11" s="15"/>
      <c r="KS11" s="15"/>
      <c r="KT11" s="15"/>
      <c r="KU11" s="15"/>
      <c r="KV11" s="15"/>
      <c r="KW11" s="15"/>
      <c r="KX11" s="15"/>
      <c r="KY11" s="15"/>
      <c r="KZ11" s="15"/>
      <c r="LA11" s="15"/>
      <c r="LB11" s="15"/>
      <c r="LC11" s="15"/>
      <c r="LD11" s="15"/>
      <c r="LE11" s="15"/>
      <c r="LF11" s="15"/>
      <c r="LG11" s="15"/>
      <c r="LH11" s="15"/>
      <c r="LI11" s="15"/>
      <c r="LJ11" s="15"/>
      <c r="LK11" s="36" t="str">
        <f t="shared" si="127"/>
        <v/>
      </c>
      <c r="LL11" s="36" t="str">
        <f t="shared" si="128"/>
        <v/>
      </c>
      <c r="LM11" s="36" t="str">
        <f t="shared" si="129"/>
        <v/>
      </c>
      <c r="LN11" s="36" t="str">
        <f t="shared" si="130"/>
        <v/>
      </c>
      <c r="LO11" s="36" t="str">
        <f t="shared" si="131"/>
        <v/>
      </c>
      <c r="LP11" s="36" t="str">
        <f t="shared" si="132"/>
        <v/>
      </c>
      <c r="LQ11" s="36" t="str">
        <f t="shared" si="133"/>
        <v/>
      </c>
      <c r="LR11" s="36" t="str">
        <f t="shared" si="134"/>
        <v/>
      </c>
      <c r="LS11" s="36" t="str">
        <f t="shared" si="135"/>
        <v/>
      </c>
      <c r="LT11" s="36" t="str">
        <f t="shared" si="136"/>
        <v/>
      </c>
      <c r="LU11" s="36" t="str">
        <f t="shared" si="137"/>
        <v/>
      </c>
      <c r="LV11" s="36" t="str">
        <f t="shared" si="138"/>
        <v/>
      </c>
      <c r="LW11" s="36" t="str">
        <f t="shared" si="139"/>
        <v/>
      </c>
      <c r="LX11" s="36" t="str">
        <f t="shared" si="140"/>
        <v/>
      </c>
      <c r="LY11" s="16"/>
      <c r="LZ11" s="16"/>
      <c r="MA11" s="16"/>
      <c r="MB11" s="16"/>
      <c r="MC11" s="16"/>
      <c r="MD11" s="16"/>
      <c r="ME11" s="16"/>
      <c r="MF11" s="16"/>
      <c r="MG11" s="16"/>
      <c r="MH11" s="16"/>
      <c r="MI11" s="16"/>
      <c r="MJ11" s="16"/>
      <c r="MK11" s="16"/>
      <c r="ML11" s="16"/>
      <c r="MM11" s="16"/>
      <c r="MN11" s="16"/>
      <c r="MO11" s="16"/>
      <c r="MP11" s="16"/>
      <c r="MQ11" s="16"/>
      <c r="MR11" s="16"/>
      <c r="MS11" s="11" t="str">
        <f t="shared" si="141"/>
        <v/>
      </c>
      <c r="MT11" s="11" t="str">
        <f t="shared" si="142"/>
        <v/>
      </c>
      <c r="MU11" s="11" t="str">
        <f t="shared" si="143"/>
        <v/>
      </c>
      <c r="MV11" s="11" t="str">
        <f t="shared" si="144"/>
        <v/>
      </c>
      <c r="MW11" s="11" t="str">
        <f t="shared" si="145"/>
        <v/>
      </c>
      <c r="MX11" s="11" t="str">
        <f t="shared" si="146"/>
        <v/>
      </c>
      <c r="MY11" s="11" t="str">
        <f t="shared" si="147"/>
        <v/>
      </c>
      <c r="MZ11" s="11" t="str">
        <f t="shared" si="148"/>
        <v/>
      </c>
      <c r="NA11" s="11" t="str">
        <f t="shared" si="149"/>
        <v/>
      </c>
      <c r="NB11" s="11" t="str">
        <f t="shared" si="150"/>
        <v/>
      </c>
      <c r="NC11" s="11" t="str">
        <f t="shared" si="151"/>
        <v/>
      </c>
      <c r="ND11" s="11" t="str">
        <f t="shared" si="152"/>
        <v/>
      </c>
      <c r="NE11" s="11" t="str">
        <f t="shared" si="153"/>
        <v/>
      </c>
      <c r="NF11" s="11" t="str">
        <f t="shared" si="154"/>
        <v/>
      </c>
      <c r="NG11" s="15"/>
      <c r="NH11" s="15"/>
      <c r="NI11" s="15"/>
      <c r="NJ11" s="15"/>
      <c r="NK11" s="15"/>
      <c r="NL11" s="15"/>
      <c r="NM11" s="15"/>
      <c r="NN11" s="15"/>
      <c r="NO11" s="15"/>
      <c r="NP11" s="15"/>
      <c r="NQ11" s="15"/>
      <c r="NR11" s="15"/>
      <c r="NS11" s="15"/>
      <c r="NT11" s="15"/>
      <c r="NU11" s="15"/>
      <c r="NV11" s="15"/>
      <c r="NW11" s="15"/>
      <c r="NX11" s="15"/>
      <c r="NY11" s="15"/>
      <c r="NZ11" s="15"/>
      <c r="OA11" s="36" t="str">
        <f t="shared" si="155"/>
        <v/>
      </c>
      <c r="OB11" s="36" t="str">
        <f t="shared" si="156"/>
        <v/>
      </c>
      <c r="OC11" s="36" t="str">
        <f t="shared" si="157"/>
        <v/>
      </c>
      <c r="OD11" s="36" t="str">
        <f t="shared" si="158"/>
        <v/>
      </c>
      <c r="OE11" s="36" t="str">
        <f t="shared" si="159"/>
        <v/>
      </c>
      <c r="OF11" s="36" t="str">
        <f t="shared" si="160"/>
        <v/>
      </c>
      <c r="OG11" s="36" t="str">
        <f t="shared" si="161"/>
        <v/>
      </c>
      <c r="OH11" s="36" t="str">
        <f t="shared" si="162"/>
        <v/>
      </c>
      <c r="OI11" s="36" t="str">
        <f t="shared" si="163"/>
        <v/>
      </c>
      <c r="OJ11" s="36" t="str">
        <f t="shared" si="164"/>
        <v/>
      </c>
      <c r="OK11" s="36" t="str">
        <f t="shared" si="165"/>
        <v/>
      </c>
      <c r="OL11" s="36" t="str">
        <f t="shared" si="166"/>
        <v/>
      </c>
      <c r="OM11" s="36" t="str">
        <f t="shared" si="167"/>
        <v/>
      </c>
      <c r="ON11" s="36" t="str">
        <f t="shared" si="168"/>
        <v/>
      </c>
      <c r="OO11" s="16"/>
      <c r="OP11" s="16"/>
      <c r="OQ11" s="16"/>
      <c r="OR11" s="16"/>
      <c r="OS11" s="16"/>
      <c r="OT11" s="16"/>
      <c r="OU11" s="16"/>
      <c r="OV11" s="16"/>
      <c r="OW11" s="16"/>
      <c r="OX11" s="16"/>
      <c r="OY11" s="16"/>
      <c r="OZ11" s="16"/>
      <c r="PA11" s="16"/>
      <c r="PB11" s="16"/>
      <c r="PC11" s="16"/>
      <c r="PD11" s="16"/>
      <c r="PE11" s="16"/>
      <c r="PF11" s="16"/>
      <c r="PG11" s="16"/>
      <c r="PH11" s="16"/>
      <c r="PI11" s="11" t="str">
        <f t="shared" si="169"/>
        <v/>
      </c>
      <c r="PJ11" s="11" t="str">
        <f t="shared" si="170"/>
        <v/>
      </c>
      <c r="PK11" s="11" t="str">
        <f t="shared" si="171"/>
        <v/>
      </c>
      <c r="PL11" s="11" t="str">
        <f t="shared" si="172"/>
        <v/>
      </c>
      <c r="PM11" s="11" t="str">
        <f t="shared" si="173"/>
        <v/>
      </c>
      <c r="PN11" s="11" t="str">
        <f t="shared" si="174"/>
        <v/>
      </c>
      <c r="PO11" s="11" t="str">
        <f t="shared" si="175"/>
        <v/>
      </c>
      <c r="PP11" s="11" t="str">
        <f t="shared" si="176"/>
        <v/>
      </c>
      <c r="PQ11" s="11" t="str">
        <f t="shared" si="177"/>
        <v/>
      </c>
      <c r="PR11" s="11" t="str">
        <f t="shared" si="178"/>
        <v/>
      </c>
      <c r="PS11" s="11" t="str">
        <f t="shared" si="179"/>
        <v/>
      </c>
      <c r="PT11" s="11" t="str">
        <f t="shared" si="180"/>
        <v/>
      </c>
      <c r="PU11" s="11" t="str">
        <f t="shared" si="181"/>
        <v/>
      </c>
      <c r="PV11" s="11" t="str">
        <f t="shared" si="182"/>
        <v/>
      </c>
      <c r="PW11" s="15"/>
      <c r="PX11" s="15"/>
      <c r="PY11" s="15"/>
      <c r="PZ11" s="15"/>
      <c r="QA11" s="15"/>
      <c r="QB11" s="15"/>
      <c r="QC11" s="15"/>
      <c r="QD11" s="15"/>
      <c r="QE11" s="15"/>
      <c r="QF11" s="15"/>
      <c r="QG11" s="15"/>
      <c r="QH11" s="15"/>
      <c r="QI11" s="15"/>
      <c r="QJ11" s="15"/>
      <c r="QK11" s="15"/>
      <c r="QL11" s="15"/>
      <c r="QM11" s="15"/>
      <c r="QN11" s="15"/>
      <c r="QO11" s="15"/>
      <c r="QP11" s="15"/>
      <c r="QQ11" s="36" t="str">
        <f t="shared" si="183"/>
        <v/>
      </c>
      <c r="QR11" s="36" t="str">
        <f t="shared" si="184"/>
        <v/>
      </c>
      <c r="QS11" s="36" t="str">
        <f t="shared" si="185"/>
        <v/>
      </c>
      <c r="QT11" s="36" t="str">
        <f t="shared" si="186"/>
        <v/>
      </c>
      <c r="QU11" s="36" t="str">
        <f t="shared" si="187"/>
        <v/>
      </c>
      <c r="QV11" s="36" t="str">
        <f t="shared" si="188"/>
        <v/>
      </c>
      <c r="QW11" s="36" t="str">
        <f t="shared" si="189"/>
        <v/>
      </c>
      <c r="QX11" s="36" t="str">
        <f t="shared" si="190"/>
        <v/>
      </c>
      <c r="QY11" s="36" t="str">
        <f t="shared" si="191"/>
        <v/>
      </c>
      <c r="QZ11" s="36" t="str">
        <f t="shared" si="192"/>
        <v/>
      </c>
      <c r="RA11" s="36" t="str">
        <f t="shared" si="193"/>
        <v/>
      </c>
      <c r="RB11" s="36" t="str">
        <f t="shared" si="194"/>
        <v/>
      </c>
      <c r="RC11" s="36" t="str">
        <f t="shared" si="195"/>
        <v/>
      </c>
      <c r="RD11" s="36" t="str">
        <f t="shared" si="196"/>
        <v/>
      </c>
      <c r="RE11" s="16"/>
      <c r="RF11" s="16"/>
      <c r="RG11" s="16"/>
      <c r="RH11" s="16"/>
      <c r="RI11" s="16"/>
      <c r="RJ11" s="16"/>
      <c r="RK11" s="16"/>
      <c r="RL11" s="16"/>
      <c r="RM11" s="16"/>
      <c r="RN11" s="16"/>
      <c r="RO11" s="16"/>
      <c r="RP11" s="16"/>
      <c r="RQ11" s="16"/>
      <c r="RR11" s="16"/>
      <c r="RS11" s="16"/>
      <c r="RT11" s="16"/>
      <c r="RU11" s="16"/>
      <c r="RV11" s="16"/>
      <c r="RW11" s="16"/>
      <c r="RX11" s="16"/>
      <c r="RY11" s="11" t="str">
        <f t="shared" si="197"/>
        <v/>
      </c>
      <c r="RZ11" s="11" t="str">
        <f t="shared" si="198"/>
        <v/>
      </c>
      <c r="SA11" s="11" t="str">
        <f t="shared" si="199"/>
        <v/>
      </c>
      <c r="SB11" s="11" t="str">
        <f t="shared" si="200"/>
        <v/>
      </c>
      <c r="SC11" s="11" t="str">
        <f t="shared" si="201"/>
        <v/>
      </c>
      <c r="SD11" s="11" t="str">
        <f t="shared" si="202"/>
        <v/>
      </c>
      <c r="SE11" s="11" t="str">
        <f t="shared" si="203"/>
        <v/>
      </c>
      <c r="SF11" s="11" t="str">
        <f t="shared" si="204"/>
        <v/>
      </c>
      <c r="SG11" s="11" t="str">
        <f t="shared" si="205"/>
        <v/>
      </c>
      <c r="SH11" s="11" t="str">
        <f t="shared" si="206"/>
        <v/>
      </c>
      <c r="SI11" s="11" t="str">
        <f t="shared" si="207"/>
        <v/>
      </c>
      <c r="SJ11" s="11" t="str">
        <f t="shared" si="208"/>
        <v/>
      </c>
      <c r="SK11" s="11" t="str">
        <f t="shared" si="209"/>
        <v/>
      </c>
      <c r="SL11" s="11" t="str">
        <f t="shared" si="210"/>
        <v/>
      </c>
      <c r="SM11" s="15"/>
      <c r="SN11" s="15"/>
      <c r="SO11" s="15"/>
      <c r="SP11" s="15"/>
      <c r="SQ11" s="15"/>
      <c r="SR11" s="15"/>
      <c r="SS11" s="15"/>
      <c r="ST11" s="15"/>
      <c r="SU11" s="15"/>
      <c r="SV11" s="15"/>
      <c r="SW11" s="15"/>
      <c r="SX11" s="15"/>
      <c r="SY11" s="15"/>
      <c r="SZ11" s="15"/>
      <c r="TA11" s="15"/>
      <c r="TB11" s="15"/>
      <c r="TC11" s="15"/>
      <c r="TD11" s="15"/>
      <c r="TE11" s="15"/>
      <c r="TF11" s="15"/>
      <c r="TG11" s="36" t="str">
        <f t="shared" si="211"/>
        <v/>
      </c>
      <c r="TH11" s="36" t="str">
        <f t="shared" si="212"/>
        <v/>
      </c>
      <c r="TI11" s="36" t="str">
        <f t="shared" si="213"/>
        <v/>
      </c>
      <c r="TJ11" s="36" t="str">
        <f t="shared" si="214"/>
        <v/>
      </c>
      <c r="TK11" s="36" t="str">
        <f t="shared" si="215"/>
        <v/>
      </c>
      <c r="TL11" s="36" t="str">
        <f t="shared" si="216"/>
        <v/>
      </c>
      <c r="TM11" s="36" t="str">
        <f t="shared" si="217"/>
        <v/>
      </c>
      <c r="TN11" s="36" t="str">
        <f t="shared" si="218"/>
        <v/>
      </c>
      <c r="TO11" s="36" t="str">
        <f t="shared" si="219"/>
        <v/>
      </c>
      <c r="TP11" s="36" t="str">
        <f t="shared" si="220"/>
        <v/>
      </c>
      <c r="TQ11" s="36" t="str">
        <f t="shared" si="221"/>
        <v/>
      </c>
      <c r="TR11" s="36" t="str">
        <f t="shared" si="222"/>
        <v/>
      </c>
      <c r="TS11" s="36" t="str">
        <f t="shared" si="223"/>
        <v/>
      </c>
      <c r="TT11" s="36" t="str">
        <f t="shared" si="224"/>
        <v/>
      </c>
      <c r="TU11" s="16"/>
      <c r="TV11" s="16"/>
      <c r="TW11" s="16"/>
      <c r="TX11" s="16"/>
      <c r="TY11" s="16"/>
      <c r="TZ11" s="16"/>
      <c r="UA11" s="16"/>
      <c r="UB11" s="16"/>
      <c r="UC11" s="16"/>
      <c r="UD11" s="16"/>
      <c r="UE11" s="16"/>
      <c r="UF11" s="16"/>
      <c r="UG11" s="16"/>
      <c r="UH11" s="16"/>
      <c r="UI11" s="16"/>
      <c r="UJ11" s="16"/>
      <c r="UK11" s="16"/>
      <c r="UL11" s="16"/>
      <c r="UM11" s="16"/>
      <c r="UN11" s="16"/>
      <c r="UO11" s="11" t="str">
        <f t="shared" si="225"/>
        <v/>
      </c>
      <c r="UP11" s="11" t="str">
        <f t="shared" si="226"/>
        <v/>
      </c>
      <c r="UQ11" s="11" t="str">
        <f t="shared" si="227"/>
        <v/>
      </c>
      <c r="UR11" s="11" t="str">
        <f t="shared" si="228"/>
        <v/>
      </c>
      <c r="US11" s="11" t="str">
        <f t="shared" si="229"/>
        <v/>
      </c>
      <c r="UT11" s="11" t="str">
        <f t="shared" si="230"/>
        <v/>
      </c>
      <c r="UU11" s="11" t="str">
        <f t="shared" si="231"/>
        <v/>
      </c>
      <c r="UV11" s="11" t="str">
        <f t="shared" si="232"/>
        <v/>
      </c>
      <c r="UW11" s="11" t="str">
        <f t="shared" si="233"/>
        <v/>
      </c>
      <c r="UX11" s="11" t="str">
        <f t="shared" si="234"/>
        <v/>
      </c>
      <c r="UY11" s="11" t="str">
        <f t="shared" si="235"/>
        <v/>
      </c>
      <c r="UZ11" s="11" t="str">
        <f t="shared" si="236"/>
        <v/>
      </c>
      <c r="VA11" s="11" t="str">
        <f t="shared" si="237"/>
        <v/>
      </c>
      <c r="VB11" s="11" t="str">
        <f t="shared" si="238"/>
        <v/>
      </c>
      <c r="VC11" s="15"/>
      <c r="VD11" s="15"/>
      <c r="VE11" s="15"/>
      <c r="VF11" s="15"/>
      <c r="VG11" s="15"/>
      <c r="VH11" s="15"/>
      <c r="VI11" s="15"/>
      <c r="VJ11" s="15"/>
      <c r="VK11" s="15"/>
      <c r="VL11" s="15"/>
      <c r="VM11" s="15"/>
      <c r="VN11" s="15"/>
      <c r="VO11" s="15"/>
      <c r="VP11" s="15"/>
      <c r="VQ11" s="15"/>
      <c r="VR11" s="15"/>
      <c r="VS11" s="15"/>
      <c r="VT11" s="15"/>
      <c r="VU11" s="15"/>
      <c r="VV11" s="15"/>
      <c r="VW11" s="36" t="str">
        <f t="shared" si="239"/>
        <v/>
      </c>
      <c r="VX11" s="36" t="str">
        <f t="shared" si="240"/>
        <v/>
      </c>
      <c r="VY11" s="36" t="str">
        <f t="shared" si="241"/>
        <v/>
      </c>
      <c r="VZ11" s="36" t="str">
        <f t="shared" si="242"/>
        <v/>
      </c>
      <c r="WA11" s="36" t="str">
        <f t="shared" si="243"/>
        <v/>
      </c>
      <c r="WB11" s="36" t="str">
        <f t="shared" si="244"/>
        <v/>
      </c>
      <c r="WC11" s="36" t="str">
        <f t="shared" si="245"/>
        <v/>
      </c>
      <c r="WD11" s="36" t="str">
        <f t="shared" si="246"/>
        <v/>
      </c>
      <c r="WE11" s="36" t="str">
        <f t="shared" si="247"/>
        <v/>
      </c>
      <c r="WF11" s="36" t="str">
        <f t="shared" si="248"/>
        <v/>
      </c>
      <c r="WG11" s="36" t="str">
        <f t="shared" si="249"/>
        <v/>
      </c>
      <c r="WH11" s="36" t="str">
        <f t="shared" si="250"/>
        <v/>
      </c>
      <c r="WI11" s="36" t="str">
        <f t="shared" si="251"/>
        <v/>
      </c>
      <c r="WJ11" s="36" t="str">
        <f t="shared" si="252"/>
        <v/>
      </c>
    </row>
    <row r="12" spans="1:608" x14ac:dyDescent="0.2">
      <c r="A12" s="4" t="str" cm="1">
        <f t="array" ref="A12">IF(AND(H12&lt;&gt;"",H12&lt;&gt;"No DD",I12&lt;&gt;"P"),SUMPRODUCT((H$4:H$28&lt;&gt;"")*(H$4:H$28&lt;&gt;"No DD")*(I$4:I$28&lt;&gt;"P")*(E$4:E$28&gt;E12))+1,IF(H12="No DD",SUMPRODUCT((H$4:H$28="No DD")*(I$4:I$28&lt;&gt;"P")*(E$4:E$28&gt;E12))+1+SUMPRODUCT((H$4:H$28&lt;&gt;"")*(I$4:I$28&lt;&gt;"P")*(H$4:H$28&lt;&gt;"No DD")),""))</f>
        <v/>
      </c>
      <c r="B12" s="5" t="s">
        <v>199</v>
      </c>
      <c r="C12" s="4" t="s">
        <v>7</v>
      </c>
      <c r="D12" s="4">
        <v>2007</v>
      </c>
      <c r="E12" s="9">
        <f t="shared" si="0"/>
        <v>104.16001041600522</v>
      </c>
      <c r="F12" s="3" t="str">
        <f t="shared" si="1"/>
        <v/>
      </c>
      <c r="G12" s="3" t="str">
        <f t="shared" si="2"/>
        <v/>
      </c>
      <c r="H12" s="32" t="str">
        <f t="shared" si="3"/>
        <v/>
      </c>
      <c r="I12" s="3" t="str">
        <f>IF(COUNTIFS('Senior-M'!B:B,B12,'Senior-M'!A:A,"&lt;9",'Senior-M'!H:H,"&lt;&gt;"&amp;"No DD"),"P","")</f>
        <v/>
      </c>
      <c r="J12" s="8">
        <f t="shared" si="4"/>
        <v>52.32</v>
      </c>
      <c r="K12" s="8" t="str">
        <f t="shared" si="5"/>
        <v>2025 3rd Domestic Trial</v>
      </c>
      <c r="L12" s="8">
        <f>IFERROR(LARGE((AI12,AL12,AP12,BJ12,BM12,BQ12,CK12,CN12,CR12),2),0)</f>
        <v>51.84</v>
      </c>
      <c r="M12" s="8" t="str">
        <f t="shared" si="6"/>
        <v>2025 Nationals</v>
      </c>
      <c r="N12" s="8">
        <f t="shared" si="7"/>
        <v>0</v>
      </c>
      <c r="O12" s="11" t="str">
        <f>IF(N12=0,"",IF(N12=CT12,"("&amp;CT$2&amp;")",IF(N12=#REF!,"("&amp;#REF!&amp;")")))</f>
        <v/>
      </c>
      <c r="P12" s="8" t="str">
        <f t="shared" si="8"/>
        <v/>
      </c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23"/>
      <c r="AG12" s="34" t="str">
        <f t="shared" si="9"/>
        <v/>
      </c>
      <c r="AH12" s="34" t="str">
        <f t="shared" si="10"/>
        <v/>
      </c>
      <c r="AI12" s="36" t="str">
        <f t="shared" si="11"/>
        <v/>
      </c>
      <c r="AJ12" s="36" t="str">
        <f t="shared" si="12"/>
        <v/>
      </c>
      <c r="AK12" s="36" t="str">
        <f t="shared" si="13"/>
        <v/>
      </c>
      <c r="AL12" s="36" t="str">
        <f t="shared" si="14"/>
        <v/>
      </c>
      <c r="AM12" s="36" t="str">
        <f t="shared" si="15"/>
        <v/>
      </c>
      <c r="AN12" s="36" t="str">
        <f t="shared" si="16"/>
        <v/>
      </c>
      <c r="AO12" s="36" t="str">
        <f t="shared" si="17"/>
        <v/>
      </c>
      <c r="AP12" s="36" t="str">
        <f t="shared" si="18"/>
        <v/>
      </c>
      <c r="AQ12" s="36" t="str">
        <f t="shared" si="19"/>
        <v/>
      </c>
      <c r="AR12" s="22">
        <v>5</v>
      </c>
      <c r="AS12" s="22">
        <v>2.6</v>
      </c>
      <c r="AT12" s="22">
        <v>3.8</v>
      </c>
      <c r="AU12" s="22">
        <v>5.0999999999999996</v>
      </c>
      <c r="AV12" s="22">
        <v>0</v>
      </c>
      <c r="AW12" s="22">
        <v>5.2</v>
      </c>
      <c r="AX12" s="22">
        <v>2.8</v>
      </c>
      <c r="AY12" s="22">
        <v>3.8</v>
      </c>
      <c r="AZ12" s="22">
        <v>5</v>
      </c>
      <c r="BA12" s="22">
        <v>0</v>
      </c>
      <c r="BB12" s="22">
        <v>15.8</v>
      </c>
      <c r="BC12" s="22">
        <v>8.6999999999999993</v>
      </c>
      <c r="BD12" s="22">
        <v>12.5</v>
      </c>
      <c r="BE12" s="22">
        <v>14.84</v>
      </c>
      <c r="BF12" s="22">
        <v>0</v>
      </c>
      <c r="BG12" s="24"/>
      <c r="BH12" s="35">
        <f t="shared" si="20"/>
        <v>3.8</v>
      </c>
      <c r="BI12" s="35">
        <f t="shared" si="21"/>
        <v>5.0999999999999996</v>
      </c>
      <c r="BJ12" s="11">
        <f t="shared" si="22"/>
        <v>16.5</v>
      </c>
      <c r="BK12" s="11">
        <f t="shared" si="23"/>
        <v>3.8</v>
      </c>
      <c r="BL12" s="11">
        <f t="shared" si="24"/>
        <v>5</v>
      </c>
      <c r="BM12" s="11">
        <f t="shared" si="25"/>
        <v>16.8</v>
      </c>
      <c r="BN12" s="11">
        <f t="shared" si="26"/>
        <v>16.8</v>
      </c>
      <c r="BO12" s="11">
        <f t="shared" si="27"/>
        <v>12.5</v>
      </c>
      <c r="BP12" s="11">
        <f t="shared" si="28"/>
        <v>14.84</v>
      </c>
      <c r="BQ12" s="11">
        <f t="shared" si="29"/>
        <v>51.84</v>
      </c>
      <c r="BR12" s="11">
        <f t="shared" si="30"/>
        <v>68.64</v>
      </c>
      <c r="BS12" s="18">
        <v>15.9</v>
      </c>
      <c r="BT12" s="18">
        <v>8.5</v>
      </c>
      <c r="BU12" s="18">
        <v>12</v>
      </c>
      <c r="BV12" s="18">
        <v>16.22</v>
      </c>
      <c r="BW12" s="18">
        <v>0.3</v>
      </c>
      <c r="BX12" s="18">
        <v>14.3</v>
      </c>
      <c r="BY12" s="18">
        <v>7.9</v>
      </c>
      <c r="BZ12" s="18">
        <v>10.3</v>
      </c>
      <c r="CA12" s="18">
        <v>14.74</v>
      </c>
      <c r="CB12" s="18">
        <v>0</v>
      </c>
      <c r="CC12" s="18">
        <v>9.6999999999999993</v>
      </c>
      <c r="CD12" s="18">
        <v>5.2</v>
      </c>
      <c r="CE12" s="18">
        <v>7.3</v>
      </c>
      <c r="CF12" s="18">
        <v>9.98</v>
      </c>
      <c r="CG12" s="18">
        <v>0</v>
      </c>
      <c r="CH12" s="23"/>
      <c r="CI12" s="34">
        <f t="shared" si="31"/>
        <v>12</v>
      </c>
      <c r="CJ12" s="34">
        <f t="shared" si="32"/>
        <v>16.22</v>
      </c>
      <c r="CK12" s="36">
        <f t="shared" si="33"/>
        <v>52.32</v>
      </c>
      <c r="CL12" s="36">
        <f t="shared" si="34"/>
        <v>10.3</v>
      </c>
      <c r="CM12" s="36">
        <f t="shared" si="35"/>
        <v>14.74</v>
      </c>
      <c r="CN12" s="36">
        <f t="shared" si="36"/>
        <v>47.24</v>
      </c>
      <c r="CO12" s="36">
        <f t="shared" si="37"/>
        <v>52.32</v>
      </c>
      <c r="CP12" s="36">
        <f t="shared" si="38"/>
        <v>7.3</v>
      </c>
      <c r="CQ12" s="36">
        <f t="shared" si="39"/>
        <v>9.98</v>
      </c>
      <c r="CR12" s="36">
        <f t="shared" si="40"/>
        <v>32.18</v>
      </c>
      <c r="CS12" s="36">
        <f t="shared" si="41"/>
        <v>84.5</v>
      </c>
      <c r="CT12" s="47" t="str">
        <f t="shared" si="42"/>
        <v/>
      </c>
      <c r="CU12" s="15"/>
      <c r="CV12" s="15"/>
      <c r="CW12" s="15"/>
      <c r="CX12" s="15"/>
      <c r="CY12" s="15"/>
      <c r="CZ12" s="15"/>
      <c r="DA12" s="15"/>
      <c r="DB12" s="15"/>
      <c r="DC12" s="15"/>
      <c r="DD12" s="15"/>
      <c r="DE12" s="15"/>
      <c r="DF12" s="15"/>
      <c r="DG12" s="15"/>
      <c r="DH12" s="15"/>
      <c r="DI12" s="15"/>
      <c r="DJ12" s="15"/>
      <c r="DK12" s="15"/>
      <c r="DL12" s="15"/>
      <c r="DM12" s="15"/>
      <c r="DN12" s="15"/>
      <c r="DO12" s="36" t="str">
        <f t="shared" si="43"/>
        <v/>
      </c>
      <c r="DP12" s="36" t="str">
        <f t="shared" si="44"/>
        <v/>
      </c>
      <c r="DQ12" s="36" t="str">
        <f t="shared" si="45"/>
        <v/>
      </c>
      <c r="DR12" s="36" t="str">
        <f t="shared" si="46"/>
        <v/>
      </c>
      <c r="DS12" s="36" t="str">
        <f t="shared" si="47"/>
        <v/>
      </c>
      <c r="DT12" s="36" t="str">
        <f t="shared" si="48"/>
        <v/>
      </c>
      <c r="DU12" s="36" t="str">
        <f t="shared" si="49"/>
        <v/>
      </c>
      <c r="DV12" s="36" t="str">
        <f t="shared" si="50"/>
        <v/>
      </c>
      <c r="DW12" s="36" t="str">
        <f t="shared" si="51"/>
        <v/>
      </c>
      <c r="DX12" s="36" t="str">
        <f t="shared" si="52"/>
        <v/>
      </c>
      <c r="DY12" s="36" t="str">
        <f t="shared" si="53"/>
        <v/>
      </c>
      <c r="DZ12" s="36" t="str">
        <f t="shared" si="54"/>
        <v/>
      </c>
      <c r="EA12" s="36" t="str">
        <f t="shared" si="55"/>
        <v/>
      </c>
      <c r="EB12" s="36" t="str">
        <f t="shared" si="56"/>
        <v/>
      </c>
      <c r="EC12" s="16"/>
      <c r="ED12" s="16"/>
      <c r="EE12" s="16"/>
      <c r="EF12" s="16"/>
      <c r="EG12" s="16"/>
      <c r="EH12" s="16"/>
      <c r="EI12" s="16"/>
      <c r="EJ12" s="16"/>
      <c r="EK12" s="16"/>
      <c r="EL12" s="16"/>
      <c r="EM12" s="16"/>
      <c r="EN12" s="16"/>
      <c r="EO12" s="16"/>
      <c r="EP12" s="16"/>
      <c r="EQ12" s="16"/>
      <c r="ER12" s="16"/>
      <c r="ES12" s="16"/>
      <c r="ET12" s="16"/>
      <c r="EU12" s="16"/>
      <c r="EV12" s="16"/>
      <c r="EW12" s="11" t="str">
        <f t="shared" si="57"/>
        <v/>
      </c>
      <c r="EX12" s="11" t="str">
        <f t="shared" si="58"/>
        <v/>
      </c>
      <c r="EY12" s="11" t="str">
        <f t="shared" si="59"/>
        <v/>
      </c>
      <c r="EZ12" s="11" t="str">
        <f t="shared" si="60"/>
        <v/>
      </c>
      <c r="FA12" s="11" t="str">
        <f t="shared" si="61"/>
        <v/>
      </c>
      <c r="FB12" s="11" t="str">
        <f t="shared" si="62"/>
        <v/>
      </c>
      <c r="FC12" s="11" t="str">
        <f t="shared" si="63"/>
        <v/>
      </c>
      <c r="FD12" s="11" t="str">
        <f t="shared" si="64"/>
        <v/>
      </c>
      <c r="FE12" s="11" t="str">
        <f t="shared" si="65"/>
        <v/>
      </c>
      <c r="FF12" s="11" t="str">
        <f t="shared" si="66"/>
        <v/>
      </c>
      <c r="FG12" s="11" t="str">
        <f t="shared" si="67"/>
        <v/>
      </c>
      <c r="FH12" s="11" t="str">
        <f t="shared" si="68"/>
        <v/>
      </c>
      <c r="FI12" s="11" t="str">
        <f t="shared" si="69"/>
        <v/>
      </c>
      <c r="FJ12" s="11" t="str">
        <f t="shared" si="70"/>
        <v/>
      </c>
      <c r="FK12" s="15"/>
      <c r="FL12" s="15"/>
      <c r="FM12" s="15"/>
      <c r="FN12" s="15"/>
      <c r="FO12" s="15"/>
      <c r="FP12" s="15"/>
      <c r="FQ12" s="15"/>
      <c r="FR12" s="15"/>
      <c r="FS12" s="15"/>
      <c r="FT12" s="15"/>
      <c r="FU12" s="15"/>
      <c r="FV12" s="15"/>
      <c r="FW12" s="15"/>
      <c r="FX12" s="15"/>
      <c r="FY12" s="15"/>
      <c r="FZ12" s="15"/>
      <c r="GA12" s="15"/>
      <c r="GB12" s="15"/>
      <c r="GC12" s="15"/>
      <c r="GD12" s="15"/>
      <c r="GE12" s="36" t="str">
        <f t="shared" si="71"/>
        <v/>
      </c>
      <c r="GF12" s="36" t="str">
        <f t="shared" si="72"/>
        <v/>
      </c>
      <c r="GG12" s="36" t="str">
        <f t="shared" si="73"/>
        <v/>
      </c>
      <c r="GH12" s="36" t="str">
        <f t="shared" si="74"/>
        <v/>
      </c>
      <c r="GI12" s="36" t="str">
        <f t="shared" si="75"/>
        <v/>
      </c>
      <c r="GJ12" s="36" t="str">
        <f t="shared" si="76"/>
        <v/>
      </c>
      <c r="GK12" s="36" t="str">
        <f t="shared" si="77"/>
        <v/>
      </c>
      <c r="GL12" s="36" t="str">
        <f t="shared" si="78"/>
        <v/>
      </c>
      <c r="GM12" s="36" t="str">
        <f t="shared" si="79"/>
        <v/>
      </c>
      <c r="GN12" s="36" t="str">
        <f t="shared" si="80"/>
        <v/>
      </c>
      <c r="GO12" s="36" t="str">
        <f t="shared" si="81"/>
        <v/>
      </c>
      <c r="GP12" s="36" t="str">
        <f t="shared" si="82"/>
        <v/>
      </c>
      <c r="GQ12" s="36" t="str">
        <f t="shared" si="83"/>
        <v/>
      </c>
      <c r="GR12" s="36" t="str">
        <f t="shared" si="84"/>
        <v/>
      </c>
      <c r="GS12" s="16"/>
      <c r="GT12" s="16"/>
      <c r="GU12" s="16"/>
      <c r="GV12" s="16"/>
      <c r="GW12" s="16"/>
      <c r="GX12" s="16"/>
      <c r="GY12" s="16"/>
      <c r="GZ12" s="16"/>
      <c r="HA12" s="16"/>
      <c r="HB12" s="16"/>
      <c r="HC12" s="16"/>
      <c r="HD12" s="16"/>
      <c r="HE12" s="16"/>
      <c r="HF12" s="16"/>
      <c r="HG12" s="16"/>
      <c r="HH12" s="16"/>
      <c r="HI12" s="16"/>
      <c r="HJ12" s="16"/>
      <c r="HK12" s="16"/>
      <c r="HL12" s="16"/>
      <c r="HM12" s="11" t="str">
        <f t="shared" si="85"/>
        <v/>
      </c>
      <c r="HN12" s="11" t="str">
        <f t="shared" si="86"/>
        <v/>
      </c>
      <c r="HO12" s="11" t="str">
        <f t="shared" si="87"/>
        <v/>
      </c>
      <c r="HP12" s="11" t="str">
        <f t="shared" si="88"/>
        <v/>
      </c>
      <c r="HQ12" s="11" t="str">
        <f t="shared" si="89"/>
        <v/>
      </c>
      <c r="HR12" s="11" t="str">
        <f t="shared" si="90"/>
        <v/>
      </c>
      <c r="HS12" s="11" t="str">
        <f t="shared" si="91"/>
        <v/>
      </c>
      <c r="HT12" s="11" t="str">
        <f t="shared" si="92"/>
        <v/>
      </c>
      <c r="HU12" s="11" t="str">
        <f t="shared" si="93"/>
        <v/>
      </c>
      <c r="HV12" s="11" t="str">
        <f t="shared" si="94"/>
        <v/>
      </c>
      <c r="HW12" s="11" t="str">
        <f t="shared" si="95"/>
        <v/>
      </c>
      <c r="HX12" s="11" t="str">
        <f t="shared" si="96"/>
        <v/>
      </c>
      <c r="HY12" s="11" t="str">
        <f t="shared" si="97"/>
        <v/>
      </c>
      <c r="HZ12" s="11" t="str">
        <f t="shared" si="98"/>
        <v/>
      </c>
      <c r="IA12" s="15"/>
      <c r="IB12" s="15"/>
      <c r="IC12" s="15"/>
      <c r="ID12" s="15"/>
      <c r="IE12" s="15"/>
      <c r="IF12" s="15"/>
      <c r="IG12" s="15"/>
      <c r="IH12" s="15"/>
      <c r="II12" s="15"/>
      <c r="IJ12" s="15"/>
      <c r="IK12" s="15"/>
      <c r="IL12" s="15"/>
      <c r="IM12" s="15"/>
      <c r="IN12" s="15"/>
      <c r="IO12" s="15"/>
      <c r="IP12" s="15"/>
      <c r="IQ12" s="15"/>
      <c r="IR12" s="15"/>
      <c r="IS12" s="15"/>
      <c r="IT12" s="15"/>
      <c r="IU12" s="36" t="str">
        <f t="shared" si="99"/>
        <v/>
      </c>
      <c r="IV12" s="36" t="str">
        <f t="shared" si="100"/>
        <v/>
      </c>
      <c r="IW12" s="36" t="str">
        <f t="shared" si="101"/>
        <v/>
      </c>
      <c r="IX12" s="36" t="str">
        <f t="shared" si="102"/>
        <v/>
      </c>
      <c r="IY12" s="36" t="str">
        <f t="shared" si="103"/>
        <v/>
      </c>
      <c r="IZ12" s="36" t="str">
        <f t="shared" si="104"/>
        <v/>
      </c>
      <c r="JA12" s="36" t="str">
        <f t="shared" si="105"/>
        <v/>
      </c>
      <c r="JB12" s="36" t="str">
        <f t="shared" si="106"/>
        <v/>
      </c>
      <c r="JC12" s="36" t="str">
        <f t="shared" si="107"/>
        <v/>
      </c>
      <c r="JD12" s="36" t="str">
        <f t="shared" si="108"/>
        <v/>
      </c>
      <c r="JE12" s="36" t="str">
        <f t="shared" si="109"/>
        <v/>
      </c>
      <c r="JF12" s="36" t="str">
        <f t="shared" si="110"/>
        <v/>
      </c>
      <c r="JG12" s="36" t="str">
        <f t="shared" si="111"/>
        <v/>
      </c>
      <c r="JH12" s="36" t="str">
        <f t="shared" si="112"/>
        <v/>
      </c>
      <c r="JI12" s="16"/>
      <c r="JJ12" s="16"/>
      <c r="JK12" s="16"/>
      <c r="JL12" s="16"/>
      <c r="JM12" s="16"/>
      <c r="JN12" s="16"/>
      <c r="JO12" s="16"/>
      <c r="JP12" s="16"/>
      <c r="JQ12" s="16"/>
      <c r="JR12" s="16"/>
      <c r="JS12" s="16"/>
      <c r="JT12" s="16"/>
      <c r="JU12" s="16"/>
      <c r="JV12" s="16"/>
      <c r="JW12" s="16"/>
      <c r="JX12" s="16"/>
      <c r="JY12" s="16"/>
      <c r="JZ12" s="16"/>
      <c r="KA12" s="16"/>
      <c r="KB12" s="16"/>
      <c r="KC12" s="11" t="str">
        <f t="shared" si="113"/>
        <v/>
      </c>
      <c r="KD12" s="11" t="str">
        <f t="shared" si="114"/>
        <v/>
      </c>
      <c r="KE12" s="11" t="str">
        <f t="shared" si="115"/>
        <v/>
      </c>
      <c r="KF12" s="11" t="str">
        <f t="shared" si="116"/>
        <v/>
      </c>
      <c r="KG12" s="11" t="str">
        <f t="shared" si="117"/>
        <v/>
      </c>
      <c r="KH12" s="11" t="str">
        <f t="shared" si="118"/>
        <v/>
      </c>
      <c r="KI12" s="11" t="str">
        <f t="shared" si="119"/>
        <v/>
      </c>
      <c r="KJ12" s="11" t="str">
        <f t="shared" si="120"/>
        <v/>
      </c>
      <c r="KK12" s="11" t="str">
        <f t="shared" si="121"/>
        <v/>
      </c>
      <c r="KL12" s="11" t="str">
        <f t="shared" si="122"/>
        <v/>
      </c>
      <c r="KM12" s="11" t="str">
        <f t="shared" si="123"/>
        <v/>
      </c>
      <c r="KN12" s="11" t="str">
        <f t="shared" si="124"/>
        <v/>
      </c>
      <c r="KO12" s="11" t="str">
        <f t="shared" si="125"/>
        <v/>
      </c>
      <c r="KP12" s="11" t="str">
        <f t="shared" si="126"/>
        <v/>
      </c>
      <c r="KQ12" s="15"/>
      <c r="KR12" s="15"/>
      <c r="KS12" s="15"/>
      <c r="KT12" s="15"/>
      <c r="KU12" s="15"/>
      <c r="KV12" s="15"/>
      <c r="KW12" s="15"/>
      <c r="KX12" s="15"/>
      <c r="KY12" s="15"/>
      <c r="KZ12" s="15"/>
      <c r="LA12" s="15"/>
      <c r="LB12" s="15"/>
      <c r="LC12" s="15"/>
      <c r="LD12" s="15"/>
      <c r="LE12" s="15"/>
      <c r="LF12" s="15"/>
      <c r="LG12" s="15"/>
      <c r="LH12" s="15"/>
      <c r="LI12" s="15"/>
      <c r="LJ12" s="15"/>
      <c r="LK12" s="36" t="str">
        <f t="shared" si="127"/>
        <v/>
      </c>
      <c r="LL12" s="36" t="str">
        <f t="shared" si="128"/>
        <v/>
      </c>
      <c r="LM12" s="36" t="str">
        <f t="shared" si="129"/>
        <v/>
      </c>
      <c r="LN12" s="36" t="str">
        <f t="shared" si="130"/>
        <v/>
      </c>
      <c r="LO12" s="36" t="str">
        <f t="shared" si="131"/>
        <v/>
      </c>
      <c r="LP12" s="36" t="str">
        <f t="shared" si="132"/>
        <v/>
      </c>
      <c r="LQ12" s="36" t="str">
        <f t="shared" si="133"/>
        <v/>
      </c>
      <c r="LR12" s="36" t="str">
        <f t="shared" si="134"/>
        <v/>
      </c>
      <c r="LS12" s="36" t="str">
        <f t="shared" si="135"/>
        <v/>
      </c>
      <c r="LT12" s="36" t="str">
        <f t="shared" si="136"/>
        <v/>
      </c>
      <c r="LU12" s="36" t="str">
        <f t="shared" si="137"/>
        <v/>
      </c>
      <c r="LV12" s="36" t="str">
        <f t="shared" si="138"/>
        <v/>
      </c>
      <c r="LW12" s="36" t="str">
        <f t="shared" si="139"/>
        <v/>
      </c>
      <c r="LX12" s="36" t="str">
        <f t="shared" si="140"/>
        <v/>
      </c>
      <c r="LY12" s="16"/>
      <c r="LZ12" s="16"/>
      <c r="MA12" s="16"/>
      <c r="MB12" s="16"/>
      <c r="MC12" s="16"/>
      <c r="MD12" s="16"/>
      <c r="ME12" s="16"/>
      <c r="MF12" s="16"/>
      <c r="MG12" s="16"/>
      <c r="MH12" s="16"/>
      <c r="MI12" s="16"/>
      <c r="MJ12" s="16"/>
      <c r="MK12" s="16"/>
      <c r="ML12" s="16"/>
      <c r="MM12" s="16"/>
      <c r="MN12" s="16"/>
      <c r="MO12" s="16"/>
      <c r="MP12" s="16"/>
      <c r="MQ12" s="16"/>
      <c r="MR12" s="16"/>
      <c r="MS12" s="11" t="str">
        <f t="shared" si="141"/>
        <v/>
      </c>
      <c r="MT12" s="11" t="str">
        <f t="shared" si="142"/>
        <v/>
      </c>
      <c r="MU12" s="11" t="str">
        <f t="shared" si="143"/>
        <v/>
      </c>
      <c r="MV12" s="11" t="str">
        <f t="shared" si="144"/>
        <v/>
      </c>
      <c r="MW12" s="11" t="str">
        <f t="shared" si="145"/>
        <v/>
      </c>
      <c r="MX12" s="11" t="str">
        <f t="shared" si="146"/>
        <v/>
      </c>
      <c r="MY12" s="11" t="str">
        <f t="shared" si="147"/>
        <v/>
      </c>
      <c r="MZ12" s="11" t="str">
        <f t="shared" si="148"/>
        <v/>
      </c>
      <c r="NA12" s="11" t="str">
        <f t="shared" si="149"/>
        <v/>
      </c>
      <c r="NB12" s="11" t="str">
        <f t="shared" si="150"/>
        <v/>
      </c>
      <c r="NC12" s="11" t="str">
        <f t="shared" si="151"/>
        <v/>
      </c>
      <c r="ND12" s="11" t="str">
        <f t="shared" si="152"/>
        <v/>
      </c>
      <c r="NE12" s="11" t="str">
        <f t="shared" si="153"/>
        <v/>
      </c>
      <c r="NF12" s="11" t="str">
        <f t="shared" si="154"/>
        <v/>
      </c>
      <c r="NG12" s="15"/>
      <c r="NH12" s="15"/>
      <c r="NI12" s="15"/>
      <c r="NJ12" s="15"/>
      <c r="NK12" s="15"/>
      <c r="NL12" s="15"/>
      <c r="NM12" s="15"/>
      <c r="NN12" s="15"/>
      <c r="NO12" s="15"/>
      <c r="NP12" s="15"/>
      <c r="NQ12" s="15"/>
      <c r="NR12" s="15"/>
      <c r="NS12" s="15"/>
      <c r="NT12" s="15"/>
      <c r="NU12" s="15"/>
      <c r="NV12" s="15"/>
      <c r="NW12" s="15"/>
      <c r="NX12" s="15"/>
      <c r="NY12" s="15"/>
      <c r="NZ12" s="15"/>
      <c r="OA12" s="36" t="str">
        <f t="shared" si="155"/>
        <v/>
      </c>
      <c r="OB12" s="36" t="str">
        <f t="shared" si="156"/>
        <v/>
      </c>
      <c r="OC12" s="36" t="str">
        <f t="shared" si="157"/>
        <v/>
      </c>
      <c r="OD12" s="36" t="str">
        <f t="shared" si="158"/>
        <v/>
      </c>
      <c r="OE12" s="36" t="str">
        <f t="shared" si="159"/>
        <v/>
      </c>
      <c r="OF12" s="36" t="str">
        <f t="shared" si="160"/>
        <v/>
      </c>
      <c r="OG12" s="36" t="str">
        <f t="shared" si="161"/>
        <v/>
      </c>
      <c r="OH12" s="36" t="str">
        <f t="shared" si="162"/>
        <v/>
      </c>
      <c r="OI12" s="36" t="str">
        <f t="shared" si="163"/>
        <v/>
      </c>
      <c r="OJ12" s="36" t="str">
        <f t="shared" si="164"/>
        <v/>
      </c>
      <c r="OK12" s="36" t="str">
        <f t="shared" si="165"/>
        <v/>
      </c>
      <c r="OL12" s="36" t="str">
        <f t="shared" si="166"/>
        <v/>
      </c>
      <c r="OM12" s="36" t="str">
        <f t="shared" si="167"/>
        <v/>
      </c>
      <c r="ON12" s="36" t="str">
        <f t="shared" si="168"/>
        <v/>
      </c>
      <c r="OO12" s="16"/>
      <c r="OP12" s="16"/>
      <c r="OQ12" s="16"/>
      <c r="OR12" s="16"/>
      <c r="OS12" s="16"/>
      <c r="OT12" s="16"/>
      <c r="OU12" s="16"/>
      <c r="OV12" s="16"/>
      <c r="OW12" s="16"/>
      <c r="OX12" s="16"/>
      <c r="OY12" s="16"/>
      <c r="OZ12" s="16"/>
      <c r="PA12" s="16"/>
      <c r="PB12" s="16"/>
      <c r="PC12" s="16"/>
      <c r="PD12" s="16"/>
      <c r="PE12" s="16"/>
      <c r="PF12" s="16"/>
      <c r="PG12" s="16"/>
      <c r="PH12" s="16"/>
      <c r="PI12" s="11" t="str">
        <f t="shared" si="169"/>
        <v/>
      </c>
      <c r="PJ12" s="11" t="str">
        <f t="shared" si="170"/>
        <v/>
      </c>
      <c r="PK12" s="11" t="str">
        <f t="shared" si="171"/>
        <v/>
      </c>
      <c r="PL12" s="11" t="str">
        <f t="shared" si="172"/>
        <v/>
      </c>
      <c r="PM12" s="11" t="str">
        <f t="shared" si="173"/>
        <v/>
      </c>
      <c r="PN12" s="11" t="str">
        <f t="shared" si="174"/>
        <v/>
      </c>
      <c r="PO12" s="11" t="str">
        <f t="shared" si="175"/>
        <v/>
      </c>
      <c r="PP12" s="11" t="str">
        <f t="shared" si="176"/>
        <v/>
      </c>
      <c r="PQ12" s="11" t="str">
        <f t="shared" si="177"/>
        <v/>
      </c>
      <c r="PR12" s="11" t="str">
        <f t="shared" si="178"/>
        <v/>
      </c>
      <c r="PS12" s="11" t="str">
        <f t="shared" si="179"/>
        <v/>
      </c>
      <c r="PT12" s="11" t="str">
        <f t="shared" si="180"/>
        <v/>
      </c>
      <c r="PU12" s="11" t="str">
        <f t="shared" si="181"/>
        <v/>
      </c>
      <c r="PV12" s="11" t="str">
        <f t="shared" si="182"/>
        <v/>
      </c>
      <c r="PW12" s="15"/>
      <c r="PX12" s="15"/>
      <c r="PY12" s="15"/>
      <c r="PZ12" s="15"/>
      <c r="QA12" s="15"/>
      <c r="QB12" s="15"/>
      <c r="QC12" s="15"/>
      <c r="QD12" s="15"/>
      <c r="QE12" s="15"/>
      <c r="QF12" s="15"/>
      <c r="QG12" s="15"/>
      <c r="QH12" s="15"/>
      <c r="QI12" s="15"/>
      <c r="QJ12" s="15"/>
      <c r="QK12" s="15"/>
      <c r="QL12" s="15"/>
      <c r="QM12" s="15"/>
      <c r="QN12" s="15"/>
      <c r="QO12" s="15"/>
      <c r="QP12" s="15"/>
      <c r="QQ12" s="36" t="str">
        <f t="shared" si="183"/>
        <v/>
      </c>
      <c r="QR12" s="36" t="str">
        <f t="shared" si="184"/>
        <v/>
      </c>
      <c r="QS12" s="36" t="str">
        <f t="shared" si="185"/>
        <v/>
      </c>
      <c r="QT12" s="36" t="str">
        <f t="shared" si="186"/>
        <v/>
      </c>
      <c r="QU12" s="36" t="str">
        <f t="shared" si="187"/>
        <v/>
      </c>
      <c r="QV12" s="36" t="str">
        <f t="shared" si="188"/>
        <v/>
      </c>
      <c r="QW12" s="36" t="str">
        <f t="shared" si="189"/>
        <v/>
      </c>
      <c r="QX12" s="36" t="str">
        <f t="shared" si="190"/>
        <v/>
      </c>
      <c r="QY12" s="36" t="str">
        <f t="shared" si="191"/>
        <v/>
      </c>
      <c r="QZ12" s="36" t="str">
        <f t="shared" si="192"/>
        <v/>
      </c>
      <c r="RA12" s="36" t="str">
        <f t="shared" si="193"/>
        <v/>
      </c>
      <c r="RB12" s="36" t="str">
        <f t="shared" si="194"/>
        <v/>
      </c>
      <c r="RC12" s="36" t="str">
        <f t="shared" si="195"/>
        <v/>
      </c>
      <c r="RD12" s="36" t="str">
        <f t="shared" si="196"/>
        <v/>
      </c>
      <c r="RE12" s="16"/>
      <c r="RF12" s="16"/>
      <c r="RG12" s="16"/>
      <c r="RH12" s="16"/>
      <c r="RI12" s="16"/>
      <c r="RJ12" s="16"/>
      <c r="RK12" s="16"/>
      <c r="RL12" s="16"/>
      <c r="RM12" s="16"/>
      <c r="RN12" s="16"/>
      <c r="RO12" s="16"/>
      <c r="RP12" s="16"/>
      <c r="RQ12" s="16"/>
      <c r="RR12" s="16"/>
      <c r="RS12" s="16"/>
      <c r="RT12" s="16"/>
      <c r="RU12" s="16"/>
      <c r="RV12" s="16"/>
      <c r="RW12" s="16"/>
      <c r="RX12" s="16"/>
      <c r="RY12" s="11" t="str">
        <f t="shared" si="197"/>
        <v/>
      </c>
      <c r="RZ12" s="11" t="str">
        <f t="shared" si="198"/>
        <v/>
      </c>
      <c r="SA12" s="11" t="str">
        <f t="shared" si="199"/>
        <v/>
      </c>
      <c r="SB12" s="11" t="str">
        <f t="shared" si="200"/>
        <v/>
      </c>
      <c r="SC12" s="11" t="str">
        <f t="shared" si="201"/>
        <v/>
      </c>
      <c r="SD12" s="11" t="str">
        <f t="shared" si="202"/>
        <v/>
      </c>
      <c r="SE12" s="11" t="str">
        <f t="shared" si="203"/>
        <v/>
      </c>
      <c r="SF12" s="11" t="str">
        <f t="shared" si="204"/>
        <v/>
      </c>
      <c r="SG12" s="11" t="str">
        <f t="shared" si="205"/>
        <v/>
      </c>
      <c r="SH12" s="11" t="str">
        <f t="shared" si="206"/>
        <v/>
      </c>
      <c r="SI12" s="11" t="str">
        <f t="shared" si="207"/>
        <v/>
      </c>
      <c r="SJ12" s="11" t="str">
        <f t="shared" si="208"/>
        <v/>
      </c>
      <c r="SK12" s="11" t="str">
        <f t="shared" si="209"/>
        <v/>
      </c>
      <c r="SL12" s="11" t="str">
        <f t="shared" si="210"/>
        <v/>
      </c>
      <c r="SM12" s="15"/>
      <c r="SN12" s="15"/>
      <c r="SO12" s="15"/>
      <c r="SP12" s="15"/>
      <c r="SQ12" s="15"/>
      <c r="SR12" s="15"/>
      <c r="SS12" s="15"/>
      <c r="ST12" s="15"/>
      <c r="SU12" s="15"/>
      <c r="SV12" s="15"/>
      <c r="SW12" s="15"/>
      <c r="SX12" s="15"/>
      <c r="SY12" s="15"/>
      <c r="SZ12" s="15"/>
      <c r="TA12" s="15"/>
      <c r="TB12" s="15"/>
      <c r="TC12" s="15"/>
      <c r="TD12" s="15"/>
      <c r="TE12" s="15"/>
      <c r="TF12" s="15"/>
      <c r="TG12" s="36" t="str">
        <f t="shared" si="211"/>
        <v/>
      </c>
      <c r="TH12" s="36" t="str">
        <f t="shared" si="212"/>
        <v/>
      </c>
      <c r="TI12" s="36" t="str">
        <f t="shared" si="213"/>
        <v/>
      </c>
      <c r="TJ12" s="36" t="str">
        <f t="shared" si="214"/>
        <v/>
      </c>
      <c r="TK12" s="36" t="str">
        <f t="shared" si="215"/>
        <v/>
      </c>
      <c r="TL12" s="36" t="str">
        <f t="shared" si="216"/>
        <v/>
      </c>
      <c r="TM12" s="36" t="str">
        <f t="shared" si="217"/>
        <v/>
      </c>
      <c r="TN12" s="36" t="str">
        <f t="shared" si="218"/>
        <v/>
      </c>
      <c r="TO12" s="36" t="str">
        <f t="shared" si="219"/>
        <v/>
      </c>
      <c r="TP12" s="36" t="str">
        <f t="shared" si="220"/>
        <v/>
      </c>
      <c r="TQ12" s="36" t="str">
        <f t="shared" si="221"/>
        <v/>
      </c>
      <c r="TR12" s="36" t="str">
        <f t="shared" si="222"/>
        <v/>
      </c>
      <c r="TS12" s="36" t="str">
        <f t="shared" si="223"/>
        <v/>
      </c>
      <c r="TT12" s="36" t="str">
        <f t="shared" si="224"/>
        <v/>
      </c>
      <c r="TU12" s="16"/>
      <c r="TV12" s="16"/>
      <c r="TW12" s="16"/>
      <c r="TX12" s="16"/>
      <c r="TY12" s="16"/>
      <c r="TZ12" s="16"/>
      <c r="UA12" s="16"/>
      <c r="UB12" s="16"/>
      <c r="UC12" s="16"/>
      <c r="UD12" s="16"/>
      <c r="UE12" s="16"/>
      <c r="UF12" s="16"/>
      <c r="UG12" s="16"/>
      <c r="UH12" s="16"/>
      <c r="UI12" s="16"/>
      <c r="UJ12" s="16"/>
      <c r="UK12" s="16"/>
      <c r="UL12" s="16"/>
      <c r="UM12" s="16"/>
      <c r="UN12" s="16"/>
      <c r="UO12" s="11" t="str">
        <f t="shared" si="225"/>
        <v/>
      </c>
      <c r="UP12" s="11" t="str">
        <f t="shared" si="226"/>
        <v/>
      </c>
      <c r="UQ12" s="11" t="str">
        <f t="shared" si="227"/>
        <v/>
      </c>
      <c r="UR12" s="11" t="str">
        <f t="shared" si="228"/>
        <v/>
      </c>
      <c r="US12" s="11" t="str">
        <f t="shared" si="229"/>
        <v/>
      </c>
      <c r="UT12" s="11" t="str">
        <f t="shared" si="230"/>
        <v/>
      </c>
      <c r="UU12" s="11" t="str">
        <f t="shared" si="231"/>
        <v/>
      </c>
      <c r="UV12" s="11" t="str">
        <f t="shared" si="232"/>
        <v/>
      </c>
      <c r="UW12" s="11" t="str">
        <f t="shared" si="233"/>
        <v/>
      </c>
      <c r="UX12" s="11" t="str">
        <f t="shared" si="234"/>
        <v/>
      </c>
      <c r="UY12" s="11" t="str">
        <f t="shared" si="235"/>
        <v/>
      </c>
      <c r="UZ12" s="11" t="str">
        <f t="shared" si="236"/>
        <v/>
      </c>
      <c r="VA12" s="11" t="str">
        <f t="shared" si="237"/>
        <v/>
      </c>
      <c r="VB12" s="11" t="str">
        <f t="shared" si="238"/>
        <v/>
      </c>
      <c r="VC12" s="15"/>
      <c r="VD12" s="15"/>
      <c r="VE12" s="15"/>
      <c r="VF12" s="15"/>
      <c r="VG12" s="15"/>
      <c r="VH12" s="15"/>
      <c r="VI12" s="15"/>
      <c r="VJ12" s="15"/>
      <c r="VK12" s="15"/>
      <c r="VL12" s="15"/>
      <c r="VM12" s="15"/>
      <c r="VN12" s="15"/>
      <c r="VO12" s="15"/>
      <c r="VP12" s="15"/>
      <c r="VQ12" s="15"/>
      <c r="VR12" s="15"/>
      <c r="VS12" s="15"/>
      <c r="VT12" s="15"/>
      <c r="VU12" s="15"/>
      <c r="VV12" s="15"/>
      <c r="VW12" s="36" t="str">
        <f t="shared" si="239"/>
        <v/>
      </c>
      <c r="VX12" s="36" t="str">
        <f t="shared" si="240"/>
        <v/>
      </c>
      <c r="VY12" s="36" t="str">
        <f t="shared" si="241"/>
        <v/>
      </c>
      <c r="VZ12" s="36" t="str">
        <f t="shared" si="242"/>
        <v/>
      </c>
      <c r="WA12" s="36" t="str">
        <f t="shared" si="243"/>
        <v/>
      </c>
      <c r="WB12" s="36" t="str">
        <f t="shared" si="244"/>
        <v/>
      </c>
      <c r="WC12" s="36" t="str">
        <f t="shared" si="245"/>
        <v/>
      </c>
      <c r="WD12" s="36" t="str">
        <f t="shared" si="246"/>
        <v/>
      </c>
      <c r="WE12" s="36" t="str">
        <f t="shared" si="247"/>
        <v/>
      </c>
      <c r="WF12" s="36" t="str">
        <f t="shared" si="248"/>
        <v/>
      </c>
      <c r="WG12" s="36" t="str">
        <f t="shared" si="249"/>
        <v/>
      </c>
      <c r="WH12" s="36" t="str">
        <f t="shared" si="250"/>
        <v/>
      </c>
      <c r="WI12" s="36" t="str">
        <f t="shared" si="251"/>
        <v/>
      </c>
      <c r="WJ12" s="36" t="str">
        <f t="shared" si="252"/>
        <v/>
      </c>
    </row>
    <row r="13" spans="1:608" x14ac:dyDescent="0.2">
      <c r="A13" s="4" t="str" cm="1">
        <f t="array" ref="A13">IF(AND(H13&lt;&gt;"",H13&lt;&gt;"No DD",I13&lt;&gt;"P"),SUMPRODUCT((H$4:H$28&lt;&gt;"")*(H$4:H$28&lt;&gt;"No DD")*(I$4:I$28&lt;&gt;"P")*(E$4:E$28&gt;E13))+1,IF(H13="No DD",SUMPRODUCT((H$4:H$28="No DD")*(I$4:I$28&lt;&gt;"P")*(E$4:E$28&gt;E13))+1+SUMPRODUCT((H$4:H$28&lt;&gt;"")*(I$4:I$28&lt;&gt;"P")*(H$4:H$28&lt;&gt;"No DD")),""))</f>
        <v/>
      </c>
      <c r="B13" s="5" t="s">
        <v>88</v>
      </c>
      <c r="C13" s="4" t="s">
        <v>3</v>
      </c>
      <c r="D13" s="4">
        <v>2005</v>
      </c>
      <c r="E13" s="9">
        <f t="shared" si="0"/>
        <v>104.06001027600517</v>
      </c>
      <c r="F13" s="3" t="str">
        <f t="shared" si="1"/>
        <v/>
      </c>
      <c r="G13" s="3" t="str">
        <f t="shared" si="2"/>
        <v/>
      </c>
      <c r="H13" s="32" t="str">
        <f t="shared" si="3"/>
        <v/>
      </c>
      <c r="I13" s="3" t="str">
        <f>IF(COUNTIFS('Senior-M'!B:B,B13,'Senior-M'!A:A,"&lt;9",'Senior-M'!H:H,"&lt;&gt;"&amp;"No DD"),"P","")</f>
        <v/>
      </c>
      <c r="J13" s="8">
        <f t="shared" si="4"/>
        <v>51.749999999999993</v>
      </c>
      <c r="K13" s="8" t="str">
        <f t="shared" si="5"/>
        <v>2025 Elite Canada</v>
      </c>
      <c r="L13" s="8">
        <f>IFERROR(LARGE((AI13,AL13,AP13,BJ13,BM13,BQ13,CK13,CN13,CR13),2),0)</f>
        <v>51.01</v>
      </c>
      <c r="M13" s="8" t="str">
        <f t="shared" si="6"/>
        <v>2025 Nationals</v>
      </c>
      <c r="N13" s="8">
        <f t="shared" si="7"/>
        <v>1.3000000000000043</v>
      </c>
      <c r="O13" s="11" t="str">
        <f>IF(N13=0,"",IF(N13=CT13,"("&amp;CT$2&amp;")",IF(N13=#REF!,"("&amp;#REF!&amp;")")))</f>
        <v>(Any)</v>
      </c>
      <c r="P13" s="8" t="str">
        <f t="shared" si="8"/>
        <v>2025 Coimbra Gym Fest (July 6)</v>
      </c>
      <c r="Q13" s="18">
        <v>13.1</v>
      </c>
      <c r="R13" s="18">
        <v>9</v>
      </c>
      <c r="S13" s="18">
        <v>12.5</v>
      </c>
      <c r="T13" s="18">
        <v>15.37</v>
      </c>
      <c r="U13" s="18">
        <v>2.4</v>
      </c>
      <c r="V13" s="18">
        <v>14</v>
      </c>
      <c r="W13" s="18">
        <v>8.9</v>
      </c>
      <c r="X13" s="18">
        <v>13.9</v>
      </c>
      <c r="Y13" s="18">
        <v>15.55</v>
      </c>
      <c r="Z13" s="18">
        <v>0.6</v>
      </c>
      <c r="AA13" s="18">
        <v>1.6</v>
      </c>
      <c r="AB13" s="18">
        <v>1</v>
      </c>
      <c r="AC13" s="18">
        <v>2</v>
      </c>
      <c r="AD13" s="18">
        <v>1.72</v>
      </c>
      <c r="AE13" s="18">
        <v>0</v>
      </c>
      <c r="AF13" s="23"/>
      <c r="AG13" s="34">
        <f t="shared" si="9"/>
        <v>12.5</v>
      </c>
      <c r="AH13" s="34">
        <f t="shared" si="10"/>
        <v>15.37</v>
      </c>
      <c r="AI13" s="36">
        <f t="shared" si="11"/>
        <v>47.57</v>
      </c>
      <c r="AJ13" s="36">
        <f t="shared" si="12"/>
        <v>13.9</v>
      </c>
      <c r="AK13" s="36">
        <f t="shared" si="13"/>
        <v>15.55</v>
      </c>
      <c r="AL13" s="36">
        <f t="shared" si="14"/>
        <v>51.749999999999993</v>
      </c>
      <c r="AM13" s="36">
        <f t="shared" si="15"/>
        <v>51.749999999999993</v>
      </c>
      <c r="AN13" s="36">
        <f t="shared" si="16"/>
        <v>2</v>
      </c>
      <c r="AO13" s="36">
        <f t="shared" si="17"/>
        <v>1.72</v>
      </c>
      <c r="AP13" s="36">
        <f t="shared" si="18"/>
        <v>6.3199999999999994</v>
      </c>
      <c r="AQ13" s="36">
        <f t="shared" si="19"/>
        <v>58.069999999999993</v>
      </c>
      <c r="AR13" s="22">
        <v>12.8</v>
      </c>
      <c r="AS13" s="22">
        <v>9.1</v>
      </c>
      <c r="AT13" s="22">
        <v>14.1</v>
      </c>
      <c r="AU13" s="22">
        <v>15.41</v>
      </c>
      <c r="AV13" s="22">
        <v>0.4</v>
      </c>
      <c r="AW13" s="22">
        <v>12.3</v>
      </c>
      <c r="AX13" s="22">
        <v>9.5</v>
      </c>
      <c r="AY13" s="22">
        <v>11.1</v>
      </c>
      <c r="AZ13" s="22">
        <v>15.73</v>
      </c>
      <c r="BA13" s="22">
        <v>3.4</v>
      </c>
      <c r="BB13" s="22">
        <v>14.3</v>
      </c>
      <c r="BC13" s="22">
        <v>9</v>
      </c>
      <c r="BD13" s="22">
        <v>13.1</v>
      </c>
      <c r="BE13" s="22">
        <v>15.58</v>
      </c>
      <c r="BF13" s="22">
        <v>1.4</v>
      </c>
      <c r="BG13" s="24"/>
      <c r="BH13" s="35">
        <f t="shared" si="20"/>
        <v>14.1</v>
      </c>
      <c r="BI13" s="35">
        <f t="shared" si="21"/>
        <v>15.41</v>
      </c>
      <c r="BJ13" s="11">
        <f t="shared" si="22"/>
        <v>51.01</v>
      </c>
      <c r="BK13" s="11">
        <f t="shared" si="23"/>
        <v>11.1</v>
      </c>
      <c r="BL13" s="11">
        <f t="shared" si="24"/>
        <v>15.73</v>
      </c>
      <c r="BM13" s="11">
        <f t="shared" si="25"/>
        <v>45.23</v>
      </c>
      <c r="BN13" s="11">
        <f t="shared" si="26"/>
        <v>51.01</v>
      </c>
      <c r="BO13" s="11">
        <f t="shared" si="27"/>
        <v>13.1</v>
      </c>
      <c r="BP13" s="11">
        <f t="shared" si="28"/>
        <v>15.58</v>
      </c>
      <c r="BQ13" s="11">
        <f t="shared" si="29"/>
        <v>50.58</v>
      </c>
      <c r="BR13" s="11">
        <f t="shared" si="30"/>
        <v>101.59</v>
      </c>
      <c r="BS13" s="18">
        <v>12</v>
      </c>
      <c r="BT13" s="18">
        <v>9.4</v>
      </c>
      <c r="BU13" s="18">
        <v>11.7</v>
      </c>
      <c r="BV13" s="18">
        <v>16.170000000000002</v>
      </c>
      <c r="BW13" s="18">
        <v>4</v>
      </c>
      <c r="BX13" s="18">
        <v>5.6</v>
      </c>
      <c r="BY13" s="18">
        <v>3.8</v>
      </c>
      <c r="BZ13" s="18">
        <v>6.3</v>
      </c>
      <c r="CA13" s="18">
        <v>6.78</v>
      </c>
      <c r="CB13" s="18">
        <v>0</v>
      </c>
      <c r="CC13" s="18"/>
      <c r="CD13" s="18"/>
      <c r="CE13" s="18"/>
      <c r="CF13" s="18"/>
      <c r="CG13" s="18"/>
      <c r="CH13" s="23"/>
      <c r="CI13" s="34">
        <f t="shared" si="31"/>
        <v>11.7</v>
      </c>
      <c r="CJ13" s="34">
        <f t="shared" si="32"/>
        <v>16.170000000000002</v>
      </c>
      <c r="CK13" s="36">
        <f t="shared" si="33"/>
        <v>45.269999999999996</v>
      </c>
      <c r="CL13" s="36">
        <f t="shared" si="34"/>
        <v>6.3</v>
      </c>
      <c r="CM13" s="36">
        <f t="shared" si="35"/>
        <v>6.78</v>
      </c>
      <c r="CN13" s="36">
        <f t="shared" si="36"/>
        <v>22.48</v>
      </c>
      <c r="CO13" s="36">
        <f t="shared" si="37"/>
        <v>45.269999999999996</v>
      </c>
      <c r="CP13" s="36" t="str">
        <f t="shared" si="38"/>
        <v/>
      </c>
      <c r="CQ13" s="36" t="str">
        <f t="shared" si="39"/>
        <v/>
      </c>
      <c r="CR13" s="36" t="str">
        <f t="shared" si="40"/>
        <v/>
      </c>
      <c r="CS13" s="36">
        <f t="shared" si="41"/>
        <v>45.269999999999996</v>
      </c>
      <c r="CT13" s="47">
        <f t="shared" si="42"/>
        <v>1.3000000000000043</v>
      </c>
      <c r="CU13" s="15"/>
      <c r="CV13" s="15"/>
      <c r="CW13" s="15"/>
      <c r="CX13" s="15"/>
      <c r="CY13" s="15"/>
      <c r="CZ13" s="15"/>
      <c r="DA13" s="15"/>
      <c r="DB13" s="15"/>
      <c r="DC13" s="15"/>
      <c r="DD13" s="15"/>
      <c r="DE13" s="15"/>
      <c r="DF13" s="15"/>
      <c r="DG13" s="15"/>
      <c r="DH13" s="15"/>
      <c r="DI13" s="15"/>
      <c r="DJ13" s="15"/>
      <c r="DK13" s="15"/>
      <c r="DL13" s="15"/>
      <c r="DM13" s="15"/>
      <c r="DN13" s="15"/>
      <c r="DO13" s="36" t="str">
        <f t="shared" si="43"/>
        <v/>
      </c>
      <c r="DP13" s="36" t="str">
        <f t="shared" si="44"/>
        <v/>
      </c>
      <c r="DQ13" s="36" t="str">
        <f t="shared" si="45"/>
        <v/>
      </c>
      <c r="DR13" s="36" t="str">
        <f t="shared" si="46"/>
        <v/>
      </c>
      <c r="DS13" s="36" t="str">
        <f t="shared" si="47"/>
        <v/>
      </c>
      <c r="DT13" s="36" t="str">
        <f t="shared" si="48"/>
        <v/>
      </c>
      <c r="DU13" s="36" t="str">
        <f t="shared" si="49"/>
        <v/>
      </c>
      <c r="DV13" s="36" t="str">
        <f t="shared" si="50"/>
        <v/>
      </c>
      <c r="DW13" s="36" t="str">
        <f t="shared" si="51"/>
        <v/>
      </c>
      <c r="DX13" s="36" t="str">
        <f t="shared" si="52"/>
        <v/>
      </c>
      <c r="DY13" s="36" t="str">
        <f t="shared" si="53"/>
        <v/>
      </c>
      <c r="DZ13" s="36" t="str">
        <f t="shared" si="54"/>
        <v/>
      </c>
      <c r="EA13" s="36" t="str">
        <f t="shared" si="55"/>
        <v/>
      </c>
      <c r="EB13" s="36" t="str">
        <f t="shared" si="56"/>
        <v/>
      </c>
      <c r="EC13" s="16"/>
      <c r="ED13" s="16"/>
      <c r="EE13" s="16"/>
      <c r="EF13" s="16"/>
      <c r="EG13" s="16"/>
      <c r="EH13" s="16"/>
      <c r="EI13" s="16"/>
      <c r="EJ13" s="16"/>
      <c r="EK13" s="16"/>
      <c r="EL13" s="16"/>
      <c r="EM13" s="16"/>
      <c r="EN13" s="16"/>
      <c r="EO13" s="16"/>
      <c r="EP13" s="16"/>
      <c r="EQ13" s="16"/>
      <c r="ER13" s="16"/>
      <c r="ES13" s="16"/>
      <c r="ET13" s="16"/>
      <c r="EU13" s="16"/>
      <c r="EV13" s="16"/>
      <c r="EW13" s="11" t="str">
        <f t="shared" si="57"/>
        <v/>
      </c>
      <c r="EX13" s="11" t="str">
        <f t="shared" si="58"/>
        <v/>
      </c>
      <c r="EY13" s="11" t="str">
        <f t="shared" si="59"/>
        <v/>
      </c>
      <c r="EZ13" s="11" t="str">
        <f t="shared" si="60"/>
        <v/>
      </c>
      <c r="FA13" s="11" t="str">
        <f t="shared" si="61"/>
        <v/>
      </c>
      <c r="FB13" s="11" t="str">
        <f t="shared" si="62"/>
        <v/>
      </c>
      <c r="FC13" s="11" t="str">
        <f t="shared" si="63"/>
        <v/>
      </c>
      <c r="FD13" s="11" t="str">
        <f t="shared" si="64"/>
        <v/>
      </c>
      <c r="FE13" s="11" t="str">
        <f t="shared" si="65"/>
        <v/>
      </c>
      <c r="FF13" s="11" t="str">
        <f t="shared" si="66"/>
        <v/>
      </c>
      <c r="FG13" s="11" t="str">
        <f t="shared" si="67"/>
        <v/>
      </c>
      <c r="FH13" s="11" t="str">
        <f t="shared" si="68"/>
        <v/>
      </c>
      <c r="FI13" s="11" t="str">
        <f t="shared" si="69"/>
        <v/>
      </c>
      <c r="FJ13" s="11" t="str">
        <f t="shared" si="70"/>
        <v/>
      </c>
      <c r="FK13" s="15">
        <v>14</v>
      </c>
      <c r="FL13" s="15">
        <v>9.5</v>
      </c>
      <c r="FM13" s="15">
        <v>12.9</v>
      </c>
      <c r="FN13" s="15">
        <v>15.91</v>
      </c>
      <c r="FO13" s="15">
        <v>0</v>
      </c>
      <c r="FP13" s="15">
        <v>12.7</v>
      </c>
      <c r="FQ13" s="15">
        <v>9.4</v>
      </c>
      <c r="FR13" s="15">
        <v>12.9</v>
      </c>
      <c r="FS13" s="15">
        <v>15.75</v>
      </c>
      <c r="FT13" s="15">
        <v>0</v>
      </c>
      <c r="FU13" s="15">
        <v>13.6</v>
      </c>
      <c r="FV13" s="15">
        <v>9.6999999999999993</v>
      </c>
      <c r="FW13" s="15">
        <v>12.9</v>
      </c>
      <c r="FX13" s="15">
        <v>16.010000000000002</v>
      </c>
      <c r="FY13" s="15">
        <v>0</v>
      </c>
      <c r="FZ13" s="15"/>
      <c r="GA13" s="15"/>
      <c r="GB13" s="15"/>
      <c r="GC13" s="15"/>
      <c r="GD13" s="15"/>
      <c r="GE13" s="36">
        <f t="shared" si="71"/>
        <v>12.9</v>
      </c>
      <c r="GF13" s="36">
        <f t="shared" si="72"/>
        <v>15.91</v>
      </c>
      <c r="GG13" s="36">
        <f t="shared" si="73"/>
        <v>52.31</v>
      </c>
      <c r="GH13" s="36">
        <f t="shared" si="74"/>
        <v>12.9</v>
      </c>
      <c r="GI13" s="36">
        <f t="shared" si="75"/>
        <v>15.75</v>
      </c>
      <c r="GJ13" s="36">
        <f t="shared" si="76"/>
        <v>50.75</v>
      </c>
      <c r="GK13" s="36">
        <f t="shared" si="77"/>
        <v>52.31</v>
      </c>
      <c r="GL13" s="36">
        <f t="shared" si="78"/>
        <v>12.9</v>
      </c>
      <c r="GM13" s="36">
        <f t="shared" si="79"/>
        <v>16.010000000000002</v>
      </c>
      <c r="GN13" s="36">
        <f t="shared" si="80"/>
        <v>52.209999999999994</v>
      </c>
      <c r="GO13" s="36" t="str">
        <f t="shared" si="81"/>
        <v/>
      </c>
      <c r="GP13" s="36" t="str">
        <f t="shared" si="82"/>
        <v/>
      </c>
      <c r="GQ13" s="36" t="str">
        <f t="shared" si="83"/>
        <v/>
      </c>
      <c r="GR13" s="36">
        <f t="shared" si="84"/>
        <v>104.52</v>
      </c>
      <c r="GS13" s="16"/>
      <c r="GT13" s="16"/>
      <c r="GU13" s="16"/>
      <c r="GV13" s="16"/>
      <c r="GW13" s="16"/>
      <c r="GX13" s="16"/>
      <c r="GY13" s="16"/>
      <c r="GZ13" s="16"/>
      <c r="HA13" s="16"/>
      <c r="HB13" s="16"/>
      <c r="HC13" s="16"/>
      <c r="HD13" s="16"/>
      <c r="HE13" s="16"/>
      <c r="HF13" s="16"/>
      <c r="HG13" s="16"/>
      <c r="HH13" s="16"/>
      <c r="HI13" s="16"/>
      <c r="HJ13" s="16"/>
      <c r="HK13" s="16"/>
      <c r="HL13" s="16"/>
      <c r="HM13" s="11" t="str">
        <f t="shared" si="85"/>
        <v/>
      </c>
      <c r="HN13" s="11" t="str">
        <f t="shared" si="86"/>
        <v/>
      </c>
      <c r="HO13" s="11" t="str">
        <f t="shared" si="87"/>
        <v/>
      </c>
      <c r="HP13" s="11" t="str">
        <f t="shared" si="88"/>
        <v/>
      </c>
      <c r="HQ13" s="11" t="str">
        <f t="shared" si="89"/>
        <v/>
      </c>
      <c r="HR13" s="11" t="str">
        <f t="shared" si="90"/>
        <v/>
      </c>
      <c r="HS13" s="11" t="str">
        <f t="shared" si="91"/>
        <v/>
      </c>
      <c r="HT13" s="11" t="str">
        <f t="shared" si="92"/>
        <v/>
      </c>
      <c r="HU13" s="11" t="str">
        <f t="shared" si="93"/>
        <v/>
      </c>
      <c r="HV13" s="11" t="str">
        <f t="shared" si="94"/>
        <v/>
      </c>
      <c r="HW13" s="11" t="str">
        <f t="shared" si="95"/>
        <v/>
      </c>
      <c r="HX13" s="11" t="str">
        <f t="shared" si="96"/>
        <v/>
      </c>
      <c r="HY13" s="11" t="str">
        <f t="shared" si="97"/>
        <v/>
      </c>
      <c r="HZ13" s="11" t="str">
        <f t="shared" si="98"/>
        <v/>
      </c>
      <c r="IA13" s="15"/>
      <c r="IB13" s="15"/>
      <c r="IC13" s="15"/>
      <c r="ID13" s="15"/>
      <c r="IE13" s="15"/>
      <c r="IF13" s="15"/>
      <c r="IG13" s="15"/>
      <c r="IH13" s="15"/>
      <c r="II13" s="15"/>
      <c r="IJ13" s="15"/>
      <c r="IK13" s="15"/>
      <c r="IL13" s="15"/>
      <c r="IM13" s="15"/>
      <c r="IN13" s="15"/>
      <c r="IO13" s="15"/>
      <c r="IP13" s="15"/>
      <c r="IQ13" s="15"/>
      <c r="IR13" s="15"/>
      <c r="IS13" s="15"/>
      <c r="IT13" s="15"/>
      <c r="IU13" s="36" t="str">
        <f t="shared" si="99"/>
        <v/>
      </c>
      <c r="IV13" s="36" t="str">
        <f t="shared" si="100"/>
        <v/>
      </c>
      <c r="IW13" s="36" t="str">
        <f t="shared" si="101"/>
        <v/>
      </c>
      <c r="IX13" s="36" t="str">
        <f t="shared" si="102"/>
        <v/>
      </c>
      <c r="IY13" s="36" t="str">
        <f t="shared" si="103"/>
        <v/>
      </c>
      <c r="IZ13" s="36" t="str">
        <f t="shared" si="104"/>
        <v/>
      </c>
      <c r="JA13" s="36" t="str">
        <f t="shared" si="105"/>
        <v/>
      </c>
      <c r="JB13" s="36" t="str">
        <f t="shared" si="106"/>
        <v/>
      </c>
      <c r="JC13" s="36" t="str">
        <f t="shared" si="107"/>
        <v/>
      </c>
      <c r="JD13" s="36" t="str">
        <f t="shared" si="108"/>
        <v/>
      </c>
      <c r="JE13" s="36" t="str">
        <f t="shared" si="109"/>
        <v/>
      </c>
      <c r="JF13" s="36" t="str">
        <f t="shared" si="110"/>
        <v/>
      </c>
      <c r="JG13" s="36" t="str">
        <f t="shared" si="111"/>
        <v/>
      </c>
      <c r="JH13" s="36" t="str">
        <f t="shared" si="112"/>
        <v/>
      </c>
      <c r="JI13" s="16"/>
      <c r="JJ13" s="16"/>
      <c r="JK13" s="16"/>
      <c r="JL13" s="16"/>
      <c r="JM13" s="16"/>
      <c r="JN13" s="16"/>
      <c r="JO13" s="16"/>
      <c r="JP13" s="16"/>
      <c r="JQ13" s="16"/>
      <c r="JR13" s="16"/>
      <c r="JS13" s="16"/>
      <c r="JT13" s="16"/>
      <c r="JU13" s="16"/>
      <c r="JV13" s="16"/>
      <c r="JW13" s="16"/>
      <c r="JX13" s="16"/>
      <c r="JY13" s="16"/>
      <c r="JZ13" s="16"/>
      <c r="KA13" s="16"/>
      <c r="KB13" s="16"/>
      <c r="KC13" s="11" t="str">
        <f t="shared" si="113"/>
        <v/>
      </c>
      <c r="KD13" s="11" t="str">
        <f t="shared" si="114"/>
        <v/>
      </c>
      <c r="KE13" s="11" t="str">
        <f t="shared" si="115"/>
        <v/>
      </c>
      <c r="KF13" s="11" t="str">
        <f t="shared" si="116"/>
        <v/>
      </c>
      <c r="KG13" s="11" t="str">
        <f t="shared" si="117"/>
        <v/>
      </c>
      <c r="KH13" s="11" t="str">
        <f t="shared" si="118"/>
        <v/>
      </c>
      <c r="KI13" s="11" t="str">
        <f t="shared" si="119"/>
        <v/>
      </c>
      <c r="KJ13" s="11" t="str">
        <f t="shared" si="120"/>
        <v/>
      </c>
      <c r="KK13" s="11" t="str">
        <f t="shared" si="121"/>
        <v/>
      </c>
      <c r="KL13" s="11" t="str">
        <f t="shared" si="122"/>
        <v/>
      </c>
      <c r="KM13" s="11" t="str">
        <f t="shared" si="123"/>
        <v/>
      </c>
      <c r="KN13" s="11" t="str">
        <f t="shared" si="124"/>
        <v/>
      </c>
      <c r="KO13" s="11" t="str">
        <f t="shared" si="125"/>
        <v/>
      </c>
      <c r="KP13" s="11" t="str">
        <f t="shared" si="126"/>
        <v/>
      </c>
      <c r="KQ13" s="15"/>
      <c r="KR13" s="15"/>
      <c r="KS13" s="15"/>
      <c r="KT13" s="15"/>
      <c r="KU13" s="15"/>
      <c r="KV13" s="15"/>
      <c r="KW13" s="15"/>
      <c r="KX13" s="15"/>
      <c r="KY13" s="15"/>
      <c r="KZ13" s="15"/>
      <c r="LA13" s="15"/>
      <c r="LB13" s="15"/>
      <c r="LC13" s="15"/>
      <c r="LD13" s="15"/>
      <c r="LE13" s="15"/>
      <c r="LF13" s="15"/>
      <c r="LG13" s="15"/>
      <c r="LH13" s="15"/>
      <c r="LI13" s="15"/>
      <c r="LJ13" s="15"/>
      <c r="LK13" s="36" t="str">
        <f t="shared" si="127"/>
        <v/>
      </c>
      <c r="LL13" s="36" t="str">
        <f t="shared" si="128"/>
        <v/>
      </c>
      <c r="LM13" s="36" t="str">
        <f t="shared" si="129"/>
        <v/>
      </c>
      <c r="LN13" s="36" t="str">
        <f t="shared" si="130"/>
        <v/>
      </c>
      <c r="LO13" s="36" t="str">
        <f t="shared" si="131"/>
        <v/>
      </c>
      <c r="LP13" s="36" t="str">
        <f t="shared" si="132"/>
        <v/>
      </c>
      <c r="LQ13" s="36" t="str">
        <f t="shared" si="133"/>
        <v/>
      </c>
      <c r="LR13" s="36" t="str">
        <f t="shared" si="134"/>
        <v/>
      </c>
      <c r="LS13" s="36" t="str">
        <f t="shared" si="135"/>
        <v/>
      </c>
      <c r="LT13" s="36" t="str">
        <f t="shared" si="136"/>
        <v/>
      </c>
      <c r="LU13" s="36" t="str">
        <f t="shared" si="137"/>
        <v/>
      </c>
      <c r="LV13" s="36" t="str">
        <f t="shared" si="138"/>
        <v/>
      </c>
      <c r="LW13" s="36" t="str">
        <f t="shared" si="139"/>
        <v/>
      </c>
      <c r="LX13" s="36" t="str">
        <f t="shared" si="140"/>
        <v/>
      </c>
      <c r="LY13" s="16">
        <v>15.1</v>
      </c>
      <c r="LZ13" s="16">
        <v>9.4</v>
      </c>
      <c r="MA13" s="16">
        <v>3.3</v>
      </c>
      <c r="MB13" s="16">
        <v>16.18</v>
      </c>
      <c r="MC13" s="16">
        <v>0</v>
      </c>
      <c r="MD13" s="16">
        <v>2.8</v>
      </c>
      <c r="ME13" s="16">
        <v>1.8</v>
      </c>
      <c r="MF13" s="16">
        <v>3.3</v>
      </c>
      <c r="MG13" s="16">
        <v>3.38</v>
      </c>
      <c r="MH13" s="16">
        <v>0</v>
      </c>
      <c r="MI13" s="16"/>
      <c r="MJ13" s="16"/>
      <c r="MK13" s="16"/>
      <c r="ML13" s="16"/>
      <c r="MM13" s="16"/>
      <c r="MN13" s="16"/>
      <c r="MO13" s="16"/>
      <c r="MP13" s="16"/>
      <c r="MQ13" s="16"/>
      <c r="MR13" s="16"/>
      <c r="MS13" s="11">
        <f t="shared" si="141"/>
        <v>3.3</v>
      </c>
      <c r="MT13" s="11">
        <f t="shared" si="142"/>
        <v>16.18</v>
      </c>
      <c r="MU13" s="11">
        <f t="shared" si="143"/>
        <v>43.980000000000004</v>
      </c>
      <c r="MV13" s="11">
        <f t="shared" si="144"/>
        <v>3.3</v>
      </c>
      <c r="MW13" s="11">
        <f t="shared" si="145"/>
        <v>3.38</v>
      </c>
      <c r="MX13" s="11">
        <f t="shared" si="146"/>
        <v>11.28</v>
      </c>
      <c r="MY13" s="11">
        <f t="shared" si="147"/>
        <v>43.980000000000004</v>
      </c>
      <c r="MZ13" s="11" t="str">
        <f t="shared" si="148"/>
        <v/>
      </c>
      <c r="NA13" s="11" t="str">
        <f t="shared" si="149"/>
        <v/>
      </c>
      <c r="NB13" s="11" t="str">
        <f t="shared" si="150"/>
        <v/>
      </c>
      <c r="NC13" s="11" t="str">
        <f t="shared" si="151"/>
        <v/>
      </c>
      <c r="ND13" s="11" t="str">
        <f t="shared" si="152"/>
        <v/>
      </c>
      <c r="NE13" s="11" t="str">
        <f t="shared" si="153"/>
        <v/>
      </c>
      <c r="NF13" s="11">
        <f t="shared" si="154"/>
        <v>43.980000000000004</v>
      </c>
      <c r="NG13" s="15"/>
      <c r="NH13" s="15"/>
      <c r="NI13" s="15"/>
      <c r="NJ13" s="15"/>
      <c r="NK13" s="15"/>
      <c r="NL13" s="15"/>
      <c r="NM13" s="15"/>
      <c r="NN13" s="15"/>
      <c r="NO13" s="15"/>
      <c r="NP13" s="15"/>
      <c r="NQ13" s="15"/>
      <c r="NR13" s="15"/>
      <c r="NS13" s="15"/>
      <c r="NT13" s="15"/>
      <c r="NU13" s="15"/>
      <c r="NV13" s="15"/>
      <c r="NW13" s="15"/>
      <c r="NX13" s="15"/>
      <c r="NY13" s="15"/>
      <c r="NZ13" s="15"/>
      <c r="OA13" s="36" t="str">
        <f t="shared" si="155"/>
        <v/>
      </c>
      <c r="OB13" s="36" t="str">
        <f t="shared" si="156"/>
        <v/>
      </c>
      <c r="OC13" s="36" t="str">
        <f t="shared" si="157"/>
        <v/>
      </c>
      <c r="OD13" s="36" t="str">
        <f t="shared" si="158"/>
        <v/>
      </c>
      <c r="OE13" s="36" t="str">
        <f t="shared" si="159"/>
        <v/>
      </c>
      <c r="OF13" s="36" t="str">
        <f t="shared" si="160"/>
        <v/>
      </c>
      <c r="OG13" s="36" t="str">
        <f t="shared" si="161"/>
        <v/>
      </c>
      <c r="OH13" s="36" t="str">
        <f t="shared" si="162"/>
        <v/>
      </c>
      <c r="OI13" s="36" t="str">
        <f t="shared" si="163"/>
        <v/>
      </c>
      <c r="OJ13" s="36" t="str">
        <f t="shared" si="164"/>
        <v/>
      </c>
      <c r="OK13" s="36" t="str">
        <f t="shared" si="165"/>
        <v/>
      </c>
      <c r="OL13" s="36" t="str">
        <f t="shared" si="166"/>
        <v/>
      </c>
      <c r="OM13" s="36" t="str">
        <f t="shared" si="167"/>
        <v/>
      </c>
      <c r="ON13" s="36" t="str">
        <f t="shared" si="168"/>
        <v/>
      </c>
      <c r="OO13" s="16"/>
      <c r="OP13" s="16"/>
      <c r="OQ13" s="16"/>
      <c r="OR13" s="16"/>
      <c r="OS13" s="16"/>
      <c r="OT13" s="16"/>
      <c r="OU13" s="16"/>
      <c r="OV13" s="16"/>
      <c r="OW13" s="16"/>
      <c r="OX13" s="16"/>
      <c r="OY13" s="16"/>
      <c r="OZ13" s="16"/>
      <c r="PA13" s="16"/>
      <c r="PB13" s="16"/>
      <c r="PC13" s="16"/>
      <c r="PD13" s="16"/>
      <c r="PE13" s="16"/>
      <c r="PF13" s="16"/>
      <c r="PG13" s="16"/>
      <c r="PH13" s="16"/>
      <c r="PI13" s="11" t="str">
        <f t="shared" si="169"/>
        <v/>
      </c>
      <c r="PJ13" s="11" t="str">
        <f t="shared" si="170"/>
        <v/>
      </c>
      <c r="PK13" s="11" t="str">
        <f t="shared" si="171"/>
        <v/>
      </c>
      <c r="PL13" s="11" t="str">
        <f t="shared" si="172"/>
        <v/>
      </c>
      <c r="PM13" s="11" t="str">
        <f t="shared" si="173"/>
        <v/>
      </c>
      <c r="PN13" s="11" t="str">
        <f t="shared" si="174"/>
        <v/>
      </c>
      <c r="PO13" s="11" t="str">
        <f t="shared" si="175"/>
        <v/>
      </c>
      <c r="PP13" s="11" t="str">
        <f t="shared" si="176"/>
        <v/>
      </c>
      <c r="PQ13" s="11" t="str">
        <f t="shared" si="177"/>
        <v/>
      </c>
      <c r="PR13" s="11" t="str">
        <f t="shared" si="178"/>
        <v/>
      </c>
      <c r="PS13" s="11" t="str">
        <f t="shared" si="179"/>
        <v/>
      </c>
      <c r="PT13" s="11" t="str">
        <f t="shared" si="180"/>
        <v/>
      </c>
      <c r="PU13" s="11" t="str">
        <f t="shared" si="181"/>
        <v/>
      </c>
      <c r="PV13" s="11" t="str">
        <f t="shared" si="182"/>
        <v/>
      </c>
      <c r="PW13" s="15"/>
      <c r="PX13" s="15"/>
      <c r="PY13" s="15"/>
      <c r="PZ13" s="15"/>
      <c r="QA13" s="15"/>
      <c r="QB13" s="15"/>
      <c r="QC13" s="15"/>
      <c r="QD13" s="15"/>
      <c r="QE13" s="15"/>
      <c r="QF13" s="15"/>
      <c r="QG13" s="15"/>
      <c r="QH13" s="15"/>
      <c r="QI13" s="15"/>
      <c r="QJ13" s="15"/>
      <c r="QK13" s="15"/>
      <c r="QL13" s="15"/>
      <c r="QM13" s="15"/>
      <c r="QN13" s="15"/>
      <c r="QO13" s="15"/>
      <c r="QP13" s="15"/>
      <c r="QQ13" s="36" t="str">
        <f t="shared" si="183"/>
        <v/>
      </c>
      <c r="QR13" s="36" t="str">
        <f t="shared" si="184"/>
        <v/>
      </c>
      <c r="QS13" s="36" t="str">
        <f t="shared" si="185"/>
        <v/>
      </c>
      <c r="QT13" s="36" t="str">
        <f t="shared" si="186"/>
        <v/>
      </c>
      <c r="QU13" s="36" t="str">
        <f t="shared" si="187"/>
        <v/>
      </c>
      <c r="QV13" s="36" t="str">
        <f t="shared" si="188"/>
        <v/>
      </c>
      <c r="QW13" s="36" t="str">
        <f t="shared" si="189"/>
        <v/>
      </c>
      <c r="QX13" s="36" t="str">
        <f t="shared" si="190"/>
        <v/>
      </c>
      <c r="QY13" s="36" t="str">
        <f t="shared" si="191"/>
        <v/>
      </c>
      <c r="QZ13" s="36" t="str">
        <f t="shared" si="192"/>
        <v/>
      </c>
      <c r="RA13" s="36" t="str">
        <f t="shared" si="193"/>
        <v/>
      </c>
      <c r="RB13" s="36" t="str">
        <f t="shared" si="194"/>
        <v/>
      </c>
      <c r="RC13" s="36" t="str">
        <f t="shared" si="195"/>
        <v/>
      </c>
      <c r="RD13" s="36" t="str">
        <f t="shared" si="196"/>
        <v/>
      </c>
      <c r="RE13" s="16"/>
      <c r="RF13" s="16"/>
      <c r="RG13" s="16"/>
      <c r="RH13" s="16"/>
      <c r="RI13" s="16"/>
      <c r="RJ13" s="16"/>
      <c r="RK13" s="16"/>
      <c r="RL13" s="16"/>
      <c r="RM13" s="16"/>
      <c r="RN13" s="16"/>
      <c r="RO13" s="16"/>
      <c r="RP13" s="16"/>
      <c r="RQ13" s="16"/>
      <c r="RR13" s="16"/>
      <c r="RS13" s="16"/>
      <c r="RT13" s="16"/>
      <c r="RU13" s="16"/>
      <c r="RV13" s="16"/>
      <c r="RW13" s="16"/>
      <c r="RX13" s="16"/>
      <c r="RY13" s="11" t="str">
        <f t="shared" si="197"/>
        <v/>
      </c>
      <c r="RZ13" s="11" t="str">
        <f t="shared" si="198"/>
        <v/>
      </c>
      <c r="SA13" s="11" t="str">
        <f t="shared" si="199"/>
        <v/>
      </c>
      <c r="SB13" s="11" t="str">
        <f t="shared" si="200"/>
        <v/>
      </c>
      <c r="SC13" s="11" t="str">
        <f t="shared" si="201"/>
        <v/>
      </c>
      <c r="SD13" s="11" t="str">
        <f t="shared" si="202"/>
        <v/>
      </c>
      <c r="SE13" s="11" t="str">
        <f t="shared" si="203"/>
        <v/>
      </c>
      <c r="SF13" s="11" t="str">
        <f t="shared" si="204"/>
        <v/>
      </c>
      <c r="SG13" s="11" t="str">
        <f t="shared" si="205"/>
        <v/>
      </c>
      <c r="SH13" s="11" t="str">
        <f t="shared" si="206"/>
        <v/>
      </c>
      <c r="SI13" s="11" t="str">
        <f t="shared" si="207"/>
        <v/>
      </c>
      <c r="SJ13" s="11" t="str">
        <f t="shared" si="208"/>
        <v/>
      </c>
      <c r="SK13" s="11" t="str">
        <f t="shared" si="209"/>
        <v/>
      </c>
      <c r="SL13" s="11" t="str">
        <f t="shared" si="210"/>
        <v/>
      </c>
      <c r="SM13" s="15"/>
      <c r="SN13" s="15"/>
      <c r="SO13" s="15"/>
      <c r="SP13" s="15"/>
      <c r="SQ13" s="15"/>
      <c r="SR13" s="15"/>
      <c r="SS13" s="15"/>
      <c r="ST13" s="15"/>
      <c r="SU13" s="15"/>
      <c r="SV13" s="15"/>
      <c r="SW13" s="15"/>
      <c r="SX13" s="15"/>
      <c r="SY13" s="15"/>
      <c r="SZ13" s="15"/>
      <c r="TA13" s="15"/>
      <c r="TB13" s="15"/>
      <c r="TC13" s="15"/>
      <c r="TD13" s="15"/>
      <c r="TE13" s="15"/>
      <c r="TF13" s="15"/>
      <c r="TG13" s="36" t="str">
        <f t="shared" si="211"/>
        <v/>
      </c>
      <c r="TH13" s="36" t="str">
        <f t="shared" si="212"/>
        <v/>
      </c>
      <c r="TI13" s="36" t="str">
        <f t="shared" si="213"/>
        <v/>
      </c>
      <c r="TJ13" s="36" t="str">
        <f t="shared" si="214"/>
        <v/>
      </c>
      <c r="TK13" s="36" t="str">
        <f t="shared" si="215"/>
        <v/>
      </c>
      <c r="TL13" s="36" t="str">
        <f t="shared" si="216"/>
        <v/>
      </c>
      <c r="TM13" s="36" t="str">
        <f t="shared" si="217"/>
        <v/>
      </c>
      <c r="TN13" s="36" t="str">
        <f t="shared" si="218"/>
        <v/>
      </c>
      <c r="TO13" s="36" t="str">
        <f t="shared" si="219"/>
        <v/>
      </c>
      <c r="TP13" s="36" t="str">
        <f t="shared" si="220"/>
        <v/>
      </c>
      <c r="TQ13" s="36" t="str">
        <f t="shared" si="221"/>
        <v/>
      </c>
      <c r="TR13" s="36" t="str">
        <f t="shared" si="222"/>
        <v/>
      </c>
      <c r="TS13" s="36" t="str">
        <f t="shared" si="223"/>
        <v/>
      </c>
      <c r="TT13" s="36" t="str">
        <f t="shared" si="224"/>
        <v/>
      </c>
      <c r="TU13" s="16"/>
      <c r="TV13" s="16"/>
      <c r="TW13" s="16"/>
      <c r="TX13" s="16"/>
      <c r="TY13" s="16"/>
      <c r="TZ13" s="16"/>
      <c r="UA13" s="16"/>
      <c r="UB13" s="16"/>
      <c r="UC13" s="16"/>
      <c r="UD13" s="16"/>
      <c r="UE13" s="16"/>
      <c r="UF13" s="16"/>
      <c r="UG13" s="16"/>
      <c r="UH13" s="16"/>
      <c r="UI13" s="16"/>
      <c r="UJ13" s="16"/>
      <c r="UK13" s="16"/>
      <c r="UL13" s="16"/>
      <c r="UM13" s="16"/>
      <c r="UN13" s="16"/>
      <c r="UO13" s="11" t="str">
        <f t="shared" si="225"/>
        <v/>
      </c>
      <c r="UP13" s="11" t="str">
        <f t="shared" si="226"/>
        <v/>
      </c>
      <c r="UQ13" s="11" t="str">
        <f t="shared" si="227"/>
        <v/>
      </c>
      <c r="UR13" s="11" t="str">
        <f t="shared" si="228"/>
        <v/>
      </c>
      <c r="US13" s="11" t="str">
        <f t="shared" si="229"/>
        <v/>
      </c>
      <c r="UT13" s="11" t="str">
        <f t="shared" si="230"/>
        <v/>
      </c>
      <c r="UU13" s="11" t="str">
        <f t="shared" si="231"/>
        <v/>
      </c>
      <c r="UV13" s="11" t="str">
        <f t="shared" si="232"/>
        <v/>
      </c>
      <c r="UW13" s="11" t="str">
        <f t="shared" si="233"/>
        <v/>
      </c>
      <c r="UX13" s="11" t="str">
        <f t="shared" si="234"/>
        <v/>
      </c>
      <c r="UY13" s="11" t="str">
        <f t="shared" si="235"/>
        <v/>
      </c>
      <c r="UZ13" s="11" t="str">
        <f t="shared" si="236"/>
        <v/>
      </c>
      <c r="VA13" s="11" t="str">
        <f t="shared" si="237"/>
        <v/>
      </c>
      <c r="VB13" s="11" t="str">
        <f t="shared" si="238"/>
        <v/>
      </c>
      <c r="VC13" s="15"/>
      <c r="VD13" s="15"/>
      <c r="VE13" s="15"/>
      <c r="VF13" s="15"/>
      <c r="VG13" s="15"/>
      <c r="VH13" s="15"/>
      <c r="VI13" s="15"/>
      <c r="VJ13" s="15"/>
      <c r="VK13" s="15"/>
      <c r="VL13" s="15"/>
      <c r="VM13" s="15"/>
      <c r="VN13" s="15"/>
      <c r="VO13" s="15"/>
      <c r="VP13" s="15"/>
      <c r="VQ13" s="15"/>
      <c r="VR13" s="15"/>
      <c r="VS13" s="15"/>
      <c r="VT13" s="15"/>
      <c r="VU13" s="15"/>
      <c r="VV13" s="15"/>
      <c r="VW13" s="36" t="str">
        <f t="shared" si="239"/>
        <v/>
      </c>
      <c r="VX13" s="36" t="str">
        <f t="shared" si="240"/>
        <v/>
      </c>
      <c r="VY13" s="36" t="str">
        <f t="shared" si="241"/>
        <v/>
      </c>
      <c r="VZ13" s="36" t="str">
        <f t="shared" si="242"/>
        <v/>
      </c>
      <c r="WA13" s="36" t="str">
        <f t="shared" si="243"/>
        <v/>
      </c>
      <c r="WB13" s="36" t="str">
        <f t="shared" si="244"/>
        <v/>
      </c>
      <c r="WC13" s="36" t="str">
        <f t="shared" si="245"/>
        <v/>
      </c>
      <c r="WD13" s="36" t="str">
        <f t="shared" si="246"/>
        <v/>
      </c>
      <c r="WE13" s="36" t="str">
        <f t="shared" si="247"/>
        <v/>
      </c>
      <c r="WF13" s="36" t="str">
        <f t="shared" si="248"/>
        <v/>
      </c>
      <c r="WG13" s="36" t="str">
        <f t="shared" si="249"/>
        <v/>
      </c>
      <c r="WH13" s="36" t="str">
        <f t="shared" si="250"/>
        <v/>
      </c>
      <c r="WI13" s="36" t="str">
        <f t="shared" si="251"/>
        <v/>
      </c>
      <c r="WJ13" s="36" t="str">
        <f t="shared" si="252"/>
        <v/>
      </c>
    </row>
    <row r="14" spans="1:608" x14ac:dyDescent="0.2">
      <c r="A14" s="4" t="str" cm="1">
        <f t="array" ref="A14">IF(AND(H14&lt;&gt;"",H14&lt;&gt;"No DD",I14&lt;&gt;"P"),SUMPRODUCT((H$4:H$28&lt;&gt;"")*(H$4:H$28&lt;&gt;"No DD")*(I$4:I$28&lt;&gt;"P")*(E$4:E$28&gt;E14))+1,IF(H14="No DD",SUMPRODUCT((H$4:H$28="No DD")*(I$4:I$28&lt;&gt;"P")*(E$4:E$28&gt;E14))+1+SUMPRODUCT((H$4:H$28&lt;&gt;"")*(I$4:I$28&lt;&gt;"P")*(H$4:H$28&lt;&gt;"No DD")),""))</f>
        <v/>
      </c>
      <c r="B14" s="5" t="s">
        <v>92</v>
      </c>
      <c r="C14" s="4" t="s">
        <v>7</v>
      </c>
      <c r="D14" s="4">
        <v>2006</v>
      </c>
      <c r="E14" s="9">
        <f t="shared" si="0"/>
        <v>103.17000907300502</v>
      </c>
      <c r="F14" s="3" t="str">
        <f t="shared" si="1"/>
        <v/>
      </c>
      <c r="G14" s="3" t="str">
        <f t="shared" si="2"/>
        <v/>
      </c>
      <c r="H14" s="32" t="str">
        <f t="shared" si="3"/>
        <v/>
      </c>
      <c r="I14" s="3" t="str">
        <f>IF(COUNTIFS('Senior-M'!B:B,B14,'Senior-M'!A:A,"&lt;9",'Senior-M'!H:H,"&lt;&gt;"&amp;"No DD"),"P","")</f>
        <v/>
      </c>
      <c r="J14" s="8">
        <f t="shared" si="4"/>
        <v>50.3</v>
      </c>
      <c r="K14" s="8" t="str">
        <f t="shared" si="5"/>
        <v>2025 Nationals</v>
      </c>
      <c r="L14" s="8">
        <f>IFERROR(LARGE((AI14,AL14,AP14,BJ14,BM14,BQ14,CK14,CN14,CR14),2),0)</f>
        <v>40.43</v>
      </c>
      <c r="M14" s="8" t="str">
        <f t="shared" si="6"/>
        <v>2025 Nationals</v>
      </c>
      <c r="N14" s="8">
        <f t="shared" si="7"/>
        <v>12.439999999999998</v>
      </c>
      <c r="O14" s="11" t="str">
        <f>IF(N14=0,"",IF(N14=CT14,"("&amp;CT$2&amp;")",IF(N14=#REF!,"("&amp;#REF!&amp;")")))</f>
        <v>(Any)</v>
      </c>
      <c r="P14" s="8" t="str">
        <f t="shared" si="8"/>
        <v>2025 World Cup ITA (April 5)</v>
      </c>
      <c r="Q14" s="18">
        <v>1.6</v>
      </c>
      <c r="R14" s="18">
        <v>1</v>
      </c>
      <c r="S14" s="18">
        <v>2</v>
      </c>
      <c r="T14" s="18">
        <v>1.72</v>
      </c>
      <c r="U14" s="18">
        <v>0</v>
      </c>
      <c r="V14" s="18">
        <v>9.8000000000000007</v>
      </c>
      <c r="W14" s="18">
        <v>5.9</v>
      </c>
      <c r="X14" s="18">
        <v>9</v>
      </c>
      <c r="Y14" s="18">
        <v>11.15</v>
      </c>
      <c r="Z14" s="18">
        <v>0</v>
      </c>
      <c r="AA14" s="18"/>
      <c r="AB14" s="18"/>
      <c r="AC14" s="18"/>
      <c r="AD14" s="18"/>
      <c r="AE14" s="18"/>
      <c r="AF14" s="23"/>
      <c r="AG14" s="34">
        <f t="shared" si="9"/>
        <v>2</v>
      </c>
      <c r="AH14" s="34">
        <f t="shared" si="10"/>
        <v>1.72</v>
      </c>
      <c r="AI14" s="36">
        <f t="shared" si="11"/>
        <v>6.3199999999999994</v>
      </c>
      <c r="AJ14" s="36">
        <f t="shared" si="12"/>
        <v>9</v>
      </c>
      <c r="AK14" s="36">
        <f t="shared" si="13"/>
        <v>11.15</v>
      </c>
      <c r="AL14" s="36">
        <f t="shared" si="14"/>
        <v>35.85</v>
      </c>
      <c r="AM14" s="36">
        <f t="shared" si="15"/>
        <v>35.85</v>
      </c>
      <c r="AN14" s="36" t="str">
        <f t="shared" si="16"/>
        <v/>
      </c>
      <c r="AO14" s="36" t="str">
        <f t="shared" si="17"/>
        <v/>
      </c>
      <c r="AP14" s="36" t="str">
        <f t="shared" si="18"/>
        <v/>
      </c>
      <c r="AQ14" s="36">
        <f t="shared" si="19"/>
        <v>35.85</v>
      </c>
      <c r="AR14" s="22">
        <v>12</v>
      </c>
      <c r="AS14" s="22">
        <v>6.3</v>
      </c>
      <c r="AT14" s="22">
        <v>11</v>
      </c>
      <c r="AU14" s="22">
        <v>11.13</v>
      </c>
      <c r="AV14" s="22">
        <v>0</v>
      </c>
      <c r="AW14" s="22">
        <v>14.7</v>
      </c>
      <c r="AX14" s="22">
        <v>7.6</v>
      </c>
      <c r="AY14" s="22">
        <v>13.8</v>
      </c>
      <c r="AZ14" s="22">
        <v>14.2</v>
      </c>
      <c r="BA14" s="22">
        <v>0</v>
      </c>
      <c r="BB14" s="22"/>
      <c r="BC14" s="22"/>
      <c r="BD14" s="22"/>
      <c r="BE14" s="22"/>
      <c r="BF14" s="22"/>
      <c r="BG14" s="24"/>
      <c r="BH14" s="35">
        <f t="shared" si="20"/>
        <v>11</v>
      </c>
      <c r="BI14" s="35">
        <f t="shared" si="21"/>
        <v>11.13</v>
      </c>
      <c r="BJ14" s="11">
        <f t="shared" si="22"/>
        <v>40.43</v>
      </c>
      <c r="BK14" s="11">
        <f t="shared" si="23"/>
        <v>13.8</v>
      </c>
      <c r="BL14" s="11">
        <f t="shared" si="24"/>
        <v>14.2</v>
      </c>
      <c r="BM14" s="11">
        <f t="shared" si="25"/>
        <v>50.3</v>
      </c>
      <c r="BN14" s="11">
        <f t="shared" si="26"/>
        <v>50.3</v>
      </c>
      <c r="BO14" s="11" t="str">
        <f t="shared" si="27"/>
        <v/>
      </c>
      <c r="BP14" s="11" t="str">
        <f t="shared" si="28"/>
        <v/>
      </c>
      <c r="BQ14" s="11" t="str">
        <f t="shared" si="29"/>
        <v/>
      </c>
      <c r="BR14" s="11">
        <f t="shared" si="30"/>
        <v>50.3</v>
      </c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23"/>
      <c r="CI14" s="34" t="str">
        <f t="shared" si="31"/>
        <v/>
      </c>
      <c r="CJ14" s="34" t="str">
        <f t="shared" si="32"/>
        <v/>
      </c>
      <c r="CK14" s="36" t="str">
        <f t="shared" si="33"/>
        <v/>
      </c>
      <c r="CL14" s="36" t="str">
        <f t="shared" si="34"/>
        <v/>
      </c>
      <c r="CM14" s="36" t="str">
        <f t="shared" si="35"/>
        <v/>
      </c>
      <c r="CN14" s="36" t="str">
        <f t="shared" si="36"/>
        <v/>
      </c>
      <c r="CO14" s="36" t="str">
        <f t="shared" si="37"/>
        <v/>
      </c>
      <c r="CP14" s="36" t="str">
        <f t="shared" si="38"/>
        <v/>
      </c>
      <c r="CQ14" s="36" t="str">
        <f t="shared" si="39"/>
        <v/>
      </c>
      <c r="CR14" s="36" t="str">
        <f t="shared" si="40"/>
        <v/>
      </c>
      <c r="CS14" s="36" t="str">
        <f t="shared" si="41"/>
        <v/>
      </c>
      <c r="CT14" s="47">
        <f t="shared" si="42"/>
        <v>12.439999999999998</v>
      </c>
      <c r="CU14" s="15">
        <v>14.3</v>
      </c>
      <c r="CV14" s="15">
        <v>8.6999999999999993</v>
      </c>
      <c r="CW14" s="15">
        <v>14.8</v>
      </c>
      <c r="CX14" s="15">
        <v>15.07</v>
      </c>
      <c r="CY14" s="15">
        <v>0</v>
      </c>
      <c r="CZ14" s="15">
        <v>13.8</v>
      </c>
      <c r="DA14" s="15">
        <v>8.6999999999999993</v>
      </c>
      <c r="DB14" s="15">
        <v>14.4</v>
      </c>
      <c r="DC14" s="15">
        <v>15.35</v>
      </c>
      <c r="DD14" s="15"/>
      <c r="DE14" s="15"/>
      <c r="DF14" s="15"/>
      <c r="DG14" s="15"/>
      <c r="DH14" s="15"/>
      <c r="DI14" s="15"/>
      <c r="DJ14" s="15"/>
      <c r="DK14" s="15"/>
      <c r="DL14" s="15"/>
      <c r="DM14" s="15"/>
      <c r="DN14" s="15"/>
      <c r="DO14" s="36">
        <f t="shared" si="43"/>
        <v>14.8</v>
      </c>
      <c r="DP14" s="36">
        <f t="shared" si="44"/>
        <v>15.07</v>
      </c>
      <c r="DQ14" s="36">
        <f t="shared" si="45"/>
        <v>52.87</v>
      </c>
      <c r="DR14" s="36">
        <f t="shared" si="46"/>
        <v>14.4</v>
      </c>
      <c r="DS14" s="36">
        <f t="shared" si="47"/>
        <v>15.35</v>
      </c>
      <c r="DT14" s="36">
        <f t="shared" si="48"/>
        <v>52.25</v>
      </c>
      <c r="DU14" s="36">
        <f t="shared" si="49"/>
        <v>52.87</v>
      </c>
      <c r="DV14" s="36" t="str">
        <f t="shared" si="50"/>
        <v/>
      </c>
      <c r="DW14" s="36" t="str">
        <f t="shared" si="51"/>
        <v/>
      </c>
      <c r="DX14" s="36" t="str">
        <f t="shared" si="52"/>
        <v/>
      </c>
      <c r="DY14" s="36" t="str">
        <f t="shared" si="53"/>
        <v/>
      </c>
      <c r="DZ14" s="36" t="str">
        <f t="shared" si="54"/>
        <v/>
      </c>
      <c r="EA14" s="36" t="str">
        <f t="shared" si="55"/>
        <v/>
      </c>
      <c r="EB14" s="36">
        <f t="shared" si="56"/>
        <v>52.87</v>
      </c>
      <c r="EC14" s="16"/>
      <c r="ED14" s="16"/>
      <c r="EE14" s="16"/>
      <c r="EF14" s="16"/>
      <c r="EG14" s="16"/>
      <c r="EH14" s="16"/>
      <c r="EI14" s="16"/>
      <c r="EJ14" s="16"/>
      <c r="EK14" s="16"/>
      <c r="EL14" s="16"/>
      <c r="EM14" s="16"/>
      <c r="EN14" s="16"/>
      <c r="EO14" s="16"/>
      <c r="EP14" s="16"/>
      <c r="EQ14" s="16"/>
      <c r="ER14" s="16"/>
      <c r="ES14" s="16"/>
      <c r="ET14" s="16"/>
      <c r="EU14" s="16"/>
      <c r="EV14" s="16"/>
      <c r="EW14" s="11" t="str">
        <f t="shared" si="57"/>
        <v/>
      </c>
      <c r="EX14" s="11" t="str">
        <f t="shared" si="58"/>
        <v/>
      </c>
      <c r="EY14" s="11" t="str">
        <f t="shared" si="59"/>
        <v/>
      </c>
      <c r="EZ14" s="11" t="str">
        <f t="shared" si="60"/>
        <v/>
      </c>
      <c r="FA14" s="11" t="str">
        <f t="shared" si="61"/>
        <v/>
      </c>
      <c r="FB14" s="11" t="str">
        <f t="shared" si="62"/>
        <v/>
      </c>
      <c r="FC14" s="11" t="str">
        <f t="shared" si="63"/>
        <v/>
      </c>
      <c r="FD14" s="11" t="str">
        <f t="shared" si="64"/>
        <v/>
      </c>
      <c r="FE14" s="11" t="str">
        <f t="shared" si="65"/>
        <v/>
      </c>
      <c r="FF14" s="11" t="str">
        <f t="shared" si="66"/>
        <v/>
      </c>
      <c r="FG14" s="11" t="str">
        <f t="shared" si="67"/>
        <v/>
      </c>
      <c r="FH14" s="11" t="str">
        <f t="shared" si="68"/>
        <v/>
      </c>
      <c r="FI14" s="11" t="str">
        <f t="shared" si="69"/>
        <v/>
      </c>
      <c r="FJ14" s="11" t="str">
        <f t="shared" si="70"/>
        <v/>
      </c>
      <c r="FK14" s="15"/>
      <c r="FL14" s="15"/>
      <c r="FM14" s="15"/>
      <c r="FN14" s="15"/>
      <c r="FO14" s="15"/>
      <c r="FP14" s="15"/>
      <c r="FQ14" s="15"/>
      <c r="FR14" s="15"/>
      <c r="FS14" s="15"/>
      <c r="FT14" s="15"/>
      <c r="FU14" s="15"/>
      <c r="FV14" s="15"/>
      <c r="FW14" s="15"/>
      <c r="FX14" s="15"/>
      <c r="FY14" s="15"/>
      <c r="FZ14" s="15"/>
      <c r="GA14" s="15"/>
      <c r="GB14" s="15"/>
      <c r="GC14" s="15"/>
      <c r="GD14" s="15"/>
      <c r="GE14" s="36" t="str">
        <f t="shared" si="71"/>
        <v/>
      </c>
      <c r="GF14" s="36" t="str">
        <f t="shared" si="72"/>
        <v/>
      </c>
      <c r="GG14" s="36" t="str">
        <f t="shared" si="73"/>
        <v/>
      </c>
      <c r="GH14" s="36" t="str">
        <f t="shared" si="74"/>
        <v/>
      </c>
      <c r="GI14" s="36" t="str">
        <f t="shared" si="75"/>
        <v/>
      </c>
      <c r="GJ14" s="36" t="str">
        <f t="shared" si="76"/>
        <v/>
      </c>
      <c r="GK14" s="36" t="str">
        <f t="shared" si="77"/>
        <v/>
      </c>
      <c r="GL14" s="36" t="str">
        <f t="shared" si="78"/>
        <v/>
      </c>
      <c r="GM14" s="36" t="str">
        <f t="shared" si="79"/>
        <v/>
      </c>
      <c r="GN14" s="36" t="str">
        <f t="shared" si="80"/>
        <v/>
      </c>
      <c r="GO14" s="36" t="str">
        <f t="shared" si="81"/>
        <v/>
      </c>
      <c r="GP14" s="36" t="str">
        <f t="shared" si="82"/>
        <v/>
      </c>
      <c r="GQ14" s="36" t="str">
        <f t="shared" si="83"/>
        <v/>
      </c>
      <c r="GR14" s="36" t="str">
        <f t="shared" si="84"/>
        <v/>
      </c>
      <c r="GS14" s="16"/>
      <c r="GT14" s="16"/>
      <c r="GU14" s="16"/>
      <c r="GV14" s="16"/>
      <c r="GW14" s="16"/>
      <c r="GX14" s="16"/>
      <c r="GY14" s="16"/>
      <c r="GZ14" s="16"/>
      <c r="HA14" s="16"/>
      <c r="HB14" s="16"/>
      <c r="HC14" s="16"/>
      <c r="HD14" s="16"/>
      <c r="HE14" s="16"/>
      <c r="HF14" s="16"/>
      <c r="HG14" s="16"/>
      <c r="HH14" s="16"/>
      <c r="HI14" s="16"/>
      <c r="HJ14" s="16"/>
      <c r="HK14" s="16"/>
      <c r="HL14" s="16"/>
      <c r="HM14" s="11" t="str">
        <f t="shared" si="85"/>
        <v/>
      </c>
      <c r="HN14" s="11" t="str">
        <f t="shared" si="86"/>
        <v/>
      </c>
      <c r="HO14" s="11" t="str">
        <f t="shared" si="87"/>
        <v/>
      </c>
      <c r="HP14" s="11" t="str">
        <f t="shared" si="88"/>
        <v/>
      </c>
      <c r="HQ14" s="11" t="str">
        <f t="shared" si="89"/>
        <v/>
      </c>
      <c r="HR14" s="11" t="str">
        <f t="shared" si="90"/>
        <v/>
      </c>
      <c r="HS14" s="11" t="str">
        <f t="shared" si="91"/>
        <v/>
      </c>
      <c r="HT14" s="11" t="str">
        <f t="shared" si="92"/>
        <v/>
      </c>
      <c r="HU14" s="11" t="str">
        <f t="shared" si="93"/>
        <v/>
      </c>
      <c r="HV14" s="11" t="str">
        <f t="shared" si="94"/>
        <v/>
      </c>
      <c r="HW14" s="11" t="str">
        <f t="shared" si="95"/>
        <v/>
      </c>
      <c r="HX14" s="11" t="str">
        <f t="shared" si="96"/>
        <v/>
      </c>
      <c r="HY14" s="11" t="str">
        <f t="shared" si="97"/>
        <v/>
      </c>
      <c r="HZ14" s="11" t="str">
        <f t="shared" si="98"/>
        <v/>
      </c>
      <c r="IA14" s="15"/>
      <c r="IB14" s="15"/>
      <c r="IC14" s="15"/>
      <c r="ID14" s="15"/>
      <c r="IE14" s="15"/>
      <c r="IF14" s="15"/>
      <c r="IG14" s="15"/>
      <c r="IH14" s="15"/>
      <c r="II14" s="15"/>
      <c r="IJ14" s="15"/>
      <c r="IK14" s="15"/>
      <c r="IL14" s="15"/>
      <c r="IM14" s="15"/>
      <c r="IN14" s="15"/>
      <c r="IO14" s="15"/>
      <c r="IP14" s="15"/>
      <c r="IQ14" s="15"/>
      <c r="IR14" s="15"/>
      <c r="IS14" s="15"/>
      <c r="IT14" s="15"/>
      <c r="IU14" s="36" t="str">
        <f t="shared" si="99"/>
        <v/>
      </c>
      <c r="IV14" s="36" t="str">
        <f t="shared" si="100"/>
        <v/>
      </c>
      <c r="IW14" s="36" t="str">
        <f t="shared" si="101"/>
        <v/>
      </c>
      <c r="IX14" s="36" t="str">
        <f t="shared" si="102"/>
        <v/>
      </c>
      <c r="IY14" s="36" t="str">
        <f t="shared" si="103"/>
        <v/>
      </c>
      <c r="IZ14" s="36" t="str">
        <f t="shared" si="104"/>
        <v/>
      </c>
      <c r="JA14" s="36" t="str">
        <f t="shared" si="105"/>
        <v/>
      </c>
      <c r="JB14" s="36" t="str">
        <f t="shared" si="106"/>
        <v/>
      </c>
      <c r="JC14" s="36" t="str">
        <f t="shared" si="107"/>
        <v/>
      </c>
      <c r="JD14" s="36" t="str">
        <f t="shared" si="108"/>
        <v/>
      </c>
      <c r="JE14" s="36" t="str">
        <f t="shared" si="109"/>
        <v/>
      </c>
      <c r="JF14" s="36" t="str">
        <f t="shared" si="110"/>
        <v/>
      </c>
      <c r="JG14" s="36" t="str">
        <f t="shared" si="111"/>
        <v/>
      </c>
      <c r="JH14" s="36" t="str">
        <f t="shared" si="112"/>
        <v/>
      </c>
      <c r="JI14" s="16"/>
      <c r="JJ14" s="16"/>
      <c r="JK14" s="16"/>
      <c r="JL14" s="16"/>
      <c r="JM14" s="16"/>
      <c r="JN14" s="16"/>
      <c r="JO14" s="16"/>
      <c r="JP14" s="16"/>
      <c r="JQ14" s="16"/>
      <c r="JR14" s="16"/>
      <c r="JS14" s="16"/>
      <c r="JT14" s="16"/>
      <c r="JU14" s="16"/>
      <c r="JV14" s="16"/>
      <c r="JW14" s="16"/>
      <c r="JX14" s="16"/>
      <c r="JY14" s="16"/>
      <c r="JZ14" s="16"/>
      <c r="KA14" s="16"/>
      <c r="KB14" s="16"/>
      <c r="KC14" s="11" t="str">
        <f t="shared" si="113"/>
        <v/>
      </c>
      <c r="KD14" s="11" t="str">
        <f t="shared" si="114"/>
        <v/>
      </c>
      <c r="KE14" s="11" t="str">
        <f t="shared" si="115"/>
        <v/>
      </c>
      <c r="KF14" s="11" t="str">
        <f t="shared" si="116"/>
        <v/>
      </c>
      <c r="KG14" s="11" t="str">
        <f t="shared" si="117"/>
        <v/>
      </c>
      <c r="KH14" s="11" t="str">
        <f t="shared" si="118"/>
        <v/>
      </c>
      <c r="KI14" s="11" t="str">
        <f t="shared" si="119"/>
        <v/>
      </c>
      <c r="KJ14" s="11" t="str">
        <f t="shared" si="120"/>
        <v/>
      </c>
      <c r="KK14" s="11" t="str">
        <f t="shared" si="121"/>
        <v/>
      </c>
      <c r="KL14" s="11" t="str">
        <f t="shared" si="122"/>
        <v/>
      </c>
      <c r="KM14" s="11" t="str">
        <f t="shared" si="123"/>
        <v/>
      </c>
      <c r="KN14" s="11" t="str">
        <f t="shared" si="124"/>
        <v/>
      </c>
      <c r="KO14" s="11" t="str">
        <f t="shared" si="125"/>
        <v/>
      </c>
      <c r="KP14" s="11" t="str">
        <f t="shared" si="126"/>
        <v/>
      </c>
      <c r="KQ14" s="15"/>
      <c r="KR14" s="15"/>
      <c r="KS14" s="15"/>
      <c r="KT14" s="15"/>
      <c r="KU14" s="15"/>
      <c r="KV14" s="15"/>
      <c r="KW14" s="15"/>
      <c r="KX14" s="15"/>
      <c r="KY14" s="15"/>
      <c r="KZ14" s="15"/>
      <c r="LA14" s="15"/>
      <c r="LB14" s="15"/>
      <c r="LC14" s="15"/>
      <c r="LD14" s="15"/>
      <c r="LE14" s="15"/>
      <c r="LF14" s="15"/>
      <c r="LG14" s="15"/>
      <c r="LH14" s="15"/>
      <c r="LI14" s="15"/>
      <c r="LJ14" s="15"/>
      <c r="LK14" s="36" t="str">
        <f t="shared" si="127"/>
        <v/>
      </c>
      <c r="LL14" s="36" t="str">
        <f t="shared" si="128"/>
        <v/>
      </c>
      <c r="LM14" s="36" t="str">
        <f t="shared" si="129"/>
        <v/>
      </c>
      <c r="LN14" s="36" t="str">
        <f t="shared" si="130"/>
        <v/>
      </c>
      <c r="LO14" s="36" t="str">
        <f t="shared" si="131"/>
        <v/>
      </c>
      <c r="LP14" s="36" t="str">
        <f t="shared" si="132"/>
        <v/>
      </c>
      <c r="LQ14" s="36" t="str">
        <f t="shared" si="133"/>
        <v/>
      </c>
      <c r="LR14" s="36" t="str">
        <f t="shared" si="134"/>
        <v/>
      </c>
      <c r="LS14" s="36" t="str">
        <f t="shared" si="135"/>
        <v/>
      </c>
      <c r="LT14" s="36" t="str">
        <f t="shared" si="136"/>
        <v/>
      </c>
      <c r="LU14" s="36" t="str">
        <f t="shared" si="137"/>
        <v/>
      </c>
      <c r="LV14" s="36" t="str">
        <f t="shared" si="138"/>
        <v/>
      </c>
      <c r="LW14" s="36" t="str">
        <f t="shared" si="139"/>
        <v/>
      </c>
      <c r="LX14" s="36" t="str">
        <f t="shared" si="140"/>
        <v/>
      </c>
      <c r="LY14" s="16"/>
      <c r="LZ14" s="16"/>
      <c r="MA14" s="16"/>
      <c r="MB14" s="16"/>
      <c r="MC14" s="16"/>
      <c r="MD14" s="16"/>
      <c r="ME14" s="16"/>
      <c r="MF14" s="16"/>
      <c r="MG14" s="16"/>
      <c r="MH14" s="16"/>
      <c r="MI14" s="16"/>
      <c r="MJ14" s="16"/>
      <c r="MK14" s="16"/>
      <c r="ML14" s="16"/>
      <c r="MM14" s="16"/>
      <c r="MN14" s="16"/>
      <c r="MO14" s="16"/>
      <c r="MP14" s="16"/>
      <c r="MQ14" s="16"/>
      <c r="MR14" s="16"/>
      <c r="MS14" s="11" t="str">
        <f t="shared" si="141"/>
        <v/>
      </c>
      <c r="MT14" s="11" t="str">
        <f t="shared" si="142"/>
        <v/>
      </c>
      <c r="MU14" s="11" t="str">
        <f t="shared" si="143"/>
        <v/>
      </c>
      <c r="MV14" s="11" t="str">
        <f t="shared" si="144"/>
        <v/>
      </c>
      <c r="MW14" s="11" t="str">
        <f t="shared" si="145"/>
        <v/>
      </c>
      <c r="MX14" s="11" t="str">
        <f t="shared" si="146"/>
        <v/>
      </c>
      <c r="MY14" s="11" t="str">
        <f t="shared" si="147"/>
        <v/>
      </c>
      <c r="MZ14" s="11" t="str">
        <f t="shared" si="148"/>
        <v/>
      </c>
      <c r="NA14" s="11" t="str">
        <f t="shared" si="149"/>
        <v/>
      </c>
      <c r="NB14" s="11" t="str">
        <f t="shared" si="150"/>
        <v/>
      </c>
      <c r="NC14" s="11" t="str">
        <f t="shared" si="151"/>
        <v/>
      </c>
      <c r="ND14" s="11" t="str">
        <f t="shared" si="152"/>
        <v/>
      </c>
      <c r="NE14" s="11" t="str">
        <f t="shared" si="153"/>
        <v/>
      </c>
      <c r="NF14" s="11" t="str">
        <f t="shared" si="154"/>
        <v/>
      </c>
      <c r="NG14" s="15"/>
      <c r="NH14" s="15"/>
      <c r="NI14" s="15"/>
      <c r="NJ14" s="15"/>
      <c r="NK14" s="15"/>
      <c r="NL14" s="15"/>
      <c r="NM14" s="15"/>
      <c r="NN14" s="15"/>
      <c r="NO14" s="15"/>
      <c r="NP14" s="15"/>
      <c r="NQ14" s="15"/>
      <c r="NR14" s="15"/>
      <c r="NS14" s="15"/>
      <c r="NT14" s="15"/>
      <c r="NU14" s="15"/>
      <c r="NV14" s="15"/>
      <c r="NW14" s="15"/>
      <c r="NX14" s="15"/>
      <c r="NY14" s="15"/>
      <c r="NZ14" s="15"/>
      <c r="OA14" s="36" t="str">
        <f t="shared" si="155"/>
        <v/>
      </c>
      <c r="OB14" s="36" t="str">
        <f t="shared" si="156"/>
        <v/>
      </c>
      <c r="OC14" s="36" t="str">
        <f t="shared" si="157"/>
        <v/>
      </c>
      <c r="OD14" s="36" t="str">
        <f t="shared" si="158"/>
        <v/>
      </c>
      <c r="OE14" s="36" t="str">
        <f t="shared" si="159"/>
        <v/>
      </c>
      <c r="OF14" s="36" t="str">
        <f t="shared" si="160"/>
        <v/>
      </c>
      <c r="OG14" s="36" t="str">
        <f t="shared" si="161"/>
        <v/>
      </c>
      <c r="OH14" s="36" t="str">
        <f t="shared" si="162"/>
        <v/>
      </c>
      <c r="OI14" s="36" t="str">
        <f t="shared" si="163"/>
        <v/>
      </c>
      <c r="OJ14" s="36" t="str">
        <f t="shared" si="164"/>
        <v/>
      </c>
      <c r="OK14" s="36" t="str">
        <f t="shared" si="165"/>
        <v/>
      </c>
      <c r="OL14" s="36" t="str">
        <f t="shared" si="166"/>
        <v/>
      </c>
      <c r="OM14" s="36" t="str">
        <f t="shared" si="167"/>
        <v/>
      </c>
      <c r="ON14" s="36" t="str">
        <f t="shared" si="168"/>
        <v/>
      </c>
      <c r="OO14" s="16"/>
      <c r="OP14" s="16"/>
      <c r="OQ14" s="16"/>
      <c r="OR14" s="16"/>
      <c r="OS14" s="16"/>
      <c r="OT14" s="16"/>
      <c r="OU14" s="16"/>
      <c r="OV14" s="16"/>
      <c r="OW14" s="16"/>
      <c r="OX14" s="16"/>
      <c r="OY14" s="16"/>
      <c r="OZ14" s="16"/>
      <c r="PA14" s="16"/>
      <c r="PB14" s="16"/>
      <c r="PC14" s="16"/>
      <c r="PD14" s="16"/>
      <c r="PE14" s="16"/>
      <c r="PF14" s="16"/>
      <c r="PG14" s="16"/>
      <c r="PH14" s="16"/>
      <c r="PI14" s="11" t="str">
        <f t="shared" si="169"/>
        <v/>
      </c>
      <c r="PJ14" s="11" t="str">
        <f t="shared" si="170"/>
        <v/>
      </c>
      <c r="PK14" s="11" t="str">
        <f t="shared" si="171"/>
        <v/>
      </c>
      <c r="PL14" s="11" t="str">
        <f t="shared" si="172"/>
        <v/>
      </c>
      <c r="PM14" s="11" t="str">
        <f t="shared" si="173"/>
        <v/>
      </c>
      <c r="PN14" s="11" t="str">
        <f t="shared" si="174"/>
        <v/>
      </c>
      <c r="PO14" s="11" t="str">
        <f t="shared" si="175"/>
        <v/>
      </c>
      <c r="PP14" s="11" t="str">
        <f t="shared" si="176"/>
        <v/>
      </c>
      <c r="PQ14" s="11" t="str">
        <f t="shared" si="177"/>
        <v/>
      </c>
      <c r="PR14" s="11" t="str">
        <f t="shared" si="178"/>
        <v/>
      </c>
      <c r="PS14" s="11" t="str">
        <f t="shared" si="179"/>
        <v/>
      </c>
      <c r="PT14" s="11" t="str">
        <f t="shared" si="180"/>
        <v/>
      </c>
      <c r="PU14" s="11" t="str">
        <f t="shared" si="181"/>
        <v/>
      </c>
      <c r="PV14" s="11" t="str">
        <f t="shared" si="182"/>
        <v/>
      </c>
      <c r="PW14" s="15"/>
      <c r="PX14" s="15"/>
      <c r="PY14" s="15"/>
      <c r="PZ14" s="15"/>
      <c r="QA14" s="15"/>
      <c r="QB14" s="15"/>
      <c r="QC14" s="15"/>
      <c r="QD14" s="15"/>
      <c r="QE14" s="15"/>
      <c r="QF14" s="15"/>
      <c r="QG14" s="15"/>
      <c r="QH14" s="15"/>
      <c r="QI14" s="15"/>
      <c r="QJ14" s="15"/>
      <c r="QK14" s="15"/>
      <c r="QL14" s="15"/>
      <c r="QM14" s="15"/>
      <c r="QN14" s="15"/>
      <c r="QO14" s="15"/>
      <c r="QP14" s="15"/>
      <c r="QQ14" s="36" t="str">
        <f t="shared" si="183"/>
        <v/>
      </c>
      <c r="QR14" s="36" t="str">
        <f t="shared" si="184"/>
        <v/>
      </c>
      <c r="QS14" s="36" t="str">
        <f t="shared" si="185"/>
        <v/>
      </c>
      <c r="QT14" s="36" t="str">
        <f t="shared" si="186"/>
        <v/>
      </c>
      <c r="QU14" s="36" t="str">
        <f t="shared" si="187"/>
        <v/>
      </c>
      <c r="QV14" s="36" t="str">
        <f t="shared" si="188"/>
        <v/>
      </c>
      <c r="QW14" s="36" t="str">
        <f t="shared" si="189"/>
        <v/>
      </c>
      <c r="QX14" s="36" t="str">
        <f t="shared" si="190"/>
        <v/>
      </c>
      <c r="QY14" s="36" t="str">
        <f t="shared" si="191"/>
        <v/>
      </c>
      <c r="QZ14" s="36" t="str">
        <f t="shared" si="192"/>
        <v/>
      </c>
      <c r="RA14" s="36" t="str">
        <f t="shared" si="193"/>
        <v/>
      </c>
      <c r="RB14" s="36" t="str">
        <f t="shared" si="194"/>
        <v/>
      </c>
      <c r="RC14" s="36" t="str">
        <f t="shared" si="195"/>
        <v/>
      </c>
      <c r="RD14" s="36" t="str">
        <f t="shared" si="196"/>
        <v/>
      </c>
      <c r="RE14" s="16"/>
      <c r="RF14" s="16"/>
      <c r="RG14" s="16"/>
      <c r="RH14" s="16"/>
      <c r="RI14" s="16"/>
      <c r="RJ14" s="16"/>
      <c r="RK14" s="16"/>
      <c r="RL14" s="16"/>
      <c r="RM14" s="16"/>
      <c r="RN14" s="16"/>
      <c r="RO14" s="16"/>
      <c r="RP14" s="16"/>
      <c r="RQ14" s="16"/>
      <c r="RR14" s="16"/>
      <c r="RS14" s="16"/>
      <c r="RT14" s="16"/>
      <c r="RU14" s="16"/>
      <c r="RV14" s="16"/>
      <c r="RW14" s="16"/>
      <c r="RX14" s="16"/>
      <c r="RY14" s="11" t="str">
        <f t="shared" si="197"/>
        <v/>
      </c>
      <c r="RZ14" s="11" t="str">
        <f t="shared" si="198"/>
        <v/>
      </c>
      <c r="SA14" s="11" t="str">
        <f t="shared" si="199"/>
        <v/>
      </c>
      <c r="SB14" s="11" t="str">
        <f t="shared" si="200"/>
        <v/>
      </c>
      <c r="SC14" s="11" t="str">
        <f t="shared" si="201"/>
        <v/>
      </c>
      <c r="SD14" s="11" t="str">
        <f t="shared" si="202"/>
        <v/>
      </c>
      <c r="SE14" s="11" t="str">
        <f t="shared" si="203"/>
        <v/>
      </c>
      <c r="SF14" s="11" t="str">
        <f t="shared" si="204"/>
        <v/>
      </c>
      <c r="SG14" s="11" t="str">
        <f t="shared" si="205"/>
        <v/>
      </c>
      <c r="SH14" s="11" t="str">
        <f t="shared" si="206"/>
        <v/>
      </c>
      <c r="SI14" s="11" t="str">
        <f t="shared" si="207"/>
        <v/>
      </c>
      <c r="SJ14" s="11" t="str">
        <f t="shared" si="208"/>
        <v/>
      </c>
      <c r="SK14" s="11" t="str">
        <f t="shared" si="209"/>
        <v/>
      </c>
      <c r="SL14" s="11" t="str">
        <f t="shared" si="210"/>
        <v/>
      </c>
      <c r="SM14" s="15"/>
      <c r="SN14" s="15"/>
      <c r="SO14" s="15"/>
      <c r="SP14" s="15"/>
      <c r="SQ14" s="15"/>
      <c r="SR14" s="15"/>
      <c r="SS14" s="15"/>
      <c r="ST14" s="15"/>
      <c r="SU14" s="15"/>
      <c r="SV14" s="15"/>
      <c r="SW14" s="15"/>
      <c r="SX14" s="15"/>
      <c r="SY14" s="15"/>
      <c r="SZ14" s="15"/>
      <c r="TA14" s="15"/>
      <c r="TB14" s="15"/>
      <c r="TC14" s="15"/>
      <c r="TD14" s="15"/>
      <c r="TE14" s="15"/>
      <c r="TF14" s="15"/>
      <c r="TG14" s="36" t="str">
        <f t="shared" si="211"/>
        <v/>
      </c>
      <c r="TH14" s="36" t="str">
        <f t="shared" si="212"/>
        <v/>
      </c>
      <c r="TI14" s="36" t="str">
        <f t="shared" si="213"/>
        <v/>
      </c>
      <c r="TJ14" s="36" t="str">
        <f t="shared" si="214"/>
        <v/>
      </c>
      <c r="TK14" s="36" t="str">
        <f t="shared" si="215"/>
        <v/>
      </c>
      <c r="TL14" s="36" t="str">
        <f t="shared" si="216"/>
        <v/>
      </c>
      <c r="TM14" s="36" t="str">
        <f t="shared" si="217"/>
        <v/>
      </c>
      <c r="TN14" s="36" t="str">
        <f t="shared" si="218"/>
        <v/>
      </c>
      <c r="TO14" s="36" t="str">
        <f t="shared" si="219"/>
        <v/>
      </c>
      <c r="TP14" s="36" t="str">
        <f t="shared" si="220"/>
        <v/>
      </c>
      <c r="TQ14" s="36" t="str">
        <f t="shared" si="221"/>
        <v/>
      </c>
      <c r="TR14" s="36" t="str">
        <f t="shared" si="222"/>
        <v/>
      </c>
      <c r="TS14" s="36" t="str">
        <f t="shared" si="223"/>
        <v/>
      </c>
      <c r="TT14" s="36" t="str">
        <f t="shared" si="224"/>
        <v/>
      </c>
      <c r="TU14" s="16"/>
      <c r="TV14" s="16"/>
      <c r="TW14" s="16"/>
      <c r="TX14" s="16"/>
      <c r="TY14" s="16"/>
      <c r="TZ14" s="16"/>
      <c r="UA14" s="16"/>
      <c r="UB14" s="16"/>
      <c r="UC14" s="16"/>
      <c r="UD14" s="16"/>
      <c r="UE14" s="16"/>
      <c r="UF14" s="16"/>
      <c r="UG14" s="16"/>
      <c r="UH14" s="16"/>
      <c r="UI14" s="16"/>
      <c r="UJ14" s="16"/>
      <c r="UK14" s="16"/>
      <c r="UL14" s="16"/>
      <c r="UM14" s="16"/>
      <c r="UN14" s="16"/>
      <c r="UO14" s="11" t="str">
        <f t="shared" si="225"/>
        <v/>
      </c>
      <c r="UP14" s="11" t="str">
        <f t="shared" si="226"/>
        <v/>
      </c>
      <c r="UQ14" s="11" t="str">
        <f t="shared" si="227"/>
        <v/>
      </c>
      <c r="UR14" s="11" t="str">
        <f t="shared" si="228"/>
        <v/>
      </c>
      <c r="US14" s="11" t="str">
        <f t="shared" si="229"/>
        <v/>
      </c>
      <c r="UT14" s="11" t="str">
        <f t="shared" si="230"/>
        <v/>
      </c>
      <c r="UU14" s="11" t="str">
        <f t="shared" si="231"/>
        <v/>
      </c>
      <c r="UV14" s="11" t="str">
        <f t="shared" si="232"/>
        <v/>
      </c>
      <c r="UW14" s="11" t="str">
        <f t="shared" si="233"/>
        <v/>
      </c>
      <c r="UX14" s="11" t="str">
        <f t="shared" si="234"/>
        <v/>
      </c>
      <c r="UY14" s="11" t="str">
        <f t="shared" si="235"/>
        <v/>
      </c>
      <c r="UZ14" s="11" t="str">
        <f t="shared" si="236"/>
        <v/>
      </c>
      <c r="VA14" s="11" t="str">
        <f t="shared" si="237"/>
        <v/>
      </c>
      <c r="VB14" s="11" t="str">
        <f t="shared" si="238"/>
        <v/>
      </c>
      <c r="VC14" s="15"/>
      <c r="VD14" s="15"/>
      <c r="VE14" s="15"/>
      <c r="VF14" s="15"/>
      <c r="VG14" s="15"/>
      <c r="VH14" s="15"/>
      <c r="VI14" s="15"/>
      <c r="VJ14" s="15"/>
      <c r="VK14" s="15"/>
      <c r="VL14" s="15"/>
      <c r="VM14" s="15"/>
      <c r="VN14" s="15"/>
      <c r="VO14" s="15"/>
      <c r="VP14" s="15"/>
      <c r="VQ14" s="15"/>
      <c r="VR14" s="15"/>
      <c r="VS14" s="15"/>
      <c r="VT14" s="15"/>
      <c r="VU14" s="15"/>
      <c r="VV14" s="15"/>
      <c r="VW14" s="36" t="str">
        <f t="shared" si="239"/>
        <v/>
      </c>
      <c r="VX14" s="36" t="str">
        <f t="shared" si="240"/>
        <v/>
      </c>
      <c r="VY14" s="36" t="str">
        <f t="shared" si="241"/>
        <v/>
      </c>
      <c r="VZ14" s="36" t="str">
        <f t="shared" si="242"/>
        <v/>
      </c>
      <c r="WA14" s="36" t="str">
        <f t="shared" si="243"/>
        <v/>
      </c>
      <c r="WB14" s="36" t="str">
        <f t="shared" si="244"/>
        <v/>
      </c>
      <c r="WC14" s="36" t="str">
        <f t="shared" si="245"/>
        <v/>
      </c>
      <c r="WD14" s="36" t="str">
        <f t="shared" si="246"/>
        <v/>
      </c>
      <c r="WE14" s="36" t="str">
        <f t="shared" si="247"/>
        <v/>
      </c>
      <c r="WF14" s="36" t="str">
        <f t="shared" si="248"/>
        <v/>
      </c>
      <c r="WG14" s="36" t="str">
        <f t="shared" si="249"/>
        <v/>
      </c>
      <c r="WH14" s="36" t="str">
        <f t="shared" si="250"/>
        <v/>
      </c>
      <c r="WI14" s="36" t="str">
        <f t="shared" si="251"/>
        <v/>
      </c>
      <c r="WJ14" s="36" t="str">
        <f t="shared" si="252"/>
        <v/>
      </c>
    </row>
    <row r="15" spans="1:608" x14ac:dyDescent="0.2">
      <c r="A15" s="4" t="str" cm="1">
        <f t="array" ref="A15">IF(AND(H15&lt;&gt;"",H15&lt;&gt;"No DD",I15&lt;&gt;"P"),SUMPRODUCT((H$4:H$28&lt;&gt;"")*(H$4:H$28&lt;&gt;"No DD")*(I$4:I$28&lt;&gt;"P")*(E$4:E$28&gt;E15))+1,IF(H15="No DD",SUMPRODUCT((H$4:H$28="No DD")*(I$4:I$28&lt;&gt;"P")*(E$4:E$28&gt;E15))+1+SUMPRODUCT((H$4:H$28&lt;&gt;"")*(I$4:I$28&lt;&gt;"P")*(H$4:H$28&lt;&gt;"No DD")),""))</f>
        <v/>
      </c>
      <c r="B15" s="5" t="s">
        <v>195</v>
      </c>
      <c r="C15" s="4" t="s">
        <v>6</v>
      </c>
      <c r="D15" s="4">
        <v>2006</v>
      </c>
      <c r="E15" s="9">
        <f t="shared" si="0"/>
        <v>102.61001026100513</v>
      </c>
      <c r="F15" s="3" t="str">
        <f t="shared" si="1"/>
        <v/>
      </c>
      <c r="G15" s="3" t="str">
        <f t="shared" si="2"/>
        <v/>
      </c>
      <c r="H15" s="32" t="str">
        <f t="shared" si="3"/>
        <v/>
      </c>
      <c r="I15" s="3" t="str">
        <f>IF(COUNTIFS('Senior-M'!B:B,B15,'Senior-M'!A:A,"&lt;9",'Senior-M'!H:H,"&lt;&gt;"&amp;"No DD"),"P","")</f>
        <v/>
      </c>
      <c r="J15" s="8">
        <f t="shared" si="4"/>
        <v>51.33</v>
      </c>
      <c r="K15" s="8" t="str">
        <f t="shared" si="5"/>
        <v>2025 Elite Canada</v>
      </c>
      <c r="L15" s="8">
        <f>IFERROR(LARGE((AI15,AL15,AP15,BJ15,BM15,BQ15,CK15,CN15,CR15),2),0)</f>
        <v>51.28</v>
      </c>
      <c r="M15" s="8" t="str">
        <f t="shared" si="6"/>
        <v>2025 Elite Canada</v>
      </c>
      <c r="N15" s="8">
        <f t="shared" si="7"/>
        <v>0</v>
      </c>
      <c r="O15" s="11" t="str">
        <f>IF(N15=0,"",IF(N15=CT15,"("&amp;CT$2&amp;")",IF(N15=#REF!,"("&amp;#REF!&amp;")")))</f>
        <v/>
      </c>
      <c r="P15" s="8" t="str">
        <f t="shared" si="8"/>
        <v/>
      </c>
      <c r="Q15" s="18">
        <v>11.9</v>
      </c>
      <c r="R15" s="18">
        <v>9</v>
      </c>
      <c r="S15" s="18">
        <v>12.6</v>
      </c>
      <c r="T15" s="18">
        <v>13.67</v>
      </c>
      <c r="U15" s="18">
        <v>0</v>
      </c>
      <c r="V15" s="18">
        <v>13.8</v>
      </c>
      <c r="W15" s="18">
        <v>9.5</v>
      </c>
      <c r="X15" s="18">
        <v>13.8</v>
      </c>
      <c r="Y15" s="18">
        <v>14.23</v>
      </c>
      <c r="Z15" s="18">
        <v>0</v>
      </c>
      <c r="AA15" s="18">
        <v>13.5</v>
      </c>
      <c r="AB15" s="18">
        <v>9.5</v>
      </c>
      <c r="AC15" s="18">
        <v>13.8</v>
      </c>
      <c r="AD15" s="18">
        <v>14.48</v>
      </c>
      <c r="AE15" s="18">
        <v>0</v>
      </c>
      <c r="AF15" s="23"/>
      <c r="AG15" s="34">
        <f t="shared" si="9"/>
        <v>12.6</v>
      </c>
      <c r="AH15" s="34">
        <f t="shared" si="10"/>
        <v>13.67</v>
      </c>
      <c r="AI15" s="36">
        <f t="shared" si="11"/>
        <v>47.17</v>
      </c>
      <c r="AJ15" s="36">
        <f t="shared" si="12"/>
        <v>13.8</v>
      </c>
      <c r="AK15" s="36">
        <f t="shared" si="13"/>
        <v>14.23</v>
      </c>
      <c r="AL15" s="36">
        <f t="shared" si="14"/>
        <v>51.33</v>
      </c>
      <c r="AM15" s="36">
        <f t="shared" si="15"/>
        <v>51.33</v>
      </c>
      <c r="AN15" s="36">
        <f t="shared" si="16"/>
        <v>13.8</v>
      </c>
      <c r="AO15" s="36">
        <f t="shared" si="17"/>
        <v>14.48</v>
      </c>
      <c r="AP15" s="36">
        <f t="shared" si="18"/>
        <v>51.28</v>
      </c>
      <c r="AQ15" s="36">
        <f t="shared" si="19"/>
        <v>102.61</v>
      </c>
      <c r="AR15" s="22">
        <v>2.6</v>
      </c>
      <c r="AS15" s="22">
        <v>1.8</v>
      </c>
      <c r="AT15" s="22">
        <v>3.5</v>
      </c>
      <c r="AU15" s="22">
        <v>3.06</v>
      </c>
      <c r="AV15" s="22">
        <v>0.2</v>
      </c>
      <c r="AW15" s="22">
        <v>12.4</v>
      </c>
      <c r="AX15" s="22">
        <v>9.1999999999999993</v>
      </c>
      <c r="AY15" s="22">
        <v>14.5</v>
      </c>
      <c r="AZ15" s="22">
        <v>14.39</v>
      </c>
      <c r="BA15" s="22">
        <v>0</v>
      </c>
      <c r="BB15" s="22">
        <v>1.4</v>
      </c>
      <c r="BC15" s="22">
        <v>1</v>
      </c>
      <c r="BD15" s="22">
        <v>2</v>
      </c>
      <c r="BE15" s="22">
        <v>1.59</v>
      </c>
      <c r="BF15" s="22">
        <v>0</v>
      </c>
      <c r="BG15" s="24"/>
      <c r="BH15" s="35">
        <f t="shared" si="20"/>
        <v>3.5</v>
      </c>
      <c r="BI15" s="35">
        <f t="shared" si="21"/>
        <v>3.06</v>
      </c>
      <c r="BJ15" s="11">
        <f t="shared" si="22"/>
        <v>10.760000000000002</v>
      </c>
      <c r="BK15" s="11">
        <f t="shared" si="23"/>
        <v>14.5</v>
      </c>
      <c r="BL15" s="11">
        <f t="shared" si="24"/>
        <v>14.39</v>
      </c>
      <c r="BM15" s="11">
        <f t="shared" si="25"/>
        <v>50.49</v>
      </c>
      <c r="BN15" s="11">
        <f t="shared" si="26"/>
        <v>50.49</v>
      </c>
      <c r="BO15" s="11">
        <f t="shared" si="27"/>
        <v>2</v>
      </c>
      <c r="BP15" s="11">
        <f t="shared" si="28"/>
        <v>1.59</v>
      </c>
      <c r="BQ15" s="11">
        <f t="shared" si="29"/>
        <v>5.99</v>
      </c>
      <c r="BR15" s="11">
        <f t="shared" si="30"/>
        <v>56.480000000000004</v>
      </c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  <c r="CF15" s="18"/>
      <c r="CG15" s="18"/>
      <c r="CH15" s="23"/>
      <c r="CI15" s="34" t="str">
        <f t="shared" si="31"/>
        <v/>
      </c>
      <c r="CJ15" s="34" t="str">
        <f t="shared" si="32"/>
        <v/>
      </c>
      <c r="CK15" s="36" t="str">
        <f t="shared" si="33"/>
        <v/>
      </c>
      <c r="CL15" s="36" t="str">
        <f t="shared" si="34"/>
        <v/>
      </c>
      <c r="CM15" s="36" t="str">
        <f t="shared" si="35"/>
        <v/>
      </c>
      <c r="CN15" s="36" t="str">
        <f t="shared" si="36"/>
        <v/>
      </c>
      <c r="CO15" s="36" t="str">
        <f t="shared" si="37"/>
        <v/>
      </c>
      <c r="CP15" s="36" t="str">
        <f t="shared" si="38"/>
        <v/>
      </c>
      <c r="CQ15" s="36" t="str">
        <f t="shared" si="39"/>
        <v/>
      </c>
      <c r="CR15" s="36" t="str">
        <f t="shared" si="40"/>
        <v/>
      </c>
      <c r="CS15" s="36" t="str">
        <f t="shared" si="41"/>
        <v/>
      </c>
      <c r="CT15" s="47" t="str">
        <f t="shared" si="42"/>
        <v/>
      </c>
      <c r="CU15" s="15"/>
      <c r="CV15" s="15"/>
      <c r="CW15" s="15"/>
      <c r="CX15" s="15"/>
      <c r="CY15" s="15"/>
      <c r="CZ15" s="15"/>
      <c r="DA15" s="15"/>
      <c r="DB15" s="15"/>
      <c r="DC15" s="15"/>
      <c r="DD15" s="15"/>
      <c r="DE15" s="15"/>
      <c r="DF15" s="15"/>
      <c r="DG15" s="15"/>
      <c r="DH15" s="15"/>
      <c r="DI15" s="15"/>
      <c r="DJ15" s="15"/>
      <c r="DK15" s="15"/>
      <c r="DL15" s="15"/>
      <c r="DM15" s="15"/>
      <c r="DN15" s="15"/>
      <c r="DO15" s="36" t="str">
        <f t="shared" si="43"/>
        <v/>
      </c>
      <c r="DP15" s="36" t="str">
        <f t="shared" si="44"/>
        <v/>
      </c>
      <c r="DQ15" s="36" t="str">
        <f t="shared" si="45"/>
        <v/>
      </c>
      <c r="DR15" s="36" t="str">
        <f t="shared" si="46"/>
        <v/>
      </c>
      <c r="DS15" s="36" t="str">
        <f t="shared" si="47"/>
        <v/>
      </c>
      <c r="DT15" s="36" t="str">
        <f t="shared" si="48"/>
        <v/>
      </c>
      <c r="DU15" s="36" t="str">
        <f t="shared" si="49"/>
        <v/>
      </c>
      <c r="DV15" s="36" t="str">
        <f t="shared" si="50"/>
        <v/>
      </c>
      <c r="DW15" s="36" t="str">
        <f t="shared" si="51"/>
        <v/>
      </c>
      <c r="DX15" s="36" t="str">
        <f t="shared" si="52"/>
        <v/>
      </c>
      <c r="DY15" s="36" t="str">
        <f t="shared" si="53"/>
        <v/>
      </c>
      <c r="DZ15" s="36" t="str">
        <f t="shared" si="54"/>
        <v/>
      </c>
      <c r="EA15" s="36" t="str">
        <f t="shared" si="55"/>
        <v/>
      </c>
      <c r="EB15" s="36" t="str">
        <f t="shared" si="56"/>
        <v/>
      </c>
      <c r="EC15" s="16"/>
      <c r="ED15" s="16"/>
      <c r="EE15" s="16"/>
      <c r="EF15" s="16"/>
      <c r="EG15" s="16"/>
      <c r="EH15" s="16"/>
      <c r="EI15" s="16"/>
      <c r="EJ15" s="16"/>
      <c r="EK15" s="16"/>
      <c r="EL15" s="16"/>
      <c r="EM15" s="16"/>
      <c r="EN15" s="16"/>
      <c r="EO15" s="16"/>
      <c r="EP15" s="16"/>
      <c r="EQ15" s="16"/>
      <c r="ER15" s="16"/>
      <c r="ES15" s="16"/>
      <c r="ET15" s="16"/>
      <c r="EU15" s="16"/>
      <c r="EV15" s="16"/>
      <c r="EW15" s="11" t="str">
        <f t="shared" si="57"/>
        <v/>
      </c>
      <c r="EX15" s="11" t="str">
        <f t="shared" si="58"/>
        <v/>
      </c>
      <c r="EY15" s="11" t="str">
        <f t="shared" si="59"/>
        <v/>
      </c>
      <c r="EZ15" s="11" t="str">
        <f t="shared" si="60"/>
        <v/>
      </c>
      <c r="FA15" s="11" t="str">
        <f t="shared" si="61"/>
        <v/>
      </c>
      <c r="FB15" s="11" t="str">
        <f t="shared" si="62"/>
        <v/>
      </c>
      <c r="FC15" s="11" t="str">
        <f t="shared" si="63"/>
        <v/>
      </c>
      <c r="FD15" s="11" t="str">
        <f t="shared" si="64"/>
        <v/>
      </c>
      <c r="FE15" s="11" t="str">
        <f t="shared" si="65"/>
        <v/>
      </c>
      <c r="FF15" s="11" t="str">
        <f t="shared" si="66"/>
        <v/>
      </c>
      <c r="FG15" s="11" t="str">
        <f t="shared" si="67"/>
        <v/>
      </c>
      <c r="FH15" s="11" t="str">
        <f t="shared" si="68"/>
        <v/>
      </c>
      <c r="FI15" s="11" t="str">
        <f t="shared" si="69"/>
        <v/>
      </c>
      <c r="FJ15" s="11" t="str">
        <f t="shared" si="70"/>
        <v/>
      </c>
      <c r="FK15" s="15"/>
      <c r="FL15" s="15"/>
      <c r="FM15" s="15"/>
      <c r="FN15" s="15"/>
      <c r="FO15" s="15"/>
      <c r="FP15" s="15"/>
      <c r="FQ15" s="15"/>
      <c r="FR15" s="15"/>
      <c r="FS15" s="15"/>
      <c r="FT15" s="15"/>
      <c r="FU15" s="15"/>
      <c r="FV15" s="15"/>
      <c r="FW15" s="15"/>
      <c r="FX15" s="15"/>
      <c r="FY15" s="15"/>
      <c r="FZ15" s="15"/>
      <c r="GA15" s="15"/>
      <c r="GB15" s="15"/>
      <c r="GC15" s="15"/>
      <c r="GD15" s="15"/>
      <c r="GE15" s="36" t="str">
        <f t="shared" si="71"/>
        <v/>
      </c>
      <c r="GF15" s="36" t="str">
        <f t="shared" si="72"/>
        <v/>
      </c>
      <c r="GG15" s="36" t="str">
        <f t="shared" si="73"/>
        <v/>
      </c>
      <c r="GH15" s="36" t="str">
        <f t="shared" si="74"/>
        <v/>
      </c>
      <c r="GI15" s="36" t="str">
        <f t="shared" si="75"/>
        <v/>
      </c>
      <c r="GJ15" s="36" t="str">
        <f t="shared" si="76"/>
        <v/>
      </c>
      <c r="GK15" s="36" t="str">
        <f t="shared" si="77"/>
        <v/>
      </c>
      <c r="GL15" s="36" t="str">
        <f t="shared" si="78"/>
        <v/>
      </c>
      <c r="GM15" s="36" t="str">
        <f t="shared" si="79"/>
        <v/>
      </c>
      <c r="GN15" s="36" t="str">
        <f t="shared" si="80"/>
        <v/>
      </c>
      <c r="GO15" s="36" t="str">
        <f t="shared" si="81"/>
        <v/>
      </c>
      <c r="GP15" s="36" t="str">
        <f t="shared" si="82"/>
        <v/>
      </c>
      <c r="GQ15" s="36" t="str">
        <f t="shared" si="83"/>
        <v/>
      </c>
      <c r="GR15" s="36" t="str">
        <f t="shared" si="84"/>
        <v/>
      </c>
      <c r="GS15" s="16"/>
      <c r="GT15" s="16"/>
      <c r="GU15" s="16"/>
      <c r="GV15" s="16"/>
      <c r="GW15" s="16"/>
      <c r="GX15" s="16"/>
      <c r="GY15" s="16"/>
      <c r="GZ15" s="16"/>
      <c r="HA15" s="16"/>
      <c r="HB15" s="16"/>
      <c r="HC15" s="16"/>
      <c r="HD15" s="16"/>
      <c r="HE15" s="16"/>
      <c r="HF15" s="16"/>
      <c r="HG15" s="16"/>
      <c r="HH15" s="16"/>
      <c r="HI15" s="16"/>
      <c r="HJ15" s="16"/>
      <c r="HK15" s="16"/>
      <c r="HL15" s="16"/>
      <c r="HM15" s="11" t="str">
        <f t="shared" si="85"/>
        <v/>
      </c>
      <c r="HN15" s="11" t="str">
        <f t="shared" si="86"/>
        <v/>
      </c>
      <c r="HO15" s="11" t="str">
        <f t="shared" si="87"/>
        <v/>
      </c>
      <c r="HP15" s="11" t="str">
        <f t="shared" si="88"/>
        <v/>
      </c>
      <c r="HQ15" s="11" t="str">
        <f t="shared" si="89"/>
        <v/>
      </c>
      <c r="HR15" s="11" t="str">
        <f t="shared" si="90"/>
        <v/>
      </c>
      <c r="HS15" s="11" t="str">
        <f t="shared" si="91"/>
        <v/>
      </c>
      <c r="HT15" s="11" t="str">
        <f t="shared" si="92"/>
        <v/>
      </c>
      <c r="HU15" s="11" t="str">
        <f t="shared" si="93"/>
        <v/>
      </c>
      <c r="HV15" s="11" t="str">
        <f t="shared" si="94"/>
        <v/>
      </c>
      <c r="HW15" s="11" t="str">
        <f t="shared" si="95"/>
        <v/>
      </c>
      <c r="HX15" s="11" t="str">
        <f t="shared" si="96"/>
        <v/>
      </c>
      <c r="HY15" s="11" t="str">
        <f t="shared" si="97"/>
        <v/>
      </c>
      <c r="HZ15" s="11" t="str">
        <f t="shared" si="98"/>
        <v/>
      </c>
      <c r="IA15" s="15"/>
      <c r="IB15" s="15"/>
      <c r="IC15" s="15"/>
      <c r="ID15" s="15"/>
      <c r="IE15" s="15"/>
      <c r="IF15" s="15"/>
      <c r="IG15" s="15"/>
      <c r="IH15" s="15"/>
      <c r="II15" s="15"/>
      <c r="IJ15" s="15"/>
      <c r="IK15" s="15"/>
      <c r="IL15" s="15"/>
      <c r="IM15" s="15"/>
      <c r="IN15" s="15"/>
      <c r="IO15" s="15"/>
      <c r="IP15" s="15"/>
      <c r="IQ15" s="15"/>
      <c r="IR15" s="15"/>
      <c r="IS15" s="15"/>
      <c r="IT15" s="15"/>
      <c r="IU15" s="36" t="str">
        <f t="shared" si="99"/>
        <v/>
      </c>
      <c r="IV15" s="36" t="str">
        <f t="shared" si="100"/>
        <v/>
      </c>
      <c r="IW15" s="36" t="str">
        <f t="shared" si="101"/>
        <v/>
      </c>
      <c r="IX15" s="36" t="str">
        <f t="shared" si="102"/>
        <v/>
      </c>
      <c r="IY15" s="36" t="str">
        <f t="shared" si="103"/>
        <v/>
      </c>
      <c r="IZ15" s="36" t="str">
        <f t="shared" si="104"/>
        <v/>
      </c>
      <c r="JA15" s="36" t="str">
        <f t="shared" si="105"/>
        <v/>
      </c>
      <c r="JB15" s="36" t="str">
        <f t="shared" si="106"/>
        <v/>
      </c>
      <c r="JC15" s="36" t="str">
        <f t="shared" si="107"/>
        <v/>
      </c>
      <c r="JD15" s="36" t="str">
        <f t="shared" si="108"/>
        <v/>
      </c>
      <c r="JE15" s="36" t="str">
        <f t="shared" si="109"/>
        <v/>
      </c>
      <c r="JF15" s="36" t="str">
        <f t="shared" si="110"/>
        <v/>
      </c>
      <c r="JG15" s="36" t="str">
        <f t="shared" si="111"/>
        <v/>
      </c>
      <c r="JH15" s="36" t="str">
        <f t="shared" si="112"/>
        <v/>
      </c>
      <c r="JI15" s="16"/>
      <c r="JJ15" s="16"/>
      <c r="JK15" s="16"/>
      <c r="JL15" s="16"/>
      <c r="JM15" s="16"/>
      <c r="JN15" s="16"/>
      <c r="JO15" s="16"/>
      <c r="JP15" s="16"/>
      <c r="JQ15" s="16"/>
      <c r="JR15" s="16"/>
      <c r="JS15" s="16"/>
      <c r="JT15" s="16"/>
      <c r="JU15" s="16"/>
      <c r="JV15" s="16"/>
      <c r="JW15" s="16"/>
      <c r="JX15" s="16"/>
      <c r="JY15" s="16"/>
      <c r="JZ15" s="16"/>
      <c r="KA15" s="16"/>
      <c r="KB15" s="16"/>
      <c r="KC15" s="11" t="str">
        <f t="shared" si="113"/>
        <v/>
      </c>
      <c r="KD15" s="11" t="str">
        <f t="shared" si="114"/>
        <v/>
      </c>
      <c r="KE15" s="11" t="str">
        <f t="shared" si="115"/>
        <v/>
      </c>
      <c r="KF15" s="11" t="str">
        <f t="shared" si="116"/>
        <v/>
      </c>
      <c r="KG15" s="11" t="str">
        <f t="shared" si="117"/>
        <v/>
      </c>
      <c r="KH15" s="11" t="str">
        <f t="shared" si="118"/>
        <v/>
      </c>
      <c r="KI15" s="11" t="str">
        <f t="shared" si="119"/>
        <v/>
      </c>
      <c r="KJ15" s="11" t="str">
        <f t="shared" si="120"/>
        <v/>
      </c>
      <c r="KK15" s="11" t="str">
        <f t="shared" si="121"/>
        <v/>
      </c>
      <c r="KL15" s="11" t="str">
        <f t="shared" si="122"/>
        <v/>
      </c>
      <c r="KM15" s="11" t="str">
        <f t="shared" si="123"/>
        <v/>
      </c>
      <c r="KN15" s="11" t="str">
        <f t="shared" si="124"/>
        <v/>
      </c>
      <c r="KO15" s="11" t="str">
        <f t="shared" si="125"/>
        <v/>
      </c>
      <c r="KP15" s="11" t="str">
        <f t="shared" si="126"/>
        <v/>
      </c>
      <c r="KQ15" s="15"/>
      <c r="KR15" s="15"/>
      <c r="KS15" s="15"/>
      <c r="KT15" s="15"/>
      <c r="KU15" s="15"/>
      <c r="KV15" s="15"/>
      <c r="KW15" s="15"/>
      <c r="KX15" s="15"/>
      <c r="KY15" s="15"/>
      <c r="KZ15" s="15"/>
      <c r="LA15" s="15"/>
      <c r="LB15" s="15"/>
      <c r="LC15" s="15"/>
      <c r="LD15" s="15"/>
      <c r="LE15" s="15"/>
      <c r="LF15" s="15"/>
      <c r="LG15" s="15"/>
      <c r="LH15" s="15"/>
      <c r="LI15" s="15"/>
      <c r="LJ15" s="15"/>
      <c r="LK15" s="36" t="str">
        <f t="shared" si="127"/>
        <v/>
      </c>
      <c r="LL15" s="36" t="str">
        <f t="shared" si="128"/>
        <v/>
      </c>
      <c r="LM15" s="36" t="str">
        <f t="shared" si="129"/>
        <v/>
      </c>
      <c r="LN15" s="36" t="str">
        <f t="shared" si="130"/>
        <v/>
      </c>
      <c r="LO15" s="36" t="str">
        <f t="shared" si="131"/>
        <v/>
      </c>
      <c r="LP15" s="36" t="str">
        <f t="shared" si="132"/>
        <v/>
      </c>
      <c r="LQ15" s="36" t="str">
        <f t="shared" si="133"/>
        <v/>
      </c>
      <c r="LR15" s="36" t="str">
        <f t="shared" si="134"/>
        <v/>
      </c>
      <c r="LS15" s="36" t="str">
        <f t="shared" si="135"/>
        <v/>
      </c>
      <c r="LT15" s="36" t="str">
        <f t="shared" si="136"/>
        <v/>
      </c>
      <c r="LU15" s="36" t="str">
        <f t="shared" si="137"/>
        <v/>
      </c>
      <c r="LV15" s="36" t="str">
        <f t="shared" si="138"/>
        <v/>
      </c>
      <c r="LW15" s="36" t="str">
        <f t="shared" si="139"/>
        <v/>
      </c>
      <c r="LX15" s="36" t="str">
        <f t="shared" si="140"/>
        <v/>
      </c>
      <c r="LY15" s="16"/>
      <c r="LZ15" s="16"/>
      <c r="MA15" s="16"/>
      <c r="MB15" s="16"/>
      <c r="MC15" s="16"/>
      <c r="MD15" s="16"/>
      <c r="ME15" s="16"/>
      <c r="MF15" s="16"/>
      <c r="MG15" s="16"/>
      <c r="MH15" s="16"/>
      <c r="MI15" s="16"/>
      <c r="MJ15" s="16"/>
      <c r="MK15" s="16"/>
      <c r="ML15" s="16"/>
      <c r="MM15" s="16"/>
      <c r="MN15" s="16"/>
      <c r="MO15" s="16"/>
      <c r="MP15" s="16"/>
      <c r="MQ15" s="16"/>
      <c r="MR15" s="16"/>
      <c r="MS15" s="11" t="str">
        <f t="shared" si="141"/>
        <v/>
      </c>
      <c r="MT15" s="11" t="str">
        <f t="shared" si="142"/>
        <v/>
      </c>
      <c r="MU15" s="11" t="str">
        <f t="shared" si="143"/>
        <v/>
      </c>
      <c r="MV15" s="11" t="str">
        <f t="shared" si="144"/>
        <v/>
      </c>
      <c r="MW15" s="11" t="str">
        <f t="shared" si="145"/>
        <v/>
      </c>
      <c r="MX15" s="11" t="str">
        <f t="shared" si="146"/>
        <v/>
      </c>
      <c r="MY15" s="11" t="str">
        <f t="shared" si="147"/>
        <v/>
      </c>
      <c r="MZ15" s="11" t="str">
        <f t="shared" si="148"/>
        <v/>
      </c>
      <c r="NA15" s="11" t="str">
        <f t="shared" si="149"/>
        <v/>
      </c>
      <c r="NB15" s="11" t="str">
        <f t="shared" si="150"/>
        <v/>
      </c>
      <c r="NC15" s="11" t="str">
        <f t="shared" si="151"/>
        <v/>
      </c>
      <c r="ND15" s="11" t="str">
        <f t="shared" si="152"/>
        <v/>
      </c>
      <c r="NE15" s="11" t="str">
        <f t="shared" si="153"/>
        <v/>
      </c>
      <c r="NF15" s="11" t="str">
        <f t="shared" si="154"/>
        <v/>
      </c>
      <c r="NG15" s="15"/>
      <c r="NH15" s="15"/>
      <c r="NI15" s="15"/>
      <c r="NJ15" s="15"/>
      <c r="NK15" s="15"/>
      <c r="NL15" s="15"/>
      <c r="NM15" s="15"/>
      <c r="NN15" s="15"/>
      <c r="NO15" s="15"/>
      <c r="NP15" s="15"/>
      <c r="NQ15" s="15"/>
      <c r="NR15" s="15"/>
      <c r="NS15" s="15"/>
      <c r="NT15" s="15"/>
      <c r="NU15" s="15"/>
      <c r="NV15" s="15"/>
      <c r="NW15" s="15"/>
      <c r="NX15" s="15"/>
      <c r="NY15" s="15"/>
      <c r="NZ15" s="15"/>
      <c r="OA15" s="36" t="str">
        <f t="shared" si="155"/>
        <v/>
      </c>
      <c r="OB15" s="36" t="str">
        <f t="shared" si="156"/>
        <v/>
      </c>
      <c r="OC15" s="36" t="str">
        <f t="shared" si="157"/>
        <v/>
      </c>
      <c r="OD15" s="36" t="str">
        <f t="shared" si="158"/>
        <v/>
      </c>
      <c r="OE15" s="36" t="str">
        <f t="shared" si="159"/>
        <v/>
      </c>
      <c r="OF15" s="36" t="str">
        <f t="shared" si="160"/>
        <v/>
      </c>
      <c r="OG15" s="36" t="str">
        <f t="shared" si="161"/>
        <v/>
      </c>
      <c r="OH15" s="36" t="str">
        <f t="shared" si="162"/>
        <v/>
      </c>
      <c r="OI15" s="36" t="str">
        <f t="shared" si="163"/>
        <v/>
      </c>
      <c r="OJ15" s="36" t="str">
        <f t="shared" si="164"/>
        <v/>
      </c>
      <c r="OK15" s="36" t="str">
        <f t="shared" si="165"/>
        <v/>
      </c>
      <c r="OL15" s="36" t="str">
        <f t="shared" si="166"/>
        <v/>
      </c>
      <c r="OM15" s="36" t="str">
        <f t="shared" si="167"/>
        <v/>
      </c>
      <c r="ON15" s="36" t="str">
        <f t="shared" si="168"/>
        <v/>
      </c>
      <c r="OO15" s="16"/>
      <c r="OP15" s="16"/>
      <c r="OQ15" s="16"/>
      <c r="OR15" s="16"/>
      <c r="OS15" s="16"/>
      <c r="OT15" s="16"/>
      <c r="OU15" s="16"/>
      <c r="OV15" s="16"/>
      <c r="OW15" s="16"/>
      <c r="OX15" s="16"/>
      <c r="OY15" s="16"/>
      <c r="OZ15" s="16"/>
      <c r="PA15" s="16"/>
      <c r="PB15" s="16"/>
      <c r="PC15" s="16"/>
      <c r="PD15" s="16"/>
      <c r="PE15" s="16"/>
      <c r="PF15" s="16"/>
      <c r="PG15" s="16"/>
      <c r="PH15" s="16"/>
      <c r="PI15" s="11" t="str">
        <f t="shared" si="169"/>
        <v/>
      </c>
      <c r="PJ15" s="11" t="str">
        <f t="shared" si="170"/>
        <v/>
      </c>
      <c r="PK15" s="11" t="str">
        <f t="shared" si="171"/>
        <v/>
      </c>
      <c r="PL15" s="11" t="str">
        <f t="shared" si="172"/>
        <v/>
      </c>
      <c r="PM15" s="11" t="str">
        <f t="shared" si="173"/>
        <v/>
      </c>
      <c r="PN15" s="11" t="str">
        <f t="shared" si="174"/>
        <v/>
      </c>
      <c r="PO15" s="11" t="str">
        <f t="shared" si="175"/>
        <v/>
      </c>
      <c r="PP15" s="11" t="str">
        <f t="shared" si="176"/>
        <v/>
      </c>
      <c r="PQ15" s="11" t="str">
        <f t="shared" si="177"/>
        <v/>
      </c>
      <c r="PR15" s="11" t="str">
        <f t="shared" si="178"/>
        <v/>
      </c>
      <c r="PS15" s="11" t="str">
        <f t="shared" si="179"/>
        <v/>
      </c>
      <c r="PT15" s="11" t="str">
        <f t="shared" si="180"/>
        <v/>
      </c>
      <c r="PU15" s="11" t="str">
        <f t="shared" si="181"/>
        <v/>
      </c>
      <c r="PV15" s="11" t="str">
        <f t="shared" si="182"/>
        <v/>
      </c>
      <c r="PW15" s="15"/>
      <c r="PX15" s="15"/>
      <c r="PY15" s="15"/>
      <c r="PZ15" s="15"/>
      <c r="QA15" s="15"/>
      <c r="QB15" s="15"/>
      <c r="QC15" s="15"/>
      <c r="QD15" s="15"/>
      <c r="QE15" s="15"/>
      <c r="QF15" s="15"/>
      <c r="QG15" s="15"/>
      <c r="QH15" s="15"/>
      <c r="QI15" s="15"/>
      <c r="QJ15" s="15"/>
      <c r="QK15" s="15"/>
      <c r="QL15" s="15"/>
      <c r="QM15" s="15"/>
      <c r="QN15" s="15"/>
      <c r="QO15" s="15"/>
      <c r="QP15" s="15"/>
      <c r="QQ15" s="36" t="str">
        <f t="shared" si="183"/>
        <v/>
      </c>
      <c r="QR15" s="36" t="str">
        <f t="shared" si="184"/>
        <v/>
      </c>
      <c r="QS15" s="36" t="str">
        <f t="shared" si="185"/>
        <v/>
      </c>
      <c r="QT15" s="36" t="str">
        <f t="shared" si="186"/>
        <v/>
      </c>
      <c r="QU15" s="36" t="str">
        <f t="shared" si="187"/>
        <v/>
      </c>
      <c r="QV15" s="36" t="str">
        <f t="shared" si="188"/>
        <v/>
      </c>
      <c r="QW15" s="36" t="str">
        <f t="shared" si="189"/>
        <v/>
      </c>
      <c r="QX15" s="36" t="str">
        <f t="shared" si="190"/>
        <v/>
      </c>
      <c r="QY15" s="36" t="str">
        <f t="shared" si="191"/>
        <v/>
      </c>
      <c r="QZ15" s="36" t="str">
        <f t="shared" si="192"/>
        <v/>
      </c>
      <c r="RA15" s="36" t="str">
        <f t="shared" si="193"/>
        <v/>
      </c>
      <c r="RB15" s="36" t="str">
        <f t="shared" si="194"/>
        <v/>
      </c>
      <c r="RC15" s="36" t="str">
        <f t="shared" si="195"/>
        <v/>
      </c>
      <c r="RD15" s="36" t="str">
        <f t="shared" si="196"/>
        <v/>
      </c>
      <c r="RE15" s="16"/>
      <c r="RF15" s="16"/>
      <c r="RG15" s="16"/>
      <c r="RH15" s="16"/>
      <c r="RI15" s="16"/>
      <c r="RJ15" s="16"/>
      <c r="RK15" s="16"/>
      <c r="RL15" s="16"/>
      <c r="RM15" s="16"/>
      <c r="RN15" s="16"/>
      <c r="RO15" s="16"/>
      <c r="RP15" s="16"/>
      <c r="RQ15" s="16"/>
      <c r="RR15" s="16"/>
      <c r="RS15" s="16"/>
      <c r="RT15" s="16"/>
      <c r="RU15" s="16"/>
      <c r="RV15" s="16"/>
      <c r="RW15" s="16"/>
      <c r="RX15" s="16"/>
      <c r="RY15" s="11" t="str">
        <f t="shared" si="197"/>
        <v/>
      </c>
      <c r="RZ15" s="11" t="str">
        <f t="shared" si="198"/>
        <v/>
      </c>
      <c r="SA15" s="11" t="str">
        <f t="shared" si="199"/>
        <v/>
      </c>
      <c r="SB15" s="11" t="str">
        <f t="shared" si="200"/>
        <v/>
      </c>
      <c r="SC15" s="11" t="str">
        <f t="shared" si="201"/>
        <v/>
      </c>
      <c r="SD15" s="11" t="str">
        <f t="shared" si="202"/>
        <v/>
      </c>
      <c r="SE15" s="11" t="str">
        <f t="shared" si="203"/>
        <v/>
      </c>
      <c r="SF15" s="11" t="str">
        <f t="shared" si="204"/>
        <v/>
      </c>
      <c r="SG15" s="11" t="str">
        <f t="shared" si="205"/>
        <v/>
      </c>
      <c r="SH15" s="11" t="str">
        <f t="shared" si="206"/>
        <v/>
      </c>
      <c r="SI15" s="11" t="str">
        <f t="shared" si="207"/>
        <v/>
      </c>
      <c r="SJ15" s="11" t="str">
        <f t="shared" si="208"/>
        <v/>
      </c>
      <c r="SK15" s="11" t="str">
        <f t="shared" si="209"/>
        <v/>
      </c>
      <c r="SL15" s="11" t="str">
        <f t="shared" si="210"/>
        <v/>
      </c>
      <c r="SM15" s="15"/>
      <c r="SN15" s="15"/>
      <c r="SO15" s="15"/>
      <c r="SP15" s="15"/>
      <c r="SQ15" s="15"/>
      <c r="SR15" s="15"/>
      <c r="SS15" s="15"/>
      <c r="ST15" s="15"/>
      <c r="SU15" s="15"/>
      <c r="SV15" s="15"/>
      <c r="SW15" s="15"/>
      <c r="SX15" s="15"/>
      <c r="SY15" s="15"/>
      <c r="SZ15" s="15"/>
      <c r="TA15" s="15"/>
      <c r="TB15" s="15"/>
      <c r="TC15" s="15"/>
      <c r="TD15" s="15"/>
      <c r="TE15" s="15"/>
      <c r="TF15" s="15"/>
      <c r="TG15" s="36" t="str">
        <f t="shared" si="211"/>
        <v/>
      </c>
      <c r="TH15" s="36" t="str">
        <f t="shared" si="212"/>
        <v/>
      </c>
      <c r="TI15" s="36" t="str">
        <f t="shared" si="213"/>
        <v/>
      </c>
      <c r="TJ15" s="36" t="str">
        <f t="shared" si="214"/>
        <v/>
      </c>
      <c r="TK15" s="36" t="str">
        <f t="shared" si="215"/>
        <v/>
      </c>
      <c r="TL15" s="36" t="str">
        <f t="shared" si="216"/>
        <v/>
      </c>
      <c r="TM15" s="36" t="str">
        <f t="shared" si="217"/>
        <v/>
      </c>
      <c r="TN15" s="36" t="str">
        <f t="shared" si="218"/>
        <v/>
      </c>
      <c r="TO15" s="36" t="str">
        <f t="shared" si="219"/>
        <v/>
      </c>
      <c r="TP15" s="36" t="str">
        <f t="shared" si="220"/>
        <v/>
      </c>
      <c r="TQ15" s="36" t="str">
        <f t="shared" si="221"/>
        <v/>
      </c>
      <c r="TR15" s="36" t="str">
        <f t="shared" si="222"/>
        <v/>
      </c>
      <c r="TS15" s="36" t="str">
        <f t="shared" si="223"/>
        <v/>
      </c>
      <c r="TT15" s="36" t="str">
        <f t="shared" si="224"/>
        <v/>
      </c>
      <c r="TU15" s="16"/>
      <c r="TV15" s="16"/>
      <c r="TW15" s="16"/>
      <c r="TX15" s="16"/>
      <c r="TY15" s="16"/>
      <c r="TZ15" s="16"/>
      <c r="UA15" s="16"/>
      <c r="UB15" s="16"/>
      <c r="UC15" s="16"/>
      <c r="UD15" s="16"/>
      <c r="UE15" s="16"/>
      <c r="UF15" s="16"/>
      <c r="UG15" s="16"/>
      <c r="UH15" s="16"/>
      <c r="UI15" s="16"/>
      <c r="UJ15" s="16"/>
      <c r="UK15" s="16"/>
      <c r="UL15" s="16"/>
      <c r="UM15" s="16"/>
      <c r="UN15" s="16"/>
      <c r="UO15" s="11" t="str">
        <f t="shared" si="225"/>
        <v/>
      </c>
      <c r="UP15" s="11" t="str">
        <f t="shared" si="226"/>
        <v/>
      </c>
      <c r="UQ15" s="11" t="str">
        <f t="shared" si="227"/>
        <v/>
      </c>
      <c r="UR15" s="11" t="str">
        <f t="shared" si="228"/>
        <v/>
      </c>
      <c r="US15" s="11" t="str">
        <f t="shared" si="229"/>
        <v/>
      </c>
      <c r="UT15" s="11" t="str">
        <f t="shared" si="230"/>
        <v/>
      </c>
      <c r="UU15" s="11" t="str">
        <f t="shared" si="231"/>
        <v/>
      </c>
      <c r="UV15" s="11" t="str">
        <f t="shared" si="232"/>
        <v/>
      </c>
      <c r="UW15" s="11" t="str">
        <f t="shared" si="233"/>
        <v/>
      </c>
      <c r="UX15" s="11" t="str">
        <f t="shared" si="234"/>
        <v/>
      </c>
      <c r="UY15" s="11" t="str">
        <f t="shared" si="235"/>
        <v/>
      </c>
      <c r="UZ15" s="11" t="str">
        <f t="shared" si="236"/>
        <v/>
      </c>
      <c r="VA15" s="11" t="str">
        <f t="shared" si="237"/>
        <v/>
      </c>
      <c r="VB15" s="11" t="str">
        <f t="shared" si="238"/>
        <v/>
      </c>
      <c r="VC15" s="15"/>
      <c r="VD15" s="15"/>
      <c r="VE15" s="15"/>
      <c r="VF15" s="15"/>
      <c r="VG15" s="15"/>
      <c r="VH15" s="15"/>
      <c r="VI15" s="15"/>
      <c r="VJ15" s="15"/>
      <c r="VK15" s="15"/>
      <c r="VL15" s="15"/>
      <c r="VM15" s="15"/>
      <c r="VN15" s="15"/>
      <c r="VO15" s="15"/>
      <c r="VP15" s="15"/>
      <c r="VQ15" s="15"/>
      <c r="VR15" s="15"/>
      <c r="VS15" s="15"/>
      <c r="VT15" s="15"/>
      <c r="VU15" s="15"/>
      <c r="VV15" s="15"/>
      <c r="VW15" s="36" t="str">
        <f t="shared" si="239"/>
        <v/>
      </c>
      <c r="VX15" s="36" t="str">
        <f t="shared" si="240"/>
        <v/>
      </c>
      <c r="VY15" s="36" t="str">
        <f t="shared" si="241"/>
        <v/>
      </c>
      <c r="VZ15" s="36" t="str">
        <f t="shared" si="242"/>
        <v/>
      </c>
      <c r="WA15" s="36" t="str">
        <f t="shared" si="243"/>
        <v/>
      </c>
      <c r="WB15" s="36" t="str">
        <f t="shared" si="244"/>
        <v/>
      </c>
      <c r="WC15" s="36" t="str">
        <f t="shared" si="245"/>
        <v/>
      </c>
      <c r="WD15" s="36" t="str">
        <f t="shared" si="246"/>
        <v/>
      </c>
      <c r="WE15" s="36" t="str">
        <f t="shared" si="247"/>
        <v/>
      </c>
      <c r="WF15" s="36" t="str">
        <f t="shared" si="248"/>
        <v/>
      </c>
      <c r="WG15" s="36" t="str">
        <f t="shared" si="249"/>
        <v/>
      </c>
      <c r="WH15" s="36" t="str">
        <f t="shared" si="250"/>
        <v/>
      </c>
      <c r="WI15" s="36" t="str">
        <f t="shared" si="251"/>
        <v/>
      </c>
      <c r="WJ15" s="36" t="str">
        <f t="shared" si="252"/>
        <v/>
      </c>
    </row>
    <row r="16" spans="1:608" x14ac:dyDescent="0.2">
      <c r="A16" s="4" t="str" cm="1">
        <f t="array" ref="A16">IF(AND(H16&lt;&gt;"",H16&lt;&gt;"No DD",I16&lt;&gt;"P"),SUMPRODUCT((H$4:H$28&lt;&gt;"")*(H$4:H$28&lt;&gt;"No DD")*(I$4:I$28&lt;&gt;"P")*(E$4:E$28&gt;E16))+1,IF(H16="No DD",SUMPRODUCT((H$4:H$28="No DD")*(I$4:I$28&lt;&gt;"P")*(E$4:E$28&gt;E16))+1+SUMPRODUCT((H$4:H$28&lt;&gt;"")*(I$4:I$28&lt;&gt;"P")*(H$4:H$28&lt;&gt;"No DD")),""))</f>
        <v/>
      </c>
      <c r="B16" s="5" t="s">
        <v>196</v>
      </c>
      <c r="C16" s="4" t="s">
        <v>5</v>
      </c>
      <c r="D16" s="4">
        <v>2008</v>
      </c>
      <c r="E16" s="9">
        <f t="shared" si="0"/>
        <v>101.67001001200502</v>
      </c>
      <c r="F16" s="3" t="str">
        <f t="shared" si="1"/>
        <v/>
      </c>
      <c r="G16" s="3" t="str">
        <f t="shared" si="2"/>
        <v/>
      </c>
      <c r="H16" s="32" t="str">
        <f t="shared" si="3"/>
        <v/>
      </c>
      <c r="I16" s="3" t="str">
        <f>IF(COUNTIFS('Senior-M'!B:B,B16,'Senior-M'!A:A,"&lt;9",'Senior-M'!H:H,"&lt;&gt;"&amp;"No DD"),"P","")</f>
        <v/>
      </c>
      <c r="J16" s="8">
        <f t="shared" si="4"/>
        <v>50.15</v>
      </c>
      <c r="K16" s="8" t="str">
        <f t="shared" si="5"/>
        <v>2025 Nationals</v>
      </c>
      <c r="L16" s="8">
        <f>IFERROR(LARGE((AI16,AL16,AP16,BJ16,BM16,BQ16,CK16,CN16,CR16),2),0)</f>
        <v>49.97</v>
      </c>
      <c r="M16" s="8" t="str">
        <f t="shared" si="6"/>
        <v>2025 Elite Canada</v>
      </c>
      <c r="N16" s="8">
        <f t="shared" si="7"/>
        <v>1.5499999999999972</v>
      </c>
      <c r="O16" s="11" t="str">
        <f>IF(N16=0,"",IF(N16=CT16,"("&amp;CT$2&amp;")",IF(N16=#REF!,"("&amp;#REF!&amp;")")))</f>
        <v>(Any)</v>
      </c>
      <c r="P16" s="8" t="str">
        <f t="shared" si="8"/>
        <v>2025 Coimbra Gym Fest (July 6)</v>
      </c>
      <c r="Q16" s="18">
        <v>13.3</v>
      </c>
      <c r="R16" s="18">
        <v>9.1</v>
      </c>
      <c r="S16" s="18">
        <v>12.9</v>
      </c>
      <c r="T16" s="18">
        <v>14.67</v>
      </c>
      <c r="U16" s="18">
        <v>0</v>
      </c>
      <c r="V16" s="18">
        <v>5.8</v>
      </c>
      <c r="W16" s="18">
        <v>3.9</v>
      </c>
      <c r="X16" s="18">
        <v>5.2</v>
      </c>
      <c r="Y16" s="18">
        <v>6.03</v>
      </c>
      <c r="Z16" s="18">
        <v>0</v>
      </c>
      <c r="AA16" s="18">
        <v>1.3</v>
      </c>
      <c r="AB16" s="18">
        <v>1</v>
      </c>
      <c r="AC16" s="18">
        <v>2</v>
      </c>
      <c r="AD16" s="18">
        <v>1.63</v>
      </c>
      <c r="AE16" s="18">
        <v>0.2</v>
      </c>
      <c r="AF16" s="23"/>
      <c r="AG16" s="34">
        <f t="shared" si="9"/>
        <v>12.9</v>
      </c>
      <c r="AH16" s="34">
        <f t="shared" si="10"/>
        <v>14.67</v>
      </c>
      <c r="AI16" s="36">
        <f t="shared" si="11"/>
        <v>49.97</v>
      </c>
      <c r="AJ16" s="36">
        <f t="shared" si="12"/>
        <v>5.2</v>
      </c>
      <c r="AK16" s="36">
        <f t="shared" si="13"/>
        <v>6.03</v>
      </c>
      <c r="AL16" s="36">
        <f t="shared" si="14"/>
        <v>20.93</v>
      </c>
      <c r="AM16" s="36">
        <f t="shared" si="15"/>
        <v>49.97</v>
      </c>
      <c r="AN16" s="36">
        <f t="shared" si="16"/>
        <v>2</v>
      </c>
      <c r="AO16" s="36">
        <f t="shared" si="17"/>
        <v>1.63</v>
      </c>
      <c r="AP16" s="36">
        <f t="shared" si="18"/>
        <v>5.7299999999999995</v>
      </c>
      <c r="AQ16" s="36">
        <f t="shared" si="19"/>
        <v>55.699999999999996</v>
      </c>
      <c r="AR16" s="22">
        <v>11.1</v>
      </c>
      <c r="AS16" s="22">
        <v>9.6</v>
      </c>
      <c r="AT16" s="22">
        <v>11.7</v>
      </c>
      <c r="AU16" s="22">
        <v>13.88</v>
      </c>
      <c r="AV16" s="22">
        <v>0.6</v>
      </c>
      <c r="AW16" s="22">
        <v>11.9</v>
      </c>
      <c r="AX16" s="22">
        <v>8.8000000000000007</v>
      </c>
      <c r="AY16" s="22">
        <v>12.1</v>
      </c>
      <c r="AZ16" s="22">
        <v>14.61</v>
      </c>
      <c r="BA16" s="22">
        <v>0.4</v>
      </c>
      <c r="BB16" s="22">
        <v>12.4</v>
      </c>
      <c r="BC16" s="22">
        <v>9</v>
      </c>
      <c r="BD16" s="22">
        <v>14.5</v>
      </c>
      <c r="BE16" s="22">
        <v>14.25</v>
      </c>
      <c r="BF16" s="22">
        <v>0</v>
      </c>
      <c r="BG16" s="24"/>
      <c r="BH16" s="35">
        <f t="shared" si="20"/>
        <v>11.7</v>
      </c>
      <c r="BI16" s="35">
        <f t="shared" si="21"/>
        <v>13.88</v>
      </c>
      <c r="BJ16" s="11">
        <f t="shared" si="22"/>
        <v>45.68</v>
      </c>
      <c r="BK16" s="11">
        <f t="shared" si="23"/>
        <v>12.1</v>
      </c>
      <c r="BL16" s="11">
        <f t="shared" si="24"/>
        <v>14.61</v>
      </c>
      <c r="BM16" s="11">
        <f t="shared" si="25"/>
        <v>47.010000000000005</v>
      </c>
      <c r="BN16" s="11">
        <f t="shared" si="26"/>
        <v>47.010000000000005</v>
      </c>
      <c r="BO16" s="11">
        <f t="shared" si="27"/>
        <v>14.5</v>
      </c>
      <c r="BP16" s="11">
        <f t="shared" si="28"/>
        <v>14.25</v>
      </c>
      <c r="BQ16" s="11">
        <f t="shared" si="29"/>
        <v>50.15</v>
      </c>
      <c r="BR16" s="11">
        <f t="shared" si="30"/>
        <v>97.16</v>
      </c>
      <c r="BS16" s="18">
        <v>1.4</v>
      </c>
      <c r="BT16" s="18">
        <v>0.8</v>
      </c>
      <c r="BU16" s="18">
        <v>2</v>
      </c>
      <c r="BV16" s="18">
        <v>1.71</v>
      </c>
      <c r="BW16" s="18">
        <v>0</v>
      </c>
      <c r="BX16" s="18">
        <v>5.6</v>
      </c>
      <c r="BY16" s="18">
        <v>3.5</v>
      </c>
      <c r="BZ16" s="18">
        <v>6.1</v>
      </c>
      <c r="CA16" s="18">
        <v>6.45</v>
      </c>
      <c r="CB16" s="18">
        <v>0</v>
      </c>
      <c r="CC16" s="18">
        <v>1.6</v>
      </c>
      <c r="CD16" s="18">
        <v>0.7</v>
      </c>
      <c r="CE16" s="18">
        <v>2</v>
      </c>
      <c r="CF16" s="18">
        <v>1.74</v>
      </c>
      <c r="CG16" s="18">
        <v>0</v>
      </c>
      <c r="CH16" s="23"/>
      <c r="CI16" s="34">
        <f t="shared" si="31"/>
        <v>2</v>
      </c>
      <c r="CJ16" s="34">
        <f t="shared" si="32"/>
        <v>1.71</v>
      </c>
      <c r="CK16" s="36">
        <f t="shared" si="33"/>
        <v>5.91</v>
      </c>
      <c r="CL16" s="36">
        <f t="shared" si="34"/>
        <v>6.1</v>
      </c>
      <c r="CM16" s="36">
        <f t="shared" si="35"/>
        <v>6.45</v>
      </c>
      <c r="CN16" s="36">
        <f t="shared" si="36"/>
        <v>21.65</v>
      </c>
      <c r="CO16" s="36">
        <f t="shared" si="37"/>
        <v>21.65</v>
      </c>
      <c r="CP16" s="36">
        <f t="shared" si="38"/>
        <v>2</v>
      </c>
      <c r="CQ16" s="36">
        <f t="shared" si="39"/>
        <v>1.74</v>
      </c>
      <c r="CR16" s="36">
        <f t="shared" si="40"/>
        <v>6.04</v>
      </c>
      <c r="CS16" s="36">
        <f t="shared" si="41"/>
        <v>27.689999999999998</v>
      </c>
      <c r="CT16" s="47">
        <f t="shared" si="42"/>
        <v>1.5499999999999972</v>
      </c>
      <c r="CU16" s="15"/>
      <c r="CV16" s="15"/>
      <c r="CW16" s="15"/>
      <c r="CX16" s="15"/>
      <c r="CY16" s="15"/>
      <c r="CZ16" s="15"/>
      <c r="DA16" s="15"/>
      <c r="DB16" s="15"/>
      <c r="DC16" s="15"/>
      <c r="DD16" s="15"/>
      <c r="DE16" s="15"/>
      <c r="DF16" s="15"/>
      <c r="DG16" s="15"/>
      <c r="DH16" s="15"/>
      <c r="DI16" s="15"/>
      <c r="DJ16" s="15"/>
      <c r="DK16" s="15"/>
      <c r="DL16" s="15"/>
      <c r="DM16" s="15"/>
      <c r="DN16" s="15"/>
      <c r="DO16" s="36" t="str">
        <f t="shared" si="43"/>
        <v/>
      </c>
      <c r="DP16" s="36" t="str">
        <f t="shared" si="44"/>
        <v/>
      </c>
      <c r="DQ16" s="36" t="str">
        <f t="shared" si="45"/>
        <v/>
      </c>
      <c r="DR16" s="36" t="str">
        <f t="shared" si="46"/>
        <v/>
      </c>
      <c r="DS16" s="36" t="str">
        <f t="shared" si="47"/>
        <v/>
      </c>
      <c r="DT16" s="36" t="str">
        <f t="shared" si="48"/>
        <v/>
      </c>
      <c r="DU16" s="36" t="str">
        <f t="shared" si="49"/>
        <v/>
      </c>
      <c r="DV16" s="36" t="str">
        <f t="shared" si="50"/>
        <v/>
      </c>
      <c r="DW16" s="36" t="str">
        <f t="shared" si="51"/>
        <v/>
      </c>
      <c r="DX16" s="36" t="str">
        <f t="shared" si="52"/>
        <v/>
      </c>
      <c r="DY16" s="36" t="str">
        <f t="shared" si="53"/>
        <v/>
      </c>
      <c r="DZ16" s="36" t="str">
        <f t="shared" si="54"/>
        <v/>
      </c>
      <c r="EA16" s="36" t="str">
        <f t="shared" si="55"/>
        <v/>
      </c>
      <c r="EB16" s="36" t="str">
        <f t="shared" si="56"/>
        <v/>
      </c>
      <c r="EC16" s="16"/>
      <c r="ED16" s="16"/>
      <c r="EE16" s="16"/>
      <c r="EF16" s="16"/>
      <c r="EG16" s="16"/>
      <c r="EH16" s="16"/>
      <c r="EI16" s="16"/>
      <c r="EJ16" s="16"/>
      <c r="EK16" s="16"/>
      <c r="EL16" s="16"/>
      <c r="EM16" s="16"/>
      <c r="EN16" s="16"/>
      <c r="EO16" s="16"/>
      <c r="EP16" s="16"/>
      <c r="EQ16" s="16"/>
      <c r="ER16" s="16"/>
      <c r="ES16" s="16"/>
      <c r="ET16" s="16"/>
      <c r="EU16" s="16"/>
      <c r="EV16" s="16"/>
      <c r="EW16" s="11" t="str">
        <f t="shared" si="57"/>
        <v/>
      </c>
      <c r="EX16" s="11" t="str">
        <f t="shared" si="58"/>
        <v/>
      </c>
      <c r="EY16" s="11" t="str">
        <f t="shared" si="59"/>
        <v/>
      </c>
      <c r="EZ16" s="11" t="str">
        <f t="shared" si="60"/>
        <v/>
      </c>
      <c r="FA16" s="11" t="str">
        <f t="shared" si="61"/>
        <v/>
      </c>
      <c r="FB16" s="11" t="str">
        <f t="shared" si="62"/>
        <v/>
      </c>
      <c r="FC16" s="11" t="str">
        <f t="shared" si="63"/>
        <v/>
      </c>
      <c r="FD16" s="11" t="str">
        <f t="shared" si="64"/>
        <v/>
      </c>
      <c r="FE16" s="11" t="str">
        <f t="shared" si="65"/>
        <v/>
      </c>
      <c r="FF16" s="11" t="str">
        <f t="shared" si="66"/>
        <v/>
      </c>
      <c r="FG16" s="11" t="str">
        <f t="shared" si="67"/>
        <v/>
      </c>
      <c r="FH16" s="11" t="str">
        <f t="shared" si="68"/>
        <v/>
      </c>
      <c r="FI16" s="11" t="str">
        <f t="shared" si="69"/>
        <v/>
      </c>
      <c r="FJ16" s="11" t="str">
        <f t="shared" si="70"/>
        <v/>
      </c>
      <c r="FK16" s="15">
        <v>11.6</v>
      </c>
      <c r="FL16" s="15">
        <v>9.1999999999999993</v>
      </c>
      <c r="FM16" s="15">
        <v>14.5</v>
      </c>
      <c r="FN16" s="15">
        <v>14.97</v>
      </c>
      <c r="FO16" s="15">
        <v>0</v>
      </c>
      <c r="FP16" s="15">
        <v>12.5</v>
      </c>
      <c r="FQ16" s="15">
        <v>9.5</v>
      </c>
      <c r="FR16" s="15">
        <v>14.5</v>
      </c>
      <c r="FS16" s="15">
        <v>15.02</v>
      </c>
      <c r="FT16" s="15">
        <v>0</v>
      </c>
      <c r="FU16" s="15">
        <v>4.0999999999999996</v>
      </c>
      <c r="FV16" s="15">
        <v>2.8</v>
      </c>
      <c r="FW16" s="15">
        <v>5</v>
      </c>
      <c r="FX16" s="15">
        <v>4.92</v>
      </c>
      <c r="FY16" s="15">
        <v>0</v>
      </c>
      <c r="FZ16" s="15"/>
      <c r="GA16" s="15"/>
      <c r="GB16" s="15"/>
      <c r="GC16" s="15"/>
      <c r="GD16" s="15"/>
      <c r="GE16" s="36">
        <f t="shared" si="71"/>
        <v>14.5</v>
      </c>
      <c r="GF16" s="36">
        <f t="shared" si="72"/>
        <v>14.97</v>
      </c>
      <c r="GG16" s="36">
        <f t="shared" si="73"/>
        <v>50.269999999999996</v>
      </c>
      <c r="GH16" s="36">
        <f t="shared" si="74"/>
        <v>14.5</v>
      </c>
      <c r="GI16" s="36">
        <f t="shared" si="75"/>
        <v>15.02</v>
      </c>
      <c r="GJ16" s="36">
        <f t="shared" si="76"/>
        <v>51.519999999999996</v>
      </c>
      <c r="GK16" s="36">
        <f t="shared" si="77"/>
        <v>51.519999999999996</v>
      </c>
      <c r="GL16" s="36">
        <f t="shared" si="78"/>
        <v>5</v>
      </c>
      <c r="GM16" s="36">
        <f t="shared" si="79"/>
        <v>4.92</v>
      </c>
      <c r="GN16" s="36">
        <f t="shared" si="80"/>
        <v>16.82</v>
      </c>
      <c r="GO16" s="36" t="str">
        <f t="shared" si="81"/>
        <v/>
      </c>
      <c r="GP16" s="36" t="str">
        <f t="shared" si="82"/>
        <v/>
      </c>
      <c r="GQ16" s="36" t="str">
        <f t="shared" si="83"/>
        <v/>
      </c>
      <c r="GR16" s="36">
        <f t="shared" si="84"/>
        <v>68.34</v>
      </c>
      <c r="GS16" s="16"/>
      <c r="GT16" s="16"/>
      <c r="GU16" s="16"/>
      <c r="GV16" s="16"/>
      <c r="GW16" s="16"/>
      <c r="GX16" s="16"/>
      <c r="GY16" s="16"/>
      <c r="GZ16" s="16"/>
      <c r="HA16" s="16"/>
      <c r="HB16" s="16"/>
      <c r="HC16" s="16"/>
      <c r="HD16" s="16"/>
      <c r="HE16" s="16"/>
      <c r="HF16" s="16"/>
      <c r="HG16" s="16"/>
      <c r="HH16" s="16"/>
      <c r="HI16" s="16"/>
      <c r="HJ16" s="16"/>
      <c r="HK16" s="16"/>
      <c r="HL16" s="16"/>
      <c r="HM16" s="11" t="str">
        <f t="shared" si="85"/>
        <v/>
      </c>
      <c r="HN16" s="11" t="str">
        <f t="shared" si="86"/>
        <v/>
      </c>
      <c r="HO16" s="11" t="str">
        <f t="shared" si="87"/>
        <v/>
      </c>
      <c r="HP16" s="11" t="str">
        <f t="shared" si="88"/>
        <v/>
      </c>
      <c r="HQ16" s="11" t="str">
        <f t="shared" si="89"/>
        <v/>
      </c>
      <c r="HR16" s="11" t="str">
        <f t="shared" si="90"/>
        <v/>
      </c>
      <c r="HS16" s="11" t="str">
        <f t="shared" si="91"/>
        <v/>
      </c>
      <c r="HT16" s="11" t="str">
        <f t="shared" si="92"/>
        <v/>
      </c>
      <c r="HU16" s="11" t="str">
        <f t="shared" si="93"/>
        <v/>
      </c>
      <c r="HV16" s="11" t="str">
        <f t="shared" si="94"/>
        <v/>
      </c>
      <c r="HW16" s="11" t="str">
        <f t="shared" si="95"/>
        <v/>
      </c>
      <c r="HX16" s="11" t="str">
        <f t="shared" si="96"/>
        <v/>
      </c>
      <c r="HY16" s="11" t="str">
        <f t="shared" si="97"/>
        <v/>
      </c>
      <c r="HZ16" s="11" t="str">
        <f t="shared" si="98"/>
        <v/>
      </c>
      <c r="IA16" s="15"/>
      <c r="IB16" s="15"/>
      <c r="IC16" s="15"/>
      <c r="ID16" s="15"/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5"/>
      <c r="IQ16" s="15"/>
      <c r="IR16" s="15"/>
      <c r="IS16" s="15"/>
      <c r="IT16" s="15"/>
      <c r="IU16" s="36" t="str">
        <f t="shared" si="99"/>
        <v/>
      </c>
      <c r="IV16" s="36" t="str">
        <f t="shared" si="100"/>
        <v/>
      </c>
      <c r="IW16" s="36" t="str">
        <f t="shared" si="101"/>
        <v/>
      </c>
      <c r="IX16" s="36" t="str">
        <f t="shared" si="102"/>
        <v/>
      </c>
      <c r="IY16" s="36" t="str">
        <f t="shared" si="103"/>
        <v/>
      </c>
      <c r="IZ16" s="36" t="str">
        <f t="shared" si="104"/>
        <v/>
      </c>
      <c r="JA16" s="36" t="str">
        <f t="shared" si="105"/>
        <v/>
      </c>
      <c r="JB16" s="36" t="str">
        <f t="shared" si="106"/>
        <v/>
      </c>
      <c r="JC16" s="36" t="str">
        <f t="shared" si="107"/>
        <v/>
      </c>
      <c r="JD16" s="36" t="str">
        <f t="shared" si="108"/>
        <v/>
      </c>
      <c r="JE16" s="36" t="str">
        <f t="shared" si="109"/>
        <v/>
      </c>
      <c r="JF16" s="36" t="str">
        <f t="shared" si="110"/>
        <v/>
      </c>
      <c r="JG16" s="36" t="str">
        <f t="shared" si="111"/>
        <v/>
      </c>
      <c r="JH16" s="36" t="str">
        <f t="shared" si="112"/>
        <v/>
      </c>
      <c r="JI16" s="16"/>
      <c r="JJ16" s="16"/>
      <c r="JK16" s="16"/>
      <c r="JL16" s="16"/>
      <c r="JM16" s="16"/>
      <c r="JN16" s="16"/>
      <c r="JO16" s="16"/>
      <c r="JP16" s="16"/>
      <c r="JQ16" s="16"/>
      <c r="JR16" s="16"/>
      <c r="JS16" s="16"/>
      <c r="JT16" s="16"/>
      <c r="JU16" s="16"/>
      <c r="JV16" s="16"/>
      <c r="JW16" s="16"/>
      <c r="JX16" s="16"/>
      <c r="JY16" s="16"/>
      <c r="JZ16" s="16"/>
      <c r="KA16" s="16"/>
      <c r="KB16" s="16"/>
      <c r="KC16" s="11" t="str">
        <f t="shared" si="113"/>
        <v/>
      </c>
      <c r="KD16" s="11" t="str">
        <f t="shared" si="114"/>
        <v/>
      </c>
      <c r="KE16" s="11" t="str">
        <f t="shared" si="115"/>
        <v/>
      </c>
      <c r="KF16" s="11" t="str">
        <f t="shared" si="116"/>
        <v/>
      </c>
      <c r="KG16" s="11" t="str">
        <f t="shared" si="117"/>
        <v/>
      </c>
      <c r="KH16" s="11" t="str">
        <f t="shared" si="118"/>
        <v/>
      </c>
      <c r="KI16" s="11" t="str">
        <f t="shared" si="119"/>
        <v/>
      </c>
      <c r="KJ16" s="11" t="str">
        <f t="shared" si="120"/>
        <v/>
      </c>
      <c r="KK16" s="11" t="str">
        <f t="shared" si="121"/>
        <v/>
      </c>
      <c r="KL16" s="11" t="str">
        <f t="shared" si="122"/>
        <v/>
      </c>
      <c r="KM16" s="11" t="str">
        <f t="shared" si="123"/>
        <v/>
      </c>
      <c r="KN16" s="11" t="str">
        <f t="shared" si="124"/>
        <v/>
      </c>
      <c r="KO16" s="11" t="str">
        <f t="shared" si="125"/>
        <v/>
      </c>
      <c r="KP16" s="11" t="str">
        <f t="shared" si="126"/>
        <v/>
      </c>
      <c r="KQ16" s="15"/>
      <c r="KR16" s="15"/>
      <c r="KS16" s="15"/>
      <c r="KT16" s="15"/>
      <c r="KU16" s="15"/>
      <c r="KV16" s="15"/>
      <c r="KW16" s="15"/>
      <c r="KX16" s="15"/>
      <c r="KY16" s="15"/>
      <c r="KZ16" s="15"/>
      <c r="LA16" s="15"/>
      <c r="LB16" s="15"/>
      <c r="LC16" s="15"/>
      <c r="LD16" s="15"/>
      <c r="LE16" s="15"/>
      <c r="LF16" s="15"/>
      <c r="LG16" s="15"/>
      <c r="LH16" s="15"/>
      <c r="LI16" s="15"/>
      <c r="LJ16" s="15"/>
      <c r="LK16" s="36" t="str">
        <f t="shared" si="127"/>
        <v/>
      </c>
      <c r="LL16" s="36" t="str">
        <f t="shared" si="128"/>
        <v/>
      </c>
      <c r="LM16" s="36" t="str">
        <f t="shared" si="129"/>
        <v/>
      </c>
      <c r="LN16" s="36" t="str">
        <f t="shared" si="130"/>
        <v/>
      </c>
      <c r="LO16" s="36" t="str">
        <f t="shared" si="131"/>
        <v/>
      </c>
      <c r="LP16" s="36" t="str">
        <f t="shared" si="132"/>
        <v/>
      </c>
      <c r="LQ16" s="36" t="str">
        <f t="shared" si="133"/>
        <v/>
      </c>
      <c r="LR16" s="36" t="str">
        <f t="shared" si="134"/>
        <v/>
      </c>
      <c r="LS16" s="36" t="str">
        <f t="shared" si="135"/>
        <v/>
      </c>
      <c r="LT16" s="36" t="str">
        <f t="shared" si="136"/>
        <v/>
      </c>
      <c r="LU16" s="36" t="str">
        <f t="shared" si="137"/>
        <v/>
      </c>
      <c r="LV16" s="36" t="str">
        <f t="shared" si="138"/>
        <v/>
      </c>
      <c r="LW16" s="36" t="str">
        <f t="shared" si="139"/>
        <v/>
      </c>
      <c r="LX16" s="36" t="str">
        <f t="shared" si="140"/>
        <v/>
      </c>
      <c r="LY16" s="16"/>
      <c r="LZ16" s="16"/>
      <c r="MA16" s="16"/>
      <c r="MB16" s="16"/>
      <c r="MC16" s="16"/>
      <c r="MD16" s="16"/>
      <c r="ME16" s="16"/>
      <c r="MF16" s="16"/>
      <c r="MG16" s="16"/>
      <c r="MH16" s="16"/>
      <c r="MI16" s="16"/>
      <c r="MJ16" s="16"/>
      <c r="MK16" s="16"/>
      <c r="ML16" s="16"/>
      <c r="MM16" s="16"/>
      <c r="MN16" s="16"/>
      <c r="MO16" s="16"/>
      <c r="MP16" s="16"/>
      <c r="MQ16" s="16"/>
      <c r="MR16" s="16"/>
      <c r="MS16" s="11" t="str">
        <f t="shared" si="141"/>
        <v/>
      </c>
      <c r="MT16" s="11" t="str">
        <f t="shared" si="142"/>
        <v/>
      </c>
      <c r="MU16" s="11" t="str">
        <f t="shared" si="143"/>
        <v/>
      </c>
      <c r="MV16" s="11" t="str">
        <f t="shared" si="144"/>
        <v/>
      </c>
      <c r="MW16" s="11" t="str">
        <f t="shared" si="145"/>
        <v/>
      </c>
      <c r="MX16" s="11" t="str">
        <f t="shared" si="146"/>
        <v/>
      </c>
      <c r="MY16" s="11" t="str">
        <f t="shared" si="147"/>
        <v/>
      </c>
      <c r="MZ16" s="11" t="str">
        <f t="shared" si="148"/>
        <v/>
      </c>
      <c r="NA16" s="11" t="str">
        <f t="shared" si="149"/>
        <v/>
      </c>
      <c r="NB16" s="11" t="str">
        <f t="shared" si="150"/>
        <v/>
      </c>
      <c r="NC16" s="11" t="str">
        <f t="shared" si="151"/>
        <v/>
      </c>
      <c r="ND16" s="11" t="str">
        <f t="shared" si="152"/>
        <v/>
      </c>
      <c r="NE16" s="11" t="str">
        <f t="shared" si="153"/>
        <v/>
      </c>
      <c r="NF16" s="11" t="str">
        <f t="shared" si="154"/>
        <v/>
      </c>
      <c r="NG16" s="15"/>
      <c r="NH16" s="15"/>
      <c r="NI16" s="15"/>
      <c r="NJ16" s="15"/>
      <c r="NK16" s="15"/>
      <c r="NL16" s="15"/>
      <c r="NM16" s="15"/>
      <c r="NN16" s="15"/>
      <c r="NO16" s="15"/>
      <c r="NP16" s="15"/>
      <c r="NQ16" s="15"/>
      <c r="NR16" s="15"/>
      <c r="NS16" s="15"/>
      <c r="NT16" s="15"/>
      <c r="NU16" s="15"/>
      <c r="NV16" s="15"/>
      <c r="NW16" s="15"/>
      <c r="NX16" s="15"/>
      <c r="NY16" s="15"/>
      <c r="NZ16" s="15"/>
      <c r="OA16" s="36" t="str">
        <f t="shared" si="155"/>
        <v/>
      </c>
      <c r="OB16" s="36" t="str">
        <f t="shared" si="156"/>
        <v/>
      </c>
      <c r="OC16" s="36" t="str">
        <f t="shared" si="157"/>
        <v/>
      </c>
      <c r="OD16" s="36" t="str">
        <f t="shared" si="158"/>
        <v/>
      </c>
      <c r="OE16" s="36" t="str">
        <f t="shared" si="159"/>
        <v/>
      </c>
      <c r="OF16" s="36" t="str">
        <f t="shared" si="160"/>
        <v/>
      </c>
      <c r="OG16" s="36" t="str">
        <f t="shared" si="161"/>
        <v/>
      </c>
      <c r="OH16" s="36" t="str">
        <f t="shared" si="162"/>
        <v/>
      </c>
      <c r="OI16" s="36" t="str">
        <f t="shared" si="163"/>
        <v/>
      </c>
      <c r="OJ16" s="36" t="str">
        <f t="shared" si="164"/>
        <v/>
      </c>
      <c r="OK16" s="36" t="str">
        <f t="shared" si="165"/>
        <v/>
      </c>
      <c r="OL16" s="36" t="str">
        <f t="shared" si="166"/>
        <v/>
      </c>
      <c r="OM16" s="36" t="str">
        <f t="shared" si="167"/>
        <v/>
      </c>
      <c r="ON16" s="36" t="str">
        <f t="shared" si="168"/>
        <v/>
      </c>
      <c r="OO16" s="16"/>
      <c r="OP16" s="16"/>
      <c r="OQ16" s="16"/>
      <c r="OR16" s="16"/>
      <c r="OS16" s="16"/>
      <c r="OT16" s="16"/>
      <c r="OU16" s="16"/>
      <c r="OV16" s="16"/>
      <c r="OW16" s="16"/>
      <c r="OX16" s="16"/>
      <c r="OY16" s="16"/>
      <c r="OZ16" s="16"/>
      <c r="PA16" s="16"/>
      <c r="PB16" s="16"/>
      <c r="PC16" s="16"/>
      <c r="PD16" s="16"/>
      <c r="PE16" s="16"/>
      <c r="PF16" s="16"/>
      <c r="PG16" s="16"/>
      <c r="PH16" s="16"/>
      <c r="PI16" s="11" t="str">
        <f t="shared" si="169"/>
        <v/>
      </c>
      <c r="PJ16" s="11" t="str">
        <f t="shared" si="170"/>
        <v/>
      </c>
      <c r="PK16" s="11" t="str">
        <f t="shared" si="171"/>
        <v/>
      </c>
      <c r="PL16" s="11" t="str">
        <f t="shared" si="172"/>
        <v/>
      </c>
      <c r="PM16" s="11" t="str">
        <f t="shared" si="173"/>
        <v/>
      </c>
      <c r="PN16" s="11" t="str">
        <f t="shared" si="174"/>
        <v/>
      </c>
      <c r="PO16" s="11" t="str">
        <f t="shared" si="175"/>
        <v/>
      </c>
      <c r="PP16" s="11" t="str">
        <f t="shared" si="176"/>
        <v/>
      </c>
      <c r="PQ16" s="11" t="str">
        <f t="shared" si="177"/>
        <v/>
      </c>
      <c r="PR16" s="11" t="str">
        <f t="shared" si="178"/>
        <v/>
      </c>
      <c r="PS16" s="11" t="str">
        <f t="shared" si="179"/>
        <v/>
      </c>
      <c r="PT16" s="11" t="str">
        <f t="shared" si="180"/>
        <v/>
      </c>
      <c r="PU16" s="11" t="str">
        <f t="shared" si="181"/>
        <v/>
      </c>
      <c r="PV16" s="11" t="str">
        <f t="shared" si="182"/>
        <v/>
      </c>
      <c r="PW16" s="15"/>
      <c r="PX16" s="15"/>
      <c r="PY16" s="15"/>
      <c r="PZ16" s="15"/>
      <c r="QA16" s="15"/>
      <c r="QB16" s="15"/>
      <c r="QC16" s="15"/>
      <c r="QD16" s="15"/>
      <c r="QE16" s="15"/>
      <c r="QF16" s="15"/>
      <c r="QG16" s="15"/>
      <c r="QH16" s="15"/>
      <c r="QI16" s="15"/>
      <c r="QJ16" s="15"/>
      <c r="QK16" s="15"/>
      <c r="QL16" s="15"/>
      <c r="QM16" s="15"/>
      <c r="QN16" s="15"/>
      <c r="QO16" s="15"/>
      <c r="QP16" s="15"/>
      <c r="QQ16" s="36" t="str">
        <f t="shared" si="183"/>
        <v/>
      </c>
      <c r="QR16" s="36" t="str">
        <f t="shared" si="184"/>
        <v/>
      </c>
      <c r="QS16" s="36" t="str">
        <f t="shared" si="185"/>
        <v/>
      </c>
      <c r="QT16" s="36" t="str">
        <f t="shared" si="186"/>
        <v/>
      </c>
      <c r="QU16" s="36" t="str">
        <f t="shared" si="187"/>
        <v/>
      </c>
      <c r="QV16" s="36" t="str">
        <f t="shared" si="188"/>
        <v/>
      </c>
      <c r="QW16" s="36" t="str">
        <f t="shared" si="189"/>
        <v/>
      </c>
      <c r="QX16" s="36" t="str">
        <f t="shared" si="190"/>
        <v/>
      </c>
      <c r="QY16" s="36" t="str">
        <f t="shared" si="191"/>
        <v/>
      </c>
      <c r="QZ16" s="36" t="str">
        <f t="shared" si="192"/>
        <v/>
      </c>
      <c r="RA16" s="36" t="str">
        <f t="shared" si="193"/>
        <v/>
      </c>
      <c r="RB16" s="36" t="str">
        <f t="shared" si="194"/>
        <v/>
      </c>
      <c r="RC16" s="36" t="str">
        <f t="shared" si="195"/>
        <v/>
      </c>
      <c r="RD16" s="36" t="str">
        <f t="shared" si="196"/>
        <v/>
      </c>
      <c r="RE16" s="16"/>
      <c r="RF16" s="16"/>
      <c r="RG16" s="16"/>
      <c r="RH16" s="16"/>
      <c r="RI16" s="16"/>
      <c r="RJ16" s="16"/>
      <c r="RK16" s="16"/>
      <c r="RL16" s="16"/>
      <c r="RM16" s="16"/>
      <c r="RN16" s="16"/>
      <c r="RO16" s="16"/>
      <c r="RP16" s="16"/>
      <c r="RQ16" s="16"/>
      <c r="RR16" s="16"/>
      <c r="RS16" s="16"/>
      <c r="RT16" s="16"/>
      <c r="RU16" s="16"/>
      <c r="RV16" s="16"/>
      <c r="RW16" s="16"/>
      <c r="RX16" s="16"/>
      <c r="RY16" s="11" t="str">
        <f t="shared" si="197"/>
        <v/>
      </c>
      <c r="RZ16" s="11" t="str">
        <f t="shared" si="198"/>
        <v/>
      </c>
      <c r="SA16" s="11" t="str">
        <f t="shared" si="199"/>
        <v/>
      </c>
      <c r="SB16" s="11" t="str">
        <f t="shared" si="200"/>
        <v/>
      </c>
      <c r="SC16" s="11" t="str">
        <f t="shared" si="201"/>
        <v/>
      </c>
      <c r="SD16" s="11" t="str">
        <f t="shared" si="202"/>
        <v/>
      </c>
      <c r="SE16" s="11" t="str">
        <f t="shared" si="203"/>
        <v/>
      </c>
      <c r="SF16" s="11" t="str">
        <f t="shared" si="204"/>
        <v/>
      </c>
      <c r="SG16" s="11" t="str">
        <f t="shared" si="205"/>
        <v/>
      </c>
      <c r="SH16" s="11" t="str">
        <f t="shared" si="206"/>
        <v/>
      </c>
      <c r="SI16" s="11" t="str">
        <f t="shared" si="207"/>
        <v/>
      </c>
      <c r="SJ16" s="11" t="str">
        <f t="shared" si="208"/>
        <v/>
      </c>
      <c r="SK16" s="11" t="str">
        <f t="shared" si="209"/>
        <v/>
      </c>
      <c r="SL16" s="11" t="str">
        <f t="shared" si="210"/>
        <v/>
      </c>
      <c r="SM16" s="15"/>
      <c r="SN16" s="15"/>
      <c r="SO16" s="15"/>
      <c r="SP16" s="15"/>
      <c r="SQ16" s="15"/>
      <c r="SR16" s="15"/>
      <c r="SS16" s="15"/>
      <c r="ST16" s="15"/>
      <c r="SU16" s="15"/>
      <c r="SV16" s="15"/>
      <c r="SW16" s="15"/>
      <c r="SX16" s="15"/>
      <c r="SY16" s="15"/>
      <c r="SZ16" s="15"/>
      <c r="TA16" s="15"/>
      <c r="TB16" s="15"/>
      <c r="TC16" s="15"/>
      <c r="TD16" s="15"/>
      <c r="TE16" s="15"/>
      <c r="TF16" s="15"/>
      <c r="TG16" s="36" t="str">
        <f t="shared" si="211"/>
        <v/>
      </c>
      <c r="TH16" s="36" t="str">
        <f t="shared" si="212"/>
        <v/>
      </c>
      <c r="TI16" s="36" t="str">
        <f t="shared" si="213"/>
        <v/>
      </c>
      <c r="TJ16" s="36" t="str">
        <f t="shared" si="214"/>
        <v/>
      </c>
      <c r="TK16" s="36" t="str">
        <f t="shared" si="215"/>
        <v/>
      </c>
      <c r="TL16" s="36" t="str">
        <f t="shared" si="216"/>
        <v/>
      </c>
      <c r="TM16" s="36" t="str">
        <f t="shared" si="217"/>
        <v/>
      </c>
      <c r="TN16" s="36" t="str">
        <f t="shared" si="218"/>
        <v/>
      </c>
      <c r="TO16" s="36" t="str">
        <f t="shared" si="219"/>
        <v/>
      </c>
      <c r="TP16" s="36" t="str">
        <f t="shared" si="220"/>
        <v/>
      </c>
      <c r="TQ16" s="36" t="str">
        <f t="shared" si="221"/>
        <v/>
      </c>
      <c r="TR16" s="36" t="str">
        <f t="shared" si="222"/>
        <v/>
      </c>
      <c r="TS16" s="36" t="str">
        <f t="shared" si="223"/>
        <v/>
      </c>
      <c r="TT16" s="36" t="str">
        <f t="shared" si="224"/>
        <v/>
      </c>
      <c r="TU16" s="16"/>
      <c r="TV16" s="16"/>
      <c r="TW16" s="16"/>
      <c r="TX16" s="16"/>
      <c r="TY16" s="16"/>
      <c r="TZ16" s="16"/>
      <c r="UA16" s="16"/>
      <c r="UB16" s="16"/>
      <c r="UC16" s="16"/>
      <c r="UD16" s="16"/>
      <c r="UE16" s="16"/>
      <c r="UF16" s="16"/>
      <c r="UG16" s="16"/>
      <c r="UH16" s="16"/>
      <c r="UI16" s="16"/>
      <c r="UJ16" s="16"/>
      <c r="UK16" s="16"/>
      <c r="UL16" s="16"/>
      <c r="UM16" s="16"/>
      <c r="UN16" s="16"/>
      <c r="UO16" s="11" t="str">
        <f t="shared" si="225"/>
        <v/>
      </c>
      <c r="UP16" s="11" t="str">
        <f t="shared" si="226"/>
        <v/>
      </c>
      <c r="UQ16" s="11" t="str">
        <f t="shared" si="227"/>
        <v/>
      </c>
      <c r="UR16" s="11" t="str">
        <f t="shared" si="228"/>
        <v/>
      </c>
      <c r="US16" s="11" t="str">
        <f t="shared" si="229"/>
        <v/>
      </c>
      <c r="UT16" s="11" t="str">
        <f t="shared" si="230"/>
        <v/>
      </c>
      <c r="UU16" s="11" t="str">
        <f t="shared" si="231"/>
        <v/>
      </c>
      <c r="UV16" s="11" t="str">
        <f t="shared" si="232"/>
        <v/>
      </c>
      <c r="UW16" s="11" t="str">
        <f t="shared" si="233"/>
        <v/>
      </c>
      <c r="UX16" s="11" t="str">
        <f t="shared" si="234"/>
        <v/>
      </c>
      <c r="UY16" s="11" t="str">
        <f t="shared" si="235"/>
        <v/>
      </c>
      <c r="UZ16" s="11" t="str">
        <f t="shared" si="236"/>
        <v/>
      </c>
      <c r="VA16" s="11" t="str">
        <f t="shared" si="237"/>
        <v/>
      </c>
      <c r="VB16" s="11" t="str">
        <f t="shared" si="238"/>
        <v/>
      </c>
      <c r="VC16" s="15"/>
      <c r="VD16" s="15"/>
      <c r="VE16" s="15"/>
      <c r="VF16" s="15"/>
      <c r="VG16" s="15"/>
      <c r="VH16" s="15"/>
      <c r="VI16" s="15"/>
      <c r="VJ16" s="15"/>
      <c r="VK16" s="15"/>
      <c r="VL16" s="15"/>
      <c r="VM16" s="15"/>
      <c r="VN16" s="15"/>
      <c r="VO16" s="15"/>
      <c r="VP16" s="15"/>
      <c r="VQ16" s="15"/>
      <c r="VR16" s="15"/>
      <c r="VS16" s="15"/>
      <c r="VT16" s="15"/>
      <c r="VU16" s="15"/>
      <c r="VV16" s="15"/>
      <c r="VW16" s="36" t="str">
        <f t="shared" si="239"/>
        <v/>
      </c>
      <c r="VX16" s="36" t="str">
        <f t="shared" si="240"/>
        <v/>
      </c>
      <c r="VY16" s="36" t="str">
        <f t="shared" si="241"/>
        <v/>
      </c>
      <c r="VZ16" s="36" t="str">
        <f t="shared" si="242"/>
        <v/>
      </c>
      <c r="WA16" s="36" t="str">
        <f t="shared" si="243"/>
        <v/>
      </c>
      <c r="WB16" s="36" t="str">
        <f t="shared" si="244"/>
        <v/>
      </c>
      <c r="WC16" s="36" t="str">
        <f t="shared" si="245"/>
        <v/>
      </c>
      <c r="WD16" s="36" t="str">
        <f t="shared" si="246"/>
        <v/>
      </c>
      <c r="WE16" s="36" t="str">
        <f t="shared" si="247"/>
        <v/>
      </c>
      <c r="WF16" s="36" t="str">
        <f t="shared" si="248"/>
        <v/>
      </c>
      <c r="WG16" s="36" t="str">
        <f t="shared" si="249"/>
        <v/>
      </c>
      <c r="WH16" s="36" t="str">
        <f t="shared" si="250"/>
        <v/>
      </c>
      <c r="WI16" s="36" t="str">
        <f t="shared" si="251"/>
        <v/>
      </c>
      <c r="WJ16" s="36" t="str">
        <f t="shared" si="252"/>
        <v/>
      </c>
    </row>
    <row r="17" spans="1:608" x14ac:dyDescent="0.2">
      <c r="A17" s="4" t="str" cm="1">
        <f t="array" ref="A17">IF(AND(H17&lt;&gt;"",H17&lt;&gt;"No DD",I17&lt;&gt;"P"),SUMPRODUCT((H$4:H$28&lt;&gt;"")*(H$4:H$28&lt;&gt;"No DD")*(I$4:I$28&lt;&gt;"P")*(E$4:E$28&gt;E17))+1,IF(H17="No DD",SUMPRODUCT((H$4:H$28="No DD")*(I$4:I$28&lt;&gt;"P")*(E$4:E$28&gt;E17))+1+SUMPRODUCT((H$4:H$28&lt;&gt;"")*(I$4:I$28&lt;&gt;"P")*(H$4:H$28&lt;&gt;"No DD")),""))</f>
        <v/>
      </c>
      <c r="B17" s="5" t="s">
        <v>120</v>
      </c>
      <c r="C17" s="4" t="s">
        <v>5</v>
      </c>
      <c r="D17" s="4">
        <v>2007</v>
      </c>
      <c r="E17" s="9">
        <f t="shared" si="0"/>
        <v>101.53001015300518</v>
      </c>
      <c r="F17" s="3" t="str">
        <f t="shared" si="1"/>
        <v/>
      </c>
      <c r="G17" s="3" t="str">
        <f t="shared" si="2"/>
        <v/>
      </c>
      <c r="H17" s="32" t="str">
        <f t="shared" si="3"/>
        <v/>
      </c>
      <c r="I17" s="3" t="str">
        <f>IF(COUNTIFS('Senior-M'!B:B,B17,'Senior-M'!A:A,"&lt;9",'Senior-M'!H:H,"&lt;&gt;"&amp;"No DD"),"P","")</f>
        <v/>
      </c>
      <c r="J17" s="8">
        <f t="shared" si="4"/>
        <v>51.67</v>
      </c>
      <c r="K17" s="8" t="str">
        <f t="shared" si="5"/>
        <v>2025 Nationals</v>
      </c>
      <c r="L17" s="8">
        <f>IFERROR(LARGE((AI17,AL17,AP17,BJ17,BM17,BQ17,CK17,CN17,CR17),2),0)</f>
        <v>49.86</v>
      </c>
      <c r="M17" s="8" t="str">
        <f t="shared" si="6"/>
        <v>2025 Nationals</v>
      </c>
      <c r="N17" s="8">
        <f t="shared" si="7"/>
        <v>0</v>
      </c>
      <c r="O17" s="11" t="str">
        <f>IF(N17=0,"",IF(N17=CT17,"("&amp;CT$2&amp;")",IF(N17=#REF!,"("&amp;#REF!&amp;")")))</f>
        <v/>
      </c>
      <c r="P17" s="8" t="str">
        <f t="shared" si="8"/>
        <v/>
      </c>
      <c r="Q17" s="18">
        <v>11.3</v>
      </c>
      <c r="R17" s="18">
        <v>7.7</v>
      </c>
      <c r="S17" s="18">
        <v>11.7</v>
      </c>
      <c r="T17" s="18">
        <v>12.46</v>
      </c>
      <c r="U17" s="18">
        <v>0</v>
      </c>
      <c r="V17" s="18">
        <v>2.8</v>
      </c>
      <c r="W17" s="18">
        <v>1.7</v>
      </c>
      <c r="X17" s="18">
        <v>3.3</v>
      </c>
      <c r="Y17" s="18">
        <v>3.3</v>
      </c>
      <c r="Z17" s="18">
        <v>0</v>
      </c>
      <c r="AA17" s="18"/>
      <c r="AB17" s="18"/>
      <c r="AC17" s="18"/>
      <c r="AD17" s="18"/>
      <c r="AE17" s="18"/>
      <c r="AF17" s="23"/>
      <c r="AG17" s="34">
        <f t="shared" si="9"/>
        <v>11.7</v>
      </c>
      <c r="AH17" s="34">
        <f t="shared" si="10"/>
        <v>12.46</v>
      </c>
      <c r="AI17" s="36">
        <f t="shared" si="11"/>
        <v>43.16</v>
      </c>
      <c r="AJ17" s="36">
        <f t="shared" si="12"/>
        <v>3.3</v>
      </c>
      <c r="AK17" s="36">
        <f t="shared" si="13"/>
        <v>3.3</v>
      </c>
      <c r="AL17" s="36">
        <f t="shared" si="14"/>
        <v>11.1</v>
      </c>
      <c r="AM17" s="36">
        <f t="shared" si="15"/>
        <v>43.16</v>
      </c>
      <c r="AN17" s="36" t="str">
        <f t="shared" si="16"/>
        <v/>
      </c>
      <c r="AO17" s="36" t="str">
        <f t="shared" si="17"/>
        <v/>
      </c>
      <c r="AP17" s="36" t="str">
        <f t="shared" si="18"/>
        <v/>
      </c>
      <c r="AQ17" s="36">
        <f t="shared" si="19"/>
        <v>43.16</v>
      </c>
      <c r="AR17" s="22">
        <v>12.1</v>
      </c>
      <c r="AS17" s="22">
        <v>9.1</v>
      </c>
      <c r="AT17" s="22">
        <v>14.9</v>
      </c>
      <c r="AU17" s="22">
        <v>15.57</v>
      </c>
      <c r="AV17" s="22">
        <v>0</v>
      </c>
      <c r="AW17" s="22">
        <v>12.1</v>
      </c>
      <c r="AX17" s="22">
        <v>8.6999999999999993</v>
      </c>
      <c r="AY17" s="22">
        <v>14</v>
      </c>
      <c r="AZ17" s="22">
        <v>15.56</v>
      </c>
      <c r="BA17" s="22">
        <v>0.5</v>
      </c>
      <c r="BB17" s="22">
        <v>1.2</v>
      </c>
      <c r="BC17" s="22">
        <v>1</v>
      </c>
      <c r="BD17" s="22">
        <v>2</v>
      </c>
      <c r="BE17" s="22">
        <v>1.68</v>
      </c>
      <c r="BF17" s="22">
        <v>0.2</v>
      </c>
      <c r="BG17" s="24"/>
      <c r="BH17" s="35">
        <f t="shared" si="20"/>
        <v>14.9</v>
      </c>
      <c r="BI17" s="35">
        <f t="shared" si="21"/>
        <v>15.57</v>
      </c>
      <c r="BJ17" s="11">
        <f t="shared" si="22"/>
        <v>51.67</v>
      </c>
      <c r="BK17" s="11">
        <f t="shared" si="23"/>
        <v>14</v>
      </c>
      <c r="BL17" s="11">
        <f t="shared" si="24"/>
        <v>15.56</v>
      </c>
      <c r="BM17" s="11">
        <f t="shared" si="25"/>
        <v>49.86</v>
      </c>
      <c r="BN17" s="11">
        <f t="shared" si="26"/>
        <v>51.67</v>
      </c>
      <c r="BO17" s="11">
        <f t="shared" si="27"/>
        <v>2</v>
      </c>
      <c r="BP17" s="11">
        <f t="shared" si="28"/>
        <v>1.68</v>
      </c>
      <c r="BQ17" s="11">
        <f t="shared" si="29"/>
        <v>5.68</v>
      </c>
      <c r="BR17" s="11">
        <f t="shared" si="30"/>
        <v>57.35</v>
      </c>
      <c r="BS17" s="18">
        <v>4.5999999999999996</v>
      </c>
      <c r="BT17" s="18">
        <v>2.9</v>
      </c>
      <c r="BU17" s="18">
        <v>5.2</v>
      </c>
      <c r="BV17" s="18">
        <v>5.0599999999999996</v>
      </c>
      <c r="BW17" s="18">
        <v>0</v>
      </c>
      <c r="BX17" s="18">
        <v>9.6999999999999993</v>
      </c>
      <c r="BY17" s="18">
        <v>6.4</v>
      </c>
      <c r="BZ17" s="18">
        <v>10.6</v>
      </c>
      <c r="CA17" s="18">
        <v>11.69</v>
      </c>
      <c r="CB17" s="18">
        <v>0</v>
      </c>
      <c r="CC17" s="18"/>
      <c r="CD17" s="18"/>
      <c r="CE17" s="18"/>
      <c r="CF17" s="18"/>
      <c r="CG17" s="18"/>
      <c r="CH17" s="23"/>
      <c r="CI17" s="34">
        <f t="shared" si="31"/>
        <v>5.2</v>
      </c>
      <c r="CJ17" s="34">
        <f t="shared" si="32"/>
        <v>5.0599999999999996</v>
      </c>
      <c r="CK17" s="36">
        <f t="shared" si="33"/>
        <v>17.759999999999998</v>
      </c>
      <c r="CL17" s="36">
        <f t="shared" si="34"/>
        <v>10.6</v>
      </c>
      <c r="CM17" s="36">
        <f t="shared" si="35"/>
        <v>11.69</v>
      </c>
      <c r="CN17" s="36">
        <f t="shared" si="36"/>
        <v>38.39</v>
      </c>
      <c r="CO17" s="36">
        <f t="shared" si="37"/>
        <v>38.39</v>
      </c>
      <c r="CP17" s="36" t="str">
        <f t="shared" si="38"/>
        <v/>
      </c>
      <c r="CQ17" s="36" t="str">
        <f t="shared" si="39"/>
        <v/>
      </c>
      <c r="CR17" s="36" t="str">
        <f t="shared" si="40"/>
        <v/>
      </c>
      <c r="CS17" s="36">
        <f t="shared" si="41"/>
        <v>38.39</v>
      </c>
      <c r="CT17" s="47" t="str">
        <f t="shared" si="42"/>
        <v/>
      </c>
      <c r="CU17" s="15"/>
      <c r="CV17" s="15"/>
      <c r="CW17" s="15"/>
      <c r="CX17" s="15"/>
      <c r="CY17" s="15"/>
      <c r="CZ17" s="15"/>
      <c r="DA17" s="15"/>
      <c r="DB17" s="15"/>
      <c r="DC17" s="15"/>
      <c r="DD17" s="15"/>
      <c r="DE17" s="15"/>
      <c r="DF17" s="15"/>
      <c r="DG17" s="15"/>
      <c r="DH17" s="15"/>
      <c r="DI17" s="15"/>
      <c r="DJ17" s="15"/>
      <c r="DK17" s="15"/>
      <c r="DL17" s="15"/>
      <c r="DM17" s="15"/>
      <c r="DN17" s="15"/>
      <c r="DO17" s="36" t="str">
        <f t="shared" si="43"/>
        <v/>
      </c>
      <c r="DP17" s="36" t="str">
        <f t="shared" si="44"/>
        <v/>
      </c>
      <c r="DQ17" s="36" t="str">
        <f t="shared" si="45"/>
        <v/>
      </c>
      <c r="DR17" s="36" t="str">
        <f t="shared" si="46"/>
        <v/>
      </c>
      <c r="DS17" s="36" t="str">
        <f t="shared" si="47"/>
        <v/>
      </c>
      <c r="DT17" s="36" t="str">
        <f t="shared" si="48"/>
        <v/>
      </c>
      <c r="DU17" s="36" t="str">
        <f t="shared" si="49"/>
        <v/>
      </c>
      <c r="DV17" s="36" t="str">
        <f t="shared" si="50"/>
        <v/>
      </c>
      <c r="DW17" s="36" t="str">
        <f t="shared" si="51"/>
        <v/>
      </c>
      <c r="DX17" s="36" t="str">
        <f t="shared" si="52"/>
        <v/>
      </c>
      <c r="DY17" s="36" t="str">
        <f t="shared" si="53"/>
        <v/>
      </c>
      <c r="DZ17" s="36" t="str">
        <f t="shared" si="54"/>
        <v/>
      </c>
      <c r="EA17" s="36" t="str">
        <f t="shared" si="55"/>
        <v/>
      </c>
      <c r="EB17" s="36" t="str">
        <f t="shared" si="56"/>
        <v/>
      </c>
      <c r="EC17" s="16"/>
      <c r="ED17" s="16"/>
      <c r="EE17" s="16"/>
      <c r="EF17" s="16"/>
      <c r="EG17" s="16"/>
      <c r="EH17" s="16"/>
      <c r="EI17" s="16"/>
      <c r="EJ17" s="16"/>
      <c r="EK17" s="16"/>
      <c r="EL17" s="16"/>
      <c r="EM17" s="16"/>
      <c r="EN17" s="16"/>
      <c r="EO17" s="16"/>
      <c r="EP17" s="16"/>
      <c r="EQ17" s="16"/>
      <c r="ER17" s="16"/>
      <c r="ES17" s="16"/>
      <c r="ET17" s="16"/>
      <c r="EU17" s="16"/>
      <c r="EV17" s="16"/>
      <c r="EW17" s="11" t="str">
        <f t="shared" si="57"/>
        <v/>
      </c>
      <c r="EX17" s="11" t="str">
        <f t="shared" si="58"/>
        <v/>
      </c>
      <c r="EY17" s="11" t="str">
        <f t="shared" si="59"/>
        <v/>
      </c>
      <c r="EZ17" s="11" t="str">
        <f t="shared" si="60"/>
        <v/>
      </c>
      <c r="FA17" s="11" t="str">
        <f t="shared" si="61"/>
        <v/>
      </c>
      <c r="FB17" s="11" t="str">
        <f t="shared" si="62"/>
        <v/>
      </c>
      <c r="FC17" s="11" t="str">
        <f t="shared" si="63"/>
        <v/>
      </c>
      <c r="FD17" s="11" t="str">
        <f t="shared" si="64"/>
        <v/>
      </c>
      <c r="FE17" s="11" t="str">
        <f t="shared" si="65"/>
        <v/>
      </c>
      <c r="FF17" s="11" t="str">
        <f t="shared" si="66"/>
        <v/>
      </c>
      <c r="FG17" s="11" t="str">
        <f t="shared" si="67"/>
        <v/>
      </c>
      <c r="FH17" s="11" t="str">
        <f t="shared" si="68"/>
        <v/>
      </c>
      <c r="FI17" s="11" t="str">
        <f t="shared" si="69"/>
        <v/>
      </c>
      <c r="FJ17" s="11" t="str">
        <f t="shared" si="70"/>
        <v/>
      </c>
      <c r="FK17" s="15"/>
      <c r="FL17" s="15"/>
      <c r="FM17" s="15"/>
      <c r="FN17" s="15"/>
      <c r="FO17" s="15"/>
      <c r="FP17" s="15"/>
      <c r="FQ17" s="15"/>
      <c r="FR17" s="15"/>
      <c r="FS17" s="15"/>
      <c r="FT17" s="15"/>
      <c r="FU17" s="15"/>
      <c r="FV17" s="15"/>
      <c r="FW17" s="15"/>
      <c r="FX17" s="15"/>
      <c r="FY17" s="15"/>
      <c r="FZ17" s="15"/>
      <c r="GA17" s="15"/>
      <c r="GB17" s="15"/>
      <c r="GC17" s="15"/>
      <c r="GD17" s="15"/>
      <c r="GE17" s="36" t="str">
        <f t="shared" si="71"/>
        <v/>
      </c>
      <c r="GF17" s="36" t="str">
        <f t="shared" si="72"/>
        <v/>
      </c>
      <c r="GG17" s="36" t="str">
        <f t="shared" si="73"/>
        <v/>
      </c>
      <c r="GH17" s="36" t="str">
        <f t="shared" si="74"/>
        <v/>
      </c>
      <c r="GI17" s="36" t="str">
        <f t="shared" si="75"/>
        <v/>
      </c>
      <c r="GJ17" s="36" t="str">
        <f t="shared" si="76"/>
        <v/>
      </c>
      <c r="GK17" s="36" t="str">
        <f t="shared" si="77"/>
        <v/>
      </c>
      <c r="GL17" s="36" t="str">
        <f t="shared" si="78"/>
        <v/>
      </c>
      <c r="GM17" s="36" t="str">
        <f t="shared" si="79"/>
        <v/>
      </c>
      <c r="GN17" s="36" t="str">
        <f t="shared" si="80"/>
        <v/>
      </c>
      <c r="GO17" s="36" t="str">
        <f t="shared" si="81"/>
        <v/>
      </c>
      <c r="GP17" s="36" t="str">
        <f t="shared" si="82"/>
        <v/>
      </c>
      <c r="GQ17" s="36" t="str">
        <f t="shared" si="83"/>
        <v/>
      </c>
      <c r="GR17" s="36" t="str">
        <f t="shared" si="84"/>
        <v/>
      </c>
      <c r="GS17" s="16"/>
      <c r="GT17" s="16"/>
      <c r="GU17" s="16"/>
      <c r="GV17" s="16"/>
      <c r="GW17" s="16"/>
      <c r="GX17" s="16"/>
      <c r="GY17" s="16"/>
      <c r="GZ17" s="16"/>
      <c r="HA17" s="16"/>
      <c r="HB17" s="16"/>
      <c r="HC17" s="16"/>
      <c r="HD17" s="16"/>
      <c r="HE17" s="16"/>
      <c r="HF17" s="16"/>
      <c r="HG17" s="16"/>
      <c r="HH17" s="16"/>
      <c r="HI17" s="16"/>
      <c r="HJ17" s="16"/>
      <c r="HK17" s="16"/>
      <c r="HL17" s="16"/>
      <c r="HM17" s="11" t="str">
        <f t="shared" si="85"/>
        <v/>
      </c>
      <c r="HN17" s="11" t="str">
        <f t="shared" si="86"/>
        <v/>
      </c>
      <c r="HO17" s="11" t="str">
        <f t="shared" si="87"/>
        <v/>
      </c>
      <c r="HP17" s="11" t="str">
        <f t="shared" si="88"/>
        <v/>
      </c>
      <c r="HQ17" s="11" t="str">
        <f t="shared" si="89"/>
        <v/>
      </c>
      <c r="HR17" s="11" t="str">
        <f t="shared" si="90"/>
        <v/>
      </c>
      <c r="HS17" s="11" t="str">
        <f t="shared" si="91"/>
        <v/>
      </c>
      <c r="HT17" s="11" t="str">
        <f t="shared" si="92"/>
        <v/>
      </c>
      <c r="HU17" s="11" t="str">
        <f t="shared" si="93"/>
        <v/>
      </c>
      <c r="HV17" s="11" t="str">
        <f t="shared" si="94"/>
        <v/>
      </c>
      <c r="HW17" s="11" t="str">
        <f t="shared" si="95"/>
        <v/>
      </c>
      <c r="HX17" s="11" t="str">
        <f t="shared" si="96"/>
        <v/>
      </c>
      <c r="HY17" s="11" t="str">
        <f t="shared" si="97"/>
        <v/>
      </c>
      <c r="HZ17" s="11" t="str">
        <f t="shared" si="98"/>
        <v/>
      </c>
      <c r="IA17" s="15"/>
      <c r="IB17" s="15"/>
      <c r="IC17" s="15"/>
      <c r="ID17" s="15"/>
      <c r="IE17" s="15"/>
      <c r="IF17" s="15"/>
      <c r="IG17" s="15"/>
      <c r="IH17" s="15"/>
      <c r="II17" s="15"/>
      <c r="IJ17" s="15"/>
      <c r="IK17" s="15"/>
      <c r="IL17" s="15"/>
      <c r="IM17" s="15"/>
      <c r="IN17" s="15"/>
      <c r="IO17" s="15"/>
      <c r="IP17" s="15"/>
      <c r="IQ17" s="15"/>
      <c r="IR17" s="15"/>
      <c r="IS17" s="15"/>
      <c r="IT17" s="15"/>
      <c r="IU17" s="36" t="str">
        <f t="shared" si="99"/>
        <v/>
      </c>
      <c r="IV17" s="36" t="str">
        <f t="shared" si="100"/>
        <v/>
      </c>
      <c r="IW17" s="36" t="str">
        <f t="shared" si="101"/>
        <v/>
      </c>
      <c r="IX17" s="36" t="str">
        <f t="shared" si="102"/>
        <v/>
      </c>
      <c r="IY17" s="36" t="str">
        <f t="shared" si="103"/>
        <v/>
      </c>
      <c r="IZ17" s="36" t="str">
        <f t="shared" si="104"/>
        <v/>
      </c>
      <c r="JA17" s="36" t="str">
        <f t="shared" si="105"/>
        <v/>
      </c>
      <c r="JB17" s="36" t="str">
        <f t="shared" si="106"/>
        <v/>
      </c>
      <c r="JC17" s="36" t="str">
        <f t="shared" si="107"/>
        <v/>
      </c>
      <c r="JD17" s="36" t="str">
        <f t="shared" si="108"/>
        <v/>
      </c>
      <c r="JE17" s="36" t="str">
        <f t="shared" si="109"/>
        <v/>
      </c>
      <c r="JF17" s="36" t="str">
        <f t="shared" si="110"/>
        <v/>
      </c>
      <c r="JG17" s="36" t="str">
        <f t="shared" si="111"/>
        <v/>
      </c>
      <c r="JH17" s="36" t="str">
        <f t="shared" si="112"/>
        <v/>
      </c>
      <c r="JI17" s="16"/>
      <c r="JJ17" s="16"/>
      <c r="JK17" s="16"/>
      <c r="JL17" s="16"/>
      <c r="JM17" s="16"/>
      <c r="JN17" s="16"/>
      <c r="JO17" s="16"/>
      <c r="JP17" s="16"/>
      <c r="JQ17" s="16"/>
      <c r="JR17" s="16"/>
      <c r="JS17" s="16"/>
      <c r="JT17" s="16"/>
      <c r="JU17" s="16"/>
      <c r="JV17" s="16"/>
      <c r="JW17" s="16"/>
      <c r="JX17" s="16"/>
      <c r="JY17" s="16"/>
      <c r="JZ17" s="16"/>
      <c r="KA17" s="16"/>
      <c r="KB17" s="16"/>
      <c r="KC17" s="11" t="str">
        <f t="shared" si="113"/>
        <v/>
      </c>
      <c r="KD17" s="11" t="str">
        <f t="shared" si="114"/>
        <v/>
      </c>
      <c r="KE17" s="11" t="str">
        <f t="shared" si="115"/>
        <v/>
      </c>
      <c r="KF17" s="11" t="str">
        <f t="shared" si="116"/>
        <v/>
      </c>
      <c r="KG17" s="11" t="str">
        <f t="shared" si="117"/>
        <v/>
      </c>
      <c r="KH17" s="11" t="str">
        <f t="shared" si="118"/>
        <v/>
      </c>
      <c r="KI17" s="11" t="str">
        <f t="shared" si="119"/>
        <v/>
      </c>
      <c r="KJ17" s="11" t="str">
        <f t="shared" si="120"/>
        <v/>
      </c>
      <c r="KK17" s="11" t="str">
        <f t="shared" si="121"/>
        <v/>
      </c>
      <c r="KL17" s="11" t="str">
        <f t="shared" si="122"/>
        <v/>
      </c>
      <c r="KM17" s="11" t="str">
        <f t="shared" si="123"/>
        <v/>
      </c>
      <c r="KN17" s="11" t="str">
        <f t="shared" si="124"/>
        <v/>
      </c>
      <c r="KO17" s="11" t="str">
        <f t="shared" si="125"/>
        <v/>
      </c>
      <c r="KP17" s="11" t="str">
        <f t="shared" si="126"/>
        <v/>
      </c>
      <c r="KQ17" s="15"/>
      <c r="KR17" s="15"/>
      <c r="KS17" s="15"/>
      <c r="KT17" s="15"/>
      <c r="KU17" s="15"/>
      <c r="KV17" s="15"/>
      <c r="KW17" s="15"/>
      <c r="KX17" s="15"/>
      <c r="KY17" s="15"/>
      <c r="KZ17" s="15"/>
      <c r="LA17" s="15"/>
      <c r="LB17" s="15"/>
      <c r="LC17" s="15"/>
      <c r="LD17" s="15"/>
      <c r="LE17" s="15"/>
      <c r="LF17" s="15"/>
      <c r="LG17" s="15"/>
      <c r="LH17" s="15"/>
      <c r="LI17" s="15"/>
      <c r="LJ17" s="15"/>
      <c r="LK17" s="36" t="str">
        <f t="shared" si="127"/>
        <v/>
      </c>
      <c r="LL17" s="36" t="str">
        <f t="shared" si="128"/>
        <v/>
      </c>
      <c r="LM17" s="36" t="str">
        <f t="shared" si="129"/>
        <v/>
      </c>
      <c r="LN17" s="36" t="str">
        <f t="shared" si="130"/>
        <v/>
      </c>
      <c r="LO17" s="36" t="str">
        <f t="shared" si="131"/>
        <v/>
      </c>
      <c r="LP17" s="36" t="str">
        <f t="shared" si="132"/>
        <v/>
      </c>
      <c r="LQ17" s="36" t="str">
        <f t="shared" si="133"/>
        <v/>
      </c>
      <c r="LR17" s="36" t="str">
        <f t="shared" si="134"/>
        <v/>
      </c>
      <c r="LS17" s="36" t="str">
        <f t="shared" si="135"/>
        <v/>
      </c>
      <c r="LT17" s="36" t="str">
        <f t="shared" si="136"/>
        <v/>
      </c>
      <c r="LU17" s="36" t="str">
        <f t="shared" si="137"/>
        <v/>
      </c>
      <c r="LV17" s="36" t="str">
        <f t="shared" si="138"/>
        <v/>
      </c>
      <c r="LW17" s="36" t="str">
        <f t="shared" si="139"/>
        <v/>
      </c>
      <c r="LX17" s="36" t="str">
        <f t="shared" si="140"/>
        <v/>
      </c>
      <c r="LY17" s="16"/>
      <c r="LZ17" s="16"/>
      <c r="MA17" s="16"/>
      <c r="MB17" s="16"/>
      <c r="MC17" s="16"/>
      <c r="MD17" s="16"/>
      <c r="ME17" s="16"/>
      <c r="MF17" s="16"/>
      <c r="MG17" s="16"/>
      <c r="MH17" s="16"/>
      <c r="MI17" s="16"/>
      <c r="MJ17" s="16"/>
      <c r="MK17" s="16"/>
      <c r="ML17" s="16"/>
      <c r="MM17" s="16"/>
      <c r="MN17" s="16"/>
      <c r="MO17" s="16"/>
      <c r="MP17" s="16"/>
      <c r="MQ17" s="16"/>
      <c r="MR17" s="16"/>
      <c r="MS17" s="11" t="str">
        <f t="shared" si="141"/>
        <v/>
      </c>
      <c r="MT17" s="11" t="str">
        <f t="shared" si="142"/>
        <v/>
      </c>
      <c r="MU17" s="11" t="str">
        <f t="shared" si="143"/>
        <v/>
      </c>
      <c r="MV17" s="11" t="str">
        <f t="shared" si="144"/>
        <v/>
      </c>
      <c r="MW17" s="11" t="str">
        <f t="shared" si="145"/>
        <v/>
      </c>
      <c r="MX17" s="11" t="str">
        <f t="shared" si="146"/>
        <v/>
      </c>
      <c r="MY17" s="11" t="str">
        <f t="shared" si="147"/>
        <v/>
      </c>
      <c r="MZ17" s="11" t="str">
        <f t="shared" si="148"/>
        <v/>
      </c>
      <c r="NA17" s="11" t="str">
        <f t="shared" si="149"/>
        <v/>
      </c>
      <c r="NB17" s="11" t="str">
        <f t="shared" si="150"/>
        <v/>
      </c>
      <c r="NC17" s="11" t="str">
        <f t="shared" si="151"/>
        <v/>
      </c>
      <c r="ND17" s="11" t="str">
        <f t="shared" si="152"/>
        <v/>
      </c>
      <c r="NE17" s="11" t="str">
        <f t="shared" si="153"/>
        <v/>
      </c>
      <c r="NF17" s="11" t="str">
        <f t="shared" si="154"/>
        <v/>
      </c>
      <c r="NG17" s="15"/>
      <c r="NH17" s="15"/>
      <c r="NI17" s="15"/>
      <c r="NJ17" s="15"/>
      <c r="NK17" s="15"/>
      <c r="NL17" s="15"/>
      <c r="NM17" s="15"/>
      <c r="NN17" s="15"/>
      <c r="NO17" s="15"/>
      <c r="NP17" s="15"/>
      <c r="NQ17" s="15"/>
      <c r="NR17" s="15"/>
      <c r="NS17" s="15"/>
      <c r="NT17" s="15"/>
      <c r="NU17" s="15"/>
      <c r="NV17" s="15"/>
      <c r="NW17" s="15"/>
      <c r="NX17" s="15"/>
      <c r="NY17" s="15"/>
      <c r="NZ17" s="15"/>
      <c r="OA17" s="36" t="str">
        <f t="shared" si="155"/>
        <v/>
      </c>
      <c r="OB17" s="36" t="str">
        <f t="shared" si="156"/>
        <v/>
      </c>
      <c r="OC17" s="36" t="str">
        <f t="shared" si="157"/>
        <v/>
      </c>
      <c r="OD17" s="36" t="str">
        <f t="shared" si="158"/>
        <v/>
      </c>
      <c r="OE17" s="36" t="str">
        <f t="shared" si="159"/>
        <v/>
      </c>
      <c r="OF17" s="36" t="str">
        <f t="shared" si="160"/>
        <v/>
      </c>
      <c r="OG17" s="36" t="str">
        <f t="shared" si="161"/>
        <v/>
      </c>
      <c r="OH17" s="36" t="str">
        <f t="shared" si="162"/>
        <v/>
      </c>
      <c r="OI17" s="36" t="str">
        <f t="shared" si="163"/>
        <v/>
      </c>
      <c r="OJ17" s="36" t="str">
        <f t="shared" si="164"/>
        <v/>
      </c>
      <c r="OK17" s="36" t="str">
        <f t="shared" si="165"/>
        <v/>
      </c>
      <c r="OL17" s="36" t="str">
        <f t="shared" si="166"/>
        <v/>
      </c>
      <c r="OM17" s="36" t="str">
        <f t="shared" si="167"/>
        <v/>
      </c>
      <c r="ON17" s="36" t="str">
        <f t="shared" si="168"/>
        <v/>
      </c>
      <c r="OO17" s="16"/>
      <c r="OP17" s="16"/>
      <c r="OQ17" s="16"/>
      <c r="OR17" s="16"/>
      <c r="OS17" s="16"/>
      <c r="OT17" s="16"/>
      <c r="OU17" s="16"/>
      <c r="OV17" s="16"/>
      <c r="OW17" s="16"/>
      <c r="OX17" s="16"/>
      <c r="OY17" s="16"/>
      <c r="OZ17" s="16"/>
      <c r="PA17" s="16"/>
      <c r="PB17" s="16"/>
      <c r="PC17" s="16"/>
      <c r="PD17" s="16"/>
      <c r="PE17" s="16"/>
      <c r="PF17" s="16"/>
      <c r="PG17" s="16"/>
      <c r="PH17" s="16"/>
      <c r="PI17" s="11" t="str">
        <f t="shared" si="169"/>
        <v/>
      </c>
      <c r="PJ17" s="11" t="str">
        <f t="shared" si="170"/>
        <v/>
      </c>
      <c r="PK17" s="11" t="str">
        <f t="shared" si="171"/>
        <v/>
      </c>
      <c r="PL17" s="11" t="str">
        <f t="shared" si="172"/>
        <v/>
      </c>
      <c r="PM17" s="11" t="str">
        <f t="shared" si="173"/>
        <v/>
      </c>
      <c r="PN17" s="11" t="str">
        <f t="shared" si="174"/>
        <v/>
      </c>
      <c r="PO17" s="11" t="str">
        <f t="shared" si="175"/>
        <v/>
      </c>
      <c r="PP17" s="11" t="str">
        <f t="shared" si="176"/>
        <v/>
      </c>
      <c r="PQ17" s="11" t="str">
        <f t="shared" si="177"/>
        <v/>
      </c>
      <c r="PR17" s="11" t="str">
        <f t="shared" si="178"/>
        <v/>
      </c>
      <c r="PS17" s="11" t="str">
        <f t="shared" si="179"/>
        <v/>
      </c>
      <c r="PT17" s="11" t="str">
        <f t="shared" si="180"/>
        <v/>
      </c>
      <c r="PU17" s="11" t="str">
        <f t="shared" si="181"/>
        <v/>
      </c>
      <c r="PV17" s="11" t="str">
        <f t="shared" si="182"/>
        <v/>
      </c>
      <c r="PW17" s="15"/>
      <c r="PX17" s="15"/>
      <c r="PY17" s="15"/>
      <c r="PZ17" s="15"/>
      <c r="QA17" s="15"/>
      <c r="QB17" s="15"/>
      <c r="QC17" s="15"/>
      <c r="QD17" s="15"/>
      <c r="QE17" s="15"/>
      <c r="QF17" s="15"/>
      <c r="QG17" s="15"/>
      <c r="QH17" s="15"/>
      <c r="QI17" s="15"/>
      <c r="QJ17" s="15"/>
      <c r="QK17" s="15"/>
      <c r="QL17" s="15"/>
      <c r="QM17" s="15"/>
      <c r="QN17" s="15"/>
      <c r="QO17" s="15"/>
      <c r="QP17" s="15"/>
      <c r="QQ17" s="36" t="str">
        <f t="shared" si="183"/>
        <v/>
      </c>
      <c r="QR17" s="36" t="str">
        <f t="shared" si="184"/>
        <v/>
      </c>
      <c r="QS17" s="36" t="str">
        <f t="shared" si="185"/>
        <v/>
      </c>
      <c r="QT17" s="36" t="str">
        <f t="shared" si="186"/>
        <v/>
      </c>
      <c r="QU17" s="36" t="str">
        <f t="shared" si="187"/>
        <v/>
      </c>
      <c r="QV17" s="36" t="str">
        <f t="shared" si="188"/>
        <v/>
      </c>
      <c r="QW17" s="36" t="str">
        <f t="shared" si="189"/>
        <v/>
      </c>
      <c r="QX17" s="36" t="str">
        <f t="shared" si="190"/>
        <v/>
      </c>
      <c r="QY17" s="36" t="str">
        <f t="shared" si="191"/>
        <v/>
      </c>
      <c r="QZ17" s="36" t="str">
        <f t="shared" si="192"/>
        <v/>
      </c>
      <c r="RA17" s="36" t="str">
        <f t="shared" si="193"/>
        <v/>
      </c>
      <c r="RB17" s="36" t="str">
        <f t="shared" si="194"/>
        <v/>
      </c>
      <c r="RC17" s="36" t="str">
        <f t="shared" si="195"/>
        <v/>
      </c>
      <c r="RD17" s="36" t="str">
        <f t="shared" si="196"/>
        <v/>
      </c>
      <c r="RE17" s="16"/>
      <c r="RF17" s="16"/>
      <c r="RG17" s="16"/>
      <c r="RH17" s="16"/>
      <c r="RI17" s="16"/>
      <c r="RJ17" s="16"/>
      <c r="RK17" s="16"/>
      <c r="RL17" s="16"/>
      <c r="RM17" s="16"/>
      <c r="RN17" s="16"/>
      <c r="RO17" s="16"/>
      <c r="RP17" s="16"/>
      <c r="RQ17" s="16"/>
      <c r="RR17" s="16"/>
      <c r="RS17" s="16"/>
      <c r="RT17" s="16"/>
      <c r="RU17" s="16"/>
      <c r="RV17" s="16"/>
      <c r="RW17" s="16"/>
      <c r="RX17" s="16"/>
      <c r="RY17" s="11" t="str">
        <f t="shared" si="197"/>
        <v/>
      </c>
      <c r="RZ17" s="11" t="str">
        <f t="shared" si="198"/>
        <v/>
      </c>
      <c r="SA17" s="11" t="str">
        <f t="shared" si="199"/>
        <v/>
      </c>
      <c r="SB17" s="11" t="str">
        <f t="shared" si="200"/>
        <v/>
      </c>
      <c r="SC17" s="11" t="str">
        <f t="shared" si="201"/>
        <v/>
      </c>
      <c r="SD17" s="11" t="str">
        <f t="shared" si="202"/>
        <v/>
      </c>
      <c r="SE17" s="11" t="str">
        <f t="shared" si="203"/>
        <v/>
      </c>
      <c r="SF17" s="11" t="str">
        <f t="shared" si="204"/>
        <v/>
      </c>
      <c r="SG17" s="11" t="str">
        <f t="shared" si="205"/>
        <v/>
      </c>
      <c r="SH17" s="11" t="str">
        <f t="shared" si="206"/>
        <v/>
      </c>
      <c r="SI17" s="11" t="str">
        <f t="shared" si="207"/>
        <v/>
      </c>
      <c r="SJ17" s="11" t="str">
        <f t="shared" si="208"/>
        <v/>
      </c>
      <c r="SK17" s="11" t="str">
        <f t="shared" si="209"/>
        <v/>
      </c>
      <c r="SL17" s="11" t="str">
        <f t="shared" si="210"/>
        <v/>
      </c>
      <c r="SM17" s="15"/>
      <c r="SN17" s="15"/>
      <c r="SO17" s="15"/>
      <c r="SP17" s="15"/>
      <c r="SQ17" s="15"/>
      <c r="SR17" s="15"/>
      <c r="SS17" s="15"/>
      <c r="ST17" s="15"/>
      <c r="SU17" s="15"/>
      <c r="SV17" s="15"/>
      <c r="SW17" s="15"/>
      <c r="SX17" s="15"/>
      <c r="SY17" s="15"/>
      <c r="SZ17" s="15"/>
      <c r="TA17" s="15"/>
      <c r="TB17" s="15"/>
      <c r="TC17" s="15"/>
      <c r="TD17" s="15"/>
      <c r="TE17" s="15"/>
      <c r="TF17" s="15"/>
      <c r="TG17" s="36" t="str">
        <f t="shared" si="211"/>
        <v/>
      </c>
      <c r="TH17" s="36" t="str">
        <f t="shared" si="212"/>
        <v/>
      </c>
      <c r="TI17" s="36" t="str">
        <f t="shared" si="213"/>
        <v/>
      </c>
      <c r="TJ17" s="36" t="str">
        <f t="shared" si="214"/>
        <v/>
      </c>
      <c r="TK17" s="36" t="str">
        <f t="shared" si="215"/>
        <v/>
      </c>
      <c r="TL17" s="36" t="str">
        <f t="shared" si="216"/>
        <v/>
      </c>
      <c r="TM17" s="36" t="str">
        <f t="shared" si="217"/>
        <v/>
      </c>
      <c r="TN17" s="36" t="str">
        <f t="shared" si="218"/>
        <v/>
      </c>
      <c r="TO17" s="36" t="str">
        <f t="shared" si="219"/>
        <v/>
      </c>
      <c r="TP17" s="36" t="str">
        <f t="shared" si="220"/>
        <v/>
      </c>
      <c r="TQ17" s="36" t="str">
        <f t="shared" si="221"/>
        <v/>
      </c>
      <c r="TR17" s="36" t="str">
        <f t="shared" si="222"/>
        <v/>
      </c>
      <c r="TS17" s="36" t="str">
        <f t="shared" si="223"/>
        <v/>
      </c>
      <c r="TT17" s="36" t="str">
        <f t="shared" si="224"/>
        <v/>
      </c>
      <c r="TU17" s="16"/>
      <c r="TV17" s="16"/>
      <c r="TW17" s="16"/>
      <c r="TX17" s="16"/>
      <c r="TY17" s="16"/>
      <c r="TZ17" s="16"/>
      <c r="UA17" s="16"/>
      <c r="UB17" s="16"/>
      <c r="UC17" s="16"/>
      <c r="UD17" s="16"/>
      <c r="UE17" s="16"/>
      <c r="UF17" s="16"/>
      <c r="UG17" s="16"/>
      <c r="UH17" s="16"/>
      <c r="UI17" s="16"/>
      <c r="UJ17" s="16"/>
      <c r="UK17" s="16"/>
      <c r="UL17" s="16"/>
      <c r="UM17" s="16"/>
      <c r="UN17" s="16"/>
      <c r="UO17" s="11" t="str">
        <f t="shared" si="225"/>
        <v/>
      </c>
      <c r="UP17" s="11" t="str">
        <f t="shared" si="226"/>
        <v/>
      </c>
      <c r="UQ17" s="11" t="str">
        <f t="shared" si="227"/>
        <v/>
      </c>
      <c r="UR17" s="11" t="str">
        <f t="shared" si="228"/>
        <v/>
      </c>
      <c r="US17" s="11" t="str">
        <f t="shared" si="229"/>
        <v/>
      </c>
      <c r="UT17" s="11" t="str">
        <f t="shared" si="230"/>
        <v/>
      </c>
      <c r="UU17" s="11" t="str">
        <f t="shared" si="231"/>
        <v/>
      </c>
      <c r="UV17" s="11" t="str">
        <f t="shared" si="232"/>
        <v/>
      </c>
      <c r="UW17" s="11" t="str">
        <f t="shared" si="233"/>
        <v/>
      </c>
      <c r="UX17" s="11" t="str">
        <f t="shared" si="234"/>
        <v/>
      </c>
      <c r="UY17" s="11" t="str">
        <f t="shared" si="235"/>
        <v/>
      </c>
      <c r="UZ17" s="11" t="str">
        <f t="shared" si="236"/>
        <v/>
      </c>
      <c r="VA17" s="11" t="str">
        <f t="shared" si="237"/>
        <v/>
      </c>
      <c r="VB17" s="11" t="str">
        <f t="shared" si="238"/>
        <v/>
      </c>
      <c r="VC17" s="15"/>
      <c r="VD17" s="15"/>
      <c r="VE17" s="15"/>
      <c r="VF17" s="15"/>
      <c r="VG17" s="15"/>
      <c r="VH17" s="15"/>
      <c r="VI17" s="15"/>
      <c r="VJ17" s="15"/>
      <c r="VK17" s="15"/>
      <c r="VL17" s="15"/>
      <c r="VM17" s="15"/>
      <c r="VN17" s="15"/>
      <c r="VO17" s="15"/>
      <c r="VP17" s="15"/>
      <c r="VQ17" s="15"/>
      <c r="VR17" s="15"/>
      <c r="VS17" s="15"/>
      <c r="VT17" s="15"/>
      <c r="VU17" s="15"/>
      <c r="VV17" s="15"/>
      <c r="VW17" s="36" t="str">
        <f t="shared" si="239"/>
        <v/>
      </c>
      <c r="VX17" s="36" t="str">
        <f t="shared" si="240"/>
        <v/>
      </c>
      <c r="VY17" s="36" t="str">
        <f t="shared" si="241"/>
        <v/>
      </c>
      <c r="VZ17" s="36" t="str">
        <f t="shared" si="242"/>
        <v/>
      </c>
      <c r="WA17" s="36" t="str">
        <f t="shared" si="243"/>
        <v/>
      </c>
      <c r="WB17" s="36" t="str">
        <f t="shared" si="244"/>
        <v/>
      </c>
      <c r="WC17" s="36" t="str">
        <f t="shared" si="245"/>
        <v/>
      </c>
      <c r="WD17" s="36" t="str">
        <f t="shared" si="246"/>
        <v/>
      </c>
      <c r="WE17" s="36" t="str">
        <f t="shared" si="247"/>
        <v/>
      </c>
      <c r="WF17" s="36" t="str">
        <f t="shared" si="248"/>
        <v/>
      </c>
      <c r="WG17" s="36" t="str">
        <f t="shared" si="249"/>
        <v/>
      </c>
      <c r="WH17" s="36" t="str">
        <f t="shared" si="250"/>
        <v/>
      </c>
      <c r="WI17" s="36" t="str">
        <f t="shared" si="251"/>
        <v/>
      </c>
      <c r="WJ17" s="36" t="str">
        <f t="shared" si="252"/>
        <v/>
      </c>
    </row>
    <row r="18" spans="1:608" x14ac:dyDescent="0.2">
      <c r="A18" s="4" t="str" cm="1">
        <f t="array" ref="A18">IF(AND(H18&lt;&gt;"",H18&lt;&gt;"No DD",I18&lt;&gt;"P"),SUMPRODUCT((H$4:H$28&lt;&gt;"")*(H$4:H$28&lt;&gt;"No DD")*(I$4:I$28&lt;&gt;"P")*(E$4:E$28&gt;E18))+1,IF(H18="No DD",SUMPRODUCT((H$4:H$28="No DD")*(I$4:I$28&lt;&gt;"P")*(E$4:E$28&gt;E18))+1+SUMPRODUCT((H$4:H$28&lt;&gt;"")*(I$4:I$28&lt;&gt;"P")*(H$4:H$28&lt;&gt;"No DD")),""))</f>
        <v/>
      </c>
      <c r="B18" s="5" t="s">
        <v>204</v>
      </c>
      <c r="C18" s="4" t="s">
        <v>6</v>
      </c>
      <c r="D18" s="4">
        <v>2007</v>
      </c>
      <c r="E18" s="9">
        <f t="shared" si="0"/>
        <v>98.420009842005001</v>
      </c>
      <c r="F18" s="3" t="str">
        <f t="shared" si="1"/>
        <v/>
      </c>
      <c r="G18" s="3" t="str">
        <f t="shared" si="2"/>
        <v/>
      </c>
      <c r="H18" s="32" t="str">
        <f t="shared" si="3"/>
        <v/>
      </c>
      <c r="I18" s="3" t="str">
        <f>IF(COUNTIFS('Senior-M'!B:B,B18,'Senior-M'!A:A,"&lt;9",'Senior-M'!H:H,"&lt;&gt;"&amp;"No DD"),"P","")</f>
        <v/>
      </c>
      <c r="J18" s="8">
        <f t="shared" si="4"/>
        <v>49.954999999999998</v>
      </c>
      <c r="K18" s="8" t="str">
        <f t="shared" si="5"/>
        <v>2025 Elite Canada</v>
      </c>
      <c r="L18" s="8">
        <f>IFERROR(LARGE((AI18,AL18,AP18,BJ18,BM18,BQ18,CK18,CN18,CR18),2),0)</f>
        <v>48.465000000000003</v>
      </c>
      <c r="M18" s="8" t="str">
        <f t="shared" si="6"/>
        <v>2025 Elite Canada</v>
      </c>
      <c r="N18" s="8">
        <f t="shared" si="7"/>
        <v>0</v>
      </c>
      <c r="O18" s="11" t="str">
        <f>IF(N18=0,"",IF(N18=CT18,"("&amp;CT$2&amp;")",IF(N18=#REF!,"("&amp;#REF!&amp;")")))</f>
        <v/>
      </c>
      <c r="P18" s="8" t="str">
        <f t="shared" si="8"/>
        <v/>
      </c>
      <c r="Q18" s="18">
        <v>13.75</v>
      </c>
      <c r="R18" s="18">
        <v>9.0500000000000007</v>
      </c>
      <c r="S18" s="18">
        <v>11.65</v>
      </c>
      <c r="T18" s="18">
        <v>14.015000000000001</v>
      </c>
      <c r="U18" s="18">
        <v>0</v>
      </c>
      <c r="V18" s="18">
        <v>14.45</v>
      </c>
      <c r="W18" s="18">
        <v>9.3000000000000007</v>
      </c>
      <c r="X18" s="18">
        <v>11.65</v>
      </c>
      <c r="Y18" s="18">
        <v>14.555</v>
      </c>
      <c r="Z18" s="18">
        <v>0</v>
      </c>
      <c r="AA18" s="18">
        <v>7.3</v>
      </c>
      <c r="AB18" s="18">
        <v>4.7</v>
      </c>
      <c r="AC18" s="18">
        <v>5.7</v>
      </c>
      <c r="AD18" s="18">
        <v>7.4550000000000001</v>
      </c>
      <c r="AE18" s="18">
        <v>0</v>
      </c>
      <c r="AF18" s="23" t="s">
        <v>42</v>
      </c>
      <c r="AG18" s="34">
        <f t="shared" si="9"/>
        <v>11.65</v>
      </c>
      <c r="AH18" s="34">
        <f t="shared" si="10"/>
        <v>14.015000000000001</v>
      </c>
      <c r="AI18" s="36">
        <f t="shared" si="11"/>
        <v>48.465000000000003</v>
      </c>
      <c r="AJ18" s="36">
        <f t="shared" si="12"/>
        <v>11.65</v>
      </c>
      <c r="AK18" s="36">
        <f t="shared" si="13"/>
        <v>14.555</v>
      </c>
      <c r="AL18" s="36">
        <f t="shared" si="14"/>
        <v>49.954999999999998</v>
      </c>
      <c r="AM18" s="36">
        <f t="shared" si="15"/>
        <v>49.954999999999998</v>
      </c>
      <c r="AN18" s="36">
        <f t="shared" si="16"/>
        <v>5.7</v>
      </c>
      <c r="AO18" s="36">
        <f t="shared" si="17"/>
        <v>7.4550000000000001</v>
      </c>
      <c r="AP18" s="36">
        <f t="shared" si="18"/>
        <v>25.155000000000001</v>
      </c>
      <c r="AQ18" s="36">
        <f t="shared" si="19"/>
        <v>75.11</v>
      </c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4"/>
      <c r="BH18" s="35" t="str">
        <f t="shared" si="20"/>
        <v/>
      </c>
      <c r="BI18" s="35" t="str">
        <f t="shared" si="21"/>
        <v/>
      </c>
      <c r="BJ18" s="11" t="str">
        <f t="shared" si="22"/>
        <v/>
      </c>
      <c r="BK18" s="11" t="str">
        <f t="shared" si="23"/>
        <v/>
      </c>
      <c r="BL18" s="11" t="str">
        <f t="shared" si="24"/>
        <v/>
      </c>
      <c r="BM18" s="11" t="str">
        <f t="shared" si="25"/>
        <v/>
      </c>
      <c r="BN18" s="11" t="str">
        <f t="shared" si="26"/>
        <v/>
      </c>
      <c r="BO18" s="11" t="str">
        <f t="shared" si="27"/>
        <v/>
      </c>
      <c r="BP18" s="11" t="str">
        <f t="shared" si="28"/>
        <v/>
      </c>
      <c r="BQ18" s="11" t="str">
        <f t="shared" si="29"/>
        <v/>
      </c>
      <c r="BR18" s="11" t="str">
        <f t="shared" si="30"/>
        <v/>
      </c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  <c r="CF18" s="18"/>
      <c r="CG18" s="18"/>
      <c r="CH18" s="23"/>
      <c r="CI18" s="34" t="str">
        <f t="shared" si="31"/>
        <v/>
      </c>
      <c r="CJ18" s="34" t="str">
        <f t="shared" si="32"/>
        <v/>
      </c>
      <c r="CK18" s="36" t="str">
        <f t="shared" si="33"/>
        <v/>
      </c>
      <c r="CL18" s="36" t="str">
        <f t="shared" si="34"/>
        <v/>
      </c>
      <c r="CM18" s="36" t="str">
        <f t="shared" si="35"/>
        <v/>
      </c>
      <c r="CN18" s="36" t="str">
        <f t="shared" si="36"/>
        <v/>
      </c>
      <c r="CO18" s="36" t="str">
        <f t="shared" si="37"/>
        <v/>
      </c>
      <c r="CP18" s="36" t="str">
        <f t="shared" si="38"/>
        <v/>
      </c>
      <c r="CQ18" s="36" t="str">
        <f t="shared" si="39"/>
        <v/>
      </c>
      <c r="CR18" s="36" t="str">
        <f t="shared" si="40"/>
        <v/>
      </c>
      <c r="CS18" s="36" t="str">
        <f t="shared" si="41"/>
        <v/>
      </c>
      <c r="CT18" s="47" t="str">
        <f t="shared" si="42"/>
        <v/>
      </c>
      <c r="CU18" s="15"/>
      <c r="CV18" s="15"/>
      <c r="CW18" s="15"/>
      <c r="CX18" s="15"/>
      <c r="CY18" s="15"/>
      <c r="CZ18" s="15"/>
      <c r="DA18" s="15"/>
      <c r="DB18" s="15"/>
      <c r="DC18" s="15"/>
      <c r="DD18" s="15"/>
      <c r="DE18" s="15"/>
      <c r="DF18" s="15"/>
      <c r="DG18" s="15"/>
      <c r="DH18" s="15"/>
      <c r="DI18" s="15"/>
      <c r="DJ18" s="15"/>
      <c r="DK18" s="15"/>
      <c r="DL18" s="15"/>
      <c r="DM18" s="15"/>
      <c r="DN18" s="15"/>
      <c r="DO18" s="36" t="str">
        <f t="shared" si="43"/>
        <v/>
      </c>
      <c r="DP18" s="36" t="str">
        <f t="shared" si="44"/>
        <v/>
      </c>
      <c r="DQ18" s="36" t="str">
        <f t="shared" si="45"/>
        <v/>
      </c>
      <c r="DR18" s="36" t="str">
        <f t="shared" si="46"/>
        <v/>
      </c>
      <c r="DS18" s="36" t="str">
        <f t="shared" si="47"/>
        <v/>
      </c>
      <c r="DT18" s="36" t="str">
        <f t="shared" si="48"/>
        <v/>
      </c>
      <c r="DU18" s="36" t="str">
        <f t="shared" si="49"/>
        <v/>
      </c>
      <c r="DV18" s="36" t="str">
        <f t="shared" si="50"/>
        <v/>
      </c>
      <c r="DW18" s="36" t="str">
        <f t="shared" si="51"/>
        <v/>
      </c>
      <c r="DX18" s="36" t="str">
        <f t="shared" si="52"/>
        <v/>
      </c>
      <c r="DY18" s="36" t="str">
        <f t="shared" si="53"/>
        <v/>
      </c>
      <c r="DZ18" s="36" t="str">
        <f t="shared" si="54"/>
        <v/>
      </c>
      <c r="EA18" s="36" t="str">
        <f t="shared" si="55"/>
        <v/>
      </c>
      <c r="EB18" s="36" t="str">
        <f t="shared" si="56"/>
        <v/>
      </c>
      <c r="EC18" s="16"/>
      <c r="ED18" s="16"/>
      <c r="EE18" s="16"/>
      <c r="EF18" s="16"/>
      <c r="EG18" s="16"/>
      <c r="EH18" s="16"/>
      <c r="EI18" s="16"/>
      <c r="EJ18" s="16"/>
      <c r="EK18" s="16"/>
      <c r="EL18" s="16"/>
      <c r="EM18" s="16"/>
      <c r="EN18" s="16"/>
      <c r="EO18" s="16"/>
      <c r="EP18" s="16"/>
      <c r="EQ18" s="16"/>
      <c r="ER18" s="16"/>
      <c r="ES18" s="16"/>
      <c r="ET18" s="16"/>
      <c r="EU18" s="16"/>
      <c r="EV18" s="16"/>
      <c r="EW18" s="11" t="str">
        <f t="shared" si="57"/>
        <v/>
      </c>
      <c r="EX18" s="11" t="str">
        <f t="shared" si="58"/>
        <v/>
      </c>
      <c r="EY18" s="11" t="str">
        <f t="shared" si="59"/>
        <v/>
      </c>
      <c r="EZ18" s="11" t="str">
        <f t="shared" si="60"/>
        <v/>
      </c>
      <c r="FA18" s="11" t="str">
        <f t="shared" si="61"/>
        <v/>
      </c>
      <c r="FB18" s="11" t="str">
        <f t="shared" si="62"/>
        <v/>
      </c>
      <c r="FC18" s="11" t="str">
        <f t="shared" si="63"/>
        <v/>
      </c>
      <c r="FD18" s="11" t="str">
        <f t="shared" si="64"/>
        <v/>
      </c>
      <c r="FE18" s="11" t="str">
        <f t="shared" si="65"/>
        <v/>
      </c>
      <c r="FF18" s="11" t="str">
        <f t="shared" si="66"/>
        <v/>
      </c>
      <c r="FG18" s="11" t="str">
        <f t="shared" si="67"/>
        <v/>
      </c>
      <c r="FH18" s="11" t="str">
        <f t="shared" si="68"/>
        <v/>
      </c>
      <c r="FI18" s="11" t="str">
        <f t="shared" si="69"/>
        <v/>
      </c>
      <c r="FJ18" s="11" t="str">
        <f t="shared" si="70"/>
        <v/>
      </c>
      <c r="FK18" s="15"/>
      <c r="FL18" s="15"/>
      <c r="FM18" s="15"/>
      <c r="FN18" s="15"/>
      <c r="FO18" s="15"/>
      <c r="FP18" s="15"/>
      <c r="FQ18" s="15"/>
      <c r="FR18" s="15"/>
      <c r="FS18" s="15"/>
      <c r="FT18" s="15"/>
      <c r="FU18" s="15"/>
      <c r="FV18" s="15"/>
      <c r="FW18" s="15"/>
      <c r="FX18" s="15"/>
      <c r="FY18" s="15"/>
      <c r="FZ18" s="15"/>
      <c r="GA18" s="15"/>
      <c r="GB18" s="15"/>
      <c r="GC18" s="15"/>
      <c r="GD18" s="15"/>
      <c r="GE18" s="36" t="str">
        <f t="shared" si="71"/>
        <v/>
      </c>
      <c r="GF18" s="36" t="str">
        <f t="shared" si="72"/>
        <v/>
      </c>
      <c r="GG18" s="36" t="str">
        <f t="shared" si="73"/>
        <v/>
      </c>
      <c r="GH18" s="36" t="str">
        <f t="shared" si="74"/>
        <v/>
      </c>
      <c r="GI18" s="36" t="str">
        <f t="shared" si="75"/>
        <v/>
      </c>
      <c r="GJ18" s="36" t="str">
        <f t="shared" si="76"/>
        <v/>
      </c>
      <c r="GK18" s="36" t="str">
        <f t="shared" si="77"/>
        <v/>
      </c>
      <c r="GL18" s="36" t="str">
        <f t="shared" si="78"/>
        <v/>
      </c>
      <c r="GM18" s="36" t="str">
        <f t="shared" si="79"/>
        <v/>
      </c>
      <c r="GN18" s="36" t="str">
        <f t="shared" si="80"/>
        <v/>
      </c>
      <c r="GO18" s="36" t="str">
        <f t="shared" si="81"/>
        <v/>
      </c>
      <c r="GP18" s="36" t="str">
        <f t="shared" si="82"/>
        <v/>
      </c>
      <c r="GQ18" s="36" t="str">
        <f t="shared" si="83"/>
        <v/>
      </c>
      <c r="GR18" s="36" t="str">
        <f t="shared" si="84"/>
        <v/>
      </c>
      <c r="GS18" s="16"/>
      <c r="GT18" s="16"/>
      <c r="GU18" s="16"/>
      <c r="GV18" s="16"/>
      <c r="GW18" s="16"/>
      <c r="GX18" s="16"/>
      <c r="GY18" s="16"/>
      <c r="GZ18" s="16"/>
      <c r="HA18" s="16"/>
      <c r="HB18" s="16"/>
      <c r="HC18" s="16"/>
      <c r="HD18" s="16"/>
      <c r="HE18" s="16"/>
      <c r="HF18" s="16"/>
      <c r="HG18" s="16"/>
      <c r="HH18" s="16"/>
      <c r="HI18" s="16"/>
      <c r="HJ18" s="16"/>
      <c r="HK18" s="16"/>
      <c r="HL18" s="16"/>
      <c r="HM18" s="11" t="str">
        <f t="shared" si="85"/>
        <v/>
      </c>
      <c r="HN18" s="11" t="str">
        <f t="shared" si="86"/>
        <v/>
      </c>
      <c r="HO18" s="11" t="str">
        <f t="shared" si="87"/>
        <v/>
      </c>
      <c r="HP18" s="11" t="str">
        <f t="shared" si="88"/>
        <v/>
      </c>
      <c r="HQ18" s="11" t="str">
        <f t="shared" si="89"/>
        <v/>
      </c>
      <c r="HR18" s="11" t="str">
        <f t="shared" si="90"/>
        <v/>
      </c>
      <c r="HS18" s="11" t="str">
        <f t="shared" si="91"/>
        <v/>
      </c>
      <c r="HT18" s="11" t="str">
        <f t="shared" si="92"/>
        <v/>
      </c>
      <c r="HU18" s="11" t="str">
        <f t="shared" si="93"/>
        <v/>
      </c>
      <c r="HV18" s="11" t="str">
        <f t="shared" si="94"/>
        <v/>
      </c>
      <c r="HW18" s="11" t="str">
        <f t="shared" si="95"/>
        <v/>
      </c>
      <c r="HX18" s="11" t="str">
        <f t="shared" si="96"/>
        <v/>
      </c>
      <c r="HY18" s="11" t="str">
        <f t="shared" si="97"/>
        <v/>
      </c>
      <c r="HZ18" s="11" t="str">
        <f t="shared" si="98"/>
        <v/>
      </c>
      <c r="IA18" s="15"/>
      <c r="IB18" s="15"/>
      <c r="IC18" s="15"/>
      <c r="ID18" s="15"/>
      <c r="IE18" s="15"/>
      <c r="IF18" s="15"/>
      <c r="IG18" s="15"/>
      <c r="IH18" s="15"/>
      <c r="II18" s="15"/>
      <c r="IJ18" s="15"/>
      <c r="IK18" s="15"/>
      <c r="IL18" s="15"/>
      <c r="IM18" s="15"/>
      <c r="IN18" s="15"/>
      <c r="IO18" s="15"/>
      <c r="IP18" s="15"/>
      <c r="IQ18" s="15"/>
      <c r="IR18" s="15"/>
      <c r="IS18" s="15"/>
      <c r="IT18" s="15"/>
      <c r="IU18" s="36" t="str">
        <f t="shared" si="99"/>
        <v/>
      </c>
      <c r="IV18" s="36" t="str">
        <f t="shared" si="100"/>
        <v/>
      </c>
      <c r="IW18" s="36" t="str">
        <f t="shared" si="101"/>
        <v/>
      </c>
      <c r="IX18" s="36" t="str">
        <f t="shared" si="102"/>
        <v/>
      </c>
      <c r="IY18" s="36" t="str">
        <f t="shared" si="103"/>
        <v/>
      </c>
      <c r="IZ18" s="36" t="str">
        <f t="shared" si="104"/>
        <v/>
      </c>
      <c r="JA18" s="36" t="str">
        <f t="shared" si="105"/>
        <v/>
      </c>
      <c r="JB18" s="36" t="str">
        <f t="shared" si="106"/>
        <v/>
      </c>
      <c r="JC18" s="36" t="str">
        <f t="shared" si="107"/>
        <v/>
      </c>
      <c r="JD18" s="36" t="str">
        <f t="shared" si="108"/>
        <v/>
      </c>
      <c r="JE18" s="36" t="str">
        <f t="shared" si="109"/>
        <v/>
      </c>
      <c r="JF18" s="36" t="str">
        <f t="shared" si="110"/>
        <v/>
      </c>
      <c r="JG18" s="36" t="str">
        <f t="shared" si="111"/>
        <v/>
      </c>
      <c r="JH18" s="36" t="str">
        <f t="shared" si="112"/>
        <v/>
      </c>
      <c r="JI18" s="16"/>
      <c r="JJ18" s="16"/>
      <c r="JK18" s="16"/>
      <c r="JL18" s="16"/>
      <c r="JM18" s="16"/>
      <c r="JN18" s="16"/>
      <c r="JO18" s="16"/>
      <c r="JP18" s="16"/>
      <c r="JQ18" s="16"/>
      <c r="JR18" s="16"/>
      <c r="JS18" s="16"/>
      <c r="JT18" s="16"/>
      <c r="JU18" s="16"/>
      <c r="JV18" s="16"/>
      <c r="JW18" s="16"/>
      <c r="JX18" s="16"/>
      <c r="JY18" s="16"/>
      <c r="JZ18" s="16"/>
      <c r="KA18" s="16"/>
      <c r="KB18" s="16"/>
      <c r="KC18" s="11" t="str">
        <f t="shared" si="113"/>
        <v/>
      </c>
      <c r="KD18" s="11" t="str">
        <f t="shared" si="114"/>
        <v/>
      </c>
      <c r="KE18" s="11" t="str">
        <f t="shared" si="115"/>
        <v/>
      </c>
      <c r="KF18" s="11" t="str">
        <f t="shared" si="116"/>
        <v/>
      </c>
      <c r="KG18" s="11" t="str">
        <f t="shared" si="117"/>
        <v/>
      </c>
      <c r="KH18" s="11" t="str">
        <f t="shared" si="118"/>
        <v/>
      </c>
      <c r="KI18" s="11" t="str">
        <f t="shared" si="119"/>
        <v/>
      </c>
      <c r="KJ18" s="11" t="str">
        <f t="shared" si="120"/>
        <v/>
      </c>
      <c r="KK18" s="11" t="str">
        <f t="shared" si="121"/>
        <v/>
      </c>
      <c r="KL18" s="11" t="str">
        <f t="shared" si="122"/>
        <v/>
      </c>
      <c r="KM18" s="11" t="str">
        <f t="shared" si="123"/>
        <v/>
      </c>
      <c r="KN18" s="11" t="str">
        <f t="shared" si="124"/>
        <v/>
      </c>
      <c r="KO18" s="11" t="str">
        <f t="shared" si="125"/>
        <v/>
      </c>
      <c r="KP18" s="11" t="str">
        <f t="shared" si="126"/>
        <v/>
      </c>
      <c r="KQ18" s="15"/>
      <c r="KR18" s="15"/>
      <c r="KS18" s="15"/>
      <c r="KT18" s="15"/>
      <c r="KU18" s="15"/>
      <c r="KV18" s="15"/>
      <c r="KW18" s="15"/>
      <c r="KX18" s="15"/>
      <c r="KY18" s="15"/>
      <c r="KZ18" s="15"/>
      <c r="LA18" s="15"/>
      <c r="LB18" s="15"/>
      <c r="LC18" s="15"/>
      <c r="LD18" s="15"/>
      <c r="LE18" s="15"/>
      <c r="LF18" s="15"/>
      <c r="LG18" s="15"/>
      <c r="LH18" s="15"/>
      <c r="LI18" s="15"/>
      <c r="LJ18" s="15"/>
      <c r="LK18" s="36" t="str">
        <f t="shared" si="127"/>
        <v/>
      </c>
      <c r="LL18" s="36" t="str">
        <f t="shared" si="128"/>
        <v/>
      </c>
      <c r="LM18" s="36" t="str">
        <f t="shared" si="129"/>
        <v/>
      </c>
      <c r="LN18" s="36" t="str">
        <f t="shared" si="130"/>
        <v/>
      </c>
      <c r="LO18" s="36" t="str">
        <f t="shared" si="131"/>
        <v/>
      </c>
      <c r="LP18" s="36" t="str">
        <f t="shared" si="132"/>
        <v/>
      </c>
      <c r="LQ18" s="36" t="str">
        <f t="shared" si="133"/>
        <v/>
      </c>
      <c r="LR18" s="36" t="str">
        <f t="shared" si="134"/>
        <v/>
      </c>
      <c r="LS18" s="36" t="str">
        <f t="shared" si="135"/>
        <v/>
      </c>
      <c r="LT18" s="36" t="str">
        <f t="shared" si="136"/>
        <v/>
      </c>
      <c r="LU18" s="36" t="str">
        <f t="shared" si="137"/>
        <v/>
      </c>
      <c r="LV18" s="36" t="str">
        <f t="shared" si="138"/>
        <v/>
      </c>
      <c r="LW18" s="36" t="str">
        <f t="shared" si="139"/>
        <v/>
      </c>
      <c r="LX18" s="36" t="str">
        <f t="shared" si="140"/>
        <v/>
      </c>
      <c r="LY18" s="16"/>
      <c r="LZ18" s="16"/>
      <c r="MA18" s="16"/>
      <c r="MB18" s="16"/>
      <c r="MC18" s="16"/>
      <c r="MD18" s="16"/>
      <c r="ME18" s="16"/>
      <c r="MF18" s="16"/>
      <c r="MG18" s="16"/>
      <c r="MH18" s="16"/>
      <c r="MI18" s="16"/>
      <c r="MJ18" s="16"/>
      <c r="MK18" s="16"/>
      <c r="ML18" s="16"/>
      <c r="MM18" s="16"/>
      <c r="MN18" s="16"/>
      <c r="MO18" s="16"/>
      <c r="MP18" s="16"/>
      <c r="MQ18" s="16"/>
      <c r="MR18" s="16"/>
      <c r="MS18" s="11" t="str">
        <f t="shared" si="141"/>
        <v/>
      </c>
      <c r="MT18" s="11" t="str">
        <f t="shared" si="142"/>
        <v/>
      </c>
      <c r="MU18" s="11" t="str">
        <f t="shared" si="143"/>
        <v/>
      </c>
      <c r="MV18" s="11" t="str">
        <f t="shared" si="144"/>
        <v/>
      </c>
      <c r="MW18" s="11" t="str">
        <f t="shared" si="145"/>
        <v/>
      </c>
      <c r="MX18" s="11" t="str">
        <f t="shared" si="146"/>
        <v/>
      </c>
      <c r="MY18" s="11" t="str">
        <f t="shared" si="147"/>
        <v/>
      </c>
      <c r="MZ18" s="11" t="str">
        <f t="shared" si="148"/>
        <v/>
      </c>
      <c r="NA18" s="11" t="str">
        <f t="shared" si="149"/>
        <v/>
      </c>
      <c r="NB18" s="11" t="str">
        <f t="shared" si="150"/>
        <v/>
      </c>
      <c r="NC18" s="11" t="str">
        <f t="shared" si="151"/>
        <v/>
      </c>
      <c r="ND18" s="11" t="str">
        <f t="shared" si="152"/>
        <v/>
      </c>
      <c r="NE18" s="11" t="str">
        <f t="shared" si="153"/>
        <v/>
      </c>
      <c r="NF18" s="11" t="str">
        <f t="shared" si="154"/>
        <v/>
      </c>
      <c r="NG18" s="15"/>
      <c r="NH18" s="15"/>
      <c r="NI18" s="15"/>
      <c r="NJ18" s="15"/>
      <c r="NK18" s="15"/>
      <c r="NL18" s="15"/>
      <c r="NM18" s="15"/>
      <c r="NN18" s="15"/>
      <c r="NO18" s="15"/>
      <c r="NP18" s="15"/>
      <c r="NQ18" s="15"/>
      <c r="NR18" s="15"/>
      <c r="NS18" s="15"/>
      <c r="NT18" s="15"/>
      <c r="NU18" s="15"/>
      <c r="NV18" s="15"/>
      <c r="NW18" s="15"/>
      <c r="NX18" s="15"/>
      <c r="NY18" s="15"/>
      <c r="NZ18" s="15"/>
      <c r="OA18" s="36" t="str">
        <f t="shared" si="155"/>
        <v/>
      </c>
      <c r="OB18" s="36" t="str">
        <f t="shared" si="156"/>
        <v/>
      </c>
      <c r="OC18" s="36" t="str">
        <f t="shared" si="157"/>
        <v/>
      </c>
      <c r="OD18" s="36" t="str">
        <f t="shared" si="158"/>
        <v/>
      </c>
      <c r="OE18" s="36" t="str">
        <f t="shared" si="159"/>
        <v/>
      </c>
      <c r="OF18" s="36" t="str">
        <f t="shared" si="160"/>
        <v/>
      </c>
      <c r="OG18" s="36" t="str">
        <f t="shared" si="161"/>
        <v/>
      </c>
      <c r="OH18" s="36" t="str">
        <f t="shared" si="162"/>
        <v/>
      </c>
      <c r="OI18" s="36" t="str">
        <f t="shared" si="163"/>
        <v/>
      </c>
      <c r="OJ18" s="36" t="str">
        <f t="shared" si="164"/>
        <v/>
      </c>
      <c r="OK18" s="36" t="str">
        <f t="shared" si="165"/>
        <v/>
      </c>
      <c r="OL18" s="36" t="str">
        <f t="shared" si="166"/>
        <v/>
      </c>
      <c r="OM18" s="36" t="str">
        <f t="shared" si="167"/>
        <v/>
      </c>
      <c r="ON18" s="36" t="str">
        <f t="shared" si="168"/>
        <v/>
      </c>
      <c r="OO18" s="16"/>
      <c r="OP18" s="16"/>
      <c r="OQ18" s="16"/>
      <c r="OR18" s="16"/>
      <c r="OS18" s="16"/>
      <c r="OT18" s="16"/>
      <c r="OU18" s="16"/>
      <c r="OV18" s="16"/>
      <c r="OW18" s="16"/>
      <c r="OX18" s="16"/>
      <c r="OY18" s="16"/>
      <c r="OZ18" s="16"/>
      <c r="PA18" s="16"/>
      <c r="PB18" s="16"/>
      <c r="PC18" s="16"/>
      <c r="PD18" s="16"/>
      <c r="PE18" s="16"/>
      <c r="PF18" s="16"/>
      <c r="PG18" s="16"/>
      <c r="PH18" s="16"/>
      <c r="PI18" s="11" t="str">
        <f t="shared" si="169"/>
        <v/>
      </c>
      <c r="PJ18" s="11" t="str">
        <f t="shared" si="170"/>
        <v/>
      </c>
      <c r="PK18" s="11" t="str">
        <f t="shared" si="171"/>
        <v/>
      </c>
      <c r="PL18" s="11" t="str">
        <f t="shared" si="172"/>
        <v/>
      </c>
      <c r="PM18" s="11" t="str">
        <f t="shared" si="173"/>
        <v/>
      </c>
      <c r="PN18" s="11" t="str">
        <f t="shared" si="174"/>
        <v/>
      </c>
      <c r="PO18" s="11" t="str">
        <f t="shared" si="175"/>
        <v/>
      </c>
      <c r="PP18" s="11" t="str">
        <f t="shared" si="176"/>
        <v/>
      </c>
      <c r="PQ18" s="11" t="str">
        <f t="shared" si="177"/>
        <v/>
      </c>
      <c r="PR18" s="11" t="str">
        <f t="shared" si="178"/>
        <v/>
      </c>
      <c r="PS18" s="11" t="str">
        <f t="shared" si="179"/>
        <v/>
      </c>
      <c r="PT18" s="11" t="str">
        <f t="shared" si="180"/>
        <v/>
      </c>
      <c r="PU18" s="11" t="str">
        <f t="shared" si="181"/>
        <v/>
      </c>
      <c r="PV18" s="11" t="str">
        <f t="shared" si="182"/>
        <v/>
      </c>
      <c r="PW18" s="15"/>
      <c r="PX18" s="15"/>
      <c r="PY18" s="15"/>
      <c r="PZ18" s="15"/>
      <c r="QA18" s="15"/>
      <c r="QB18" s="15"/>
      <c r="QC18" s="15"/>
      <c r="QD18" s="15"/>
      <c r="QE18" s="15"/>
      <c r="QF18" s="15"/>
      <c r="QG18" s="15"/>
      <c r="QH18" s="15"/>
      <c r="QI18" s="15"/>
      <c r="QJ18" s="15"/>
      <c r="QK18" s="15"/>
      <c r="QL18" s="15"/>
      <c r="QM18" s="15"/>
      <c r="QN18" s="15"/>
      <c r="QO18" s="15"/>
      <c r="QP18" s="15"/>
      <c r="QQ18" s="36" t="str">
        <f t="shared" si="183"/>
        <v/>
      </c>
      <c r="QR18" s="36" t="str">
        <f t="shared" si="184"/>
        <v/>
      </c>
      <c r="QS18" s="36" t="str">
        <f t="shared" si="185"/>
        <v/>
      </c>
      <c r="QT18" s="36" t="str">
        <f t="shared" si="186"/>
        <v/>
      </c>
      <c r="QU18" s="36" t="str">
        <f t="shared" si="187"/>
        <v/>
      </c>
      <c r="QV18" s="36" t="str">
        <f t="shared" si="188"/>
        <v/>
      </c>
      <c r="QW18" s="36" t="str">
        <f t="shared" si="189"/>
        <v/>
      </c>
      <c r="QX18" s="36" t="str">
        <f t="shared" si="190"/>
        <v/>
      </c>
      <c r="QY18" s="36" t="str">
        <f t="shared" si="191"/>
        <v/>
      </c>
      <c r="QZ18" s="36" t="str">
        <f t="shared" si="192"/>
        <v/>
      </c>
      <c r="RA18" s="36" t="str">
        <f t="shared" si="193"/>
        <v/>
      </c>
      <c r="RB18" s="36" t="str">
        <f t="shared" si="194"/>
        <v/>
      </c>
      <c r="RC18" s="36" t="str">
        <f t="shared" si="195"/>
        <v/>
      </c>
      <c r="RD18" s="36" t="str">
        <f t="shared" si="196"/>
        <v/>
      </c>
      <c r="RE18" s="16"/>
      <c r="RF18" s="16"/>
      <c r="RG18" s="16"/>
      <c r="RH18" s="16"/>
      <c r="RI18" s="16"/>
      <c r="RJ18" s="16"/>
      <c r="RK18" s="16"/>
      <c r="RL18" s="16"/>
      <c r="RM18" s="16"/>
      <c r="RN18" s="16"/>
      <c r="RO18" s="16"/>
      <c r="RP18" s="16"/>
      <c r="RQ18" s="16"/>
      <c r="RR18" s="16"/>
      <c r="RS18" s="16"/>
      <c r="RT18" s="16"/>
      <c r="RU18" s="16"/>
      <c r="RV18" s="16"/>
      <c r="RW18" s="16"/>
      <c r="RX18" s="16"/>
      <c r="RY18" s="11" t="str">
        <f t="shared" si="197"/>
        <v/>
      </c>
      <c r="RZ18" s="11" t="str">
        <f t="shared" si="198"/>
        <v/>
      </c>
      <c r="SA18" s="11" t="str">
        <f t="shared" si="199"/>
        <v/>
      </c>
      <c r="SB18" s="11" t="str">
        <f t="shared" si="200"/>
        <v/>
      </c>
      <c r="SC18" s="11" t="str">
        <f t="shared" si="201"/>
        <v/>
      </c>
      <c r="SD18" s="11" t="str">
        <f t="shared" si="202"/>
        <v/>
      </c>
      <c r="SE18" s="11" t="str">
        <f t="shared" si="203"/>
        <v/>
      </c>
      <c r="SF18" s="11" t="str">
        <f t="shared" si="204"/>
        <v/>
      </c>
      <c r="SG18" s="11" t="str">
        <f t="shared" si="205"/>
        <v/>
      </c>
      <c r="SH18" s="11" t="str">
        <f t="shared" si="206"/>
        <v/>
      </c>
      <c r="SI18" s="11" t="str">
        <f t="shared" si="207"/>
        <v/>
      </c>
      <c r="SJ18" s="11" t="str">
        <f t="shared" si="208"/>
        <v/>
      </c>
      <c r="SK18" s="11" t="str">
        <f t="shared" si="209"/>
        <v/>
      </c>
      <c r="SL18" s="11" t="str">
        <f t="shared" si="210"/>
        <v/>
      </c>
      <c r="SM18" s="15"/>
      <c r="SN18" s="15"/>
      <c r="SO18" s="15"/>
      <c r="SP18" s="15"/>
      <c r="SQ18" s="15"/>
      <c r="SR18" s="15"/>
      <c r="SS18" s="15"/>
      <c r="ST18" s="15"/>
      <c r="SU18" s="15"/>
      <c r="SV18" s="15"/>
      <c r="SW18" s="15"/>
      <c r="SX18" s="15"/>
      <c r="SY18" s="15"/>
      <c r="SZ18" s="15"/>
      <c r="TA18" s="15"/>
      <c r="TB18" s="15"/>
      <c r="TC18" s="15"/>
      <c r="TD18" s="15"/>
      <c r="TE18" s="15"/>
      <c r="TF18" s="15"/>
      <c r="TG18" s="36" t="str">
        <f t="shared" si="211"/>
        <v/>
      </c>
      <c r="TH18" s="36" t="str">
        <f t="shared" si="212"/>
        <v/>
      </c>
      <c r="TI18" s="36" t="str">
        <f t="shared" si="213"/>
        <v/>
      </c>
      <c r="TJ18" s="36" t="str">
        <f t="shared" si="214"/>
        <v/>
      </c>
      <c r="TK18" s="36" t="str">
        <f t="shared" si="215"/>
        <v/>
      </c>
      <c r="TL18" s="36" t="str">
        <f t="shared" si="216"/>
        <v/>
      </c>
      <c r="TM18" s="36" t="str">
        <f t="shared" si="217"/>
        <v/>
      </c>
      <c r="TN18" s="36" t="str">
        <f t="shared" si="218"/>
        <v/>
      </c>
      <c r="TO18" s="36" t="str">
        <f t="shared" si="219"/>
        <v/>
      </c>
      <c r="TP18" s="36" t="str">
        <f t="shared" si="220"/>
        <v/>
      </c>
      <c r="TQ18" s="36" t="str">
        <f t="shared" si="221"/>
        <v/>
      </c>
      <c r="TR18" s="36" t="str">
        <f t="shared" si="222"/>
        <v/>
      </c>
      <c r="TS18" s="36" t="str">
        <f t="shared" si="223"/>
        <v/>
      </c>
      <c r="TT18" s="36" t="str">
        <f t="shared" si="224"/>
        <v/>
      </c>
      <c r="TU18" s="16"/>
      <c r="TV18" s="16"/>
      <c r="TW18" s="16"/>
      <c r="TX18" s="16"/>
      <c r="TY18" s="16"/>
      <c r="TZ18" s="16"/>
      <c r="UA18" s="16"/>
      <c r="UB18" s="16"/>
      <c r="UC18" s="16"/>
      <c r="UD18" s="16"/>
      <c r="UE18" s="16"/>
      <c r="UF18" s="16"/>
      <c r="UG18" s="16"/>
      <c r="UH18" s="16"/>
      <c r="UI18" s="16"/>
      <c r="UJ18" s="16"/>
      <c r="UK18" s="16"/>
      <c r="UL18" s="16"/>
      <c r="UM18" s="16"/>
      <c r="UN18" s="16"/>
      <c r="UO18" s="11" t="str">
        <f t="shared" si="225"/>
        <v/>
      </c>
      <c r="UP18" s="11" t="str">
        <f t="shared" si="226"/>
        <v/>
      </c>
      <c r="UQ18" s="11" t="str">
        <f t="shared" si="227"/>
        <v/>
      </c>
      <c r="UR18" s="11" t="str">
        <f t="shared" si="228"/>
        <v/>
      </c>
      <c r="US18" s="11" t="str">
        <f t="shared" si="229"/>
        <v/>
      </c>
      <c r="UT18" s="11" t="str">
        <f t="shared" si="230"/>
        <v/>
      </c>
      <c r="UU18" s="11" t="str">
        <f t="shared" si="231"/>
        <v/>
      </c>
      <c r="UV18" s="11" t="str">
        <f t="shared" si="232"/>
        <v/>
      </c>
      <c r="UW18" s="11" t="str">
        <f t="shared" si="233"/>
        <v/>
      </c>
      <c r="UX18" s="11" t="str">
        <f t="shared" si="234"/>
        <v/>
      </c>
      <c r="UY18" s="11" t="str">
        <f t="shared" si="235"/>
        <v/>
      </c>
      <c r="UZ18" s="11" t="str">
        <f t="shared" si="236"/>
        <v/>
      </c>
      <c r="VA18" s="11" t="str">
        <f t="shared" si="237"/>
        <v/>
      </c>
      <c r="VB18" s="11" t="str">
        <f t="shared" si="238"/>
        <v/>
      </c>
      <c r="VC18" s="15"/>
      <c r="VD18" s="15"/>
      <c r="VE18" s="15"/>
      <c r="VF18" s="15"/>
      <c r="VG18" s="15"/>
      <c r="VH18" s="15"/>
      <c r="VI18" s="15"/>
      <c r="VJ18" s="15"/>
      <c r="VK18" s="15"/>
      <c r="VL18" s="15"/>
      <c r="VM18" s="15"/>
      <c r="VN18" s="15"/>
      <c r="VO18" s="15"/>
      <c r="VP18" s="15"/>
      <c r="VQ18" s="15"/>
      <c r="VR18" s="15"/>
      <c r="VS18" s="15"/>
      <c r="VT18" s="15"/>
      <c r="VU18" s="15"/>
      <c r="VV18" s="15"/>
      <c r="VW18" s="36" t="str">
        <f t="shared" si="239"/>
        <v/>
      </c>
      <c r="VX18" s="36" t="str">
        <f t="shared" si="240"/>
        <v/>
      </c>
      <c r="VY18" s="36" t="str">
        <f t="shared" si="241"/>
        <v/>
      </c>
      <c r="VZ18" s="36" t="str">
        <f t="shared" si="242"/>
        <v/>
      </c>
      <c r="WA18" s="36" t="str">
        <f t="shared" si="243"/>
        <v/>
      </c>
      <c r="WB18" s="36" t="str">
        <f t="shared" si="244"/>
        <v/>
      </c>
      <c r="WC18" s="36" t="str">
        <f t="shared" si="245"/>
        <v/>
      </c>
      <c r="WD18" s="36" t="str">
        <f t="shared" si="246"/>
        <v/>
      </c>
      <c r="WE18" s="36" t="str">
        <f t="shared" si="247"/>
        <v/>
      </c>
      <c r="WF18" s="36" t="str">
        <f t="shared" si="248"/>
        <v/>
      </c>
      <c r="WG18" s="36" t="str">
        <f t="shared" si="249"/>
        <v/>
      </c>
      <c r="WH18" s="36" t="str">
        <f t="shared" si="250"/>
        <v/>
      </c>
      <c r="WI18" s="36" t="str">
        <f t="shared" si="251"/>
        <v/>
      </c>
      <c r="WJ18" s="36" t="str">
        <f t="shared" si="252"/>
        <v/>
      </c>
    </row>
    <row r="19" spans="1:608" x14ac:dyDescent="0.2">
      <c r="A19" s="4" t="str" cm="1">
        <f t="array" ref="A19">IF(AND(H19&lt;&gt;"",H19&lt;&gt;"No DD",I19&lt;&gt;"P"),SUMPRODUCT((H$4:H$28&lt;&gt;"")*(H$4:H$28&lt;&gt;"No DD")*(I$4:I$28&lt;&gt;"P")*(E$4:E$28&gt;E19))+1,IF(H19="No DD",SUMPRODUCT((H$4:H$28="No DD")*(I$4:I$28&lt;&gt;"P")*(E$4:E$28&gt;E19))+1+SUMPRODUCT((H$4:H$28&lt;&gt;"")*(I$4:I$28&lt;&gt;"P")*(H$4:H$28&lt;&gt;"No DD")),""))</f>
        <v/>
      </c>
      <c r="B19" s="5" t="s">
        <v>200</v>
      </c>
      <c r="C19" s="4" t="s">
        <v>3</v>
      </c>
      <c r="D19" s="4">
        <v>2006</v>
      </c>
      <c r="E19" s="9">
        <f t="shared" si="0"/>
        <v>97.860009786004881</v>
      </c>
      <c r="F19" s="3" t="str">
        <f t="shared" si="1"/>
        <v/>
      </c>
      <c r="G19" s="3" t="str">
        <f t="shared" si="2"/>
        <v/>
      </c>
      <c r="H19" s="32" t="str">
        <f t="shared" si="3"/>
        <v/>
      </c>
      <c r="I19" s="3" t="str">
        <f>IF(COUNTIFS('Senior-M'!B:B,B19,'Senior-M'!A:A,"&lt;9",'Senior-M'!H:H,"&lt;&gt;"&amp;"No DD"),"P","")</f>
        <v/>
      </c>
      <c r="J19" s="8">
        <f t="shared" si="4"/>
        <v>48.949999999999996</v>
      </c>
      <c r="K19" s="8" t="str">
        <f t="shared" si="5"/>
        <v>2025 Elite Canada</v>
      </c>
      <c r="L19" s="8">
        <f>IFERROR(LARGE((AI19,AL19,AP19,BJ19,BM19,BQ19,CK19,CN19,CR19),2),0)</f>
        <v>48.91</v>
      </c>
      <c r="M19" s="8" t="str">
        <f t="shared" si="6"/>
        <v>2025 Elite Canada</v>
      </c>
      <c r="N19" s="8">
        <f t="shared" si="7"/>
        <v>0</v>
      </c>
      <c r="O19" s="11" t="str">
        <f>IF(N19=0,"",IF(N19=CT19,"("&amp;CT$2&amp;")",IF(N19=#REF!,"("&amp;#REF!&amp;")")))</f>
        <v/>
      </c>
      <c r="P19" s="8" t="str">
        <f t="shared" si="8"/>
        <v/>
      </c>
      <c r="Q19" s="18">
        <v>11.6</v>
      </c>
      <c r="R19" s="18">
        <v>9.1</v>
      </c>
      <c r="S19" s="18">
        <v>14.1</v>
      </c>
      <c r="T19" s="18">
        <v>14.15</v>
      </c>
      <c r="U19" s="18">
        <v>0</v>
      </c>
      <c r="V19" s="18">
        <v>1</v>
      </c>
      <c r="W19" s="18">
        <v>0.8</v>
      </c>
      <c r="X19" s="18">
        <v>2</v>
      </c>
      <c r="Y19" s="18">
        <v>1.6</v>
      </c>
      <c r="Z19" s="18">
        <v>0</v>
      </c>
      <c r="AA19" s="18">
        <v>12.4</v>
      </c>
      <c r="AB19" s="18">
        <v>9.4</v>
      </c>
      <c r="AC19" s="18">
        <v>12.7</v>
      </c>
      <c r="AD19" s="18">
        <v>14.41</v>
      </c>
      <c r="AE19" s="18">
        <v>0</v>
      </c>
      <c r="AF19" s="23"/>
      <c r="AG19" s="34">
        <f t="shared" si="9"/>
        <v>14.1</v>
      </c>
      <c r="AH19" s="34">
        <f t="shared" si="10"/>
        <v>14.15</v>
      </c>
      <c r="AI19" s="36">
        <f t="shared" si="11"/>
        <v>48.949999999999996</v>
      </c>
      <c r="AJ19" s="36">
        <f t="shared" si="12"/>
        <v>2</v>
      </c>
      <c r="AK19" s="36">
        <f t="shared" si="13"/>
        <v>1.6</v>
      </c>
      <c r="AL19" s="36">
        <f t="shared" si="14"/>
        <v>5.4</v>
      </c>
      <c r="AM19" s="36">
        <f t="shared" si="15"/>
        <v>48.949999999999996</v>
      </c>
      <c r="AN19" s="36">
        <f t="shared" si="16"/>
        <v>12.7</v>
      </c>
      <c r="AO19" s="36">
        <f t="shared" si="17"/>
        <v>14.41</v>
      </c>
      <c r="AP19" s="36">
        <f t="shared" si="18"/>
        <v>48.91</v>
      </c>
      <c r="AQ19" s="36">
        <f t="shared" si="19"/>
        <v>97.859999999999985</v>
      </c>
      <c r="AR19" s="22">
        <v>11.9</v>
      </c>
      <c r="AS19" s="22">
        <v>8.5</v>
      </c>
      <c r="AT19" s="22">
        <v>11.3</v>
      </c>
      <c r="AU19" s="22">
        <v>14.57</v>
      </c>
      <c r="AV19" s="22">
        <v>1</v>
      </c>
      <c r="AW19" s="22">
        <v>1.2</v>
      </c>
      <c r="AX19" s="22">
        <v>0.8</v>
      </c>
      <c r="AY19" s="22">
        <v>1.7</v>
      </c>
      <c r="AZ19" s="22">
        <v>1.67</v>
      </c>
      <c r="BA19" s="22">
        <v>0</v>
      </c>
      <c r="BB19" s="22">
        <v>11.8</v>
      </c>
      <c r="BC19" s="22">
        <v>8.3000000000000007</v>
      </c>
      <c r="BD19" s="22">
        <v>14.1</v>
      </c>
      <c r="BE19" s="22">
        <v>14.52</v>
      </c>
      <c r="BF19" s="22">
        <v>0</v>
      </c>
      <c r="BG19" s="24"/>
      <c r="BH19" s="35">
        <f t="shared" si="20"/>
        <v>11.3</v>
      </c>
      <c r="BI19" s="35">
        <f t="shared" si="21"/>
        <v>14.57</v>
      </c>
      <c r="BJ19" s="11">
        <f t="shared" si="22"/>
        <v>45.269999999999996</v>
      </c>
      <c r="BK19" s="11">
        <f t="shared" si="23"/>
        <v>1.7</v>
      </c>
      <c r="BL19" s="11">
        <f t="shared" si="24"/>
        <v>1.67</v>
      </c>
      <c r="BM19" s="11">
        <f t="shared" si="25"/>
        <v>5.37</v>
      </c>
      <c r="BN19" s="11">
        <f t="shared" si="26"/>
        <v>45.269999999999996</v>
      </c>
      <c r="BO19" s="11">
        <f t="shared" si="27"/>
        <v>14.1</v>
      </c>
      <c r="BP19" s="11">
        <f t="shared" si="28"/>
        <v>14.52</v>
      </c>
      <c r="BQ19" s="11">
        <f t="shared" si="29"/>
        <v>48.72</v>
      </c>
      <c r="BR19" s="11">
        <f t="shared" si="30"/>
        <v>93.99</v>
      </c>
      <c r="BS19" s="18">
        <v>1.4</v>
      </c>
      <c r="BT19" s="18">
        <v>1</v>
      </c>
      <c r="BU19" s="18">
        <v>1.7</v>
      </c>
      <c r="BV19" s="18">
        <v>1.73</v>
      </c>
      <c r="BW19" s="18">
        <v>0.2</v>
      </c>
      <c r="BX19" s="18">
        <v>11.4</v>
      </c>
      <c r="BY19" s="18">
        <v>9.1</v>
      </c>
      <c r="BZ19" s="18">
        <v>8.1999999999999993</v>
      </c>
      <c r="CA19" s="18">
        <v>15.08</v>
      </c>
      <c r="CB19" s="18">
        <v>4.3</v>
      </c>
      <c r="CC19" s="18">
        <v>1.3</v>
      </c>
      <c r="CD19" s="18">
        <v>0.9</v>
      </c>
      <c r="CE19" s="18">
        <v>1.7</v>
      </c>
      <c r="CF19" s="18">
        <v>1.68</v>
      </c>
      <c r="CG19" s="18">
        <v>0.2</v>
      </c>
      <c r="CH19" s="23"/>
      <c r="CI19" s="34">
        <f t="shared" si="31"/>
        <v>1.7</v>
      </c>
      <c r="CJ19" s="34">
        <f t="shared" si="32"/>
        <v>1.73</v>
      </c>
      <c r="CK19" s="36">
        <f t="shared" si="33"/>
        <v>5.63</v>
      </c>
      <c r="CL19" s="36">
        <f t="shared" si="34"/>
        <v>8.1999999999999993</v>
      </c>
      <c r="CM19" s="36">
        <f t="shared" si="35"/>
        <v>15.08</v>
      </c>
      <c r="CN19" s="36">
        <f t="shared" si="36"/>
        <v>39.480000000000004</v>
      </c>
      <c r="CO19" s="36">
        <f t="shared" si="37"/>
        <v>39.480000000000004</v>
      </c>
      <c r="CP19" s="36">
        <f t="shared" si="38"/>
        <v>1.7</v>
      </c>
      <c r="CQ19" s="36">
        <f t="shared" si="39"/>
        <v>1.68</v>
      </c>
      <c r="CR19" s="36">
        <f t="shared" si="40"/>
        <v>5.38</v>
      </c>
      <c r="CS19" s="36">
        <f t="shared" si="41"/>
        <v>44.860000000000007</v>
      </c>
      <c r="CT19" s="47" t="str">
        <f t="shared" si="42"/>
        <v/>
      </c>
      <c r="CU19" s="15"/>
      <c r="CV19" s="15"/>
      <c r="CW19" s="15"/>
      <c r="CX19" s="15"/>
      <c r="CY19" s="15"/>
      <c r="CZ19" s="15"/>
      <c r="DA19" s="15"/>
      <c r="DB19" s="15"/>
      <c r="DC19" s="15"/>
      <c r="DD19" s="15"/>
      <c r="DE19" s="15"/>
      <c r="DF19" s="15"/>
      <c r="DG19" s="15"/>
      <c r="DH19" s="15"/>
      <c r="DI19" s="15"/>
      <c r="DJ19" s="15"/>
      <c r="DK19" s="15"/>
      <c r="DL19" s="15"/>
      <c r="DM19" s="15"/>
      <c r="DN19" s="15"/>
      <c r="DO19" s="36" t="str">
        <f t="shared" si="43"/>
        <v/>
      </c>
      <c r="DP19" s="36" t="str">
        <f t="shared" si="44"/>
        <v/>
      </c>
      <c r="DQ19" s="36" t="str">
        <f t="shared" si="45"/>
        <v/>
      </c>
      <c r="DR19" s="36" t="str">
        <f t="shared" si="46"/>
        <v/>
      </c>
      <c r="DS19" s="36" t="str">
        <f t="shared" si="47"/>
        <v/>
      </c>
      <c r="DT19" s="36" t="str">
        <f t="shared" si="48"/>
        <v/>
      </c>
      <c r="DU19" s="36" t="str">
        <f t="shared" si="49"/>
        <v/>
      </c>
      <c r="DV19" s="36" t="str">
        <f t="shared" si="50"/>
        <v/>
      </c>
      <c r="DW19" s="36" t="str">
        <f t="shared" si="51"/>
        <v/>
      </c>
      <c r="DX19" s="36" t="str">
        <f t="shared" si="52"/>
        <v/>
      </c>
      <c r="DY19" s="36" t="str">
        <f t="shared" si="53"/>
        <v/>
      </c>
      <c r="DZ19" s="36" t="str">
        <f t="shared" si="54"/>
        <v/>
      </c>
      <c r="EA19" s="36" t="str">
        <f t="shared" si="55"/>
        <v/>
      </c>
      <c r="EB19" s="36" t="str">
        <f t="shared" si="56"/>
        <v/>
      </c>
      <c r="EC19" s="16"/>
      <c r="ED19" s="16"/>
      <c r="EE19" s="16"/>
      <c r="EF19" s="16"/>
      <c r="EG19" s="16"/>
      <c r="EH19" s="16"/>
      <c r="EI19" s="16"/>
      <c r="EJ19" s="16"/>
      <c r="EK19" s="16"/>
      <c r="EL19" s="16"/>
      <c r="EM19" s="16"/>
      <c r="EN19" s="16"/>
      <c r="EO19" s="16"/>
      <c r="EP19" s="16"/>
      <c r="EQ19" s="16"/>
      <c r="ER19" s="16"/>
      <c r="ES19" s="16"/>
      <c r="ET19" s="16"/>
      <c r="EU19" s="16"/>
      <c r="EV19" s="16"/>
      <c r="EW19" s="11" t="str">
        <f t="shared" si="57"/>
        <v/>
      </c>
      <c r="EX19" s="11" t="str">
        <f t="shared" si="58"/>
        <v/>
      </c>
      <c r="EY19" s="11" t="str">
        <f t="shared" si="59"/>
        <v/>
      </c>
      <c r="EZ19" s="11" t="str">
        <f t="shared" si="60"/>
        <v/>
      </c>
      <c r="FA19" s="11" t="str">
        <f t="shared" si="61"/>
        <v/>
      </c>
      <c r="FB19" s="11" t="str">
        <f t="shared" si="62"/>
        <v/>
      </c>
      <c r="FC19" s="11" t="str">
        <f t="shared" si="63"/>
        <v/>
      </c>
      <c r="FD19" s="11" t="str">
        <f t="shared" si="64"/>
        <v/>
      </c>
      <c r="FE19" s="11" t="str">
        <f t="shared" si="65"/>
        <v/>
      </c>
      <c r="FF19" s="11" t="str">
        <f t="shared" si="66"/>
        <v/>
      </c>
      <c r="FG19" s="11" t="str">
        <f t="shared" si="67"/>
        <v/>
      </c>
      <c r="FH19" s="11" t="str">
        <f t="shared" si="68"/>
        <v/>
      </c>
      <c r="FI19" s="11" t="str">
        <f t="shared" si="69"/>
        <v/>
      </c>
      <c r="FJ19" s="11" t="str">
        <f t="shared" si="70"/>
        <v/>
      </c>
      <c r="FK19" s="15"/>
      <c r="FL19" s="15"/>
      <c r="FM19" s="15"/>
      <c r="FN19" s="15"/>
      <c r="FO19" s="15"/>
      <c r="FP19" s="15"/>
      <c r="FQ19" s="15"/>
      <c r="FR19" s="15"/>
      <c r="FS19" s="15"/>
      <c r="FT19" s="15"/>
      <c r="FU19" s="15"/>
      <c r="FV19" s="15"/>
      <c r="FW19" s="15"/>
      <c r="FX19" s="15"/>
      <c r="FY19" s="15"/>
      <c r="FZ19" s="15"/>
      <c r="GA19" s="15"/>
      <c r="GB19" s="15"/>
      <c r="GC19" s="15"/>
      <c r="GD19" s="15"/>
      <c r="GE19" s="36" t="str">
        <f t="shared" si="71"/>
        <v/>
      </c>
      <c r="GF19" s="36" t="str">
        <f t="shared" si="72"/>
        <v/>
      </c>
      <c r="GG19" s="36" t="str">
        <f t="shared" si="73"/>
        <v/>
      </c>
      <c r="GH19" s="36" t="str">
        <f t="shared" si="74"/>
        <v/>
      </c>
      <c r="GI19" s="36" t="str">
        <f t="shared" si="75"/>
        <v/>
      </c>
      <c r="GJ19" s="36" t="str">
        <f t="shared" si="76"/>
        <v/>
      </c>
      <c r="GK19" s="36" t="str">
        <f t="shared" si="77"/>
        <v/>
      </c>
      <c r="GL19" s="36" t="str">
        <f t="shared" si="78"/>
        <v/>
      </c>
      <c r="GM19" s="36" t="str">
        <f t="shared" si="79"/>
        <v/>
      </c>
      <c r="GN19" s="36" t="str">
        <f t="shared" si="80"/>
        <v/>
      </c>
      <c r="GO19" s="36" t="str">
        <f t="shared" si="81"/>
        <v/>
      </c>
      <c r="GP19" s="36" t="str">
        <f t="shared" si="82"/>
        <v/>
      </c>
      <c r="GQ19" s="36" t="str">
        <f t="shared" si="83"/>
        <v/>
      </c>
      <c r="GR19" s="36" t="str">
        <f t="shared" si="84"/>
        <v/>
      </c>
      <c r="GS19" s="16"/>
      <c r="GT19" s="16"/>
      <c r="GU19" s="16"/>
      <c r="GV19" s="16"/>
      <c r="GW19" s="16"/>
      <c r="GX19" s="16"/>
      <c r="GY19" s="16"/>
      <c r="GZ19" s="16"/>
      <c r="HA19" s="16"/>
      <c r="HB19" s="16"/>
      <c r="HC19" s="16"/>
      <c r="HD19" s="16"/>
      <c r="HE19" s="16"/>
      <c r="HF19" s="16"/>
      <c r="HG19" s="16"/>
      <c r="HH19" s="16"/>
      <c r="HI19" s="16"/>
      <c r="HJ19" s="16"/>
      <c r="HK19" s="16"/>
      <c r="HL19" s="16"/>
      <c r="HM19" s="11" t="str">
        <f t="shared" si="85"/>
        <v/>
      </c>
      <c r="HN19" s="11" t="str">
        <f t="shared" si="86"/>
        <v/>
      </c>
      <c r="HO19" s="11" t="str">
        <f t="shared" si="87"/>
        <v/>
      </c>
      <c r="HP19" s="11" t="str">
        <f t="shared" si="88"/>
        <v/>
      </c>
      <c r="HQ19" s="11" t="str">
        <f t="shared" si="89"/>
        <v/>
      </c>
      <c r="HR19" s="11" t="str">
        <f t="shared" si="90"/>
        <v/>
      </c>
      <c r="HS19" s="11" t="str">
        <f t="shared" si="91"/>
        <v/>
      </c>
      <c r="HT19" s="11" t="str">
        <f t="shared" si="92"/>
        <v/>
      </c>
      <c r="HU19" s="11" t="str">
        <f t="shared" si="93"/>
        <v/>
      </c>
      <c r="HV19" s="11" t="str">
        <f t="shared" si="94"/>
        <v/>
      </c>
      <c r="HW19" s="11" t="str">
        <f t="shared" si="95"/>
        <v/>
      </c>
      <c r="HX19" s="11" t="str">
        <f t="shared" si="96"/>
        <v/>
      </c>
      <c r="HY19" s="11" t="str">
        <f t="shared" si="97"/>
        <v/>
      </c>
      <c r="HZ19" s="11" t="str">
        <f t="shared" si="98"/>
        <v/>
      </c>
      <c r="IA19" s="15"/>
      <c r="IB19" s="15"/>
      <c r="IC19" s="15"/>
      <c r="ID19" s="15"/>
      <c r="IE19" s="15"/>
      <c r="IF19" s="15"/>
      <c r="IG19" s="15"/>
      <c r="IH19" s="15"/>
      <c r="II19" s="15"/>
      <c r="IJ19" s="15"/>
      <c r="IK19" s="15"/>
      <c r="IL19" s="15"/>
      <c r="IM19" s="15"/>
      <c r="IN19" s="15"/>
      <c r="IO19" s="15"/>
      <c r="IP19" s="15"/>
      <c r="IQ19" s="15"/>
      <c r="IR19" s="15"/>
      <c r="IS19" s="15"/>
      <c r="IT19" s="15"/>
      <c r="IU19" s="36" t="str">
        <f t="shared" si="99"/>
        <v/>
      </c>
      <c r="IV19" s="36" t="str">
        <f t="shared" si="100"/>
        <v/>
      </c>
      <c r="IW19" s="36" t="str">
        <f t="shared" si="101"/>
        <v/>
      </c>
      <c r="IX19" s="36" t="str">
        <f t="shared" si="102"/>
        <v/>
      </c>
      <c r="IY19" s="36" t="str">
        <f t="shared" si="103"/>
        <v/>
      </c>
      <c r="IZ19" s="36" t="str">
        <f t="shared" si="104"/>
        <v/>
      </c>
      <c r="JA19" s="36" t="str">
        <f t="shared" si="105"/>
        <v/>
      </c>
      <c r="JB19" s="36" t="str">
        <f t="shared" si="106"/>
        <v/>
      </c>
      <c r="JC19" s="36" t="str">
        <f t="shared" si="107"/>
        <v/>
      </c>
      <c r="JD19" s="36" t="str">
        <f t="shared" si="108"/>
        <v/>
      </c>
      <c r="JE19" s="36" t="str">
        <f t="shared" si="109"/>
        <v/>
      </c>
      <c r="JF19" s="36" t="str">
        <f t="shared" si="110"/>
        <v/>
      </c>
      <c r="JG19" s="36" t="str">
        <f t="shared" si="111"/>
        <v/>
      </c>
      <c r="JH19" s="36" t="str">
        <f t="shared" si="112"/>
        <v/>
      </c>
      <c r="JI19" s="16"/>
      <c r="JJ19" s="16"/>
      <c r="JK19" s="16"/>
      <c r="JL19" s="16"/>
      <c r="JM19" s="16"/>
      <c r="JN19" s="16"/>
      <c r="JO19" s="16"/>
      <c r="JP19" s="16"/>
      <c r="JQ19" s="16"/>
      <c r="JR19" s="16"/>
      <c r="JS19" s="16"/>
      <c r="JT19" s="16"/>
      <c r="JU19" s="16"/>
      <c r="JV19" s="16"/>
      <c r="JW19" s="16"/>
      <c r="JX19" s="16"/>
      <c r="JY19" s="16"/>
      <c r="JZ19" s="16"/>
      <c r="KA19" s="16"/>
      <c r="KB19" s="16"/>
      <c r="KC19" s="11" t="str">
        <f t="shared" si="113"/>
        <v/>
      </c>
      <c r="KD19" s="11" t="str">
        <f t="shared" si="114"/>
        <v/>
      </c>
      <c r="KE19" s="11" t="str">
        <f t="shared" si="115"/>
        <v/>
      </c>
      <c r="KF19" s="11" t="str">
        <f t="shared" si="116"/>
        <v/>
      </c>
      <c r="KG19" s="11" t="str">
        <f t="shared" si="117"/>
        <v/>
      </c>
      <c r="KH19" s="11" t="str">
        <f t="shared" si="118"/>
        <v/>
      </c>
      <c r="KI19" s="11" t="str">
        <f t="shared" si="119"/>
        <v/>
      </c>
      <c r="KJ19" s="11" t="str">
        <f t="shared" si="120"/>
        <v/>
      </c>
      <c r="KK19" s="11" t="str">
        <f t="shared" si="121"/>
        <v/>
      </c>
      <c r="KL19" s="11" t="str">
        <f t="shared" si="122"/>
        <v/>
      </c>
      <c r="KM19" s="11" t="str">
        <f t="shared" si="123"/>
        <v/>
      </c>
      <c r="KN19" s="11" t="str">
        <f t="shared" si="124"/>
        <v/>
      </c>
      <c r="KO19" s="11" t="str">
        <f t="shared" si="125"/>
        <v/>
      </c>
      <c r="KP19" s="11" t="str">
        <f t="shared" si="126"/>
        <v/>
      </c>
      <c r="KQ19" s="15"/>
      <c r="KR19" s="15"/>
      <c r="KS19" s="15"/>
      <c r="KT19" s="15"/>
      <c r="KU19" s="15"/>
      <c r="KV19" s="15"/>
      <c r="KW19" s="15"/>
      <c r="KX19" s="15"/>
      <c r="KY19" s="15"/>
      <c r="KZ19" s="15"/>
      <c r="LA19" s="15"/>
      <c r="LB19" s="15"/>
      <c r="LC19" s="15"/>
      <c r="LD19" s="15"/>
      <c r="LE19" s="15"/>
      <c r="LF19" s="15"/>
      <c r="LG19" s="15"/>
      <c r="LH19" s="15"/>
      <c r="LI19" s="15"/>
      <c r="LJ19" s="15"/>
      <c r="LK19" s="36" t="str">
        <f t="shared" si="127"/>
        <v/>
      </c>
      <c r="LL19" s="36" t="str">
        <f t="shared" si="128"/>
        <v/>
      </c>
      <c r="LM19" s="36" t="str">
        <f t="shared" si="129"/>
        <v/>
      </c>
      <c r="LN19" s="36" t="str">
        <f t="shared" si="130"/>
        <v/>
      </c>
      <c r="LO19" s="36" t="str">
        <f t="shared" si="131"/>
        <v/>
      </c>
      <c r="LP19" s="36" t="str">
        <f t="shared" si="132"/>
        <v/>
      </c>
      <c r="LQ19" s="36" t="str">
        <f t="shared" si="133"/>
        <v/>
      </c>
      <c r="LR19" s="36" t="str">
        <f t="shared" si="134"/>
        <v/>
      </c>
      <c r="LS19" s="36" t="str">
        <f t="shared" si="135"/>
        <v/>
      </c>
      <c r="LT19" s="36" t="str">
        <f t="shared" si="136"/>
        <v/>
      </c>
      <c r="LU19" s="36" t="str">
        <f t="shared" si="137"/>
        <v/>
      </c>
      <c r="LV19" s="36" t="str">
        <f t="shared" si="138"/>
        <v/>
      </c>
      <c r="LW19" s="36" t="str">
        <f t="shared" si="139"/>
        <v/>
      </c>
      <c r="LX19" s="36" t="str">
        <f t="shared" si="140"/>
        <v/>
      </c>
      <c r="LY19" s="16"/>
      <c r="LZ19" s="16"/>
      <c r="MA19" s="16"/>
      <c r="MB19" s="16"/>
      <c r="MC19" s="16"/>
      <c r="MD19" s="16"/>
      <c r="ME19" s="16"/>
      <c r="MF19" s="16"/>
      <c r="MG19" s="16"/>
      <c r="MH19" s="16"/>
      <c r="MI19" s="16"/>
      <c r="MJ19" s="16"/>
      <c r="MK19" s="16"/>
      <c r="ML19" s="16"/>
      <c r="MM19" s="16"/>
      <c r="MN19" s="16"/>
      <c r="MO19" s="16"/>
      <c r="MP19" s="16"/>
      <c r="MQ19" s="16"/>
      <c r="MR19" s="16"/>
      <c r="MS19" s="11" t="str">
        <f t="shared" si="141"/>
        <v/>
      </c>
      <c r="MT19" s="11" t="str">
        <f t="shared" si="142"/>
        <v/>
      </c>
      <c r="MU19" s="11" t="str">
        <f t="shared" si="143"/>
        <v/>
      </c>
      <c r="MV19" s="11" t="str">
        <f t="shared" si="144"/>
        <v/>
      </c>
      <c r="MW19" s="11" t="str">
        <f t="shared" si="145"/>
        <v/>
      </c>
      <c r="MX19" s="11" t="str">
        <f t="shared" si="146"/>
        <v/>
      </c>
      <c r="MY19" s="11" t="str">
        <f t="shared" si="147"/>
        <v/>
      </c>
      <c r="MZ19" s="11" t="str">
        <f t="shared" si="148"/>
        <v/>
      </c>
      <c r="NA19" s="11" t="str">
        <f t="shared" si="149"/>
        <v/>
      </c>
      <c r="NB19" s="11" t="str">
        <f t="shared" si="150"/>
        <v/>
      </c>
      <c r="NC19" s="11" t="str">
        <f t="shared" si="151"/>
        <v/>
      </c>
      <c r="ND19" s="11" t="str">
        <f t="shared" si="152"/>
        <v/>
      </c>
      <c r="NE19" s="11" t="str">
        <f t="shared" si="153"/>
        <v/>
      </c>
      <c r="NF19" s="11" t="str">
        <f t="shared" si="154"/>
        <v/>
      </c>
      <c r="NG19" s="15"/>
      <c r="NH19" s="15"/>
      <c r="NI19" s="15"/>
      <c r="NJ19" s="15"/>
      <c r="NK19" s="15"/>
      <c r="NL19" s="15"/>
      <c r="NM19" s="15"/>
      <c r="NN19" s="15"/>
      <c r="NO19" s="15"/>
      <c r="NP19" s="15"/>
      <c r="NQ19" s="15"/>
      <c r="NR19" s="15"/>
      <c r="NS19" s="15"/>
      <c r="NT19" s="15"/>
      <c r="NU19" s="15"/>
      <c r="NV19" s="15"/>
      <c r="NW19" s="15"/>
      <c r="NX19" s="15"/>
      <c r="NY19" s="15"/>
      <c r="NZ19" s="15"/>
      <c r="OA19" s="36" t="str">
        <f t="shared" si="155"/>
        <v/>
      </c>
      <c r="OB19" s="36" t="str">
        <f t="shared" si="156"/>
        <v/>
      </c>
      <c r="OC19" s="36" t="str">
        <f t="shared" si="157"/>
        <v/>
      </c>
      <c r="OD19" s="36" t="str">
        <f t="shared" si="158"/>
        <v/>
      </c>
      <c r="OE19" s="36" t="str">
        <f t="shared" si="159"/>
        <v/>
      </c>
      <c r="OF19" s="36" t="str">
        <f t="shared" si="160"/>
        <v/>
      </c>
      <c r="OG19" s="36" t="str">
        <f t="shared" si="161"/>
        <v/>
      </c>
      <c r="OH19" s="36" t="str">
        <f t="shared" si="162"/>
        <v/>
      </c>
      <c r="OI19" s="36" t="str">
        <f t="shared" si="163"/>
        <v/>
      </c>
      <c r="OJ19" s="36" t="str">
        <f t="shared" si="164"/>
        <v/>
      </c>
      <c r="OK19" s="36" t="str">
        <f t="shared" si="165"/>
        <v/>
      </c>
      <c r="OL19" s="36" t="str">
        <f t="shared" si="166"/>
        <v/>
      </c>
      <c r="OM19" s="36" t="str">
        <f t="shared" si="167"/>
        <v/>
      </c>
      <c r="ON19" s="36" t="str">
        <f t="shared" si="168"/>
        <v/>
      </c>
      <c r="OO19" s="16"/>
      <c r="OP19" s="16"/>
      <c r="OQ19" s="16"/>
      <c r="OR19" s="16"/>
      <c r="OS19" s="16"/>
      <c r="OT19" s="16"/>
      <c r="OU19" s="16"/>
      <c r="OV19" s="16"/>
      <c r="OW19" s="16"/>
      <c r="OX19" s="16"/>
      <c r="OY19" s="16"/>
      <c r="OZ19" s="16"/>
      <c r="PA19" s="16"/>
      <c r="PB19" s="16"/>
      <c r="PC19" s="16"/>
      <c r="PD19" s="16"/>
      <c r="PE19" s="16"/>
      <c r="PF19" s="16"/>
      <c r="PG19" s="16"/>
      <c r="PH19" s="16"/>
      <c r="PI19" s="11" t="str">
        <f t="shared" si="169"/>
        <v/>
      </c>
      <c r="PJ19" s="11" t="str">
        <f t="shared" si="170"/>
        <v/>
      </c>
      <c r="PK19" s="11" t="str">
        <f t="shared" si="171"/>
        <v/>
      </c>
      <c r="PL19" s="11" t="str">
        <f t="shared" si="172"/>
        <v/>
      </c>
      <c r="PM19" s="11" t="str">
        <f t="shared" si="173"/>
        <v/>
      </c>
      <c r="PN19" s="11" t="str">
        <f t="shared" si="174"/>
        <v/>
      </c>
      <c r="PO19" s="11" t="str">
        <f t="shared" si="175"/>
        <v/>
      </c>
      <c r="PP19" s="11" t="str">
        <f t="shared" si="176"/>
        <v/>
      </c>
      <c r="PQ19" s="11" t="str">
        <f t="shared" si="177"/>
        <v/>
      </c>
      <c r="PR19" s="11" t="str">
        <f t="shared" si="178"/>
        <v/>
      </c>
      <c r="PS19" s="11" t="str">
        <f t="shared" si="179"/>
        <v/>
      </c>
      <c r="PT19" s="11" t="str">
        <f t="shared" si="180"/>
        <v/>
      </c>
      <c r="PU19" s="11" t="str">
        <f t="shared" si="181"/>
        <v/>
      </c>
      <c r="PV19" s="11" t="str">
        <f t="shared" si="182"/>
        <v/>
      </c>
      <c r="PW19" s="15"/>
      <c r="PX19" s="15"/>
      <c r="PY19" s="15"/>
      <c r="PZ19" s="15"/>
      <c r="QA19" s="15"/>
      <c r="QB19" s="15"/>
      <c r="QC19" s="15"/>
      <c r="QD19" s="15"/>
      <c r="QE19" s="15"/>
      <c r="QF19" s="15"/>
      <c r="QG19" s="15"/>
      <c r="QH19" s="15"/>
      <c r="QI19" s="15"/>
      <c r="QJ19" s="15"/>
      <c r="QK19" s="15"/>
      <c r="QL19" s="15"/>
      <c r="QM19" s="15"/>
      <c r="QN19" s="15"/>
      <c r="QO19" s="15"/>
      <c r="QP19" s="15"/>
      <c r="QQ19" s="36" t="str">
        <f t="shared" si="183"/>
        <v/>
      </c>
      <c r="QR19" s="36" t="str">
        <f t="shared" si="184"/>
        <v/>
      </c>
      <c r="QS19" s="36" t="str">
        <f t="shared" si="185"/>
        <v/>
      </c>
      <c r="QT19" s="36" t="str">
        <f t="shared" si="186"/>
        <v/>
      </c>
      <c r="QU19" s="36" t="str">
        <f t="shared" si="187"/>
        <v/>
      </c>
      <c r="QV19" s="36" t="str">
        <f t="shared" si="188"/>
        <v/>
      </c>
      <c r="QW19" s="36" t="str">
        <f t="shared" si="189"/>
        <v/>
      </c>
      <c r="QX19" s="36" t="str">
        <f t="shared" si="190"/>
        <v/>
      </c>
      <c r="QY19" s="36" t="str">
        <f t="shared" si="191"/>
        <v/>
      </c>
      <c r="QZ19" s="36" t="str">
        <f t="shared" si="192"/>
        <v/>
      </c>
      <c r="RA19" s="36" t="str">
        <f t="shared" si="193"/>
        <v/>
      </c>
      <c r="RB19" s="36" t="str">
        <f t="shared" si="194"/>
        <v/>
      </c>
      <c r="RC19" s="36" t="str">
        <f t="shared" si="195"/>
        <v/>
      </c>
      <c r="RD19" s="36" t="str">
        <f t="shared" si="196"/>
        <v/>
      </c>
      <c r="RE19" s="16"/>
      <c r="RF19" s="16"/>
      <c r="RG19" s="16"/>
      <c r="RH19" s="16"/>
      <c r="RI19" s="16"/>
      <c r="RJ19" s="16"/>
      <c r="RK19" s="16"/>
      <c r="RL19" s="16"/>
      <c r="RM19" s="16"/>
      <c r="RN19" s="16"/>
      <c r="RO19" s="16"/>
      <c r="RP19" s="16"/>
      <c r="RQ19" s="16"/>
      <c r="RR19" s="16"/>
      <c r="RS19" s="16"/>
      <c r="RT19" s="16"/>
      <c r="RU19" s="16"/>
      <c r="RV19" s="16"/>
      <c r="RW19" s="16"/>
      <c r="RX19" s="16"/>
      <c r="RY19" s="11" t="str">
        <f t="shared" si="197"/>
        <v/>
      </c>
      <c r="RZ19" s="11" t="str">
        <f t="shared" si="198"/>
        <v/>
      </c>
      <c r="SA19" s="11" t="str">
        <f t="shared" si="199"/>
        <v/>
      </c>
      <c r="SB19" s="11" t="str">
        <f t="shared" si="200"/>
        <v/>
      </c>
      <c r="SC19" s="11" t="str">
        <f t="shared" si="201"/>
        <v/>
      </c>
      <c r="SD19" s="11" t="str">
        <f t="shared" si="202"/>
        <v/>
      </c>
      <c r="SE19" s="11" t="str">
        <f t="shared" si="203"/>
        <v/>
      </c>
      <c r="SF19" s="11" t="str">
        <f t="shared" si="204"/>
        <v/>
      </c>
      <c r="SG19" s="11" t="str">
        <f t="shared" si="205"/>
        <v/>
      </c>
      <c r="SH19" s="11" t="str">
        <f t="shared" si="206"/>
        <v/>
      </c>
      <c r="SI19" s="11" t="str">
        <f t="shared" si="207"/>
        <v/>
      </c>
      <c r="SJ19" s="11" t="str">
        <f t="shared" si="208"/>
        <v/>
      </c>
      <c r="SK19" s="11" t="str">
        <f t="shared" si="209"/>
        <v/>
      </c>
      <c r="SL19" s="11" t="str">
        <f t="shared" si="210"/>
        <v/>
      </c>
      <c r="SM19" s="15"/>
      <c r="SN19" s="15"/>
      <c r="SO19" s="15"/>
      <c r="SP19" s="15"/>
      <c r="SQ19" s="15"/>
      <c r="SR19" s="15"/>
      <c r="SS19" s="15"/>
      <c r="ST19" s="15"/>
      <c r="SU19" s="15"/>
      <c r="SV19" s="15"/>
      <c r="SW19" s="15"/>
      <c r="SX19" s="15"/>
      <c r="SY19" s="15"/>
      <c r="SZ19" s="15"/>
      <c r="TA19" s="15"/>
      <c r="TB19" s="15"/>
      <c r="TC19" s="15"/>
      <c r="TD19" s="15"/>
      <c r="TE19" s="15"/>
      <c r="TF19" s="15"/>
      <c r="TG19" s="36" t="str">
        <f t="shared" si="211"/>
        <v/>
      </c>
      <c r="TH19" s="36" t="str">
        <f t="shared" si="212"/>
        <v/>
      </c>
      <c r="TI19" s="36" t="str">
        <f t="shared" si="213"/>
        <v/>
      </c>
      <c r="TJ19" s="36" t="str">
        <f t="shared" si="214"/>
        <v/>
      </c>
      <c r="TK19" s="36" t="str">
        <f t="shared" si="215"/>
        <v/>
      </c>
      <c r="TL19" s="36" t="str">
        <f t="shared" si="216"/>
        <v/>
      </c>
      <c r="TM19" s="36" t="str">
        <f t="shared" si="217"/>
        <v/>
      </c>
      <c r="TN19" s="36" t="str">
        <f t="shared" si="218"/>
        <v/>
      </c>
      <c r="TO19" s="36" t="str">
        <f t="shared" si="219"/>
        <v/>
      </c>
      <c r="TP19" s="36" t="str">
        <f t="shared" si="220"/>
        <v/>
      </c>
      <c r="TQ19" s="36" t="str">
        <f t="shared" si="221"/>
        <v/>
      </c>
      <c r="TR19" s="36" t="str">
        <f t="shared" si="222"/>
        <v/>
      </c>
      <c r="TS19" s="36" t="str">
        <f t="shared" si="223"/>
        <v/>
      </c>
      <c r="TT19" s="36" t="str">
        <f t="shared" si="224"/>
        <v/>
      </c>
      <c r="TU19" s="16"/>
      <c r="TV19" s="16"/>
      <c r="TW19" s="16"/>
      <c r="TX19" s="16"/>
      <c r="TY19" s="16"/>
      <c r="TZ19" s="16"/>
      <c r="UA19" s="16"/>
      <c r="UB19" s="16"/>
      <c r="UC19" s="16"/>
      <c r="UD19" s="16"/>
      <c r="UE19" s="16"/>
      <c r="UF19" s="16"/>
      <c r="UG19" s="16"/>
      <c r="UH19" s="16"/>
      <c r="UI19" s="16"/>
      <c r="UJ19" s="16"/>
      <c r="UK19" s="16"/>
      <c r="UL19" s="16"/>
      <c r="UM19" s="16"/>
      <c r="UN19" s="16"/>
      <c r="UO19" s="11" t="str">
        <f t="shared" si="225"/>
        <v/>
      </c>
      <c r="UP19" s="11" t="str">
        <f t="shared" si="226"/>
        <v/>
      </c>
      <c r="UQ19" s="11" t="str">
        <f t="shared" si="227"/>
        <v/>
      </c>
      <c r="UR19" s="11" t="str">
        <f t="shared" si="228"/>
        <v/>
      </c>
      <c r="US19" s="11" t="str">
        <f t="shared" si="229"/>
        <v/>
      </c>
      <c r="UT19" s="11" t="str">
        <f t="shared" si="230"/>
        <v/>
      </c>
      <c r="UU19" s="11" t="str">
        <f t="shared" si="231"/>
        <v/>
      </c>
      <c r="UV19" s="11" t="str">
        <f t="shared" si="232"/>
        <v/>
      </c>
      <c r="UW19" s="11" t="str">
        <f t="shared" si="233"/>
        <v/>
      </c>
      <c r="UX19" s="11" t="str">
        <f t="shared" si="234"/>
        <v/>
      </c>
      <c r="UY19" s="11" t="str">
        <f t="shared" si="235"/>
        <v/>
      </c>
      <c r="UZ19" s="11" t="str">
        <f t="shared" si="236"/>
        <v/>
      </c>
      <c r="VA19" s="11" t="str">
        <f t="shared" si="237"/>
        <v/>
      </c>
      <c r="VB19" s="11" t="str">
        <f t="shared" si="238"/>
        <v/>
      </c>
      <c r="VC19" s="15"/>
      <c r="VD19" s="15"/>
      <c r="VE19" s="15"/>
      <c r="VF19" s="15"/>
      <c r="VG19" s="15"/>
      <c r="VH19" s="15"/>
      <c r="VI19" s="15"/>
      <c r="VJ19" s="15"/>
      <c r="VK19" s="15"/>
      <c r="VL19" s="15"/>
      <c r="VM19" s="15"/>
      <c r="VN19" s="15"/>
      <c r="VO19" s="15"/>
      <c r="VP19" s="15"/>
      <c r="VQ19" s="15"/>
      <c r="VR19" s="15"/>
      <c r="VS19" s="15"/>
      <c r="VT19" s="15"/>
      <c r="VU19" s="15"/>
      <c r="VV19" s="15"/>
      <c r="VW19" s="36" t="str">
        <f t="shared" si="239"/>
        <v/>
      </c>
      <c r="VX19" s="36" t="str">
        <f t="shared" si="240"/>
        <v/>
      </c>
      <c r="VY19" s="36" t="str">
        <f t="shared" si="241"/>
        <v/>
      </c>
      <c r="VZ19" s="36" t="str">
        <f t="shared" si="242"/>
        <v/>
      </c>
      <c r="WA19" s="36" t="str">
        <f t="shared" si="243"/>
        <v/>
      </c>
      <c r="WB19" s="36" t="str">
        <f t="shared" si="244"/>
        <v/>
      </c>
      <c r="WC19" s="36" t="str">
        <f t="shared" si="245"/>
        <v/>
      </c>
      <c r="WD19" s="36" t="str">
        <f t="shared" si="246"/>
        <v/>
      </c>
      <c r="WE19" s="36" t="str">
        <f t="shared" si="247"/>
        <v/>
      </c>
      <c r="WF19" s="36" t="str">
        <f t="shared" si="248"/>
        <v/>
      </c>
      <c r="WG19" s="36" t="str">
        <f t="shared" si="249"/>
        <v/>
      </c>
      <c r="WH19" s="36" t="str">
        <f t="shared" si="250"/>
        <v/>
      </c>
      <c r="WI19" s="36" t="str">
        <f t="shared" si="251"/>
        <v/>
      </c>
      <c r="WJ19" s="36" t="str">
        <f t="shared" si="252"/>
        <v/>
      </c>
    </row>
    <row r="20" spans="1:608" x14ac:dyDescent="0.2">
      <c r="A20" s="4" t="str" cm="1">
        <f t="array" ref="A20">IF(AND(H20&lt;&gt;"",H20&lt;&gt;"No DD",I20&lt;&gt;"P"),SUMPRODUCT((H$4:H$28&lt;&gt;"")*(H$4:H$28&lt;&gt;"No DD")*(I$4:I$28&lt;&gt;"P")*(E$4:E$28&gt;E20))+1,IF(H20="No DD",SUMPRODUCT((H$4:H$28="No DD")*(I$4:I$28&lt;&gt;"P")*(E$4:E$28&gt;E20))+1+SUMPRODUCT((H$4:H$28&lt;&gt;"")*(I$4:I$28&lt;&gt;"P")*(H$4:H$28&lt;&gt;"No DD")),""))</f>
        <v/>
      </c>
      <c r="B20" s="5" t="s">
        <v>198</v>
      </c>
      <c r="C20" s="4" t="s">
        <v>6</v>
      </c>
      <c r="D20" s="4">
        <v>2009</v>
      </c>
      <c r="E20" s="9">
        <f t="shared" si="0"/>
        <v>97.120009712004872</v>
      </c>
      <c r="F20" s="3" t="str">
        <f t="shared" si="1"/>
        <v/>
      </c>
      <c r="G20" s="3" t="str">
        <f t="shared" si="2"/>
        <v/>
      </c>
      <c r="H20" s="32" t="str">
        <f t="shared" si="3"/>
        <v/>
      </c>
      <c r="I20" s="3" t="str">
        <f>IF(COUNTIFS('Senior-M'!B:B,B20,'Senior-M'!A:A,"&lt;9",'Senior-M'!H:H,"&lt;&gt;"&amp;"No DD"),"P","")</f>
        <v/>
      </c>
      <c r="J20" s="8">
        <f t="shared" si="4"/>
        <v>48.699999999999996</v>
      </c>
      <c r="K20" s="8" t="str">
        <f t="shared" si="5"/>
        <v>2025 Nationals</v>
      </c>
      <c r="L20" s="8">
        <f>IFERROR(LARGE((AI20,AL20,AP20,BJ20,BM20,BQ20,CK20,CN20,CR20),2),0)</f>
        <v>48.42</v>
      </c>
      <c r="M20" s="8" t="str">
        <f t="shared" si="6"/>
        <v>2025 Elite Canada</v>
      </c>
      <c r="N20" s="8">
        <f t="shared" si="7"/>
        <v>0</v>
      </c>
      <c r="O20" s="11" t="str">
        <f>IF(N20=0,"",IF(N20=CT20,"("&amp;CT$2&amp;")",IF(N20=#REF!,"("&amp;#REF!&amp;")")))</f>
        <v/>
      </c>
      <c r="P20" s="8" t="str">
        <f t="shared" si="8"/>
        <v/>
      </c>
      <c r="Q20" s="18">
        <v>15.8</v>
      </c>
      <c r="R20" s="18">
        <v>9.4</v>
      </c>
      <c r="S20" s="18">
        <v>0</v>
      </c>
      <c r="T20" s="18">
        <v>14.76</v>
      </c>
      <c r="U20" s="18">
        <v>0</v>
      </c>
      <c r="V20" s="18">
        <v>13.4</v>
      </c>
      <c r="W20" s="18">
        <v>9.1999999999999993</v>
      </c>
      <c r="X20" s="18">
        <v>11</v>
      </c>
      <c r="Y20" s="18">
        <v>14.82</v>
      </c>
      <c r="Z20" s="18">
        <v>0</v>
      </c>
      <c r="AA20" s="18">
        <v>5</v>
      </c>
      <c r="AB20" s="18">
        <v>3.5</v>
      </c>
      <c r="AC20" s="18">
        <v>4.8</v>
      </c>
      <c r="AD20" s="18">
        <v>6.44</v>
      </c>
      <c r="AE20" s="18">
        <v>0</v>
      </c>
      <c r="AF20" s="23"/>
      <c r="AG20" s="34" t="str">
        <f t="shared" si="9"/>
        <v/>
      </c>
      <c r="AH20" s="34">
        <f t="shared" si="10"/>
        <v>14.76</v>
      </c>
      <c r="AI20" s="36">
        <f t="shared" si="11"/>
        <v>39.96</v>
      </c>
      <c r="AJ20" s="36">
        <f t="shared" si="12"/>
        <v>11</v>
      </c>
      <c r="AK20" s="36">
        <f t="shared" si="13"/>
        <v>14.82</v>
      </c>
      <c r="AL20" s="36">
        <f t="shared" si="14"/>
        <v>48.42</v>
      </c>
      <c r="AM20" s="36">
        <f t="shared" si="15"/>
        <v>48.42</v>
      </c>
      <c r="AN20" s="36">
        <f t="shared" si="16"/>
        <v>4.8</v>
      </c>
      <c r="AO20" s="36">
        <f t="shared" si="17"/>
        <v>6.44</v>
      </c>
      <c r="AP20" s="36">
        <f t="shared" si="18"/>
        <v>19.740000000000002</v>
      </c>
      <c r="AQ20" s="36">
        <f t="shared" si="19"/>
        <v>68.16</v>
      </c>
      <c r="AR20" s="22">
        <v>17</v>
      </c>
      <c r="AS20" s="22">
        <v>9.5</v>
      </c>
      <c r="AT20" s="22">
        <v>0</v>
      </c>
      <c r="AU20" s="22">
        <v>15.02</v>
      </c>
      <c r="AV20" s="22">
        <v>0</v>
      </c>
      <c r="AW20" s="22">
        <v>13</v>
      </c>
      <c r="AX20" s="22">
        <v>9.1</v>
      </c>
      <c r="AY20" s="22">
        <v>11.2</v>
      </c>
      <c r="AZ20" s="22">
        <v>15.4</v>
      </c>
      <c r="BA20" s="22">
        <v>0</v>
      </c>
      <c r="BB20" s="22">
        <v>1.6</v>
      </c>
      <c r="BC20" s="22">
        <v>1</v>
      </c>
      <c r="BD20" s="22">
        <v>1.7</v>
      </c>
      <c r="BE20" s="22">
        <v>1.69</v>
      </c>
      <c r="BF20" s="22">
        <v>0</v>
      </c>
      <c r="BG20" s="24"/>
      <c r="BH20" s="35" t="str">
        <f t="shared" si="20"/>
        <v/>
      </c>
      <c r="BI20" s="35">
        <f t="shared" si="21"/>
        <v>15.02</v>
      </c>
      <c r="BJ20" s="11">
        <f t="shared" si="22"/>
        <v>41.519999999999996</v>
      </c>
      <c r="BK20" s="11">
        <f t="shared" si="23"/>
        <v>11.2</v>
      </c>
      <c r="BL20" s="11">
        <f t="shared" si="24"/>
        <v>15.4</v>
      </c>
      <c r="BM20" s="11">
        <f t="shared" si="25"/>
        <v>48.699999999999996</v>
      </c>
      <c r="BN20" s="11">
        <f t="shared" si="26"/>
        <v>48.699999999999996</v>
      </c>
      <c r="BO20" s="11">
        <f t="shared" si="27"/>
        <v>1.7</v>
      </c>
      <c r="BP20" s="11">
        <f t="shared" si="28"/>
        <v>1.69</v>
      </c>
      <c r="BQ20" s="11">
        <f t="shared" si="29"/>
        <v>5.99</v>
      </c>
      <c r="BR20" s="11">
        <f t="shared" si="30"/>
        <v>54.69</v>
      </c>
      <c r="BS20" s="18">
        <v>16.8</v>
      </c>
      <c r="BT20" s="18">
        <v>8.9</v>
      </c>
      <c r="BU20" s="18">
        <v>0</v>
      </c>
      <c r="BV20" s="18">
        <v>15.27</v>
      </c>
      <c r="BW20" s="18">
        <v>0</v>
      </c>
      <c r="BX20" s="18">
        <v>12.7</v>
      </c>
      <c r="BY20" s="18">
        <v>8.3000000000000007</v>
      </c>
      <c r="BZ20" s="18">
        <v>12.5</v>
      </c>
      <c r="CA20" s="18">
        <v>14.75</v>
      </c>
      <c r="CB20" s="18">
        <v>0</v>
      </c>
      <c r="CC20" s="18">
        <v>9.3000000000000007</v>
      </c>
      <c r="CD20" s="18">
        <v>5.6</v>
      </c>
      <c r="CE20" s="18">
        <v>8.8000000000000007</v>
      </c>
      <c r="CF20" s="18">
        <v>11.37</v>
      </c>
      <c r="CG20" s="18">
        <v>0</v>
      </c>
      <c r="CH20" s="23"/>
      <c r="CI20" s="34" t="str">
        <f t="shared" si="31"/>
        <v/>
      </c>
      <c r="CJ20" s="34">
        <f t="shared" si="32"/>
        <v>15.27</v>
      </c>
      <c r="CK20" s="36">
        <f t="shared" si="33"/>
        <v>40.97</v>
      </c>
      <c r="CL20" s="36">
        <f t="shared" si="34"/>
        <v>12.5</v>
      </c>
      <c r="CM20" s="36">
        <f t="shared" si="35"/>
        <v>14.75</v>
      </c>
      <c r="CN20" s="36">
        <f t="shared" si="36"/>
        <v>48.25</v>
      </c>
      <c r="CO20" s="36">
        <f t="shared" si="37"/>
        <v>48.25</v>
      </c>
      <c r="CP20" s="36">
        <f t="shared" si="38"/>
        <v>8.8000000000000007</v>
      </c>
      <c r="CQ20" s="36">
        <f t="shared" si="39"/>
        <v>11.37</v>
      </c>
      <c r="CR20" s="36">
        <f t="shared" si="40"/>
        <v>35.07</v>
      </c>
      <c r="CS20" s="36">
        <f t="shared" si="41"/>
        <v>83.32</v>
      </c>
      <c r="CT20" s="47" t="str">
        <f t="shared" si="42"/>
        <v/>
      </c>
      <c r="CU20" s="15"/>
      <c r="CV20" s="15"/>
      <c r="CW20" s="15"/>
      <c r="CX20" s="15"/>
      <c r="CY20" s="15"/>
      <c r="CZ20" s="15"/>
      <c r="DA20" s="15"/>
      <c r="DB20" s="15"/>
      <c r="DC20" s="15"/>
      <c r="DD20" s="15"/>
      <c r="DE20" s="15"/>
      <c r="DF20" s="15"/>
      <c r="DG20" s="15"/>
      <c r="DH20" s="15"/>
      <c r="DI20" s="15"/>
      <c r="DJ20" s="15"/>
      <c r="DK20" s="15"/>
      <c r="DL20" s="15"/>
      <c r="DM20" s="15"/>
      <c r="DN20" s="15"/>
      <c r="DO20" s="36" t="str">
        <f t="shared" si="43"/>
        <v/>
      </c>
      <c r="DP20" s="36" t="str">
        <f t="shared" si="44"/>
        <v/>
      </c>
      <c r="DQ20" s="36" t="str">
        <f t="shared" si="45"/>
        <v/>
      </c>
      <c r="DR20" s="36" t="str">
        <f t="shared" si="46"/>
        <v/>
      </c>
      <c r="DS20" s="36" t="str">
        <f t="shared" si="47"/>
        <v/>
      </c>
      <c r="DT20" s="36" t="str">
        <f t="shared" si="48"/>
        <v/>
      </c>
      <c r="DU20" s="36" t="str">
        <f t="shared" si="49"/>
        <v/>
      </c>
      <c r="DV20" s="36" t="str">
        <f t="shared" si="50"/>
        <v/>
      </c>
      <c r="DW20" s="36" t="str">
        <f t="shared" si="51"/>
        <v/>
      </c>
      <c r="DX20" s="36" t="str">
        <f t="shared" si="52"/>
        <v/>
      </c>
      <c r="DY20" s="36" t="str">
        <f t="shared" si="53"/>
        <v/>
      </c>
      <c r="DZ20" s="36" t="str">
        <f t="shared" si="54"/>
        <v/>
      </c>
      <c r="EA20" s="36" t="str">
        <f t="shared" si="55"/>
        <v/>
      </c>
      <c r="EB20" s="36" t="str">
        <f t="shared" si="56"/>
        <v/>
      </c>
      <c r="EC20" s="16"/>
      <c r="ED20" s="16"/>
      <c r="EE20" s="16"/>
      <c r="EF20" s="16"/>
      <c r="EG20" s="16"/>
      <c r="EH20" s="16"/>
      <c r="EI20" s="16"/>
      <c r="EJ20" s="16"/>
      <c r="EK20" s="16"/>
      <c r="EL20" s="16"/>
      <c r="EM20" s="16"/>
      <c r="EN20" s="16"/>
      <c r="EO20" s="16"/>
      <c r="EP20" s="16"/>
      <c r="EQ20" s="16"/>
      <c r="ER20" s="16"/>
      <c r="ES20" s="16"/>
      <c r="ET20" s="16"/>
      <c r="EU20" s="16"/>
      <c r="EV20" s="16"/>
      <c r="EW20" s="11" t="str">
        <f t="shared" si="57"/>
        <v/>
      </c>
      <c r="EX20" s="11" t="str">
        <f t="shared" si="58"/>
        <v/>
      </c>
      <c r="EY20" s="11" t="str">
        <f t="shared" si="59"/>
        <v/>
      </c>
      <c r="EZ20" s="11" t="str">
        <f t="shared" si="60"/>
        <v/>
      </c>
      <c r="FA20" s="11" t="str">
        <f t="shared" si="61"/>
        <v/>
      </c>
      <c r="FB20" s="11" t="str">
        <f t="shared" si="62"/>
        <v/>
      </c>
      <c r="FC20" s="11" t="str">
        <f t="shared" si="63"/>
        <v/>
      </c>
      <c r="FD20" s="11" t="str">
        <f t="shared" si="64"/>
        <v/>
      </c>
      <c r="FE20" s="11" t="str">
        <f t="shared" si="65"/>
        <v/>
      </c>
      <c r="FF20" s="11" t="str">
        <f t="shared" si="66"/>
        <v/>
      </c>
      <c r="FG20" s="11" t="str">
        <f t="shared" si="67"/>
        <v/>
      </c>
      <c r="FH20" s="11" t="str">
        <f t="shared" si="68"/>
        <v/>
      </c>
      <c r="FI20" s="11" t="str">
        <f t="shared" si="69"/>
        <v/>
      </c>
      <c r="FJ20" s="11" t="str">
        <f t="shared" si="70"/>
        <v/>
      </c>
      <c r="FK20" s="15"/>
      <c r="FL20" s="15"/>
      <c r="FM20" s="15"/>
      <c r="FN20" s="15"/>
      <c r="FO20" s="15"/>
      <c r="FP20" s="15"/>
      <c r="FQ20" s="15"/>
      <c r="FR20" s="15"/>
      <c r="FS20" s="15"/>
      <c r="FT20" s="15"/>
      <c r="FU20" s="15"/>
      <c r="FV20" s="15"/>
      <c r="FW20" s="15"/>
      <c r="FX20" s="15"/>
      <c r="FY20" s="15"/>
      <c r="FZ20" s="15"/>
      <c r="GA20" s="15"/>
      <c r="GB20" s="15"/>
      <c r="GC20" s="15"/>
      <c r="GD20" s="15"/>
      <c r="GE20" s="36" t="str">
        <f t="shared" si="71"/>
        <v/>
      </c>
      <c r="GF20" s="36" t="str">
        <f t="shared" si="72"/>
        <v/>
      </c>
      <c r="GG20" s="36" t="str">
        <f t="shared" si="73"/>
        <v/>
      </c>
      <c r="GH20" s="36" t="str">
        <f t="shared" si="74"/>
        <v/>
      </c>
      <c r="GI20" s="36" t="str">
        <f t="shared" si="75"/>
        <v/>
      </c>
      <c r="GJ20" s="36" t="str">
        <f t="shared" si="76"/>
        <v/>
      </c>
      <c r="GK20" s="36" t="str">
        <f t="shared" si="77"/>
        <v/>
      </c>
      <c r="GL20" s="36" t="str">
        <f t="shared" si="78"/>
        <v/>
      </c>
      <c r="GM20" s="36" t="str">
        <f t="shared" si="79"/>
        <v/>
      </c>
      <c r="GN20" s="36" t="str">
        <f t="shared" si="80"/>
        <v/>
      </c>
      <c r="GO20" s="36" t="str">
        <f t="shared" si="81"/>
        <v/>
      </c>
      <c r="GP20" s="36" t="str">
        <f t="shared" si="82"/>
        <v/>
      </c>
      <c r="GQ20" s="36" t="str">
        <f t="shared" si="83"/>
        <v/>
      </c>
      <c r="GR20" s="36" t="str">
        <f t="shared" si="84"/>
        <v/>
      </c>
      <c r="GS20" s="16"/>
      <c r="GT20" s="16"/>
      <c r="GU20" s="16"/>
      <c r="GV20" s="16"/>
      <c r="GW20" s="16"/>
      <c r="GX20" s="16"/>
      <c r="GY20" s="16"/>
      <c r="GZ20" s="16"/>
      <c r="HA20" s="16"/>
      <c r="HB20" s="16"/>
      <c r="HC20" s="16"/>
      <c r="HD20" s="16"/>
      <c r="HE20" s="16"/>
      <c r="HF20" s="16"/>
      <c r="HG20" s="16"/>
      <c r="HH20" s="16"/>
      <c r="HI20" s="16"/>
      <c r="HJ20" s="16"/>
      <c r="HK20" s="16"/>
      <c r="HL20" s="16"/>
      <c r="HM20" s="11" t="str">
        <f t="shared" si="85"/>
        <v/>
      </c>
      <c r="HN20" s="11" t="str">
        <f t="shared" si="86"/>
        <v/>
      </c>
      <c r="HO20" s="11" t="str">
        <f t="shared" si="87"/>
        <v/>
      </c>
      <c r="HP20" s="11" t="str">
        <f t="shared" si="88"/>
        <v/>
      </c>
      <c r="HQ20" s="11" t="str">
        <f t="shared" si="89"/>
        <v/>
      </c>
      <c r="HR20" s="11" t="str">
        <f t="shared" si="90"/>
        <v/>
      </c>
      <c r="HS20" s="11" t="str">
        <f t="shared" si="91"/>
        <v/>
      </c>
      <c r="HT20" s="11" t="str">
        <f t="shared" si="92"/>
        <v/>
      </c>
      <c r="HU20" s="11" t="str">
        <f t="shared" si="93"/>
        <v/>
      </c>
      <c r="HV20" s="11" t="str">
        <f t="shared" si="94"/>
        <v/>
      </c>
      <c r="HW20" s="11" t="str">
        <f t="shared" si="95"/>
        <v/>
      </c>
      <c r="HX20" s="11" t="str">
        <f t="shared" si="96"/>
        <v/>
      </c>
      <c r="HY20" s="11" t="str">
        <f t="shared" si="97"/>
        <v/>
      </c>
      <c r="HZ20" s="11" t="str">
        <f t="shared" si="98"/>
        <v/>
      </c>
      <c r="IA20" s="15"/>
      <c r="IB20" s="15"/>
      <c r="IC20" s="15"/>
      <c r="ID20" s="15"/>
      <c r="IE20" s="15"/>
      <c r="IF20" s="15"/>
      <c r="IG20" s="15"/>
      <c r="IH20" s="15"/>
      <c r="II20" s="15"/>
      <c r="IJ20" s="15"/>
      <c r="IK20" s="15"/>
      <c r="IL20" s="15"/>
      <c r="IM20" s="15"/>
      <c r="IN20" s="15"/>
      <c r="IO20" s="15"/>
      <c r="IP20" s="15"/>
      <c r="IQ20" s="15"/>
      <c r="IR20" s="15"/>
      <c r="IS20" s="15"/>
      <c r="IT20" s="15"/>
      <c r="IU20" s="36" t="str">
        <f t="shared" si="99"/>
        <v/>
      </c>
      <c r="IV20" s="36" t="str">
        <f t="shared" si="100"/>
        <v/>
      </c>
      <c r="IW20" s="36" t="str">
        <f t="shared" si="101"/>
        <v/>
      </c>
      <c r="IX20" s="36" t="str">
        <f t="shared" si="102"/>
        <v/>
      </c>
      <c r="IY20" s="36" t="str">
        <f t="shared" si="103"/>
        <v/>
      </c>
      <c r="IZ20" s="36" t="str">
        <f t="shared" si="104"/>
        <v/>
      </c>
      <c r="JA20" s="36" t="str">
        <f t="shared" si="105"/>
        <v/>
      </c>
      <c r="JB20" s="36" t="str">
        <f t="shared" si="106"/>
        <v/>
      </c>
      <c r="JC20" s="36" t="str">
        <f t="shared" si="107"/>
        <v/>
      </c>
      <c r="JD20" s="36" t="str">
        <f t="shared" si="108"/>
        <v/>
      </c>
      <c r="JE20" s="36" t="str">
        <f t="shared" si="109"/>
        <v/>
      </c>
      <c r="JF20" s="36" t="str">
        <f t="shared" si="110"/>
        <v/>
      </c>
      <c r="JG20" s="36" t="str">
        <f t="shared" si="111"/>
        <v/>
      </c>
      <c r="JH20" s="36" t="str">
        <f t="shared" si="112"/>
        <v/>
      </c>
      <c r="JI20" s="16"/>
      <c r="JJ20" s="16"/>
      <c r="JK20" s="16"/>
      <c r="JL20" s="16"/>
      <c r="JM20" s="16"/>
      <c r="JN20" s="16"/>
      <c r="JO20" s="16"/>
      <c r="JP20" s="16"/>
      <c r="JQ20" s="16"/>
      <c r="JR20" s="16"/>
      <c r="JS20" s="16"/>
      <c r="JT20" s="16"/>
      <c r="JU20" s="16"/>
      <c r="JV20" s="16"/>
      <c r="JW20" s="16"/>
      <c r="JX20" s="16"/>
      <c r="JY20" s="16"/>
      <c r="JZ20" s="16"/>
      <c r="KA20" s="16"/>
      <c r="KB20" s="16"/>
      <c r="KC20" s="11" t="str">
        <f t="shared" si="113"/>
        <v/>
      </c>
      <c r="KD20" s="11" t="str">
        <f t="shared" si="114"/>
        <v/>
      </c>
      <c r="KE20" s="11" t="str">
        <f t="shared" si="115"/>
        <v/>
      </c>
      <c r="KF20" s="11" t="str">
        <f t="shared" si="116"/>
        <v/>
      </c>
      <c r="KG20" s="11" t="str">
        <f t="shared" si="117"/>
        <v/>
      </c>
      <c r="KH20" s="11" t="str">
        <f t="shared" si="118"/>
        <v/>
      </c>
      <c r="KI20" s="11" t="str">
        <f t="shared" si="119"/>
        <v/>
      </c>
      <c r="KJ20" s="11" t="str">
        <f t="shared" si="120"/>
        <v/>
      </c>
      <c r="KK20" s="11" t="str">
        <f t="shared" si="121"/>
        <v/>
      </c>
      <c r="KL20" s="11" t="str">
        <f t="shared" si="122"/>
        <v/>
      </c>
      <c r="KM20" s="11" t="str">
        <f t="shared" si="123"/>
        <v/>
      </c>
      <c r="KN20" s="11" t="str">
        <f t="shared" si="124"/>
        <v/>
      </c>
      <c r="KO20" s="11" t="str">
        <f t="shared" si="125"/>
        <v/>
      </c>
      <c r="KP20" s="11" t="str">
        <f t="shared" si="126"/>
        <v/>
      </c>
      <c r="KQ20" s="15"/>
      <c r="KR20" s="15"/>
      <c r="KS20" s="15"/>
      <c r="KT20" s="15"/>
      <c r="KU20" s="15"/>
      <c r="KV20" s="15"/>
      <c r="KW20" s="15"/>
      <c r="KX20" s="15"/>
      <c r="KY20" s="15"/>
      <c r="KZ20" s="15"/>
      <c r="LA20" s="15"/>
      <c r="LB20" s="15"/>
      <c r="LC20" s="15"/>
      <c r="LD20" s="15"/>
      <c r="LE20" s="15"/>
      <c r="LF20" s="15"/>
      <c r="LG20" s="15"/>
      <c r="LH20" s="15"/>
      <c r="LI20" s="15"/>
      <c r="LJ20" s="15"/>
      <c r="LK20" s="36" t="str">
        <f t="shared" si="127"/>
        <v/>
      </c>
      <c r="LL20" s="36" t="str">
        <f t="shared" si="128"/>
        <v/>
      </c>
      <c r="LM20" s="36" t="str">
        <f t="shared" si="129"/>
        <v/>
      </c>
      <c r="LN20" s="36" t="str">
        <f t="shared" si="130"/>
        <v/>
      </c>
      <c r="LO20" s="36" t="str">
        <f t="shared" si="131"/>
        <v/>
      </c>
      <c r="LP20" s="36" t="str">
        <f t="shared" si="132"/>
        <v/>
      </c>
      <c r="LQ20" s="36" t="str">
        <f t="shared" si="133"/>
        <v/>
      </c>
      <c r="LR20" s="36" t="str">
        <f t="shared" si="134"/>
        <v/>
      </c>
      <c r="LS20" s="36" t="str">
        <f t="shared" si="135"/>
        <v/>
      </c>
      <c r="LT20" s="36" t="str">
        <f t="shared" si="136"/>
        <v/>
      </c>
      <c r="LU20" s="36" t="str">
        <f t="shared" si="137"/>
        <v/>
      </c>
      <c r="LV20" s="36" t="str">
        <f t="shared" si="138"/>
        <v/>
      </c>
      <c r="LW20" s="36" t="str">
        <f t="shared" si="139"/>
        <v/>
      </c>
      <c r="LX20" s="36" t="str">
        <f t="shared" si="140"/>
        <v/>
      </c>
      <c r="LY20" s="16">
        <v>15.6</v>
      </c>
      <c r="LZ20" s="16">
        <v>9</v>
      </c>
      <c r="MA20" s="16">
        <v>0</v>
      </c>
      <c r="MB20" s="16">
        <v>15.87</v>
      </c>
      <c r="MC20" s="16">
        <v>0</v>
      </c>
      <c r="MD20" s="16">
        <v>12.2</v>
      </c>
      <c r="ME20" s="16">
        <v>8.9</v>
      </c>
      <c r="MF20" s="16">
        <v>9.3000000000000007</v>
      </c>
      <c r="MG20" s="16">
        <v>15.4</v>
      </c>
      <c r="MH20" s="16">
        <v>0.2</v>
      </c>
      <c r="MI20" s="16"/>
      <c r="MJ20" s="16"/>
      <c r="MK20" s="16"/>
      <c r="ML20" s="16"/>
      <c r="MM20" s="16"/>
      <c r="MN20" s="16"/>
      <c r="MO20" s="16"/>
      <c r="MP20" s="16"/>
      <c r="MQ20" s="16"/>
      <c r="MR20" s="16"/>
      <c r="MS20" s="11" t="str">
        <f t="shared" si="141"/>
        <v/>
      </c>
      <c r="MT20" s="11">
        <f t="shared" si="142"/>
        <v>15.87</v>
      </c>
      <c r="MU20" s="11">
        <f t="shared" si="143"/>
        <v>40.47</v>
      </c>
      <c r="MV20" s="11">
        <f t="shared" si="144"/>
        <v>9.3000000000000007</v>
      </c>
      <c r="MW20" s="11">
        <f t="shared" si="145"/>
        <v>15.4</v>
      </c>
      <c r="MX20" s="11">
        <f t="shared" si="146"/>
        <v>45.6</v>
      </c>
      <c r="MY20" s="11">
        <f t="shared" si="147"/>
        <v>45.6</v>
      </c>
      <c r="MZ20" s="11" t="str">
        <f t="shared" si="148"/>
        <v/>
      </c>
      <c r="NA20" s="11" t="str">
        <f t="shared" si="149"/>
        <v/>
      </c>
      <c r="NB20" s="11" t="str">
        <f t="shared" si="150"/>
        <v/>
      </c>
      <c r="NC20" s="11" t="str">
        <f t="shared" si="151"/>
        <v/>
      </c>
      <c r="ND20" s="11" t="str">
        <f t="shared" si="152"/>
        <v/>
      </c>
      <c r="NE20" s="11" t="str">
        <f t="shared" si="153"/>
        <v/>
      </c>
      <c r="NF20" s="11">
        <f t="shared" si="154"/>
        <v>45.6</v>
      </c>
      <c r="NG20" s="15"/>
      <c r="NH20" s="15"/>
      <c r="NI20" s="15"/>
      <c r="NJ20" s="15"/>
      <c r="NK20" s="15"/>
      <c r="NL20" s="15"/>
      <c r="NM20" s="15"/>
      <c r="NN20" s="15"/>
      <c r="NO20" s="15"/>
      <c r="NP20" s="15"/>
      <c r="NQ20" s="15"/>
      <c r="NR20" s="15"/>
      <c r="NS20" s="15"/>
      <c r="NT20" s="15"/>
      <c r="NU20" s="15"/>
      <c r="NV20" s="15"/>
      <c r="NW20" s="15"/>
      <c r="NX20" s="15"/>
      <c r="NY20" s="15"/>
      <c r="NZ20" s="15"/>
      <c r="OA20" s="36" t="str">
        <f t="shared" si="155"/>
        <v/>
      </c>
      <c r="OB20" s="36" t="str">
        <f t="shared" si="156"/>
        <v/>
      </c>
      <c r="OC20" s="36" t="str">
        <f t="shared" si="157"/>
        <v/>
      </c>
      <c r="OD20" s="36" t="str">
        <f t="shared" si="158"/>
        <v/>
      </c>
      <c r="OE20" s="36" t="str">
        <f t="shared" si="159"/>
        <v/>
      </c>
      <c r="OF20" s="36" t="str">
        <f t="shared" si="160"/>
        <v/>
      </c>
      <c r="OG20" s="36" t="str">
        <f t="shared" si="161"/>
        <v/>
      </c>
      <c r="OH20" s="36" t="str">
        <f t="shared" si="162"/>
        <v/>
      </c>
      <c r="OI20" s="36" t="str">
        <f t="shared" si="163"/>
        <v/>
      </c>
      <c r="OJ20" s="36" t="str">
        <f t="shared" si="164"/>
        <v/>
      </c>
      <c r="OK20" s="36" t="str">
        <f t="shared" si="165"/>
        <v/>
      </c>
      <c r="OL20" s="36" t="str">
        <f t="shared" si="166"/>
        <v/>
      </c>
      <c r="OM20" s="36" t="str">
        <f t="shared" si="167"/>
        <v/>
      </c>
      <c r="ON20" s="36" t="str">
        <f t="shared" si="168"/>
        <v/>
      </c>
      <c r="OO20" s="16"/>
      <c r="OP20" s="16"/>
      <c r="OQ20" s="16"/>
      <c r="OR20" s="16"/>
      <c r="OS20" s="16"/>
      <c r="OT20" s="16"/>
      <c r="OU20" s="16"/>
      <c r="OV20" s="16"/>
      <c r="OW20" s="16"/>
      <c r="OX20" s="16"/>
      <c r="OY20" s="16"/>
      <c r="OZ20" s="16"/>
      <c r="PA20" s="16"/>
      <c r="PB20" s="16"/>
      <c r="PC20" s="16"/>
      <c r="PD20" s="16"/>
      <c r="PE20" s="16"/>
      <c r="PF20" s="16"/>
      <c r="PG20" s="16"/>
      <c r="PH20" s="16"/>
      <c r="PI20" s="11" t="str">
        <f t="shared" si="169"/>
        <v/>
      </c>
      <c r="PJ20" s="11" t="str">
        <f t="shared" si="170"/>
        <v/>
      </c>
      <c r="PK20" s="11" t="str">
        <f t="shared" si="171"/>
        <v/>
      </c>
      <c r="PL20" s="11" t="str">
        <f t="shared" si="172"/>
        <v/>
      </c>
      <c r="PM20" s="11" t="str">
        <f t="shared" si="173"/>
        <v/>
      </c>
      <c r="PN20" s="11" t="str">
        <f t="shared" si="174"/>
        <v/>
      </c>
      <c r="PO20" s="11" t="str">
        <f t="shared" si="175"/>
        <v/>
      </c>
      <c r="PP20" s="11" t="str">
        <f t="shared" si="176"/>
        <v/>
      </c>
      <c r="PQ20" s="11" t="str">
        <f t="shared" si="177"/>
        <v/>
      </c>
      <c r="PR20" s="11" t="str">
        <f t="shared" si="178"/>
        <v/>
      </c>
      <c r="PS20" s="11" t="str">
        <f t="shared" si="179"/>
        <v/>
      </c>
      <c r="PT20" s="11" t="str">
        <f t="shared" si="180"/>
        <v/>
      </c>
      <c r="PU20" s="11" t="str">
        <f t="shared" si="181"/>
        <v/>
      </c>
      <c r="PV20" s="11" t="str">
        <f t="shared" si="182"/>
        <v/>
      </c>
      <c r="PW20" s="15"/>
      <c r="PX20" s="15"/>
      <c r="PY20" s="15"/>
      <c r="PZ20" s="15"/>
      <c r="QA20" s="15"/>
      <c r="QB20" s="15"/>
      <c r="QC20" s="15"/>
      <c r="QD20" s="15"/>
      <c r="QE20" s="15"/>
      <c r="QF20" s="15"/>
      <c r="QG20" s="15"/>
      <c r="QH20" s="15"/>
      <c r="QI20" s="15"/>
      <c r="QJ20" s="15"/>
      <c r="QK20" s="15"/>
      <c r="QL20" s="15"/>
      <c r="QM20" s="15"/>
      <c r="QN20" s="15"/>
      <c r="QO20" s="15"/>
      <c r="QP20" s="15"/>
      <c r="QQ20" s="36" t="str">
        <f t="shared" si="183"/>
        <v/>
      </c>
      <c r="QR20" s="36" t="str">
        <f t="shared" si="184"/>
        <v/>
      </c>
      <c r="QS20" s="36" t="str">
        <f t="shared" si="185"/>
        <v/>
      </c>
      <c r="QT20" s="36" t="str">
        <f t="shared" si="186"/>
        <v/>
      </c>
      <c r="QU20" s="36" t="str">
        <f t="shared" si="187"/>
        <v/>
      </c>
      <c r="QV20" s="36" t="str">
        <f t="shared" si="188"/>
        <v/>
      </c>
      <c r="QW20" s="36" t="str">
        <f t="shared" si="189"/>
        <v/>
      </c>
      <c r="QX20" s="36" t="str">
        <f t="shared" si="190"/>
        <v/>
      </c>
      <c r="QY20" s="36" t="str">
        <f t="shared" si="191"/>
        <v/>
      </c>
      <c r="QZ20" s="36" t="str">
        <f t="shared" si="192"/>
        <v/>
      </c>
      <c r="RA20" s="36" t="str">
        <f t="shared" si="193"/>
        <v/>
      </c>
      <c r="RB20" s="36" t="str">
        <f t="shared" si="194"/>
        <v/>
      </c>
      <c r="RC20" s="36" t="str">
        <f t="shared" si="195"/>
        <v/>
      </c>
      <c r="RD20" s="36" t="str">
        <f t="shared" si="196"/>
        <v/>
      </c>
      <c r="RE20" s="16"/>
      <c r="RF20" s="16"/>
      <c r="RG20" s="16"/>
      <c r="RH20" s="16"/>
      <c r="RI20" s="16"/>
      <c r="RJ20" s="16"/>
      <c r="RK20" s="16"/>
      <c r="RL20" s="16"/>
      <c r="RM20" s="16"/>
      <c r="RN20" s="16"/>
      <c r="RO20" s="16"/>
      <c r="RP20" s="16"/>
      <c r="RQ20" s="16"/>
      <c r="RR20" s="16"/>
      <c r="RS20" s="16"/>
      <c r="RT20" s="16"/>
      <c r="RU20" s="16"/>
      <c r="RV20" s="16"/>
      <c r="RW20" s="16"/>
      <c r="RX20" s="16"/>
      <c r="RY20" s="11" t="str">
        <f t="shared" si="197"/>
        <v/>
      </c>
      <c r="RZ20" s="11" t="str">
        <f t="shared" si="198"/>
        <v/>
      </c>
      <c r="SA20" s="11" t="str">
        <f t="shared" si="199"/>
        <v/>
      </c>
      <c r="SB20" s="11" t="str">
        <f t="shared" si="200"/>
        <v/>
      </c>
      <c r="SC20" s="11" t="str">
        <f t="shared" si="201"/>
        <v/>
      </c>
      <c r="SD20" s="11" t="str">
        <f t="shared" si="202"/>
        <v/>
      </c>
      <c r="SE20" s="11" t="str">
        <f t="shared" si="203"/>
        <v/>
      </c>
      <c r="SF20" s="11" t="str">
        <f t="shared" si="204"/>
        <v/>
      </c>
      <c r="SG20" s="11" t="str">
        <f t="shared" si="205"/>
        <v/>
      </c>
      <c r="SH20" s="11" t="str">
        <f t="shared" si="206"/>
        <v/>
      </c>
      <c r="SI20" s="11" t="str">
        <f t="shared" si="207"/>
        <v/>
      </c>
      <c r="SJ20" s="11" t="str">
        <f t="shared" si="208"/>
        <v/>
      </c>
      <c r="SK20" s="11" t="str">
        <f t="shared" si="209"/>
        <v/>
      </c>
      <c r="SL20" s="11" t="str">
        <f t="shared" si="210"/>
        <v/>
      </c>
      <c r="SM20" s="15"/>
      <c r="SN20" s="15"/>
      <c r="SO20" s="15"/>
      <c r="SP20" s="15"/>
      <c r="SQ20" s="15"/>
      <c r="SR20" s="15"/>
      <c r="SS20" s="15"/>
      <c r="ST20" s="15"/>
      <c r="SU20" s="15"/>
      <c r="SV20" s="15"/>
      <c r="SW20" s="15"/>
      <c r="SX20" s="15"/>
      <c r="SY20" s="15"/>
      <c r="SZ20" s="15"/>
      <c r="TA20" s="15"/>
      <c r="TB20" s="15"/>
      <c r="TC20" s="15"/>
      <c r="TD20" s="15"/>
      <c r="TE20" s="15"/>
      <c r="TF20" s="15"/>
      <c r="TG20" s="36" t="str">
        <f t="shared" si="211"/>
        <v/>
      </c>
      <c r="TH20" s="36" t="str">
        <f t="shared" si="212"/>
        <v/>
      </c>
      <c r="TI20" s="36" t="str">
        <f t="shared" si="213"/>
        <v/>
      </c>
      <c r="TJ20" s="36" t="str">
        <f t="shared" si="214"/>
        <v/>
      </c>
      <c r="TK20" s="36" t="str">
        <f t="shared" si="215"/>
        <v/>
      </c>
      <c r="TL20" s="36" t="str">
        <f t="shared" si="216"/>
        <v/>
      </c>
      <c r="TM20" s="36" t="str">
        <f t="shared" si="217"/>
        <v/>
      </c>
      <c r="TN20" s="36" t="str">
        <f t="shared" si="218"/>
        <v/>
      </c>
      <c r="TO20" s="36" t="str">
        <f t="shared" si="219"/>
        <v/>
      </c>
      <c r="TP20" s="36" t="str">
        <f t="shared" si="220"/>
        <v/>
      </c>
      <c r="TQ20" s="36" t="str">
        <f t="shared" si="221"/>
        <v/>
      </c>
      <c r="TR20" s="36" t="str">
        <f t="shared" si="222"/>
        <v/>
      </c>
      <c r="TS20" s="36" t="str">
        <f t="shared" si="223"/>
        <v/>
      </c>
      <c r="TT20" s="36" t="str">
        <f t="shared" si="224"/>
        <v/>
      </c>
      <c r="TU20" s="16"/>
      <c r="TV20" s="16"/>
      <c r="TW20" s="16"/>
      <c r="TX20" s="16"/>
      <c r="TY20" s="16"/>
      <c r="TZ20" s="16"/>
      <c r="UA20" s="16"/>
      <c r="UB20" s="16"/>
      <c r="UC20" s="16"/>
      <c r="UD20" s="16"/>
      <c r="UE20" s="16"/>
      <c r="UF20" s="16"/>
      <c r="UG20" s="16"/>
      <c r="UH20" s="16"/>
      <c r="UI20" s="16"/>
      <c r="UJ20" s="16"/>
      <c r="UK20" s="16"/>
      <c r="UL20" s="16"/>
      <c r="UM20" s="16"/>
      <c r="UN20" s="16"/>
      <c r="UO20" s="11" t="str">
        <f t="shared" si="225"/>
        <v/>
      </c>
      <c r="UP20" s="11" t="str">
        <f t="shared" si="226"/>
        <v/>
      </c>
      <c r="UQ20" s="11" t="str">
        <f t="shared" si="227"/>
        <v/>
      </c>
      <c r="UR20" s="11" t="str">
        <f t="shared" si="228"/>
        <v/>
      </c>
      <c r="US20" s="11" t="str">
        <f t="shared" si="229"/>
        <v/>
      </c>
      <c r="UT20" s="11" t="str">
        <f t="shared" si="230"/>
        <v/>
      </c>
      <c r="UU20" s="11" t="str">
        <f t="shared" si="231"/>
        <v/>
      </c>
      <c r="UV20" s="11" t="str">
        <f t="shared" si="232"/>
        <v/>
      </c>
      <c r="UW20" s="11" t="str">
        <f t="shared" si="233"/>
        <v/>
      </c>
      <c r="UX20" s="11" t="str">
        <f t="shared" si="234"/>
        <v/>
      </c>
      <c r="UY20" s="11" t="str">
        <f t="shared" si="235"/>
        <v/>
      </c>
      <c r="UZ20" s="11" t="str">
        <f t="shared" si="236"/>
        <v/>
      </c>
      <c r="VA20" s="11" t="str">
        <f t="shared" si="237"/>
        <v/>
      </c>
      <c r="VB20" s="11" t="str">
        <f t="shared" si="238"/>
        <v/>
      </c>
      <c r="VC20" s="15"/>
      <c r="VD20" s="15"/>
      <c r="VE20" s="15"/>
      <c r="VF20" s="15"/>
      <c r="VG20" s="15"/>
      <c r="VH20" s="15"/>
      <c r="VI20" s="15"/>
      <c r="VJ20" s="15"/>
      <c r="VK20" s="15"/>
      <c r="VL20" s="15"/>
      <c r="VM20" s="15"/>
      <c r="VN20" s="15"/>
      <c r="VO20" s="15"/>
      <c r="VP20" s="15"/>
      <c r="VQ20" s="15"/>
      <c r="VR20" s="15"/>
      <c r="VS20" s="15"/>
      <c r="VT20" s="15"/>
      <c r="VU20" s="15"/>
      <c r="VV20" s="15"/>
      <c r="VW20" s="36" t="str">
        <f t="shared" si="239"/>
        <v/>
      </c>
      <c r="VX20" s="36" t="str">
        <f t="shared" si="240"/>
        <v/>
      </c>
      <c r="VY20" s="36" t="str">
        <f t="shared" si="241"/>
        <v/>
      </c>
      <c r="VZ20" s="36" t="str">
        <f t="shared" si="242"/>
        <v/>
      </c>
      <c r="WA20" s="36" t="str">
        <f t="shared" si="243"/>
        <v/>
      </c>
      <c r="WB20" s="36" t="str">
        <f t="shared" si="244"/>
        <v/>
      </c>
      <c r="WC20" s="36" t="str">
        <f t="shared" si="245"/>
        <v/>
      </c>
      <c r="WD20" s="36" t="str">
        <f t="shared" si="246"/>
        <v/>
      </c>
      <c r="WE20" s="36" t="str">
        <f t="shared" si="247"/>
        <v/>
      </c>
      <c r="WF20" s="36" t="str">
        <f t="shared" si="248"/>
        <v/>
      </c>
      <c r="WG20" s="36" t="str">
        <f t="shared" si="249"/>
        <v/>
      </c>
      <c r="WH20" s="36" t="str">
        <f t="shared" si="250"/>
        <v/>
      </c>
      <c r="WI20" s="36" t="str">
        <f t="shared" si="251"/>
        <v/>
      </c>
      <c r="WJ20" s="36" t="str">
        <f t="shared" si="252"/>
        <v/>
      </c>
    </row>
    <row r="21" spans="1:608" x14ac:dyDescent="0.2">
      <c r="A21" s="4" t="str" cm="1">
        <f t="array" ref="A21">IF(AND(H21&lt;&gt;"",H21&lt;&gt;"No DD",I21&lt;&gt;"P"),SUMPRODUCT((H$4:H$28&lt;&gt;"")*(H$4:H$28&lt;&gt;"No DD")*(I$4:I$28&lt;&gt;"P")*(E$4:E$28&gt;E21))+1,IF(H21="No DD",SUMPRODUCT((H$4:H$28="No DD")*(I$4:I$28&lt;&gt;"P")*(E$4:E$28&gt;E21))+1+SUMPRODUCT((H$4:H$28&lt;&gt;"")*(I$4:I$28&lt;&gt;"P")*(H$4:H$28&lt;&gt;"No DD")),""))</f>
        <v/>
      </c>
      <c r="B21" s="5" t="s">
        <v>201</v>
      </c>
      <c r="C21" s="4" t="s">
        <v>7</v>
      </c>
      <c r="D21" s="4">
        <v>2009</v>
      </c>
      <c r="E21" s="9">
        <f t="shared" si="0"/>
        <v>92.810009281004739</v>
      </c>
      <c r="F21" s="3" t="str">
        <f t="shared" si="1"/>
        <v/>
      </c>
      <c r="G21" s="3" t="str">
        <f t="shared" si="2"/>
        <v/>
      </c>
      <c r="H21" s="32" t="str">
        <f t="shared" si="3"/>
        <v/>
      </c>
      <c r="I21" s="3" t="str">
        <f>IF(COUNTIFS('Senior-M'!B:B,B21,'Senior-M'!A:A,"&lt;9",'Senior-M'!H:H,"&lt;&gt;"&amp;"No DD"),"P","")</f>
        <v/>
      </c>
      <c r="J21" s="8">
        <f t="shared" si="4"/>
        <v>47.35</v>
      </c>
      <c r="K21" s="8" t="str">
        <f t="shared" si="5"/>
        <v>2025 Elite Canada</v>
      </c>
      <c r="L21" s="8">
        <f>IFERROR(LARGE((AI21,AL21,AP21,BJ21,BM21,BQ21,CK21,CN21,CR21),2),0)</f>
        <v>45.46</v>
      </c>
      <c r="M21" s="8" t="str">
        <f t="shared" si="6"/>
        <v>2025 Elite Canada</v>
      </c>
      <c r="N21" s="8">
        <f t="shared" si="7"/>
        <v>0</v>
      </c>
      <c r="O21" s="11" t="str">
        <f>IF(N21=0,"",IF(N21=CT21,"("&amp;CT$2&amp;")",IF(N21=#REF!,"("&amp;#REF!&amp;")")))</f>
        <v/>
      </c>
      <c r="P21" s="8" t="str">
        <f t="shared" si="8"/>
        <v/>
      </c>
      <c r="Q21" s="18">
        <v>14.7</v>
      </c>
      <c r="R21" s="18">
        <v>9.1</v>
      </c>
      <c r="S21" s="18">
        <v>0</v>
      </c>
      <c r="T21" s="18">
        <v>14.74</v>
      </c>
      <c r="U21" s="18">
        <v>0</v>
      </c>
      <c r="V21" s="18">
        <v>12.9</v>
      </c>
      <c r="W21" s="18">
        <v>9.8000000000000007</v>
      </c>
      <c r="X21" s="18">
        <v>10.3</v>
      </c>
      <c r="Y21" s="18">
        <v>14.35</v>
      </c>
      <c r="Z21" s="18">
        <v>0</v>
      </c>
      <c r="AA21" s="18">
        <v>14.3</v>
      </c>
      <c r="AB21" s="18">
        <v>9.4</v>
      </c>
      <c r="AC21" s="18">
        <v>8.8000000000000007</v>
      </c>
      <c r="AD21" s="18">
        <v>14.26</v>
      </c>
      <c r="AE21" s="18">
        <v>1.3</v>
      </c>
      <c r="AF21" s="23"/>
      <c r="AG21" s="34" t="str">
        <f t="shared" si="9"/>
        <v/>
      </c>
      <c r="AH21" s="34">
        <f t="shared" si="10"/>
        <v>14.74</v>
      </c>
      <c r="AI21" s="36">
        <f t="shared" si="11"/>
        <v>38.54</v>
      </c>
      <c r="AJ21" s="36">
        <f t="shared" si="12"/>
        <v>10.3</v>
      </c>
      <c r="AK21" s="36">
        <f t="shared" si="13"/>
        <v>14.35</v>
      </c>
      <c r="AL21" s="36">
        <f t="shared" si="14"/>
        <v>47.35</v>
      </c>
      <c r="AM21" s="36">
        <f t="shared" si="15"/>
        <v>47.35</v>
      </c>
      <c r="AN21" s="36">
        <f t="shared" si="16"/>
        <v>8.8000000000000007</v>
      </c>
      <c r="AO21" s="36">
        <f t="shared" si="17"/>
        <v>14.26</v>
      </c>
      <c r="AP21" s="36">
        <f t="shared" si="18"/>
        <v>45.46</v>
      </c>
      <c r="AQ21" s="36">
        <f t="shared" si="19"/>
        <v>92.81</v>
      </c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4"/>
      <c r="BH21" s="35" t="str">
        <f t="shared" si="20"/>
        <v/>
      </c>
      <c r="BI21" s="35" t="str">
        <f t="shared" si="21"/>
        <v/>
      </c>
      <c r="BJ21" s="11" t="str">
        <f t="shared" si="22"/>
        <v/>
      </c>
      <c r="BK21" s="11" t="str">
        <f t="shared" si="23"/>
        <v/>
      </c>
      <c r="BL21" s="11" t="str">
        <f t="shared" si="24"/>
        <v/>
      </c>
      <c r="BM21" s="11" t="str">
        <f t="shared" si="25"/>
        <v/>
      </c>
      <c r="BN21" s="11" t="str">
        <f t="shared" si="26"/>
        <v/>
      </c>
      <c r="BO21" s="11" t="str">
        <f t="shared" si="27"/>
        <v/>
      </c>
      <c r="BP21" s="11" t="str">
        <f t="shared" si="28"/>
        <v/>
      </c>
      <c r="BQ21" s="11" t="str">
        <f t="shared" si="29"/>
        <v/>
      </c>
      <c r="BR21" s="11" t="str">
        <f t="shared" si="30"/>
        <v/>
      </c>
      <c r="BS21" s="18"/>
      <c r="BT21" s="18"/>
      <c r="BU21" s="18"/>
      <c r="BV21" s="18"/>
      <c r="BW21" s="18"/>
      <c r="BX21" s="18"/>
      <c r="BY21" s="18"/>
      <c r="BZ21" s="18"/>
      <c r="CA21" s="18"/>
      <c r="CB21" s="18"/>
      <c r="CC21" s="18"/>
      <c r="CD21" s="18"/>
      <c r="CE21" s="18"/>
      <c r="CF21" s="18"/>
      <c r="CG21" s="18"/>
      <c r="CH21" s="23"/>
      <c r="CI21" s="34" t="str">
        <f t="shared" si="31"/>
        <v/>
      </c>
      <c r="CJ21" s="34" t="str">
        <f t="shared" si="32"/>
        <v/>
      </c>
      <c r="CK21" s="36" t="str">
        <f t="shared" si="33"/>
        <v/>
      </c>
      <c r="CL21" s="36" t="str">
        <f t="shared" si="34"/>
        <v/>
      </c>
      <c r="CM21" s="36" t="str">
        <f t="shared" si="35"/>
        <v/>
      </c>
      <c r="CN21" s="36" t="str">
        <f t="shared" si="36"/>
        <v/>
      </c>
      <c r="CO21" s="36" t="str">
        <f t="shared" si="37"/>
        <v/>
      </c>
      <c r="CP21" s="36" t="str">
        <f t="shared" si="38"/>
        <v/>
      </c>
      <c r="CQ21" s="36" t="str">
        <f t="shared" si="39"/>
        <v/>
      </c>
      <c r="CR21" s="36" t="str">
        <f t="shared" si="40"/>
        <v/>
      </c>
      <c r="CS21" s="36" t="str">
        <f t="shared" si="41"/>
        <v/>
      </c>
      <c r="CT21" s="47" t="str">
        <f t="shared" si="42"/>
        <v/>
      </c>
      <c r="CU21" s="15"/>
      <c r="CV21" s="15"/>
      <c r="CW21" s="15"/>
      <c r="CX21" s="15"/>
      <c r="CY21" s="15"/>
      <c r="CZ21" s="15"/>
      <c r="DA21" s="15"/>
      <c r="DB21" s="15"/>
      <c r="DC21" s="15"/>
      <c r="DD21" s="15"/>
      <c r="DE21" s="15"/>
      <c r="DF21" s="15"/>
      <c r="DG21" s="15"/>
      <c r="DH21" s="15"/>
      <c r="DI21" s="15"/>
      <c r="DJ21" s="15"/>
      <c r="DK21" s="15"/>
      <c r="DL21" s="15"/>
      <c r="DM21" s="15"/>
      <c r="DN21" s="15"/>
      <c r="DO21" s="36" t="str">
        <f t="shared" si="43"/>
        <v/>
      </c>
      <c r="DP21" s="36" t="str">
        <f t="shared" si="44"/>
        <v/>
      </c>
      <c r="DQ21" s="36" t="str">
        <f t="shared" si="45"/>
        <v/>
      </c>
      <c r="DR21" s="36" t="str">
        <f t="shared" si="46"/>
        <v/>
      </c>
      <c r="DS21" s="36" t="str">
        <f t="shared" si="47"/>
        <v/>
      </c>
      <c r="DT21" s="36" t="str">
        <f t="shared" si="48"/>
        <v/>
      </c>
      <c r="DU21" s="36" t="str">
        <f t="shared" si="49"/>
        <v/>
      </c>
      <c r="DV21" s="36" t="str">
        <f t="shared" si="50"/>
        <v/>
      </c>
      <c r="DW21" s="36" t="str">
        <f t="shared" si="51"/>
        <v/>
      </c>
      <c r="DX21" s="36" t="str">
        <f t="shared" si="52"/>
        <v/>
      </c>
      <c r="DY21" s="36" t="str">
        <f t="shared" si="53"/>
        <v/>
      </c>
      <c r="DZ21" s="36" t="str">
        <f t="shared" si="54"/>
        <v/>
      </c>
      <c r="EA21" s="36" t="str">
        <f t="shared" si="55"/>
        <v/>
      </c>
      <c r="EB21" s="36" t="str">
        <f t="shared" si="56"/>
        <v/>
      </c>
      <c r="EC21" s="16"/>
      <c r="ED21" s="16"/>
      <c r="EE21" s="16"/>
      <c r="EF21" s="16"/>
      <c r="EG21" s="16"/>
      <c r="EH21" s="16"/>
      <c r="EI21" s="16"/>
      <c r="EJ21" s="16"/>
      <c r="EK21" s="16"/>
      <c r="EL21" s="16"/>
      <c r="EM21" s="16"/>
      <c r="EN21" s="16"/>
      <c r="EO21" s="16"/>
      <c r="EP21" s="16"/>
      <c r="EQ21" s="16"/>
      <c r="ER21" s="16"/>
      <c r="ES21" s="16"/>
      <c r="ET21" s="16"/>
      <c r="EU21" s="16"/>
      <c r="EV21" s="16"/>
      <c r="EW21" s="11" t="str">
        <f t="shared" si="57"/>
        <v/>
      </c>
      <c r="EX21" s="11" t="str">
        <f t="shared" si="58"/>
        <v/>
      </c>
      <c r="EY21" s="11" t="str">
        <f t="shared" si="59"/>
        <v/>
      </c>
      <c r="EZ21" s="11" t="str">
        <f t="shared" si="60"/>
        <v/>
      </c>
      <c r="FA21" s="11" t="str">
        <f t="shared" si="61"/>
        <v/>
      </c>
      <c r="FB21" s="11" t="str">
        <f t="shared" si="62"/>
        <v/>
      </c>
      <c r="FC21" s="11" t="str">
        <f t="shared" si="63"/>
        <v/>
      </c>
      <c r="FD21" s="11" t="str">
        <f t="shared" si="64"/>
        <v/>
      </c>
      <c r="FE21" s="11" t="str">
        <f t="shared" si="65"/>
        <v/>
      </c>
      <c r="FF21" s="11" t="str">
        <f t="shared" si="66"/>
        <v/>
      </c>
      <c r="FG21" s="11" t="str">
        <f t="shared" si="67"/>
        <v/>
      </c>
      <c r="FH21" s="11" t="str">
        <f t="shared" si="68"/>
        <v/>
      </c>
      <c r="FI21" s="11" t="str">
        <f t="shared" si="69"/>
        <v/>
      </c>
      <c r="FJ21" s="11" t="str">
        <f t="shared" si="70"/>
        <v/>
      </c>
      <c r="FK21" s="15"/>
      <c r="FL21" s="15"/>
      <c r="FM21" s="15"/>
      <c r="FN21" s="15"/>
      <c r="FO21" s="15"/>
      <c r="FP21" s="15"/>
      <c r="FQ21" s="15"/>
      <c r="FR21" s="15"/>
      <c r="FS21" s="15"/>
      <c r="FT21" s="15"/>
      <c r="FU21" s="15"/>
      <c r="FV21" s="15"/>
      <c r="FW21" s="15"/>
      <c r="FX21" s="15"/>
      <c r="FY21" s="15"/>
      <c r="FZ21" s="15"/>
      <c r="GA21" s="15"/>
      <c r="GB21" s="15"/>
      <c r="GC21" s="15"/>
      <c r="GD21" s="15"/>
      <c r="GE21" s="36" t="str">
        <f t="shared" si="71"/>
        <v/>
      </c>
      <c r="GF21" s="36" t="str">
        <f t="shared" si="72"/>
        <v/>
      </c>
      <c r="GG21" s="36" t="str">
        <f t="shared" si="73"/>
        <v/>
      </c>
      <c r="GH21" s="36" t="str">
        <f t="shared" si="74"/>
        <v/>
      </c>
      <c r="GI21" s="36" t="str">
        <f t="shared" si="75"/>
        <v/>
      </c>
      <c r="GJ21" s="36" t="str">
        <f t="shared" si="76"/>
        <v/>
      </c>
      <c r="GK21" s="36" t="str">
        <f t="shared" si="77"/>
        <v/>
      </c>
      <c r="GL21" s="36" t="str">
        <f t="shared" si="78"/>
        <v/>
      </c>
      <c r="GM21" s="36" t="str">
        <f t="shared" si="79"/>
        <v/>
      </c>
      <c r="GN21" s="36" t="str">
        <f t="shared" si="80"/>
        <v/>
      </c>
      <c r="GO21" s="36" t="str">
        <f t="shared" si="81"/>
        <v/>
      </c>
      <c r="GP21" s="36" t="str">
        <f t="shared" si="82"/>
        <v/>
      </c>
      <c r="GQ21" s="36" t="str">
        <f t="shared" si="83"/>
        <v/>
      </c>
      <c r="GR21" s="36" t="str">
        <f t="shared" si="84"/>
        <v/>
      </c>
      <c r="GS21" s="16"/>
      <c r="GT21" s="16"/>
      <c r="GU21" s="16"/>
      <c r="GV21" s="16"/>
      <c r="GW21" s="16"/>
      <c r="GX21" s="16"/>
      <c r="GY21" s="16"/>
      <c r="GZ21" s="16"/>
      <c r="HA21" s="16"/>
      <c r="HB21" s="16"/>
      <c r="HC21" s="16"/>
      <c r="HD21" s="16"/>
      <c r="HE21" s="16"/>
      <c r="HF21" s="16"/>
      <c r="HG21" s="16"/>
      <c r="HH21" s="16"/>
      <c r="HI21" s="16"/>
      <c r="HJ21" s="16"/>
      <c r="HK21" s="16"/>
      <c r="HL21" s="16"/>
      <c r="HM21" s="11" t="str">
        <f t="shared" si="85"/>
        <v/>
      </c>
      <c r="HN21" s="11" t="str">
        <f t="shared" si="86"/>
        <v/>
      </c>
      <c r="HO21" s="11" t="str">
        <f t="shared" si="87"/>
        <v/>
      </c>
      <c r="HP21" s="11" t="str">
        <f t="shared" si="88"/>
        <v/>
      </c>
      <c r="HQ21" s="11" t="str">
        <f t="shared" si="89"/>
        <v/>
      </c>
      <c r="HR21" s="11" t="str">
        <f t="shared" si="90"/>
        <v/>
      </c>
      <c r="HS21" s="11" t="str">
        <f t="shared" si="91"/>
        <v/>
      </c>
      <c r="HT21" s="11" t="str">
        <f t="shared" si="92"/>
        <v/>
      </c>
      <c r="HU21" s="11" t="str">
        <f t="shared" si="93"/>
        <v/>
      </c>
      <c r="HV21" s="11" t="str">
        <f t="shared" si="94"/>
        <v/>
      </c>
      <c r="HW21" s="11" t="str">
        <f t="shared" si="95"/>
        <v/>
      </c>
      <c r="HX21" s="11" t="str">
        <f t="shared" si="96"/>
        <v/>
      </c>
      <c r="HY21" s="11" t="str">
        <f t="shared" si="97"/>
        <v/>
      </c>
      <c r="HZ21" s="11" t="str">
        <f t="shared" si="98"/>
        <v/>
      </c>
      <c r="IA21" s="15"/>
      <c r="IB21" s="15"/>
      <c r="IC21" s="15"/>
      <c r="ID21" s="15"/>
      <c r="IE21" s="15"/>
      <c r="IF21" s="15"/>
      <c r="IG21" s="15"/>
      <c r="IH21" s="15"/>
      <c r="II21" s="15"/>
      <c r="IJ21" s="15"/>
      <c r="IK21" s="15"/>
      <c r="IL21" s="15"/>
      <c r="IM21" s="15"/>
      <c r="IN21" s="15"/>
      <c r="IO21" s="15"/>
      <c r="IP21" s="15"/>
      <c r="IQ21" s="15"/>
      <c r="IR21" s="15"/>
      <c r="IS21" s="15"/>
      <c r="IT21" s="15"/>
      <c r="IU21" s="36" t="str">
        <f t="shared" si="99"/>
        <v/>
      </c>
      <c r="IV21" s="36" t="str">
        <f t="shared" si="100"/>
        <v/>
      </c>
      <c r="IW21" s="36" t="str">
        <f t="shared" si="101"/>
        <v/>
      </c>
      <c r="IX21" s="36" t="str">
        <f t="shared" si="102"/>
        <v/>
      </c>
      <c r="IY21" s="36" t="str">
        <f t="shared" si="103"/>
        <v/>
      </c>
      <c r="IZ21" s="36" t="str">
        <f t="shared" si="104"/>
        <v/>
      </c>
      <c r="JA21" s="36" t="str">
        <f t="shared" si="105"/>
        <v/>
      </c>
      <c r="JB21" s="36" t="str">
        <f t="shared" si="106"/>
        <v/>
      </c>
      <c r="JC21" s="36" t="str">
        <f t="shared" si="107"/>
        <v/>
      </c>
      <c r="JD21" s="36" t="str">
        <f t="shared" si="108"/>
        <v/>
      </c>
      <c r="JE21" s="36" t="str">
        <f t="shared" si="109"/>
        <v/>
      </c>
      <c r="JF21" s="36" t="str">
        <f t="shared" si="110"/>
        <v/>
      </c>
      <c r="JG21" s="36" t="str">
        <f t="shared" si="111"/>
        <v/>
      </c>
      <c r="JH21" s="36" t="str">
        <f t="shared" si="112"/>
        <v/>
      </c>
      <c r="JI21" s="16"/>
      <c r="JJ21" s="16"/>
      <c r="JK21" s="16"/>
      <c r="JL21" s="16"/>
      <c r="JM21" s="16"/>
      <c r="JN21" s="16"/>
      <c r="JO21" s="16"/>
      <c r="JP21" s="16"/>
      <c r="JQ21" s="16"/>
      <c r="JR21" s="16"/>
      <c r="JS21" s="16"/>
      <c r="JT21" s="16"/>
      <c r="JU21" s="16"/>
      <c r="JV21" s="16"/>
      <c r="JW21" s="16"/>
      <c r="JX21" s="16"/>
      <c r="JY21" s="16"/>
      <c r="JZ21" s="16"/>
      <c r="KA21" s="16"/>
      <c r="KB21" s="16"/>
      <c r="KC21" s="11" t="str">
        <f t="shared" si="113"/>
        <v/>
      </c>
      <c r="KD21" s="11" t="str">
        <f t="shared" si="114"/>
        <v/>
      </c>
      <c r="KE21" s="11" t="str">
        <f t="shared" si="115"/>
        <v/>
      </c>
      <c r="KF21" s="11" t="str">
        <f t="shared" si="116"/>
        <v/>
      </c>
      <c r="KG21" s="11" t="str">
        <f t="shared" si="117"/>
        <v/>
      </c>
      <c r="KH21" s="11" t="str">
        <f t="shared" si="118"/>
        <v/>
      </c>
      <c r="KI21" s="11" t="str">
        <f t="shared" si="119"/>
        <v/>
      </c>
      <c r="KJ21" s="11" t="str">
        <f t="shared" si="120"/>
        <v/>
      </c>
      <c r="KK21" s="11" t="str">
        <f t="shared" si="121"/>
        <v/>
      </c>
      <c r="KL21" s="11" t="str">
        <f t="shared" si="122"/>
        <v/>
      </c>
      <c r="KM21" s="11" t="str">
        <f t="shared" si="123"/>
        <v/>
      </c>
      <c r="KN21" s="11" t="str">
        <f t="shared" si="124"/>
        <v/>
      </c>
      <c r="KO21" s="11" t="str">
        <f t="shared" si="125"/>
        <v/>
      </c>
      <c r="KP21" s="11" t="str">
        <f t="shared" si="126"/>
        <v/>
      </c>
      <c r="KQ21" s="15"/>
      <c r="KR21" s="15"/>
      <c r="KS21" s="15"/>
      <c r="KT21" s="15"/>
      <c r="KU21" s="15"/>
      <c r="KV21" s="15"/>
      <c r="KW21" s="15"/>
      <c r="KX21" s="15"/>
      <c r="KY21" s="15"/>
      <c r="KZ21" s="15"/>
      <c r="LA21" s="15"/>
      <c r="LB21" s="15"/>
      <c r="LC21" s="15"/>
      <c r="LD21" s="15"/>
      <c r="LE21" s="15"/>
      <c r="LF21" s="15"/>
      <c r="LG21" s="15"/>
      <c r="LH21" s="15"/>
      <c r="LI21" s="15"/>
      <c r="LJ21" s="15"/>
      <c r="LK21" s="36" t="str">
        <f t="shared" si="127"/>
        <v/>
      </c>
      <c r="LL21" s="36" t="str">
        <f t="shared" si="128"/>
        <v/>
      </c>
      <c r="LM21" s="36" t="str">
        <f t="shared" si="129"/>
        <v/>
      </c>
      <c r="LN21" s="36" t="str">
        <f t="shared" si="130"/>
        <v/>
      </c>
      <c r="LO21" s="36" t="str">
        <f t="shared" si="131"/>
        <v/>
      </c>
      <c r="LP21" s="36" t="str">
        <f t="shared" si="132"/>
        <v/>
      </c>
      <c r="LQ21" s="36" t="str">
        <f t="shared" si="133"/>
        <v/>
      </c>
      <c r="LR21" s="36" t="str">
        <f t="shared" si="134"/>
        <v/>
      </c>
      <c r="LS21" s="36" t="str">
        <f t="shared" si="135"/>
        <v/>
      </c>
      <c r="LT21" s="36" t="str">
        <f t="shared" si="136"/>
        <v/>
      </c>
      <c r="LU21" s="36" t="str">
        <f t="shared" si="137"/>
        <v/>
      </c>
      <c r="LV21" s="36" t="str">
        <f t="shared" si="138"/>
        <v/>
      </c>
      <c r="LW21" s="36" t="str">
        <f t="shared" si="139"/>
        <v/>
      </c>
      <c r="LX21" s="36" t="str">
        <f t="shared" si="140"/>
        <v/>
      </c>
      <c r="LY21" s="16"/>
      <c r="LZ21" s="16"/>
      <c r="MA21" s="16"/>
      <c r="MB21" s="16"/>
      <c r="MC21" s="16"/>
      <c r="MD21" s="16"/>
      <c r="ME21" s="16"/>
      <c r="MF21" s="16"/>
      <c r="MG21" s="16"/>
      <c r="MH21" s="16"/>
      <c r="MI21" s="16"/>
      <c r="MJ21" s="16"/>
      <c r="MK21" s="16"/>
      <c r="ML21" s="16"/>
      <c r="MM21" s="16"/>
      <c r="MN21" s="16"/>
      <c r="MO21" s="16"/>
      <c r="MP21" s="16"/>
      <c r="MQ21" s="16"/>
      <c r="MR21" s="16"/>
      <c r="MS21" s="11" t="str">
        <f t="shared" si="141"/>
        <v/>
      </c>
      <c r="MT21" s="11" t="str">
        <f t="shared" si="142"/>
        <v/>
      </c>
      <c r="MU21" s="11" t="str">
        <f t="shared" si="143"/>
        <v/>
      </c>
      <c r="MV21" s="11" t="str">
        <f t="shared" si="144"/>
        <v/>
      </c>
      <c r="MW21" s="11" t="str">
        <f t="shared" si="145"/>
        <v/>
      </c>
      <c r="MX21" s="11" t="str">
        <f t="shared" si="146"/>
        <v/>
      </c>
      <c r="MY21" s="11" t="str">
        <f t="shared" si="147"/>
        <v/>
      </c>
      <c r="MZ21" s="11" t="str">
        <f t="shared" si="148"/>
        <v/>
      </c>
      <c r="NA21" s="11" t="str">
        <f t="shared" si="149"/>
        <v/>
      </c>
      <c r="NB21" s="11" t="str">
        <f t="shared" si="150"/>
        <v/>
      </c>
      <c r="NC21" s="11" t="str">
        <f t="shared" si="151"/>
        <v/>
      </c>
      <c r="ND21" s="11" t="str">
        <f t="shared" si="152"/>
        <v/>
      </c>
      <c r="NE21" s="11" t="str">
        <f t="shared" si="153"/>
        <v/>
      </c>
      <c r="NF21" s="11" t="str">
        <f t="shared" si="154"/>
        <v/>
      </c>
      <c r="NG21" s="15"/>
      <c r="NH21" s="15"/>
      <c r="NI21" s="15"/>
      <c r="NJ21" s="15"/>
      <c r="NK21" s="15"/>
      <c r="NL21" s="15"/>
      <c r="NM21" s="15"/>
      <c r="NN21" s="15"/>
      <c r="NO21" s="15"/>
      <c r="NP21" s="15"/>
      <c r="NQ21" s="15"/>
      <c r="NR21" s="15"/>
      <c r="NS21" s="15"/>
      <c r="NT21" s="15"/>
      <c r="NU21" s="15"/>
      <c r="NV21" s="15"/>
      <c r="NW21" s="15"/>
      <c r="NX21" s="15"/>
      <c r="NY21" s="15"/>
      <c r="NZ21" s="15"/>
      <c r="OA21" s="36" t="str">
        <f t="shared" si="155"/>
        <v/>
      </c>
      <c r="OB21" s="36" t="str">
        <f t="shared" si="156"/>
        <v/>
      </c>
      <c r="OC21" s="36" t="str">
        <f t="shared" si="157"/>
        <v/>
      </c>
      <c r="OD21" s="36" t="str">
        <f t="shared" si="158"/>
        <v/>
      </c>
      <c r="OE21" s="36" t="str">
        <f t="shared" si="159"/>
        <v/>
      </c>
      <c r="OF21" s="36" t="str">
        <f t="shared" si="160"/>
        <v/>
      </c>
      <c r="OG21" s="36" t="str">
        <f t="shared" si="161"/>
        <v/>
      </c>
      <c r="OH21" s="36" t="str">
        <f t="shared" si="162"/>
        <v/>
      </c>
      <c r="OI21" s="36" t="str">
        <f t="shared" si="163"/>
        <v/>
      </c>
      <c r="OJ21" s="36" t="str">
        <f t="shared" si="164"/>
        <v/>
      </c>
      <c r="OK21" s="36" t="str">
        <f t="shared" si="165"/>
        <v/>
      </c>
      <c r="OL21" s="36" t="str">
        <f t="shared" si="166"/>
        <v/>
      </c>
      <c r="OM21" s="36" t="str">
        <f t="shared" si="167"/>
        <v/>
      </c>
      <c r="ON21" s="36" t="str">
        <f t="shared" si="168"/>
        <v/>
      </c>
      <c r="OO21" s="16"/>
      <c r="OP21" s="16"/>
      <c r="OQ21" s="16"/>
      <c r="OR21" s="16"/>
      <c r="OS21" s="16"/>
      <c r="OT21" s="16"/>
      <c r="OU21" s="16"/>
      <c r="OV21" s="16"/>
      <c r="OW21" s="16"/>
      <c r="OX21" s="16"/>
      <c r="OY21" s="16"/>
      <c r="OZ21" s="16"/>
      <c r="PA21" s="16"/>
      <c r="PB21" s="16"/>
      <c r="PC21" s="16"/>
      <c r="PD21" s="16"/>
      <c r="PE21" s="16"/>
      <c r="PF21" s="16"/>
      <c r="PG21" s="16"/>
      <c r="PH21" s="16"/>
      <c r="PI21" s="11" t="str">
        <f t="shared" si="169"/>
        <v/>
      </c>
      <c r="PJ21" s="11" t="str">
        <f t="shared" si="170"/>
        <v/>
      </c>
      <c r="PK21" s="11" t="str">
        <f t="shared" si="171"/>
        <v/>
      </c>
      <c r="PL21" s="11" t="str">
        <f t="shared" si="172"/>
        <v/>
      </c>
      <c r="PM21" s="11" t="str">
        <f t="shared" si="173"/>
        <v/>
      </c>
      <c r="PN21" s="11" t="str">
        <f t="shared" si="174"/>
        <v/>
      </c>
      <c r="PO21" s="11" t="str">
        <f t="shared" si="175"/>
        <v/>
      </c>
      <c r="PP21" s="11" t="str">
        <f t="shared" si="176"/>
        <v/>
      </c>
      <c r="PQ21" s="11" t="str">
        <f t="shared" si="177"/>
        <v/>
      </c>
      <c r="PR21" s="11" t="str">
        <f t="shared" si="178"/>
        <v/>
      </c>
      <c r="PS21" s="11" t="str">
        <f t="shared" si="179"/>
        <v/>
      </c>
      <c r="PT21" s="11" t="str">
        <f t="shared" si="180"/>
        <v/>
      </c>
      <c r="PU21" s="11" t="str">
        <f t="shared" si="181"/>
        <v/>
      </c>
      <c r="PV21" s="11" t="str">
        <f t="shared" si="182"/>
        <v/>
      </c>
      <c r="PW21" s="15"/>
      <c r="PX21" s="15"/>
      <c r="PY21" s="15"/>
      <c r="PZ21" s="15"/>
      <c r="QA21" s="15"/>
      <c r="QB21" s="15"/>
      <c r="QC21" s="15"/>
      <c r="QD21" s="15"/>
      <c r="QE21" s="15"/>
      <c r="QF21" s="15"/>
      <c r="QG21" s="15"/>
      <c r="QH21" s="15"/>
      <c r="QI21" s="15"/>
      <c r="QJ21" s="15"/>
      <c r="QK21" s="15"/>
      <c r="QL21" s="15"/>
      <c r="QM21" s="15"/>
      <c r="QN21" s="15"/>
      <c r="QO21" s="15"/>
      <c r="QP21" s="15"/>
      <c r="QQ21" s="36" t="str">
        <f t="shared" si="183"/>
        <v/>
      </c>
      <c r="QR21" s="36" t="str">
        <f t="shared" si="184"/>
        <v/>
      </c>
      <c r="QS21" s="36" t="str">
        <f t="shared" si="185"/>
        <v/>
      </c>
      <c r="QT21" s="36" t="str">
        <f t="shared" si="186"/>
        <v/>
      </c>
      <c r="QU21" s="36" t="str">
        <f t="shared" si="187"/>
        <v/>
      </c>
      <c r="QV21" s="36" t="str">
        <f t="shared" si="188"/>
        <v/>
      </c>
      <c r="QW21" s="36" t="str">
        <f t="shared" si="189"/>
        <v/>
      </c>
      <c r="QX21" s="36" t="str">
        <f t="shared" si="190"/>
        <v/>
      </c>
      <c r="QY21" s="36" t="str">
        <f t="shared" si="191"/>
        <v/>
      </c>
      <c r="QZ21" s="36" t="str">
        <f t="shared" si="192"/>
        <v/>
      </c>
      <c r="RA21" s="36" t="str">
        <f t="shared" si="193"/>
        <v/>
      </c>
      <c r="RB21" s="36" t="str">
        <f t="shared" si="194"/>
        <v/>
      </c>
      <c r="RC21" s="36" t="str">
        <f t="shared" si="195"/>
        <v/>
      </c>
      <c r="RD21" s="36" t="str">
        <f t="shared" si="196"/>
        <v/>
      </c>
      <c r="RE21" s="16"/>
      <c r="RF21" s="16"/>
      <c r="RG21" s="16"/>
      <c r="RH21" s="16"/>
      <c r="RI21" s="16"/>
      <c r="RJ21" s="16"/>
      <c r="RK21" s="16"/>
      <c r="RL21" s="16"/>
      <c r="RM21" s="16"/>
      <c r="RN21" s="16"/>
      <c r="RO21" s="16"/>
      <c r="RP21" s="16"/>
      <c r="RQ21" s="16"/>
      <c r="RR21" s="16"/>
      <c r="RS21" s="16"/>
      <c r="RT21" s="16"/>
      <c r="RU21" s="16"/>
      <c r="RV21" s="16"/>
      <c r="RW21" s="16"/>
      <c r="RX21" s="16"/>
      <c r="RY21" s="11" t="str">
        <f t="shared" si="197"/>
        <v/>
      </c>
      <c r="RZ21" s="11" t="str">
        <f t="shared" si="198"/>
        <v/>
      </c>
      <c r="SA21" s="11" t="str">
        <f t="shared" si="199"/>
        <v/>
      </c>
      <c r="SB21" s="11" t="str">
        <f t="shared" si="200"/>
        <v/>
      </c>
      <c r="SC21" s="11" t="str">
        <f t="shared" si="201"/>
        <v/>
      </c>
      <c r="SD21" s="11" t="str">
        <f t="shared" si="202"/>
        <v/>
      </c>
      <c r="SE21" s="11" t="str">
        <f t="shared" si="203"/>
        <v/>
      </c>
      <c r="SF21" s="11" t="str">
        <f t="shared" si="204"/>
        <v/>
      </c>
      <c r="SG21" s="11" t="str">
        <f t="shared" si="205"/>
        <v/>
      </c>
      <c r="SH21" s="11" t="str">
        <f t="shared" si="206"/>
        <v/>
      </c>
      <c r="SI21" s="11" t="str">
        <f t="shared" si="207"/>
        <v/>
      </c>
      <c r="SJ21" s="11" t="str">
        <f t="shared" si="208"/>
        <v/>
      </c>
      <c r="SK21" s="11" t="str">
        <f t="shared" si="209"/>
        <v/>
      </c>
      <c r="SL21" s="11" t="str">
        <f t="shared" si="210"/>
        <v/>
      </c>
      <c r="SM21" s="15"/>
      <c r="SN21" s="15"/>
      <c r="SO21" s="15"/>
      <c r="SP21" s="15"/>
      <c r="SQ21" s="15"/>
      <c r="SR21" s="15"/>
      <c r="SS21" s="15"/>
      <c r="ST21" s="15"/>
      <c r="SU21" s="15"/>
      <c r="SV21" s="15"/>
      <c r="SW21" s="15"/>
      <c r="SX21" s="15"/>
      <c r="SY21" s="15"/>
      <c r="SZ21" s="15"/>
      <c r="TA21" s="15"/>
      <c r="TB21" s="15"/>
      <c r="TC21" s="15"/>
      <c r="TD21" s="15"/>
      <c r="TE21" s="15"/>
      <c r="TF21" s="15"/>
      <c r="TG21" s="36" t="str">
        <f t="shared" si="211"/>
        <v/>
      </c>
      <c r="TH21" s="36" t="str">
        <f t="shared" si="212"/>
        <v/>
      </c>
      <c r="TI21" s="36" t="str">
        <f t="shared" si="213"/>
        <v/>
      </c>
      <c r="TJ21" s="36" t="str">
        <f t="shared" si="214"/>
        <v/>
      </c>
      <c r="TK21" s="36" t="str">
        <f t="shared" si="215"/>
        <v/>
      </c>
      <c r="TL21" s="36" t="str">
        <f t="shared" si="216"/>
        <v/>
      </c>
      <c r="TM21" s="36" t="str">
        <f t="shared" si="217"/>
        <v/>
      </c>
      <c r="TN21" s="36" t="str">
        <f t="shared" si="218"/>
        <v/>
      </c>
      <c r="TO21" s="36" t="str">
        <f t="shared" si="219"/>
        <v/>
      </c>
      <c r="TP21" s="36" t="str">
        <f t="shared" si="220"/>
        <v/>
      </c>
      <c r="TQ21" s="36" t="str">
        <f t="shared" si="221"/>
        <v/>
      </c>
      <c r="TR21" s="36" t="str">
        <f t="shared" si="222"/>
        <v/>
      </c>
      <c r="TS21" s="36" t="str">
        <f t="shared" si="223"/>
        <v/>
      </c>
      <c r="TT21" s="36" t="str">
        <f t="shared" si="224"/>
        <v/>
      </c>
      <c r="TU21" s="16"/>
      <c r="TV21" s="16"/>
      <c r="TW21" s="16"/>
      <c r="TX21" s="16"/>
      <c r="TY21" s="16"/>
      <c r="TZ21" s="16"/>
      <c r="UA21" s="16"/>
      <c r="UB21" s="16"/>
      <c r="UC21" s="16"/>
      <c r="UD21" s="16"/>
      <c r="UE21" s="16"/>
      <c r="UF21" s="16"/>
      <c r="UG21" s="16"/>
      <c r="UH21" s="16"/>
      <c r="UI21" s="16"/>
      <c r="UJ21" s="16"/>
      <c r="UK21" s="16"/>
      <c r="UL21" s="16"/>
      <c r="UM21" s="16"/>
      <c r="UN21" s="16"/>
      <c r="UO21" s="11" t="str">
        <f t="shared" si="225"/>
        <v/>
      </c>
      <c r="UP21" s="11" t="str">
        <f t="shared" si="226"/>
        <v/>
      </c>
      <c r="UQ21" s="11" t="str">
        <f t="shared" si="227"/>
        <v/>
      </c>
      <c r="UR21" s="11" t="str">
        <f t="shared" si="228"/>
        <v/>
      </c>
      <c r="US21" s="11" t="str">
        <f t="shared" si="229"/>
        <v/>
      </c>
      <c r="UT21" s="11" t="str">
        <f t="shared" si="230"/>
        <v/>
      </c>
      <c r="UU21" s="11" t="str">
        <f t="shared" si="231"/>
        <v/>
      </c>
      <c r="UV21" s="11" t="str">
        <f t="shared" si="232"/>
        <v/>
      </c>
      <c r="UW21" s="11" t="str">
        <f t="shared" si="233"/>
        <v/>
      </c>
      <c r="UX21" s="11" t="str">
        <f t="shared" si="234"/>
        <v/>
      </c>
      <c r="UY21" s="11" t="str">
        <f t="shared" si="235"/>
        <v/>
      </c>
      <c r="UZ21" s="11" t="str">
        <f t="shared" si="236"/>
        <v/>
      </c>
      <c r="VA21" s="11" t="str">
        <f t="shared" si="237"/>
        <v/>
      </c>
      <c r="VB21" s="11" t="str">
        <f t="shared" si="238"/>
        <v/>
      </c>
      <c r="VC21" s="15"/>
      <c r="VD21" s="15"/>
      <c r="VE21" s="15"/>
      <c r="VF21" s="15"/>
      <c r="VG21" s="15"/>
      <c r="VH21" s="15"/>
      <c r="VI21" s="15"/>
      <c r="VJ21" s="15"/>
      <c r="VK21" s="15"/>
      <c r="VL21" s="15"/>
      <c r="VM21" s="15"/>
      <c r="VN21" s="15"/>
      <c r="VO21" s="15"/>
      <c r="VP21" s="15"/>
      <c r="VQ21" s="15"/>
      <c r="VR21" s="15"/>
      <c r="VS21" s="15"/>
      <c r="VT21" s="15"/>
      <c r="VU21" s="15"/>
      <c r="VV21" s="15"/>
      <c r="VW21" s="36" t="str">
        <f t="shared" si="239"/>
        <v/>
      </c>
      <c r="VX21" s="36" t="str">
        <f t="shared" si="240"/>
        <v/>
      </c>
      <c r="VY21" s="36" t="str">
        <f t="shared" si="241"/>
        <v/>
      </c>
      <c r="VZ21" s="36" t="str">
        <f t="shared" si="242"/>
        <v/>
      </c>
      <c r="WA21" s="36" t="str">
        <f t="shared" si="243"/>
        <v/>
      </c>
      <c r="WB21" s="36" t="str">
        <f t="shared" si="244"/>
        <v/>
      </c>
      <c r="WC21" s="36" t="str">
        <f t="shared" si="245"/>
        <v/>
      </c>
      <c r="WD21" s="36" t="str">
        <f t="shared" si="246"/>
        <v/>
      </c>
      <c r="WE21" s="36" t="str">
        <f t="shared" si="247"/>
        <v/>
      </c>
      <c r="WF21" s="36" t="str">
        <f t="shared" si="248"/>
        <v/>
      </c>
      <c r="WG21" s="36" t="str">
        <f t="shared" si="249"/>
        <v/>
      </c>
      <c r="WH21" s="36" t="str">
        <f t="shared" si="250"/>
        <v/>
      </c>
      <c r="WI21" s="36" t="str">
        <f t="shared" si="251"/>
        <v/>
      </c>
      <c r="WJ21" s="36" t="str">
        <f t="shared" si="252"/>
        <v/>
      </c>
    </row>
    <row r="22" spans="1:608" x14ac:dyDescent="0.2">
      <c r="A22" s="4" t="str" cm="1">
        <f t="array" ref="A22">IF(AND(H22&lt;&gt;"",H22&lt;&gt;"No DD",I22&lt;&gt;"P"),SUMPRODUCT((H$4:H$28&lt;&gt;"")*(H$4:H$28&lt;&gt;"No DD")*(I$4:I$28&lt;&gt;"P")*(E$4:E$28&gt;E22))+1,IF(H22="No DD",SUMPRODUCT((H$4:H$28="No DD")*(I$4:I$28&lt;&gt;"P")*(E$4:E$28&gt;E22))+1+SUMPRODUCT((H$4:H$28&lt;&gt;"")*(I$4:I$28&lt;&gt;"P")*(H$4:H$28&lt;&gt;"No DD")),""))</f>
        <v/>
      </c>
      <c r="B22" s="5" t="s">
        <v>202</v>
      </c>
      <c r="C22" s="4" t="s">
        <v>5</v>
      </c>
      <c r="D22" s="4">
        <v>2009</v>
      </c>
      <c r="E22" s="9">
        <f t="shared" si="0"/>
        <v>91.66000916600467</v>
      </c>
      <c r="F22" s="3" t="str">
        <f t="shared" si="1"/>
        <v/>
      </c>
      <c r="G22" s="3" t="str">
        <f t="shared" si="2"/>
        <v/>
      </c>
      <c r="H22" s="32" t="str">
        <f t="shared" si="3"/>
        <v/>
      </c>
      <c r="I22" s="3" t="str">
        <f>IF(COUNTIFS('Senior-M'!B:B,B22,'Senior-M'!A:A,"&lt;9",'Senior-M'!H:H,"&lt;&gt;"&amp;"No DD"),"P","")</f>
        <v/>
      </c>
      <c r="J22" s="8">
        <f t="shared" si="4"/>
        <v>46.72</v>
      </c>
      <c r="K22" s="8" t="str">
        <f t="shared" si="5"/>
        <v>2025 3rd Domestic Trial</v>
      </c>
      <c r="L22" s="8">
        <f>IFERROR(LARGE((AI22,AL22,AP22,BJ22,BM22,BQ22,CK22,CN22,CR22),2),0)</f>
        <v>44.94</v>
      </c>
      <c r="M22" s="8" t="str">
        <f t="shared" si="6"/>
        <v>2025 Nationals</v>
      </c>
      <c r="N22" s="8">
        <f t="shared" si="7"/>
        <v>0</v>
      </c>
      <c r="O22" s="11" t="str">
        <f>IF(N22=0,"",IF(N22=CT22,"("&amp;CT$2&amp;")",IF(N22=#REF!,"("&amp;#REF!&amp;")")))</f>
        <v/>
      </c>
      <c r="P22" s="8" t="str">
        <f t="shared" si="8"/>
        <v/>
      </c>
      <c r="Q22" s="18">
        <v>12.3</v>
      </c>
      <c r="R22" s="18">
        <v>9.1</v>
      </c>
      <c r="S22" s="18">
        <v>0</v>
      </c>
      <c r="T22" s="18">
        <v>14.78</v>
      </c>
      <c r="U22" s="18">
        <v>0</v>
      </c>
      <c r="V22" s="18">
        <v>4.5999999999999996</v>
      </c>
      <c r="W22" s="18">
        <v>3.3</v>
      </c>
      <c r="X22" s="18">
        <v>5</v>
      </c>
      <c r="Y22" s="18">
        <v>5.73</v>
      </c>
      <c r="Z22" s="18">
        <v>0</v>
      </c>
      <c r="AA22" s="18"/>
      <c r="AB22" s="18"/>
      <c r="AC22" s="18"/>
      <c r="AD22" s="18"/>
      <c r="AE22" s="18"/>
      <c r="AF22" s="23"/>
      <c r="AG22" s="34" t="str">
        <f t="shared" si="9"/>
        <v/>
      </c>
      <c r="AH22" s="34">
        <f t="shared" si="10"/>
        <v>14.78</v>
      </c>
      <c r="AI22" s="36">
        <f t="shared" si="11"/>
        <v>36.18</v>
      </c>
      <c r="AJ22" s="36">
        <f t="shared" si="12"/>
        <v>5</v>
      </c>
      <c r="AK22" s="36">
        <f t="shared" si="13"/>
        <v>5.73</v>
      </c>
      <c r="AL22" s="36">
        <f t="shared" si="14"/>
        <v>18.63</v>
      </c>
      <c r="AM22" s="36">
        <f t="shared" si="15"/>
        <v>36.18</v>
      </c>
      <c r="AN22" s="36" t="str">
        <f t="shared" si="16"/>
        <v/>
      </c>
      <c r="AO22" s="36" t="str">
        <f t="shared" si="17"/>
        <v/>
      </c>
      <c r="AP22" s="36" t="str">
        <f t="shared" si="18"/>
        <v/>
      </c>
      <c r="AQ22" s="36">
        <f t="shared" si="19"/>
        <v>36.18</v>
      </c>
      <c r="AR22" s="22">
        <v>13.7</v>
      </c>
      <c r="AS22" s="22">
        <v>9.4</v>
      </c>
      <c r="AT22" s="22">
        <v>0</v>
      </c>
      <c r="AU22" s="22">
        <v>14.79</v>
      </c>
      <c r="AV22" s="22">
        <v>0</v>
      </c>
      <c r="AW22" s="22">
        <v>3.6</v>
      </c>
      <c r="AX22" s="22">
        <v>2.7</v>
      </c>
      <c r="AY22" s="22">
        <v>3.4</v>
      </c>
      <c r="AZ22" s="22">
        <v>4.45</v>
      </c>
      <c r="BA22" s="22">
        <v>0</v>
      </c>
      <c r="BB22" s="22">
        <v>10</v>
      </c>
      <c r="BC22" s="22">
        <v>8.8000000000000007</v>
      </c>
      <c r="BD22" s="22">
        <v>11.8</v>
      </c>
      <c r="BE22" s="22">
        <v>14.34</v>
      </c>
      <c r="BF22" s="22">
        <v>0</v>
      </c>
      <c r="BG22" s="24"/>
      <c r="BH22" s="35" t="str">
        <f t="shared" si="20"/>
        <v/>
      </c>
      <c r="BI22" s="35">
        <f t="shared" si="21"/>
        <v>14.79</v>
      </c>
      <c r="BJ22" s="11">
        <f t="shared" si="22"/>
        <v>37.89</v>
      </c>
      <c r="BK22" s="11">
        <f t="shared" si="23"/>
        <v>3.4</v>
      </c>
      <c r="BL22" s="11">
        <f t="shared" si="24"/>
        <v>4.45</v>
      </c>
      <c r="BM22" s="11">
        <f t="shared" si="25"/>
        <v>14.150000000000002</v>
      </c>
      <c r="BN22" s="11">
        <f t="shared" si="26"/>
        <v>37.89</v>
      </c>
      <c r="BO22" s="11">
        <f t="shared" si="27"/>
        <v>11.8</v>
      </c>
      <c r="BP22" s="11">
        <f t="shared" si="28"/>
        <v>14.34</v>
      </c>
      <c r="BQ22" s="11">
        <f t="shared" si="29"/>
        <v>44.94</v>
      </c>
      <c r="BR22" s="11">
        <f t="shared" si="30"/>
        <v>82.83</v>
      </c>
      <c r="BS22" s="18">
        <v>14.4</v>
      </c>
      <c r="BT22" s="18">
        <v>9.9</v>
      </c>
      <c r="BU22" s="18">
        <v>0</v>
      </c>
      <c r="BV22" s="18">
        <v>14.98</v>
      </c>
      <c r="BW22" s="18">
        <v>0</v>
      </c>
      <c r="BX22" s="18">
        <v>4.5999999999999996</v>
      </c>
      <c r="BY22" s="18">
        <v>3.6</v>
      </c>
      <c r="BZ22" s="18">
        <v>4.7</v>
      </c>
      <c r="CA22" s="18">
        <v>5.26</v>
      </c>
      <c r="CB22" s="18">
        <v>0</v>
      </c>
      <c r="CC22" s="18">
        <v>11.3</v>
      </c>
      <c r="CD22" s="18">
        <v>9.3000000000000007</v>
      </c>
      <c r="CE22" s="18">
        <v>11.7</v>
      </c>
      <c r="CF22" s="18">
        <v>14.42</v>
      </c>
      <c r="CG22" s="18">
        <v>0</v>
      </c>
      <c r="CH22" s="23"/>
      <c r="CI22" s="34" t="str">
        <f t="shared" si="31"/>
        <v/>
      </c>
      <c r="CJ22" s="34">
        <f t="shared" si="32"/>
        <v>14.98</v>
      </c>
      <c r="CK22" s="36">
        <f t="shared" si="33"/>
        <v>39.28</v>
      </c>
      <c r="CL22" s="36">
        <f t="shared" si="34"/>
        <v>4.7</v>
      </c>
      <c r="CM22" s="36">
        <f t="shared" si="35"/>
        <v>5.26</v>
      </c>
      <c r="CN22" s="36">
        <f t="shared" si="36"/>
        <v>18.159999999999997</v>
      </c>
      <c r="CO22" s="36">
        <f t="shared" si="37"/>
        <v>39.28</v>
      </c>
      <c r="CP22" s="36">
        <f t="shared" si="38"/>
        <v>11.7</v>
      </c>
      <c r="CQ22" s="36">
        <f t="shared" si="39"/>
        <v>14.42</v>
      </c>
      <c r="CR22" s="36">
        <f t="shared" si="40"/>
        <v>46.72</v>
      </c>
      <c r="CS22" s="36">
        <f t="shared" si="41"/>
        <v>86</v>
      </c>
      <c r="CT22" s="47" t="str">
        <f t="shared" si="42"/>
        <v/>
      </c>
      <c r="CU22" s="15"/>
      <c r="CV22" s="15"/>
      <c r="CW22" s="15"/>
      <c r="CX22" s="15"/>
      <c r="CY22" s="15"/>
      <c r="CZ22" s="15"/>
      <c r="DA22" s="15"/>
      <c r="DB22" s="15"/>
      <c r="DC22" s="15"/>
      <c r="DD22" s="15"/>
      <c r="DE22" s="15"/>
      <c r="DF22" s="15"/>
      <c r="DG22" s="15"/>
      <c r="DH22" s="15"/>
      <c r="DI22" s="15"/>
      <c r="DJ22" s="15"/>
      <c r="DK22" s="15"/>
      <c r="DL22" s="15"/>
      <c r="DM22" s="15"/>
      <c r="DN22" s="15"/>
      <c r="DO22" s="36" t="str">
        <f t="shared" si="43"/>
        <v/>
      </c>
      <c r="DP22" s="36" t="str">
        <f t="shared" si="44"/>
        <v/>
      </c>
      <c r="DQ22" s="36" t="str">
        <f t="shared" si="45"/>
        <v/>
      </c>
      <c r="DR22" s="36" t="str">
        <f t="shared" si="46"/>
        <v/>
      </c>
      <c r="DS22" s="36" t="str">
        <f t="shared" si="47"/>
        <v/>
      </c>
      <c r="DT22" s="36" t="str">
        <f t="shared" si="48"/>
        <v/>
      </c>
      <c r="DU22" s="36" t="str">
        <f t="shared" si="49"/>
        <v/>
      </c>
      <c r="DV22" s="36" t="str">
        <f t="shared" si="50"/>
        <v/>
      </c>
      <c r="DW22" s="36" t="str">
        <f t="shared" si="51"/>
        <v/>
      </c>
      <c r="DX22" s="36" t="str">
        <f t="shared" si="52"/>
        <v/>
      </c>
      <c r="DY22" s="36" t="str">
        <f t="shared" si="53"/>
        <v/>
      </c>
      <c r="DZ22" s="36" t="str">
        <f t="shared" si="54"/>
        <v/>
      </c>
      <c r="EA22" s="36" t="str">
        <f t="shared" si="55"/>
        <v/>
      </c>
      <c r="EB22" s="36" t="str">
        <f t="shared" si="56"/>
        <v/>
      </c>
      <c r="EC22" s="16"/>
      <c r="ED22" s="16"/>
      <c r="EE22" s="16"/>
      <c r="EF22" s="16"/>
      <c r="EG22" s="16"/>
      <c r="EH22" s="16"/>
      <c r="EI22" s="16"/>
      <c r="EJ22" s="16"/>
      <c r="EK22" s="16"/>
      <c r="EL22" s="16"/>
      <c r="EM22" s="16"/>
      <c r="EN22" s="16"/>
      <c r="EO22" s="16"/>
      <c r="EP22" s="16"/>
      <c r="EQ22" s="16"/>
      <c r="ER22" s="16"/>
      <c r="ES22" s="16"/>
      <c r="ET22" s="16"/>
      <c r="EU22" s="16"/>
      <c r="EV22" s="16"/>
      <c r="EW22" s="11" t="str">
        <f t="shared" si="57"/>
        <v/>
      </c>
      <c r="EX22" s="11" t="str">
        <f t="shared" si="58"/>
        <v/>
      </c>
      <c r="EY22" s="11" t="str">
        <f t="shared" si="59"/>
        <v/>
      </c>
      <c r="EZ22" s="11" t="str">
        <f t="shared" si="60"/>
        <v/>
      </c>
      <c r="FA22" s="11" t="str">
        <f t="shared" si="61"/>
        <v/>
      </c>
      <c r="FB22" s="11" t="str">
        <f t="shared" si="62"/>
        <v/>
      </c>
      <c r="FC22" s="11" t="str">
        <f t="shared" si="63"/>
        <v/>
      </c>
      <c r="FD22" s="11" t="str">
        <f t="shared" si="64"/>
        <v/>
      </c>
      <c r="FE22" s="11" t="str">
        <f t="shared" si="65"/>
        <v/>
      </c>
      <c r="FF22" s="11" t="str">
        <f t="shared" si="66"/>
        <v/>
      </c>
      <c r="FG22" s="11" t="str">
        <f t="shared" si="67"/>
        <v/>
      </c>
      <c r="FH22" s="11" t="str">
        <f t="shared" si="68"/>
        <v/>
      </c>
      <c r="FI22" s="11" t="str">
        <f t="shared" si="69"/>
        <v/>
      </c>
      <c r="FJ22" s="11" t="str">
        <f t="shared" si="70"/>
        <v/>
      </c>
      <c r="FK22" s="15"/>
      <c r="FL22" s="15"/>
      <c r="FM22" s="15"/>
      <c r="FN22" s="15"/>
      <c r="FO22" s="15"/>
      <c r="FP22" s="15"/>
      <c r="FQ22" s="15"/>
      <c r="FR22" s="15"/>
      <c r="FS22" s="15"/>
      <c r="FT22" s="15"/>
      <c r="FU22" s="15"/>
      <c r="FV22" s="15"/>
      <c r="FW22" s="15"/>
      <c r="FX22" s="15"/>
      <c r="FY22" s="15"/>
      <c r="FZ22" s="15"/>
      <c r="GA22" s="15"/>
      <c r="GB22" s="15"/>
      <c r="GC22" s="15"/>
      <c r="GD22" s="15"/>
      <c r="GE22" s="36" t="str">
        <f t="shared" si="71"/>
        <v/>
      </c>
      <c r="GF22" s="36" t="str">
        <f t="shared" si="72"/>
        <v/>
      </c>
      <c r="GG22" s="36" t="str">
        <f t="shared" si="73"/>
        <v/>
      </c>
      <c r="GH22" s="36" t="str">
        <f t="shared" si="74"/>
        <v/>
      </c>
      <c r="GI22" s="36" t="str">
        <f t="shared" si="75"/>
        <v/>
      </c>
      <c r="GJ22" s="36" t="str">
        <f t="shared" si="76"/>
        <v/>
      </c>
      <c r="GK22" s="36" t="str">
        <f t="shared" si="77"/>
        <v/>
      </c>
      <c r="GL22" s="36" t="str">
        <f t="shared" si="78"/>
        <v/>
      </c>
      <c r="GM22" s="36" t="str">
        <f t="shared" si="79"/>
        <v/>
      </c>
      <c r="GN22" s="36" t="str">
        <f t="shared" si="80"/>
        <v/>
      </c>
      <c r="GO22" s="36" t="str">
        <f t="shared" si="81"/>
        <v/>
      </c>
      <c r="GP22" s="36" t="str">
        <f t="shared" si="82"/>
        <v/>
      </c>
      <c r="GQ22" s="36" t="str">
        <f t="shared" si="83"/>
        <v/>
      </c>
      <c r="GR22" s="36" t="str">
        <f t="shared" si="84"/>
        <v/>
      </c>
      <c r="GS22" s="16"/>
      <c r="GT22" s="16"/>
      <c r="GU22" s="16"/>
      <c r="GV22" s="16"/>
      <c r="GW22" s="16"/>
      <c r="GX22" s="16"/>
      <c r="GY22" s="16"/>
      <c r="GZ22" s="16"/>
      <c r="HA22" s="16"/>
      <c r="HB22" s="16"/>
      <c r="HC22" s="16"/>
      <c r="HD22" s="16"/>
      <c r="HE22" s="16"/>
      <c r="HF22" s="16"/>
      <c r="HG22" s="16"/>
      <c r="HH22" s="16"/>
      <c r="HI22" s="16"/>
      <c r="HJ22" s="16"/>
      <c r="HK22" s="16"/>
      <c r="HL22" s="16"/>
      <c r="HM22" s="11" t="str">
        <f t="shared" si="85"/>
        <v/>
      </c>
      <c r="HN22" s="11" t="str">
        <f t="shared" si="86"/>
        <v/>
      </c>
      <c r="HO22" s="11" t="str">
        <f t="shared" si="87"/>
        <v/>
      </c>
      <c r="HP22" s="11" t="str">
        <f t="shared" si="88"/>
        <v/>
      </c>
      <c r="HQ22" s="11" t="str">
        <f t="shared" si="89"/>
        <v/>
      </c>
      <c r="HR22" s="11" t="str">
        <f t="shared" si="90"/>
        <v/>
      </c>
      <c r="HS22" s="11" t="str">
        <f t="shared" si="91"/>
        <v/>
      </c>
      <c r="HT22" s="11" t="str">
        <f t="shared" si="92"/>
        <v/>
      </c>
      <c r="HU22" s="11" t="str">
        <f t="shared" si="93"/>
        <v/>
      </c>
      <c r="HV22" s="11" t="str">
        <f t="shared" si="94"/>
        <v/>
      </c>
      <c r="HW22" s="11" t="str">
        <f t="shared" si="95"/>
        <v/>
      </c>
      <c r="HX22" s="11" t="str">
        <f t="shared" si="96"/>
        <v/>
      </c>
      <c r="HY22" s="11" t="str">
        <f t="shared" si="97"/>
        <v/>
      </c>
      <c r="HZ22" s="11" t="str">
        <f t="shared" si="98"/>
        <v/>
      </c>
      <c r="IA22" s="15"/>
      <c r="IB22" s="15"/>
      <c r="IC22" s="15"/>
      <c r="ID22" s="15"/>
      <c r="IE22" s="15"/>
      <c r="IF22" s="15"/>
      <c r="IG22" s="15"/>
      <c r="IH22" s="15"/>
      <c r="II22" s="15"/>
      <c r="IJ22" s="15"/>
      <c r="IK22" s="15"/>
      <c r="IL22" s="15"/>
      <c r="IM22" s="15"/>
      <c r="IN22" s="15"/>
      <c r="IO22" s="15"/>
      <c r="IP22" s="15"/>
      <c r="IQ22" s="15"/>
      <c r="IR22" s="15"/>
      <c r="IS22" s="15"/>
      <c r="IT22" s="15"/>
      <c r="IU22" s="36" t="str">
        <f t="shared" si="99"/>
        <v/>
      </c>
      <c r="IV22" s="36" t="str">
        <f t="shared" si="100"/>
        <v/>
      </c>
      <c r="IW22" s="36" t="str">
        <f t="shared" si="101"/>
        <v/>
      </c>
      <c r="IX22" s="36" t="str">
        <f t="shared" si="102"/>
        <v/>
      </c>
      <c r="IY22" s="36" t="str">
        <f t="shared" si="103"/>
        <v/>
      </c>
      <c r="IZ22" s="36" t="str">
        <f t="shared" si="104"/>
        <v/>
      </c>
      <c r="JA22" s="36" t="str">
        <f t="shared" si="105"/>
        <v/>
      </c>
      <c r="JB22" s="36" t="str">
        <f t="shared" si="106"/>
        <v/>
      </c>
      <c r="JC22" s="36" t="str">
        <f t="shared" si="107"/>
        <v/>
      </c>
      <c r="JD22" s="36" t="str">
        <f t="shared" si="108"/>
        <v/>
      </c>
      <c r="JE22" s="36" t="str">
        <f t="shared" si="109"/>
        <v/>
      </c>
      <c r="JF22" s="36" t="str">
        <f t="shared" si="110"/>
        <v/>
      </c>
      <c r="JG22" s="36" t="str">
        <f t="shared" si="111"/>
        <v/>
      </c>
      <c r="JH22" s="36" t="str">
        <f t="shared" si="112"/>
        <v/>
      </c>
      <c r="JI22" s="16"/>
      <c r="JJ22" s="16"/>
      <c r="JK22" s="16"/>
      <c r="JL22" s="16"/>
      <c r="JM22" s="16"/>
      <c r="JN22" s="16"/>
      <c r="JO22" s="16"/>
      <c r="JP22" s="16"/>
      <c r="JQ22" s="16"/>
      <c r="JR22" s="16"/>
      <c r="JS22" s="16"/>
      <c r="JT22" s="16"/>
      <c r="JU22" s="16"/>
      <c r="JV22" s="16"/>
      <c r="JW22" s="16"/>
      <c r="JX22" s="16"/>
      <c r="JY22" s="16"/>
      <c r="JZ22" s="16"/>
      <c r="KA22" s="16"/>
      <c r="KB22" s="16"/>
      <c r="KC22" s="11" t="str">
        <f t="shared" si="113"/>
        <v/>
      </c>
      <c r="KD22" s="11" t="str">
        <f t="shared" si="114"/>
        <v/>
      </c>
      <c r="KE22" s="11" t="str">
        <f t="shared" si="115"/>
        <v/>
      </c>
      <c r="KF22" s="11" t="str">
        <f t="shared" si="116"/>
        <v/>
      </c>
      <c r="KG22" s="11" t="str">
        <f t="shared" si="117"/>
        <v/>
      </c>
      <c r="KH22" s="11" t="str">
        <f t="shared" si="118"/>
        <v/>
      </c>
      <c r="KI22" s="11" t="str">
        <f t="shared" si="119"/>
        <v/>
      </c>
      <c r="KJ22" s="11" t="str">
        <f t="shared" si="120"/>
        <v/>
      </c>
      <c r="KK22" s="11" t="str">
        <f t="shared" si="121"/>
        <v/>
      </c>
      <c r="KL22" s="11" t="str">
        <f t="shared" si="122"/>
        <v/>
      </c>
      <c r="KM22" s="11" t="str">
        <f t="shared" si="123"/>
        <v/>
      </c>
      <c r="KN22" s="11" t="str">
        <f t="shared" si="124"/>
        <v/>
      </c>
      <c r="KO22" s="11" t="str">
        <f t="shared" si="125"/>
        <v/>
      </c>
      <c r="KP22" s="11" t="str">
        <f t="shared" si="126"/>
        <v/>
      </c>
      <c r="KQ22" s="15"/>
      <c r="KR22" s="15"/>
      <c r="KS22" s="15"/>
      <c r="KT22" s="15"/>
      <c r="KU22" s="15"/>
      <c r="KV22" s="15"/>
      <c r="KW22" s="15"/>
      <c r="KX22" s="15"/>
      <c r="KY22" s="15"/>
      <c r="KZ22" s="15"/>
      <c r="LA22" s="15"/>
      <c r="LB22" s="15"/>
      <c r="LC22" s="15"/>
      <c r="LD22" s="15"/>
      <c r="LE22" s="15"/>
      <c r="LF22" s="15"/>
      <c r="LG22" s="15"/>
      <c r="LH22" s="15"/>
      <c r="LI22" s="15"/>
      <c r="LJ22" s="15"/>
      <c r="LK22" s="36" t="str">
        <f t="shared" si="127"/>
        <v/>
      </c>
      <c r="LL22" s="36" t="str">
        <f t="shared" si="128"/>
        <v/>
      </c>
      <c r="LM22" s="36" t="str">
        <f t="shared" si="129"/>
        <v/>
      </c>
      <c r="LN22" s="36" t="str">
        <f t="shared" si="130"/>
        <v/>
      </c>
      <c r="LO22" s="36" t="str">
        <f t="shared" si="131"/>
        <v/>
      </c>
      <c r="LP22" s="36" t="str">
        <f t="shared" si="132"/>
        <v/>
      </c>
      <c r="LQ22" s="36" t="str">
        <f t="shared" si="133"/>
        <v/>
      </c>
      <c r="LR22" s="36" t="str">
        <f t="shared" si="134"/>
        <v/>
      </c>
      <c r="LS22" s="36" t="str">
        <f t="shared" si="135"/>
        <v/>
      </c>
      <c r="LT22" s="36" t="str">
        <f t="shared" si="136"/>
        <v/>
      </c>
      <c r="LU22" s="36" t="str">
        <f t="shared" si="137"/>
        <v/>
      </c>
      <c r="LV22" s="36" t="str">
        <f t="shared" si="138"/>
        <v/>
      </c>
      <c r="LW22" s="36" t="str">
        <f t="shared" si="139"/>
        <v/>
      </c>
      <c r="LX22" s="36" t="str">
        <f t="shared" si="140"/>
        <v/>
      </c>
      <c r="LY22" s="16"/>
      <c r="LZ22" s="16"/>
      <c r="MA22" s="16"/>
      <c r="MB22" s="16"/>
      <c r="MC22" s="16"/>
      <c r="MD22" s="16"/>
      <c r="ME22" s="16"/>
      <c r="MF22" s="16"/>
      <c r="MG22" s="16"/>
      <c r="MH22" s="16"/>
      <c r="MI22" s="16"/>
      <c r="MJ22" s="16"/>
      <c r="MK22" s="16"/>
      <c r="ML22" s="16"/>
      <c r="MM22" s="16"/>
      <c r="MN22" s="16"/>
      <c r="MO22" s="16"/>
      <c r="MP22" s="16"/>
      <c r="MQ22" s="16"/>
      <c r="MR22" s="16"/>
      <c r="MS22" s="11" t="str">
        <f t="shared" si="141"/>
        <v/>
      </c>
      <c r="MT22" s="11" t="str">
        <f t="shared" si="142"/>
        <v/>
      </c>
      <c r="MU22" s="11" t="str">
        <f t="shared" si="143"/>
        <v/>
      </c>
      <c r="MV22" s="11" t="str">
        <f t="shared" si="144"/>
        <v/>
      </c>
      <c r="MW22" s="11" t="str">
        <f t="shared" si="145"/>
        <v/>
      </c>
      <c r="MX22" s="11" t="str">
        <f t="shared" si="146"/>
        <v/>
      </c>
      <c r="MY22" s="11" t="str">
        <f t="shared" si="147"/>
        <v/>
      </c>
      <c r="MZ22" s="11" t="str">
        <f t="shared" si="148"/>
        <v/>
      </c>
      <c r="NA22" s="11" t="str">
        <f t="shared" si="149"/>
        <v/>
      </c>
      <c r="NB22" s="11" t="str">
        <f t="shared" si="150"/>
        <v/>
      </c>
      <c r="NC22" s="11" t="str">
        <f t="shared" si="151"/>
        <v/>
      </c>
      <c r="ND22" s="11" t="str">
        <f t="shared" si="152"/>
        <v/>
      </c>
      <c r="NE22" s="11" t="str">
        <f t="shared" si="153"/>
        <v/>
      </c>
      <c r="NF22" s="11" t="str">
        <f t="shared" si="154"/>
        <v/>
      </c>
      <c r="NG22" s="15"/>
      <c r="NH22" s="15"/>
      <c r="NI22" s="15"/>
      <c r="NJ22" s="15"/>
      <c r="NK22" s="15"/>
      <c r="NL22" s="15"/>
      <c r="NM22" s="15"/>
      <c r="NN22" s="15"/>
      <c r="NO22" s="15"/>
      <c r="NP22" s="15"/>
      <c r="NQ22" s="15"/>
      <c r="NR22" s="15"/>
      <c r="NS22" s="15"/>
      <c r="NT22" s="15"/>
      <c r="NU22" s="15"/>
      <c r="NV22" s="15"/>
      <c r="NW22" s="15"/>
      <c r="NX22" s="15"/>
      <c r="NY22" s="15"/>
      <c r="NZ22" s="15"/>
      <c r="OA22" s="36" t="str">
        <f t="shared" si="155"/>
        <v/>
      </c>
      <c r="OB22" s="36" t="str">
        <f t="shared" si="156"/>
        <v/>
      </c>
      <c r="OC22" s="36" t="str">
        <f t="shared" si="157"/>
        <v/>
      </c>
      <c r="OD22" s="36" t="str">
        <f t="shared" si="158"/>
        <v/>
      </c>
      <c r="OE22" s="36" t="str">
        <f t="shared" si="159"/>
        <v/>
      </c>
      <c r="OF22" s="36" t="str">
        <f t="shared" si="160"/>
        <v/>
      </c>
      <c r="OG22" s="36" t="str">
        <f t="shared" si="161"/>
        <v/>
      </c>
      <c r="OH22" s="36" t="str">
        <f t="shared" si="162"/>
        <v/>
      </c>
      <c r="OI22" s="36" t="str">
        <f t="shared" si="163"/>
        <v/>
      </c>
      <c r="OJ22" s="36" t="str">
        <f t="shared" si="164"/>
        <v/>
      </c>
      <c r="OK22" s="36" t="str">
        <f t="shared" si="165"/>
        <v/>
      </c>
      <c r="OL22" s="36" t="str">
        <f t="shared" si="166"/>
        <v/>
      </c>
      <c r="OM22" s="36" t="str">
        <f t="shared" si="167"/>
        <v/>
      </c>
      <c r="ON22" s="36" t="str">
        <f t="shared" si="168"/>
        <v/>
      </c>
      <c r="OO22" s="16"/>
      <c r="OP22" s="16"/>
      <c r="OQ22" s="16"/>
      <c r="OR22" s="16"/>
      <c r="OS22" s="16"/>
      <c r="OT22" s="16"/>
      <c r="OU22" s="16"/>
      <c r="OV22" s="16"/>
      <c r="OW22" s="16"/>
      <c r="OX22" s="16"/>
      <c r="OY22" s="16"/>
      <c r="OZ22" s="16"/>
      <c r="PA22" s="16"/>
      <c r="PB22" s="16"/>
      <c r="PC22" s="16"/>
      <c r="PD22" s="16"/>
      <c r="PE22" s="16"/>
      <c r="PF22" s="16"/>
      <c r="PG22" s="16"/>
      <c r="PH22" s="16"/>
      <c r="PI22" s="11" t="str">
        <f t="shared" si="169"/>
        <v/>
      </c>
      <c r="PJ22" s="11" t="str">
        <f t="shared" si="170"/>
        <v/>
      </c>
      <c r="PK22" s="11" t="str">
        <f t="shared" si="171"/>
        <v/>
      </c>
      <c r="PL22" s="11" t="str">
        <f t="shared" si="172"/>
        <v/>
      </c>
      <c r="PM22" s="11" t="str">
        <f t="shared" si="173"/>
        <v/>
      </c>
      <c r="PN22" s="11" t="str">
        <f t="shared" si="174"/>
        <v/>
      </c>
      <c r="PO22" s="11" t="str">
        <f t="shared" si="175"/>
        <v/>
      </c>
      <c r="PP22" s="11" t="str">
        <f t="shared" si="176"/>
        <v/>
      </c>
      <c r="PQ22" s="11" t="str">
        <f t="shared" si="177"/>
        <v/>
      </c>
      <c r="PR22" s="11" t="str">
        <f t="shared" si="178"/>
        <v/>
      </c>
      <c r="PS22" s="11" t="str">
        <f t="shared" si="179"/>
        <v/>
      </c>
      <c r="PT22" s="11" t="str">
        <f t="shared" si="180"/>
        <v/>
      </c>
      <c r="PU22" s="11" t="str">
        <f t="shared" si="181"/>
        <v/>
      </c>
      <c r="PV22" s="11" t="str">
        <f t="shared" si="182"/>
        <v/>
      </c>
      <c r="PW22" s="15"/>
      <c r="PX22" s="15"/>
      <c r="PY22" s="15"/>
      <c r="PZ22" s="15"/>
      <c r="QA22" s="15"/>
      <c r="QB22" s="15"/>
      <c r="QC22" s="15"/>
      <c r="QD22" s="15"/>
      <c r="QE22" s="15"/>
      <c r="QF22" s="15"/>
      <c r="QG22" s="15"/>
      <c r="QH22" s="15"/>
      <c r="QI22" s="15"/>
      <c r="QJ22" s="15"/>
      <c r="QK22" s="15"/>
      <c r="QL22" s="15"/>
      <c r="QM22" s="15"/>
      <c r="QN22" s="15"/>
      <c r="QO22" s="15"/>
      <c r="QP22" s="15"/>
      <c r="QQ22" s="36" t="str">
        <f t="shared" si="183"/>
        <v/>
      </c>
      <c r="QR22" s="36" t="str">
        <f t="shared" si="184"/>
        <v/>
      </c>
      <c r="QS22" s="36" t="str">
        <f t="shared" si="185"/>
        <v/>
      </c>
      <c r="QT22" s="36" t="str">
        <f t="shared" si="186"/>
        <v/>
      </c>
      <c r="QU22" s="36" t="str">
        <f t="shared" si="187"/>
        <v/>
      </c>
      <c r="QV22" s="36" t="str">
        <f t="shared" si="188"/>
        <v/>
      </c>
      <c r="QW22" s="36" t="str">
        <f t="shared" si="189"/>
        <v/>
      </c>
      <c r="QX22" s="36" t="str">
        <f t="shared" si="190"/>
        <v/>
      </c>
      <c r="QY22" s="36" t="str">
        <f t="shared" si="191"/>
        <v/>
      </c>
      <c r="QZ22" s="36" t="str">
        <f t="shared" si="192"/>
        <v/>
      </c>
      <c r="RA22" s="36" t="str">
        <f t="shared" si="193"/>
        <v/>
      </c>
      <c r="RB22" s="36" t="str">
        <f t="shared" si="194"/>
        <v/>
      </c>
      <c r="RC22" s="36" t="str">
        <f t="shared" si="195"/>
        <v/>
      </c>
      <c r="RD22" s="36" t="str">
        <f t="shared" si="196"/>
        <v/>
      </c>
      <c r="RE22" s="16"/>
      <c r="RF22" s="16"/>
      <c r="RG22" s="16"/>
      <c r="RH22" s="16"/>
      <c r="RI22" s="16"/>
      <c r="RJ22" s="16"/>
      <c r="RK22" s="16"/>
      <c r="RL22" s="16"/>
      <c r="RM22" s="16"/>
      <c r="RN22" s="16"/>
      <c r="RO22" s="16"/>
      <c r="RP22" s="16"/>
      <c r="RQ22" s="16"/>
      <c r="RR22" s="16"/>
      <c r="RS22" s="16"/>
      <c r="RT22" s="16"/>
      <c r="RU22" s="16"/>
      <c r="RV22" s="16"/>
      <c r="RW22" s="16"/>
      <c r="RX22" s="16"/>
      <c r="RY22" s="11" t="str">
        <f t="shared" si="197"/>
        <v/>
      </c>
      <c r="RZ22" s="11" t="str">
        <f t="shared" si="198"/>
        <v/>
      </c>
      <c r="SA22" s="11" t="str">
        <f t="shared" si="199"/>
        <v/>
      </c>
      <c r="SB22" s="11" t="str">
        <f t="shared" si="200"/>
        <v/>
      </c>
      <c r="SC22" s="11" t="str">
        <f t="shared" si="201"/>
        <v/>
      </c>
      <c r="SD22" s="11" t="str">
        <f t="shared" si="202"/>
        <v/>
      </c>
      <c r="SE22" s="11" t="str">
        <f t="shared" si="203"/>
        <v/>
      </c>
      <c r="SF22" s="11" t="str">
        <f t="shared" si="204"/>
        <v/>
      </c>
      <c r="SG22" s="11" t="str">
        <f t="shared" si="205"/>
        <v/>
      </c>
      <c r="SH22" s="11" t="str">
        <f t="shared" si="206"/>
        <v/>
      </c>
      <c r="SI22" s="11" t="str">
        <f t="shared" si="207"/>
        <v/>
      </c>
      <c r="SJ22" s="11" t="str">
        <f t="shared" si="208"/>
        <v/>
      </c>
      <c r="SK22" s="11" t="str">
        <f t="shared" si="209"/>
        <v/>
      </c>
      <c r="SL22" s="11" t="str">
        <f t="shared" si="210"/>
        <v/>
      </c>
      <c r="SM22" s="15"/>
      <c r="SN22" s="15"/>
      <c r="SO22" s="15"/>
      <c r="SP22" s="15"/>
      <c r="SQ22" s="15"/>
      <c r="SR22" s="15"/>
      <c r="SS22" s="15"/>
      <c r="ST22" s="15"/>
      <c r="SU22" s="15"/>
      <c r="SV22" s="15"/>
      <c r="SW22" s="15"/>
      <c r="SX22" s="15"/>
      <c r="SY22" s="15"/>
      <c r="SZ22" s="15"/>
      <c r="TA22" s="15"/>
      <c r="TB22" s="15"/>
      <c r="TC22" s="15"/>
      <c r="TD22" s="15"/>
      <c r="TE22" s="15"/>
      <c r="TF22" s="15"/>
      <c r="TG22" s="36" t="str">
        <f t="shared" si="211"/>
        <v/>
      </c>
      <c r="TH22" s="36" t="str">
        <f t="shared" si="212"/>
        <v/>
      </c>
      <c r="TI22" s="36" t="str">
        <f t="shared" si="213"/>
        <v/>
      </c>
      <c r="TJ22" s="36" t="str">
        <f t="shared" si="214"/>
        <v/>
      </c>
      <c r="TK22" s="36" t="str">
        <f t="shared" si="215"/>
        <v/>
      </c>
      <c r="TL22" s="36" t="str">
        <f t="shared" si="216"/>
        <v/>
      </c>
      <c r="TM22" s="36" t="str">
        <f t="shared" si="217"/>
        <v/>
      </c>
      <c r="TN22" s="36" t="str">
        <f t="shared" si="218"/>
        <v/>
      </c>
      <c r="TO22" s="36" t="str">
        <f t="shared" si="219"/>
        <v/>
      </c>
      <c r="TP22" s="36" t="str">
        <f t="shared" si="220"/>
        <v/>
      </c>
      <c r="TQ22" s="36" t="str">
        <f t="shared" si="221"/>
        <v/>
      </c>
      <c r="TR22" s="36" t="str">
        <f t="shared" si="222"/>
        <v/>
      </c>
      <c r="TS22" s="36" t="str">
        <f t="shared" si="223"/>
        <v/>
      </c>
      <c r="TT22" s="36" t="str">
        <f t="shared" si="224"/>
        <v/>
      </c>
      <c r="TU22" s="16"/>
      <c r="TV22" s="16"/>
      <c r="TW22" s="16"/>
      <c r="TX22" s="16"/>
      <c r="TY22" s="16"/>
      <c r="TZ22" s="16"/>
      <c r="UA22" s="16"/>
      <c r="UB22" s="16"/>
      <c r="UC22" s="16"/>
      <c r="UD22" s="16"/>
      <c r="UE22" s="16"/>
      <c r="UF22" s="16"/>
      <c r="UG22" s="16"/>
      <c r="UH22" s="16"/>
      <c r="UI22" s="16"/>
      <c r="UJ22" s="16"/>
      <c r="UK22" s="16"/>
      <c r="UL22" s="16"/>
      <c r="UM22" s="16"/>
      <c r="UN22" s="16"/>
      <c r="UO22" s="11" t="str">
        <f t="shared" si="225"/>
        <v/>
      </c>
      <c r="UP22" s="11" t="str">
        <f t="shared" si="226"/>
        <v/>
      </c>
      <c r="UQ22" s="11" t="str">
        <f t="shared" si="227"/>
        <v/>
      </c>
      <c r="UR22" s="11" t="str">
        <f t="shared" si="228"/>
        <v/>
      </c>
      <c r="US22" s="11" t="str">
        <f t="shared" si="229"/>
        <v/>
      </c>
      <c r="UT22" s="11" t="str">
        <f t="shared" si="230"/>
        <v/>
      </c>
      <c r="UU22" s="11" t="str">
        <f t="shared" si="231"/>
        <v/>
      </c>
      <c r="UV22" s="11" t="str">
        <f t="shared" si="232"/>
        <v/>
      </c>
      <c r="UW22" s="11" t="str">
        <f t="shared" si="233"/>
        <v/>
      </c>
      <c r="UX22" s="11" t="str">
        <f t="shared" si="234"/>
        <v/>
      </c>
      <c r="UY22" s="11" t="str">
        <f t="shared" si="235"/>
        <v/>
      </c>
      <c r="UZ22" s="11" t="str">
        <f t="shared" si="236"/>
        <v/>
      </c>
      <c r="VA22" s="11" t="str">
        <f t="shared" si="237"/>
        <v/>
      </c>
      <c r="VB22" s="11" t="str">
        <f t="shared" si="238"/>
        <v/>
      </c>
      <c r="VC22" s="15"/>
      <c r="VD22" s="15"/>
      <c r="VE22" s="15"/>
      <c r="VF22" s="15"/>
      <c r="VG22" s="15"/>
      <c r="VH22" s="15"/>
      <c r="VI22" s="15"/>
      <c r="VJ22" s="15"/>
      <c r="VK22" s="15"/>
      <c r="VL22" s="15"/>
      <c r="VM22" s="15"/>
      <c r="VN22" s="15"/>
      <c r="VO22" s="15"/>
      <c r="VP22" s="15"/>
      <c r="VQ22" s="15"/>
      <c r="VR22" s="15"/>
      <c r="VS22" s="15"/>
      <c r="VT22" s="15"/>
      <c r="VU22" s="15"/>
      <c r="VV22" s="15"/>
      <c r="VW22" s="36" t="str">
        <f t="shared" si="239"/>
        <v/>
      </c>
      <c r="VX22" s="36" t="str">
        <f t="shared" si="240"/>
        <v/>
      </c>
      <c r="VY22" s="36" t="str">
        <f t="shared" si="241"/>
        <v/>
      </c>
      <c r="VZ22" s="36" t="str">
        <f t="shared" si="242"/>
        <v/>
      </c>
      <c r="WA22" s="36" t="str">
        <f t="shared" si="243"/>
        <v/>
      </c>
      <c r="WB22" s="36" t="str">
        <f t="shared" si="244"/>
        <v/>
      </c>
      <c r="WC22" s="36" t="str">
        <f t="shared" si="245"/>
        <v/>
      </c>
      <c r="WD22" s="36" t="str">
        <f t="shared" si="246"/>
        <v/>
      </c>
      <c r="WE22" s="36" t="str">
        <f t="shared" si="247"/>
        <v/>
      </c>
      <c r="WF22" s="36" t="str">
        <f t="shared" si="248"/>
        <v/>
      </c>
      <c r="WG22" s="36" t="str">
        <f t="shared" si="249"/>
        <v/>
      </c>
      <c r="WH22" s="36" t="str">
        <f t="shared" si="250"/>
        <v/>
      </c>
      <c r="WI22" s="36" t="str">
        <f t="shared" si="251"/>
        <v/>
      </c>
      <c r="WJ22" s="36" t="str">
        <f t="shared" si="252"/>
        <v/>
      </c>
    </row>
    <row r="23" spans="1:608" x14ac:dyDescent="0.2">
      <c r="A23" s="4" t="str" cm="1">
        <f t="array" ref="A23">IF(AND(H23&lt;&gt;"",H23&lt;&gt;"No DD",I23&lt;&gt;"P"),SUMPRODUCT((H$4:H$28&lt;&gt;"")*(H$4:H$28&lt;&gt;"No DD")*(I$4:I$28&lt;&gt;"P")*(E$4:E$28&gt;E23))+1,IF(H23="No DD",SUMPRODUCT((H$4:H$28="No DD")*(I$4:I$28&lt;&gt;"P")*(E$4:E$28&gt;E23))+1+SUMPRODUCT((H$4:H$28&lt;&gt;"")*(I$4:I$28&lt;&gt;"P")*(H$4:H$28&lt;&gt;"No DD")),""))</f>
        <v/>
      </c>
      <c r="B23" s="5" t="s">
        <v>203</v>
      </c>
      <c r="C23" s="4" t="s">
        <v>55</v>
      </c>
      <c r="D23" s="4">
        <v>2006</v>
      </c>
      <c r="E23" s="9">
        <f t="shared" si="0"/>
        <v>89.790008979004782</v>
      </c>
      <c r="F23" s="3" t="str">
        <f t="shared" si="1"/>
        <v/>
      </c>
      <c r="G23" s="3" t="str">
        <f t="shared" si="2"/>
        <v/>
      </c>
      <c r="H23" s="32" t="str">
        <f t="shared" si="3"/>
        <v/>
      </c>
      <c r="I23" s="3" t="str">
        <f>IF(COUNTIFS('Senior-M'!B:B,B23,'Senior-M'!A:A,"&lt;9",'Senior-M'!H:H,"&lt;&gt;"&amp;"No DD"),"P","")</f>
        <v/>
      </c>
      <c r="J23" s="8">
        <f t="shared" si="4"/>
        <v>47.7</v>
      </c>
      <c r="K23" s="8" t="str">
        <f t="shared" si="5"/>
        <v>2025 3rd Domestic Trial</v>
      </c>
      <c r="L23" s="8">
        <f>IFERROR(LARGE((AI23,AL23,AP23,BJ23,BM23,BQ23,CK23,CN23,CR23),2),0)</f>
        <v>42.09</v>
      </c>
      <c r="M23" s="8" t="str">
        <f t="shared" si="6"/>
        <v>2025 3rd Domestic Trial</v>
      </c>
      <c r="N23" s="8">
        <f t="shared" si="7"/>
        <v>0</v>
      </c>
      <c r="O23" s="11" t="str">
        <f>IF(N23=0,"",IF(N23=CT23,"("&amp;CT$2&amp;")",IF(N23=#REF!,"("&amp;#REF!&amp;")")))</f>
        <v/>
      </c>
      <c r="P23" s="8" t="str">
        <f t="shared" si="8"/>
        <v/>
      </c>
      <c r="Q23" s="18">
        <v>6.3</v>
      </c>
      <c r="R23" s="18">
        <v>5.7</v>
      </c>
      <c r="S23" s="18">
        <v>9.3000000000000007</v>
      </c>
      <c r="T23" s="18">
        <v>9.1300000000000008</v>
      </c>
      <c r="U23" s="18">
        <v>0</v>
      </c>
      <c r="V23" s="18">
        <v>6.2</v>
      </c>
      <c r="W23" s="18">
        <v>5.2</v>
      </c>
      <c r="X23" s="18">
        <v>7.8</v>
      </c>
      <c r="Y23" s="18">
        <v>9.14</v>
      </c>
      <c r="Z23" s="18">
        <v>0</v>
      </c>
      <c r="AA23" s="18"/>
      <c r="AB23" s="18"/>
      <c r="AC23" s="18"/>
      <c r="AD23" s="18"/>
      <c r="AE23" s="18"/>
      <c r="AF23" s="23"/>
      <c r="AG23" s="34">
        <f t="shared" si="9"/>
        <v>9.3000000000000007</v>
      </c>
      <c r="AH23" s="34">
        <f t="shared" si="10"/>
        <v>9.1300000000000008</v>
      </c>
      <c r="AI23" s="36">
        <f t="shared" si="11"/>
        <v>30.43</v>
      </c>
      <c r="AJ23" s="36">
        <f t="shared" si="12"/>
        <v>7.8</v>
      </c>
      <c r="AK23" s="36">
        <f t="shared" si="13"/>
        <v>9.14</v>
      </c>
      <c r="AL23" s="36">
        <f t="shared" si="14"/>
        <v>28.34</v>
      </c>
      <c r="AM23" s="36">
        <f t="shared" si="15"/>
        <v>30.43</v>
      </c>
      <c r="AN23" s="36" t="str">
        <f t="shared" si="16"/>
        <v/>
      </c>
      <c r="AO23" s="36" t="str">
        <f t="shared" si="17"/>
        <v/>
      </c>
      <c r="AP23" s="36" t="str">
        <f t="shared" si="18"/>
        <v/>
      </c>
      <c r="AQ23" s="36">
        <f t="shared" si="19"/>
        <v>30.43</v>
      </c>
      <c r="AR23" s="22">
        <v>3.1</v>
      </c>
      <c r="AS23" s="22">
        <v>2.8</v>
      </c>
      <c r="AT23" s="22">
        <v>3</v>
      </c>
      <c r="AU23" s="22">
        <v>4.47</v>
      </c>
      <c r="AV23" s="22">
        <v>0</v>
      </c>
      <c r="AW23" s="22">
        <v>8.1</v>
      </c>
      <c r="AX23" s="22">
        <v>7.3</v>
      </c>
      <c r="AY23" s="22">
        <v>10.199999999999999</v>
      </c>
      <c r="AZ23" s="22">
        <v>11.55</v>
      </c>
      <c r="BA23" s="22">
        <v>0</v>
      </c>
      <c r="BB23" s="22">
        <v>1</v>
      </c>
      <c r="BC23" s="22">
        <v>0.8</v>
      </c>
      <c r="BD23" s="22">
        <v>2</v>
      </c>
      <c r="BE23" s="22">
        <v>1.53</v>
      </c>
      <c r="BF23" s="22">
        <v>0</v>
      </c>
      <c r="BG23" s="24"/>
      <c r="BH23" s="35">
        <f t="shared" si="20"/>
        <v>3</v>
      </c>
      <c r="BI23" s="35">
        <f t="shared" si="21"/>
        <v>4.47</v>
      </c>
      <c r="BJ23" s="11">
        <f t="shared" si="22"/>
        <v>13.370000000000001</v>
      </c>
      <c r="BK23" s="11">
        <f t="shared" si="23"/>
        <v>10.199999999999999</v>
      </c>
      <c r="BL23" s="11">
        <f t="shared" si="24"/>
        <v>11.55</v>
      </c>
      <c r="BM23" s="11">
        <f t="shared" si="25"/>
        <v>37.15</v>
      </c>
      <c r="BN23" s="11">
        <f t="shared" si="26"/>
        <v>37.15</v>
      </c>
      <c r="BO23" s="11">
        <f t="shared" si="27"/>
        <v>2</v>
      </c>
      <c r="BP23" s="11">
        <f t="shared" si="28"/>
        <v>1.53</v>
      </c>
      <c r="BQ23" s="11">
        <f t="shared" si="29"/>
        <v>5.33</v>
      </c>
      <c r="BR23" s="11">
        <f t="shared" si="30"/>
        <v>42.48</v>
      </c>
      <c r="BS23" s="18">
        <v>10.3</v>
      </c>
      <c r="BT23" s="18">
        <v>9.4</v>
      </c>
      <c r="BU23" s="18">
        <v>12.7</v>
      </c>
      <c r="BV23" s="18">
        <v>15.3</v>
      </c>
      <c r="BW23" s="18">
        <v>0</v>
      </c>
      <c r="BX23" s="18">
        <v>10.5</v>
      </c>
      <c r="BY23" s="18">
        <v>8.8000000000000007</v>
      </c>
      <c r="BZ23" s="18">
        <v>9.9</v>
      </c>
      <c r="CA23" s="18">
        <v>15.29</v>
      </c>
      <c r="CB23" s="18">
        <v>2.4</v>
      </c>
      <c r="CC23" s="18">
        <v>4.3</v>
      </c>
      <c r="CD23" s="18">
        <v>3.5</v>
      </c>
      <c r="CE23" s="18">
        <v>3</v>
      </c>
      <c r="CF23" s="18">
        <v>6.42</v>
      </c>
      <c r="CG23" s="18">
        <v>0</v>
      </c>
      <c r="CH23" s="23"/>
      <c r="CI23" s="34">
        <f t="shared" si="31"/>
        <v>12.7</v>
      </c>
      <c r="CJ23" s="34">
        <f t="shared" si="32"/>
        <v>15.3</v>
      </c>
      <c r="CK23" s="36">
        <f t="shared" si="33"/>
        <v>47.7</v>
      </c>
      <c r="CL23" s="36">
        <f t="shared" si="34"/>
        <v>9.9</v>
      </c>
      <c r="CM23" s="36">
        <f t="shared" si="35"/>
        <v>15.29</v>
      </c>
      <c r="CN23" s="36">
        <f t="shared" si="36"/>
        <v>42.09</v>
      </c>
      <c r="CO23" s="36">
        <f t="shared" si="37"/>
        <v>47.7</v>
      </c>
      <c r="CP23" s="36">
        <f t="shared" si="38"/>
        <v>3</v>
      </c>
      <c r="CQ23" s="36">
        <f t="shared" si="39"/>
        <v>6.42</v>
      </c>
      <c r="CR23" s="36">
        <f t="shared" si="40"/>
        <v>17.22</v>
      </c>
      <c r="CS23" s="36">
        <f t="shared" si="41"/>
        <v>64.92</v>
      </c>
      <c r="CT23" s="47" t="str">
        <f t="shared" si="42"/>
        <v/>
      </c>
      <c r="CU23" s="15"/>
      <c r="CV23" s="15"/>
      <c r="CW23" s="15"/>
      <c r="CX23" s="15"/>
      <c r="CY23" s="15"/>
      <c r="CZ23" s="15"/>
      <c r="DA23" s="15"/>
      <c r="DB23" s="15"/>
      <c r="DC23" s="15"/>
      <c r="DD23" s="15"/>
      <c r="DE23" s="15"/>
      <c r="DF23" s="15"/>
      <c r="DG23" s="15"/>
      <c r="DH23" s="15"/>
      <c r="DI23" s="15"/>
      <c r="DJ23" s="15"/>
      <c r="DK23" s="15"/>
      <c r="DL23" s="15"/>
      <c r="DM23" s="15"/>
      <c r="DN23" s="15"/>
      <c r="DO23" s="36" t="str">
        <f t="shared" si="43"/>
        <v/>
      </c>
      <c r="DP23" s="36" t="str">
        <f t="shared" si="44"/>
        <v/>
      </c>
      <c r="DQ23" s="36" t="str">
        <f t="shared" si="45"/>
        <v/>
      </c>
      <c r="DR23" s="36" t="str">
        <f t="shared" si="46"/>
        <v/>
      </c>
      <c r="DS23" s="36" t="str">
        <f t="shared" si="47"/>
        <v/>
      </c>
      <c r="DT23" s="36" t="str">
        <f t="shared" si="48"/>
        <v/>
      </c>
      <c r="DU23" s="36" t="str">
        <f t="shared" si="49"/>
        <v/>
      </c>
      <c r="DV23" s="36" t="str">
        <f t="shared" si="50"/>
        <v/>
      </c>
      <c r="DW23" s="36" t="str">
        <f t="shared" si="51"/>
        <v/>
      </c>
      <c r="DX23" s="36" t="str">
        <f t="shared" si="52"/>
        <v/>
      </c>
      <c r="DY23" s="36" t="str">
        <f t="shared" si="53"/>
        <v/>
      </c>
      <c r="DZ23" s="36" t="str">
        <f t="shared" si="54"/>
        <v/>
      </c>
      <c r="EA23" s="36" t="str">
        <f t="shared" si="55"/>
        <v/>
      </c>
      <c r="EB23" s="36" t="str">
        <f t="shared" si="56"/>
        <v/>
      </c>
      <c r="EC23" s="16"/>
      <c r="ED23" s="16"/>
      <c r="EE23" s="16"/>
      <c r="EF23" s="16"/>
      <c r="EG23" s="16"/>
      <c r="EH23" s="16"/>
      <c r="EI23" s="16"/>
      <c r="EJ23" s="16"/>
      <c r="EK23" s="16"/>
      <c r="EL23" s="16"/>
      <c r="EM23" s="16"/>
      <c r="EN23" s="16"/>
      <c r="EO23" s="16"/>
      <c r="EP23" s="16"/>
      <c r="EQ23" s="16"/>
      <c r="ER23" s="16"/>
      <c r="ES23" s="16"/>
      <c r="ET23" s="16"/>
      <c r="EU23" s="16"/>
      <c r="EV23" s="16"/>
      <c r="EW23" s="11" t="str">
        <f t="shared" si="57"/>
        <v/>
      </c>
      <c r="EX23" s="11" t="str">
        <f t="shared" si="58"/>
        <v/>
      </c>
      <c r="EY23" s="11" t="str">
        <f t="shared" si="59"/>
        <v/>
      </c>
      <c r="EZ23" s="11" t="str">
        <f t="shared" si="60"/>
        <v/>
      </c>
      <c r="FA23" s="11" t="str">
        <f t="shared" si="61"/>
        <v/>
      </c>
      <c r="FB23" s="11" t="str">
        <f t="shared" si="62"/>
        <v/>
      </c>
      <c r="FC23" s="11" t="str">
        <f t="shared" si="63"/>
        <v/>
      </c>
      <c r="FD23" s="11" t="str">
        <f t="shared" si="64"/>
        <v/>
      </c>
      <c r="FE23" s="11" t="str">
        <f t="shared" si="65"/>
        <v/>
      </c>
      <c r="FF23" s="11" t="str">
        <f t="shared" si="66"/>
        <v/>
      </c>
      <c r="FG23" s="11" t="str">
        <f t="shared" si="67"/>
        <v/>
      </c>
      <c r="FH23" s="11" t="str">
        <f t="shared" si="68"/>
        <v/>
      </c>
      <c r="FI23" s="11" t="str">
        <f t="shared" si="69"/>
        <v/>
      </c>
      <c r="FJ23" s="11" t="str">
        <f t="shared" si="70"/>
        <v/>
      </c>
      <c r="FK23" s="15"/>
      <c r="FL23" s="15"/>
      <c r="FM23" s="15"/>
      <c r="FN23" s="15"/>
      <c r="FO23" s="15"/>
      <c r="FP23" s="15"/>
      <c r="FQ23" s="15"/>
      <c r="FR23" s="15"/>
      <c r="FS23" s="15"/>
      <c r="FT23" s="15"/>
      <c r="FU23" s="15"/>
      <c r="FV23" s="15"/>
      <c r="FW23" s="15"/>
      <c r="FX23" s="15"/>
      <c r="FY23" s="15"/>
      <c r="FZ23" s="15"/>
      <c r="GA23" s="15"/>
      <c r="GB23" s="15"/>
      <c r="GC23" s="15"/>
      <c r="GD23" s="15"/>
      <c r="GE23" s="36" t="str">
        <f t="shared" si="71"/>
        <v/>
      </c>
      <c r="GF23" s="36" t="str">
        <f t="shared" si="72"/>
        <v/>
      </c>
      <c r="GG23" s="36" t="str">
        <f t="shared" si="73"/>
        <v/>
      </c>
      <c r="GH23" s="36" t="str">
        <f t="shared" si="74"/>
        <v/>
      </c>
      <c r="GI23" s="36" t="str">
        <f t="shared" si="75"/>
        <v/>
      </c>
      <c r="GJ23" s="36" t="str">
        <f t="shared" si="76"/>
        <v/>
      </c>
      <c r="GK23" s="36" t="str">
        <f t="shared" si="77"/>
        <v/>
      </c>
      <c r="GL23" s="36" t="str">
        <f t="shared" si="78"/>
        <v/>
      </c>
      <c r="GM23" s="36" t="str">
        <f t="shared" si="79"/>
        <v/>
      </c>
      <c r="GN23" s="36" t="str">
        <f t="shared" si="80"/>
        <v/>
      </c>
      <c r="GO23" s="36" t="str">
        <f t="shared" si="81"/>
        <v/>
      </c>
      <c r="GP23" s="36" t="str">
        <f t="shared" si="82"/>
        <v/>
      </c>
      <c r="GQ23" s="36" t="str">
        <f t="shared" si="83"/>
        <v/>
      </c>
      <c r="GR23" s="36" t="str">
        <f t="shared" si="84"/>
        <v/>
      </c>
      <c r="GS23" s="16"/>
      <c r="GT23" s="16"/>
      <c r="GU23" s="16"/>
      <c r="GV23" s="16"/>
      <c r="GW23" s="16"/>
      <c r="GX23" s="16"/>
      <c r="GY23" s="16"/>
      <c r="GZ23" s="16"/>
      <c r="HA23" s="16"/>
      <c r="HB23" s="16"/>
      <c r="HC23" s="16"/>
      <c r="HD23" s="16"/>
      <c r="HE23" s="16"/>
      <c r="HF23" s="16"/>
      <c r="HG23" s="16"/>
      <c r="HH23" s="16"/>
      <c r="HI23" s="16"/>
      <c r="HJ23" s="16"/>
      <c r="HK23" s="16"/>
      <c r="HL23" s="16"/>
      <c r="HM23" s="11" t="str">
        <f t="shared" si="85"/>
        <v/>
      </c>
      <c r="HN23" s="11" t="str">
        <f t="shared" si="86"/>
        <v/>
      </c>
      <c r="HO23" s="11" t="str">
        <f t="shared" si="87"/>
        <v/>
      </c>
      <c r="HP23" s="11" t="str">
        <f t="shared" si="88"/>
        <v/>
      </c>
      <c r="HQ23" s="11" t="str">
        <f t="shared" si="89"/>
        <v/>
      </c>
      <c r="HR23" s="11" t="str">
        <f t="shared" si="90"/>
        <v/>
      </c>
      <c r="HS23" s="11" t="str">
        <f t="shared" si="91"/>
        <v/>
      </c>
      <c r="HT23" s="11" t="str">
        <f t="shared" si="92"/>
        <v/>
      </c>
      <c r="HU23" s="11" t="str">
        <f t="shared" si="93"/>
        <v/>
      </c>
      <c r="HV23" s="11" t="str">
        <f t="shared" si="94"/>
        <v/>
      </c>
      <c r="HW23" s="11" t="str">
        <f t="shared" si="95"/>
        <v/>
      </c>
      <c r="HX23" s="11" t="str">
        <f t="shared" si="96"/>
        <v/>
      </c>
      <c r="HY23" s="11" t="str">
        <f t="shared" si="97"/>
        <v/>
      </c>
      <c r="HZ23" s="11" t="str">
        <f t="shared" si="98"/>
        <v/>
      </c>
      <c r="IA23" s="15"/>
      <c r="IB23" s="15"/>
      <c r="IC23" s="15"/>
      <c r="ID23" s="15"/>
      <c r="IE23" s="15"/>
      <c r="IF23" s="15"/>
      <c r="IG23" s="15"/>
      <c r="IH23" s="15"/>
      <c r="II23" s="15"/>
      <c r="IJ23" s="15"/>
      <c r="IK23" s="15"/>
      <c r="IL23" s="15"/>
      <c r="IM23" s="15"/>
      <c r="IN23" s="15"/>
      <c r="IO23" s="15"/>
      <c r="IP23" s="15"/>
      <c r="IQ23" s="15"/>
      <c r="IR23" s="15"/>
      <c r="IS23" s="15"/>
      <c r="IT23" s="15"/>
      <c r="IU23" s="36" t="str">
        <f t="shared" si="99"/>
        <v/>
      </c>
      <c r="IV23" s="36" t="str">
        <f t="shared" si="100"/>
        <v/>
      </c>
      <c r="IW23" s="36" t="str">
        <f t="shared" si="101"/>
        <v/>
      </c>
      <c r="IX23" s="36" t="str">
        <f t="shared" si="102"/>
        <v/>
      </c>
      <c r="IY23" s="36" t="str">
        <f t="shared" si="103"/>
        <v/>
      </c>
      <c r="IZ23" s="36" t="str">
        <f t="shared" si="104"/>
        <v/>
      </c>
      <c r="JA23" s="36" t="str">
        <f t="shared" si="105"/>
        <v/>
      </c>
      <c r="JB23" s="36" t="str">
        <f t="shared" si="106"/>
        <v/>
      </c>
      <c r="JC23" s="36" t="str">
        <f t="shared" si="107"/>
        <v/>
      </c>
      <c r="JD23" s="36" t="str">
        <f t="shared" si="108"/>
        <v/>
      </c>
      <c r="JE23" s="36" t="str">
        <f t="shared" si="109"/>
        <v/>
      </c>
      <c r="JF23" s="36" t="str">
        <f t="shared" si="110"/>
        <v/>
      </c>
      <c r="JG23" s="36" t="str">
        <f t="shared" si="111"/>
        <v/>
      </c>
      <c r="JH23" s="36" t="str">
        <f t="shared" si="112"/>
        <v/>
      </c>
      <c r="JI23" s="16"/>
      <c r="JJ23" s="16"/>
      <c r="JK23" s="16"/>
      <c r="JL23" s="16"/>
      <c r="JM23" s="16"/>
      <c r="JN23" s="16"/>
      <c r="JO23" s="16"/>
      <c r="JP23" s="16"/>
      <c r="JQ23" s="16"/>
      <c r="JR23" s="16"/>
      <c r="JS23" s="16"/>
      <c r="JT23" s="16"/>
      <c r="JU23" s="16"/>
      <c r="JV23" s="16"/>
      <c r="JW23" s="16"/>
      <c r="JX23" s="16"/>
      <c r="JY23" s="16"/>
      <c r="JZ23" s="16"/>
      <c r="KA23" s="16"/>
      <c r="KB23" s="16"/>
      <c r="KC23" s="11" t="str">
        <f t="shared" si="113"/>
        <v/>
      </c>
      <c r="KD23" s="11" t="str">
        <f t="shared" si="114"/>
        <v/>
      </c>
      <c r="KE23" s="11" t="str">
        <f t="shared" si="115"/>
        <v/>
      </c>
      <c r="KF23" s="11" t="str">
        <f t="shared" si="116"/>
        <v/>
      </c>
      <c r="KG23" s="11" t="str">
        <f t="shared" si="117"/>
        <v/>
      </c>
      <c r="KH23" s="11" t="str">
        <f t="shared" si="118"/>
        <v/>
      </c>
      <c r="KI23" s="11" t="str">
        <f t="shared" si="119"/>
        <v/>
      </c>
      <c r="KJ23" s="11" t="str">
        <f t="shared" si="120"/>
        <v/>
      </c>
      <c r="KK23" s="11" t="str">
        <f t="shared" si="121"/>
        <v/>
      </c>
      <c r="KL23" s="11" t="str">
        <f t="shared" si="122"/>
        <v/>
      </c>
      <c r="KM23" s="11" t="str">
        <f t="shared" si="123"/>
        <v/>
      </c>
      <c r="KN23" s="11" t="str">
        <f t="shared" si="124"/>
        <v/>
      </c>
      <c r="KO23" s="11" t="str">
        <f t="shared" si="125"/>
        <v/>
      </c>
      <c r="KP23" s="11" t="str">
        <f t="shared" si="126"/>
        <v/>
      </c>
      <c r="KQ23" s="15"/>
      <c r="KR23" s="15"/>
      <c r="KS23" s="15"/>
      <c r="KT23" s="15"/>
      <c r="KU23" s="15"/>
      <c r="KV23" s="15"/>
      <c r="KW23" s="15"/>
      <c r="KX23" s="15"/>
      <c r="KY23" s="15"/>
      <c r="KZ23" s="15"/>
      <c r="LA23" s="15"/>
      <c r="LB23" s="15"/>
      <c r="LC23" s="15"/>
      <c r="LD23" s="15"/>
      <c r="LE23" s="15"/>
      <c r="LF23" s="15"/>
      <c r="LG23" s="15"/>
      <c r="LH23" s="15"/>
      <c r="LI23" s="15"/>
      <c r="LJ23" s="15"/>
      <c r="LK23" s="36" t="str">
        <f t="shared" si="127"/>
        <v/>
      </c>
      <c r="LL23" s="36" t="str">
        <f t="shared" si="128"/>
        <v/>
      </c>
      <c r="LM23" s="36" t="str">
        <f t="shared" si="129"/>
        <v/>
      </c>
      <c r="LN23" s="36" t="str">
        <f t="shared" si="130"/>
        <v/>
      </c>
      <c r="LO23" s="36" t="str">
        <f t="shared" si="131"/>
        <v/>
      </c>
      <c r="LP23" s="36" t="str">
        <f t="shared" si="132"/>
        <v/>
      </c>
      <c r="LQ23" s="36" t="str">
        <f t="shared" si="133"/>
        <v/>
      </c>
      <c r="LR23" s="36" t="str">
        <f t="shared" si="134"/>
        <v/>
      </c>
      <c r="LS23" s="36" t="str">
        <f t="shared" si="135"/>
        <v/>
      </c>
      <c r="LT23" s="36" t="str">
        <f t="shared" si="136"/>
        <v/>
      </c>
      <c r="LU23" s="36" t="str">
        <f t="shared" si="137"/>
        <v/>
      </c>
      <c r="LV23" s="36" t="str">
        <f t="shared" si="138"/>
        <v/>
      </c>
      <c r="LW23" s="36" t="str">
        <f t="shared" si="139"/>
        <v/>
      </c>
      <c r="LX23" s="36" t="str">
        <f t="shared" si="140"/>
        <v/>
      </c>
      <c r="LY23" s="16"/>
      <c r="LZ23" s="16"/>
      <c r="MA23" s="16"/>
      <c r="MB23" s="16"/>
      <c r="MC23" s="16"/>
      <c r="MD23" s="16"/>
      <c r="ME23" s="16"/>
      <c r="MF23" s="16"/>
      <c r="MG23" s="16"/>
      <c r="MH23" s="16"/>
      <c r="MI23" s="16"/>
      <c r="MJ23" s="16"/>
      <c r="MK23" s="16"/>
      <c r="ML23" s="16"/>
      <c r="MM23" s="16"/>
      <c r="MN23" s="16"/>
      <c r="MO23" s="16"/>
      <c r="MP23" s="16"/>
      <c r="MQ23" s="16"/>
      <c r="MR23" s="16"/>
      <c r="MS23" s="11" t="str">
        <f t="shared" si="141"/>
        <v/>
      </c>
      <c r="MT23" s="11" t="str">
        <f t="shared" si="142"/>
        <v/>
      </c>
      <c r="MU23" s="11" t="str">
        <f t="shared" si="143"/>
        <v/>
      </c>
      <c r="MV23" s="11" t="str">
        <f t="shared" si="144"/>
        <v/>
      </c>
      <c r="MW23" s="11" t="str">
        <f t="shared" si="145"/>
        <v/>
      </c>
      <c r="MX23" s="11" t="str">
        <f t="shared" si="146"/>
        <v/>
      </c>
      <c r="MY23" s="11" t="str">
        <f t="shared" si="147"/>
        <v/>
      </c>
      <c r="MZ23" s="11" t="str">
        <f t="shared" si="148"/>
        <v/>
      </c>
      <c r="NA23" s="11" t="str">
        <f t="shared" si="149"/>
        <v/>
      </c>
      <c r="NB23" s="11" t="str">
        <f t="shared" si="150"/>
        <v/>
      </c>
      <c r="NC23" s="11" t="str">
        <f t="shared" si="151"/>
        <v/>
      </c>
      <c r="ND23" s="11" t="str">
        <f t="shared" si="152"/>
        <v/>
      </c>
      <c r="NE23" s="11" t="str">
        <f t="shared" si="153"/>
        <v/>
      </c>
      <c r="NF23" s="11" t="str">
        <f t="shared" si="154"/>
        <v/>
      </c>
      <c r="NG23" s="15"/>
      <c r="NH23" s="15"/>
      <c r="NI23" s="15"/>
      <c r="NJ23" s="15"/>
      <c r="NK23" s="15"/>
      <c r="NL23" s="15"/>
      <c r="NM23" s="15"/>
      <c r="NN23" s="15"/>
      <c r="NO23" s="15"/>
      <c r="NP23" s="15"/>
      <c r="NQ23" s="15"/>
      <c r="NR23" s="15"/>
      <c r="NS23" s="15"/>
      <c r="NT23" s="15"/>
      <c r="NU23" s="15"/>
      <c r="NV23" s="15"/>
      <c r="NW23" s="15"/>
      <c r="NX23" s="15"/>
      <c r="NY23" s="15"/>
      <c r="NZ23" s="15"/>
      <c r="OA23" s="36" t="str">
        <f t="shared" si="155"/>
        <v/>
      </c>
      <c r="OB23" s="36" t="str">
        <f t="shared" si="156"/>
        <v/>
      </c>
      <c r="OC23" s="36" t="str">
        <f t="shared" si="157"/>
        <v/>
      </c>
      <c r="OD23" s="36" t="str">
        <f t="shared" si="158"/>
        <v/>
      </c>
      <c r="OE23" s="36" t="str">
        <f t="shared" si="159"/>
        <v/>
      </c>
      <c r="OF23" s="36" t="str">
        <f t="shared" si="160"/>
        <v/>
      </c>
      <c r="OG23" s="36" t="str">
        <f t="shared" si="161"/>
        <v/>
      </c>
      <c r="OH23" s="36" t="str">
        <f t="shared" si="162"/>
        <v/>
      </c>
      <c r="OI23" s="36" t="str">
        <f t="shared" si="163"/>
        <v/>
      </c>
      <c r="OJ23" s="36" t="str">
        <f t="shared" si="164"/>
        <v/>
      </c>
      <c r="OK23" s="36" t="str">
        <f t="shared" si="165"/>
        <v/>
      </c>
      <c r="OL23" s="36" t="str">
        <f t="shared" si="166"/>
        <v/>
      </c>
      <c r="OM23" s="36" t="str">
        <f t="shared" si="167"/>
        <v/>
      </c>
      <c r="ON23" s="36" t="str">
        <f t="shared" si="168"/>
        <v/>
      </c>
      <c r="OO23" s="16"/>
      <c r="OP23" s="16"/>
      <c r="OQ23" s="16"/>
      <c r="OR23" s="16"/>
      <c r="OS23" s="16"/>
      <c r="OT23" s="16"/>
      <c r="OU23" s="16"/>
      <c r="OV23" s="16"/>
      <c r="OW23" s="16"/>
      <c r="OX23" s="16"/>
      <c r="OY23" s="16"/>
      <c r="OZ23" s="16"/>
      <c r="PA23" s="16"/>
      <c r="PB23" s="16"/>
      <c r="PC23" s="16"/>
      <c r="PD23" s="16"/>
      <c r="PE23" s="16"/>
      <c r="PF23" s="16"/>
      <c r="PG23" s="16"/>
      <c r="PH23" s="16"/>
      <c r="PI23" s="11" t="str">
        <f t="shared" si="169"/>
        <v/>
      </c>
      <c r="PJ23" s="11" t="str">
        <f t="shared" si="170"/>
        <v/>
      </c>
      <c r="PK23" s="11" t="str">
        <f t="shared" si="171"/>
        <v/>
      </c>
      <c r="PL23" s="11" t="str">
        <f t="shared" si="172"/>
        <v/>
      </c>
      <c r="PM23" s="11" t="str">
        <f t="shared" si="173"/>
        <v/>
      </c>
      <c r="PN23" s="11" t="str">
        <f t="shared" si="174"/>
        <v/>
      </c>
      <c r="PO23" s="11" t="str">
        <f t="shared" si="175"/>
        <v/>
      </c>
      <c r="PP23" s="11" t="str">
        <f t="shared" si="176"/>
        <v/>
      </c>
      <c r="PQ23" s="11" t="str">
        <f t="shared" si="177"/>
        <v/>
      </c>
      <c r="PR23" s="11" t="str">
        <f t="shared" si="178"/>
        <v/>
      </c>
      <c r="PS23" s="11" t="str">
        <f t="shared" si="179"/>
        <v/>
      </c>
      <c r="PT23" s="11" t="str">
        <f t="shared" si="180"/>
        <v/>
      </c>
      <c r="PU23" s="11" t="str">
        <f t="shared" si="181"/>
        <v/>
      </c>
      <c r="PV23" s="11" t="str">
        <f t="shared" si="182"/>
        <v/>
      </c>
      <c r="PW23" s="15"/>
      <c r="PX23" s="15"/>
      <c r="PY23" s="15"/>
      <c r="PZ23" s="15"/>
      <c r="QA23" s="15"/>
      <c r="QB23" s="15"/>
      <c r="QC23" s="15"/>
      <c r="QD23" s="15"/>
      <c r="QE23" s="15"/>
      <c r="QF23" s="15"/>
      <c r="QG23" s="15"/>
      <c r="QH23" s="15"/>
      <c r="QI23" s="15"/>
      <c r="QJ23" s="15"/>
      <c r="QK23" s="15"/>
      <c r="QL23" s="15"/>
      <c r="QM23" s="15"/>
      <c r="QN23" s="15"/>
      <c r="QO23" s="15"/>
      <c r="QP23" s="15"/>
      <c r="QQ23" s="36" t="str">
        <f t="shared" si="183"/>
        <v/>
      </c>
      <c r="QR23" s="36" t="str">
        <f t="shared" si="184"/>
        <v/>
      </c>
      <c r="QS23" s="36" t="str">
        <f t="shared" si="185"/>
        <v/>
      </c>
      <c r="QT23" s="36" t="str">
        <f t="shared" si="186"/>
        <v/>
      </c>
      <c r="QU23" s="36" t="str">
        <f t="shared" si="187"/>
        <v/>
      </c>
      <c r="QV23" s="36" t="str">
        <f t="shared" si="188"/>
        <v/>
      </c>
      <c r="QW23" s="36" t="str">
        <f t="shared" si="189"/>
        <v/>
      </c>
      <c r="QX23" s="36" t="str">
        <f t="shared" si="190"/>
        <v/>
      </c>
      <c r="QY23" s="36" t="str">
        <f t="shared" si="191"/>
        <v/>
      </c>
      <c r="QZ23" s="36" t="str">
        <f t="shared" si="192"/>
        <v/>
      </c>
      <c r="RA23" s="36" t="str">
        <f t="shared" si="193"/>
        <v/>
      </c>
      <c r="RB23" s="36" t="str">
        <f t="shared" si="194"/>
        <v/>
      </c>
      <c r="RC23" s="36" t="str">
        <f t="shared" si="195"/>
        <v/>
      </c>
      <c r="RD23" s="36" t="str">
        <f t="shared" si="196"/>
        <v/>
      </c>
      <c r="RE23" s="16"/>
      <c r="RF23" s="16"/>
      <c r="RG23" s="16"/>
      <c r="RH23" s="16"/>
      <c r="RI23" s="16"/>
      <c r="RJ23" s="16"/>
      <c r="RK23" s="16"/>
      <c r="RL23" s="16"/>
      <c r="RM23" s="16"/>
      <c r="RN23" s="16"/>
      <c r="RO23" s="16"/>
      <c r="RP23" s="16"/>
      <c r="RQ23" s="16"/>
      <c r="RR23" s="16"/>
      <c r="RS23" s="16"/>
      <c r="RT23" s="16"/>
      <c r="RU23" s="16"/>
      <c r="RV23" s="16"/>
      <c r="RW23" s="16"/>
      <c r="RX23" s="16"/>
      <c r="RY23" s="11" t="str">
        <f t="shared" si="197"/>
        <v/>
      </c>
      <c r="RZ23" s="11" t="str">
        <f t="shared" si="198"/>
        <v/>
      </c>
      <c r="SA23" s="11" t="str">
        <f t="shared" si="199"/>
        <v/>
      </c>
      <c r="SB23" s="11" t="str">
        <f t="shared" si="200"/>
        <v/>
      </c>
      <c r="SC23" s="11" t="str">
        <f t="shared" si="201"/>
        <v/>
      </c>
      <c r="SD23" s="11" t="str">
        <f t="shared" si="202"/>
        <v/>
      </c>
      <c r="SE23" s="11" t="str">
        <f t="shared" si="203"/>
        <v/>
      </c>
      <c r="SF23" s="11" t="str">
        <f t="shared" si="204"/>
        <v/>
      </c>
      <c r="SG23" s="11" t="str">
        <f t="shared" si="205"/>
        <v/>
      </c>
      <c r="SH23" s="11" t="str">
        <f t="shared" si="206"/>
        <v/>
      </c>
      <c r="SI23" s="11" t="str">
        <f t="shared" si="207"/>
        <v/>
      </c>
      <c r="SJ23" s="11" t="str">
        <f t="shared" si="208"/>
        <v/>
      </c>
      <c r="SK23" s="11" t="str">
        <f t="shared" si="209"/>
        <v/>
      </c>
      <c r="SL23" s="11" t="str">
        <f t="shared" si="210"/>
        <v/>
      </c>
      <c r="SM23" s="15"/>
      <c r="SN23" s="15"/>
      <c r="SO23" s="15"/>
      <c r="SP23" s="15"/>
      <c r="SQ23" s="15"/>
      <c r="SR23" s="15"/>
      <c r="SS23" s="15"/>
      <c r="ST23" s="15"/>
      <c r="SU23" s="15"/>
      <c r="SV23" s="15"/>
      <c r="SW23" s="15"/>
      <c r="SX23" s="15"/>
      <c r="SY23" s="15"/>
      <c r="SZ23" s="15"/>
      <c r="TA23" s="15"/>
      <c r="TB23" s="15"/>
      <c r="TC23" s="15"/>
      <c r="TD23" s="15"/>
      <c r="TE23" s="15"/>
      <c r="TF23" s="15"/>
      <c r="TG23" s="36" t="str">
        <f t="shared" si="211"/>
        <v/>
      </c>
      <c r="TH23" s="36" t="str">
        <f t="shared" si="212"/>
        <v/>
      </c>
      <c r="TI23" s="36" t="str">
        <f t="shared" si="213"/>
        <v/>
      </c>
      <c r="TJ23" s="36" t="str">
        <f t="shared" si="214"/>
        <v/>
      </c>
      <c r="TK23" s="36" t="str">
        <f t="shared" si="215"/>
        <v/>
      </c>
      <c r="TL23" s="36" t="str">
        <f t="shared" si="216"/>
        <v/>
      </c>
      <c r="TM23" s="36" t="str">
        <f t="shared" si="217"/>
        <v/>
      </c>
      <c r="TN23" s="36" t="str">
        <f t="shared" si="218"/>
        <v/>
      </c>
      <c r="TO23" s="36" t="str">
        <f t="shared" si="219"/>
        <v/>
      </c>
      <c r="TP23" s="36" t="str">
        <f t="shared" si="220"/>
        <v/>
      </c>
      <c r="TQ23" s="36" t="str">
        <f t="shared" si="221"/>
        <v/>
      </c>
      <c r="TR23" s="36" t="str">
        <f t="shared" si="222"/>
        <v/>
      </c>
      <c r="TS23" s="36" t="str">
        <f t="shared" si="223"/>
        <v/>
      </c>
      <c r="TT23" s="36" t="str">
        <f t="shared" si="224"/>
        <v/>
      </c>
      <c r="TU23" s="16"/>
      <c r="TV23" s="16"/>
      <c r="TW23" s="16"/>
      <c r="TX23" s="16"/>
      <c r="TY23" s="16"/>
      <c r="TZ23" s="16"/>
      <c r="UA23" s="16"/>
      <c r="UB23" s="16"/>
      <c r="UC23" s="16"/>
      <c r="UD23" s="16"/>
      <c r="UE23" s="16"/>
      <c r="UF23" s="16"/>
      <c r="UG23" s="16"/>
      <c r="UH23" s="16"/>
      <c r="UI23" s="16"/>
      <c r="UJ23" s="16"/>
      <c r="UK23" s="16"/>
      <c r="UL23" s="16"/>
      <c r="UM23" s="16"/>
      <c r="UN23" s="16"/>
      <c r="UO23" s="11" t="str">
        <f t="shared" si="225"/>
        <v/>
      </c>
      <c r="UP23" s="11" t="str">
        <f t="shared" si="226"/>
        <v/>
      </c>
      <c r="UQ23" s="11" t="str">
        <f t="shared" si="227"/>
        <v/>
      </c>
      <c r="UR23" s="11" t="str">
        <f t="shared" si="228"/>
        <v/>
      </c>
      <c r="US23" s="11" t="str">
        <f t="shared" si="229"/>
        <v/>
      </c>
      <c r="UT23" s="11" t="str">
        <f t="shared" si="230"/>
        <v/>
      </c>
      <c r="UU23" s="11" t="str">
        <f t="shared" si="231"/>
        <v/>
      </c>
      <c r="UV23" s="11" t="str">
        <f t="shared" si="232"/>
        <v/>
      </c>
      <c r="UW23" s="11" t="str">
        <f t="shared" si="233"/>
        <v/>
      </c>
      <c r="UX23" s="11" t="str">
        <f t="shared" si="234"/>
        <v/>
      </c>
      <c r="UY23" s="11" t="str">
        <f t="shared" si="235"/>
        <v/>
      </c>
      <c r="UZ23" s="11" t="str">
        <f t="shared" si="236"/>
        <v/>
      </c>
      <c r="VA23" s="11" t="str">
        <f t="shared" si="237"/>
        <v/>
      </c>
      <c r="VB23" s="11" t="str">
        <f t="shared" si="238"/>
        <v/>
      </c>
      <c r="VC23" s="15"/>
      <c r="VD23" s="15"/>
      <c r="VE23" s="15"/>
      <c r="VF23" s="15"/>
      <c r="VG23" s="15"/>
      <c r="VH23" s="15"/>
      <c r="VI23" s="15"/>
      <c r="VJ23" s="15"/>
      <c r="VK23" s="15"/>
      <c r="VL23" s="15"/>
      <c r="VM23" s="15"/>
      <c r="VN23" s="15"/>
      <c r="VO23" s="15"/>
      <c r="VP23" s="15"/>
      <c r="VQ23" s="15"/>
      <c r="VR23" s="15"/>
      <c r="VS23" s="15"/>
      <c r="VT23" s="15"/>
      <c r="VU23" s="15"/>
      <c r="VV23" s="15"/>
      <c r="VW23" s="36" t="str">
        <f t="shared" si="239"/>
        <v/>
      </c>
      <c r="VX23" s="36" t="str">
        <f t="shared" si="240"/>
        <v/>
      </c>
      <c r="VY23" s="36" t="str">
        <f t="shared" si="241"/>
        <v/>
      </c>
      <c r="VZ23" s="36" t="str">
        <f t="shared" si="242"/>
        <v/>
      </c>
      <c r="WA23" s="36" t="str">
        <f t="shared" si="243"/>
        <v/>
      </c>
      <c r="WB23" s="36" t="str">
        <f t="shared" si="244"/>
        <v/>
      </c>
      <c r="WC23" s="36" t="str">
        <f t="shared" si="245"/>
        <v/>
      </c>
      <c r="WD23" s="36" t="str">
        <f t="shared" si="246"/>
        <v/>
      </c>
      <c r="WE23" s="36" t="str">
        <f t="shared" si="247"/>
        <v/>
      </c>
      <c r="WF23" s="36" t="str">
        <f t="shared" si="248"/>
        <v/>
      </c>
      <c r="WG23" s="36" t="str">
        <f t="shared" si="249"/>
        <v/>
      </c>
      <c r="WH23" s="36" t="str">
        <f t="shared" si="250"/>
        <v/>
      </c>
      <c r="WI23" s="36" t="str">
        <f t="shared" si="251"/>
        <v/>
      </c>
      <c r="WJ23" s="36" t="str">
        <f t="shared" si="252"/>
        <v/>
      </c>
    </row>
    <row r="24" spans="1:608" x14ac:dyDescent="0.2">
      <c r="A24" s="4" t="str" cm="1">
        <f t="array" ref="A24">IF(AND(H24&lt;&gt;"",H24&lt;&gt;"No DD",I24&lt;&gt;"P"),SUMPRODUCT((H$4:H$28&lt;&gt;"")*(H$4:H$28&lt;&gt;"No DD")*(I$4:I$28&lt;&gt;"P")*(E$4:E$28&gt;E24))+1,IF(H24="No DD",SUMPRODUCT((H$4:H$28="No DD")*(I$4:I$28&lt;&gt;"P")*(E$4:E$28&gt;E24))+1+SUMPRODUCT((H$4:H$28&lt;&gt;"")*(I$4:I$28&lt;&gt;"P")*(H$4:H$28&lt;&gt;"No DD")),""))</f>
        <v/>
      </c>
      <c r="B24" s="5" t="s">
        <v>207</v>
      </c>
      <c r="C24" s="4" t="s">
        <v>5</v>
      </c>
      <c r="D24" s="4">
        <v>2005</v>
      </c>
      <c r="E24" s="9">
        <f t="shared" si="0"/>
        <v>80.600008060004512</v>
      </c>
      <c r="F24" s="3" t="str">
        <f t="shared" si="1"/>
        <v/>
      </c>
      <c r="G24" s="3" t="str">
        <f t="shared" si="2"/>
        <v/>
      </c>
      <c r="H24" s="32" t="str">
        <f t="shared" si="3"/>
        <v/>
      </c>
      <c r="I24" s="3" t="str">
        <f>IF(COUNTIFS('Senior-M'!B:B,B24,'Senior-M'!A:A,"&lt;9",'Senior-M'!H:H,"&lt;&gt;"&amp;"No DD"),"P","")</f>
        <v/>
      </c>
      <c r="J24" s="8">
        <f t="shared" si="4"/>
        <v>45.129999999999995</v>
      </c>
      <c r="K24" s="8" t="str">
        <f t="shared" si="5"/>
        <v>2025 Elite Canada</v>
      </c>
      <c r="L24" s="8">
        <f>IFERROR(LARGE((AI24,AL24,AP24,BJ24,BM24,BQ24,CK24,CN24,CR24),2),0)</f>
        <v>35.47</v>
      </c>
      <c r="M24" s="8" t="str">
        <f t="shared" si="6"/>
        <v>2025 Elite Canada</v>
      </c>
      <c r="N24" s="8">
        <f t="shared" si="7"/>
        <v>0</v>
      </c>
      <c r="O24" s="11" t="str">
        <f>IF(N24=0,"",IF(N24=CT24,"("&amp;CT$2&amp;")",IF(N24=#REF!,"("&amp;#REF!&amp;")")))</f>
        <v/>
      </c>
      <c r="P24" s="8" t="str">
        <f t="shared" si="8"/>
        <v/>
      </c>
      <c r="Q24" s="18">
        <v>8.8000000000000007</v>
      </c>
      <c r="R24" s="18">
        <v>6.55</v>
      </c>
      <c r="S24" s="18">
        <v>8.3500000000000014</v>
      </c>
      <c r="T24" s="18">
        <v>11.77</v>
      </c>
      <c r="U24" s="18">
        <v>0</v>
      </c>
      <c r="V24" s="18">
        <v>11.95</v>
      </c>
      <c r="W24" s="18">
        <v>8.1</v>
      </c>
      <c r="X24" s="18">
        <v>10.65</v>
      </c>
      <c r="Y24" s="18">
        <v>14.43</v>
      </c>
      <c r="Z24" s="18">
        <v>0</v>
      </c>
      <c r="AA24" s="18">
        <v>0</v>
      </c>
      <c r="AB24" s="18">
        <v>0</v>
      </c>
      <c r="AC24" s="18">
        <v>0</v>
      </c>
      <c r="AD24" s="18">
        <v>0</v>
      </c>
      <c r="AE24" s="18">
        <v>0</v>
      </c>
      <c r="AF24" s="23" t="s">
        <v>42</v>
      </c>
      <c r="AG24" s="34">
        <f t="shared" si="9"/>
        <v>8.3500000000000014</v>
      </c>
      <c r="AH24" s="34">
        <f t="shared" si="10"/>
        <v>11.77</v>
      </c>
      <c r="AI24" s="36">
        <f t="shared" si="11"/>
        <v>35.47</v>
      </c>
      <c r="AJ24" s="36">
        <f t="shared" si="12"/>
        <v>10.65</v>
      </c>
      <c r="AK24" s="36">
        <f t="shared" si="13"/>
        <v>14.43</v>
      </c>
      <c r="AL24" s="36">
        <f t="shared" si="14"/>
        <v>45.129999999999995</v>
      </c>
      <c r="AM24" s="36">
        <f t="shared" si="15"/>
        <v>45.129999999999995</v>
      </c>
      <c r="AN24" s="36" t="str">
        <f t="shared" si="16"/>
        <v/>
      </c>
      <c r="AO24" s="36" t="str">
        <f t="shared" si="17"/>
        <v/>
      </c>
      <c r="AP24" s="36" t="str">
        <f t="shared" si="18"/>
        <v/>
      </c>
      <c r="AQ24" s="36">
        <f t="shared" si="19"/>
        <v>45.129999999999995</v>
      </c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4"/>
      <c r="BH24" s="35" t="str">
        <f t="shared" si="20"/>
        <v/>
      </c>
      <c r="BI24" s="35" t="str">
        <f t="shared" si="21"/>
        <v/>
      </c>
      <c r="BJ24" s="11" t="str">
        <f t="shared" si="22"/>
        <v/>
      </c>
      <c r="BK24" s="11" t="str">
        <f t="shared" si="23"/>
        <v/>
      </c>
      <c r="BL24" s="11" t="str">
        <f t="shared" si="24"/>
        <v/>
      </c>
      <c r="BM24" s="11" t="str">
        <f t="shared" si="25"/>
        <v/>
      </c>
      <c r="BN24" s="11" t="str">
        <f t="shared" si="26"/>
        <v/>
      </c>
      <c r="BO24" s="11" t="str">
        <f t="shared" si="27"/>
        <v/>
      </c>
      <c r="BP24" s="11" t="str">
        <f t="shared" si="28"/>
        <v/>
      </c>
      <c r="BQ24" s="11" t="str">
        <f t="shared" si="29"/>
        <v/>
      </c>
      <c r="BR24" s="11" t="str">
        <f t="shared" si="30"/>
        <v/>
      </c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  <c r="CF24" s="18"/>
      <c r="CG24" s="18"/>
      <c r="CH24" s="23"/>
      <c r="CI24" s="34" t="str">
        <f t="shared" si="31"/>
        <v/>
      </c>
      <c r="CJ24" s="34" t="str">
        <f t="shared" si="32"/>
        <v/>
      </c>
      <c r="CK24" s="36" t="str">
        <f t="shared" si="33"/>
        <v/>
      </c>
      <c r="CL24" s="36" t="str">
        <f t="shared" si="34"/>
        <v/>
      </c>
      <c r="CM24" s="36" t="str">
        <f t="shared" si="35"/>
        <v/>
      </c>
      <c r="CN24" s="36" t="str">
        <f t="shared" si="36"/>
        <v/>
      </c>
      <c r="CO24" s="36" t="str">
        <f t="shared" si="37"/>
        <v/>
      </c>
      <c r="CP24" s="36" t="str">
        <f t="shared" si="38"/>
        <v/>
      </c>
      <c r="CQ24" s="36" t="str">
        <f t="shared" si="39"/>
        <v/>
      </c>
      <c r="CR24" s="36" t="str">
        <f t="shared" si="40"/>
        <v/>
      </c>
      <c r="CS24" s="36" t="str">
        <f t="shared" si="41"/>
        <v/>
      </c>
      <c r="CT24" s="47" t="str">
        <f t="shared" si="42"/>
        <v/>
      </c>
      <c r="CU24" s="15"/>
      <c r="CV24" s="15"/>
      <c r="CW24" s="15"/>
      <c r="CX24" s="15"/>
      <c r="CY24" s="15"/>
      <c r="CZ24" s="15"/>
      <c r="DA24" s="15"/>
      <c r="DB24" s="15"/>
      <c r="DC24" s="15"/>
      <c r="DD24" s="15"/>
      <c r="DE24" s="15"/>
      <c r="DF24" s="15"/>
      <c r="DG24" s="15"/>
      <c r="DH24" s="15"/>
      <c r="DI24" s="15"/>
      <c r="DJ24" s="15"/>
      <c r="DK24" s="15"/>
      <c r="DL24" s="15"/>
      <c r="DM24" s="15"/>
      <c r="DN24" s="15"/>
      <c r="DO24" s="36" t="str">
        <f t="shared" si="43"/>
        <v/>
      </c>
      <c r="DP24" s="36" t="str">
        <f t="shared" si="44"/>
        <v/>
      </c>
      <c r="DQ24" s="36" t="str">
        <f t="shared" si="45"/>
        <v/>
      </c>
      <c r="DR24" s="36" t="str">
        <f t="shared" si="46"/>
        <v/>
      </c>
      <c r="DS24" s="36" t="str">
        <f t="shared" si="47"/>
        <v/>
      </c>
      <c r="DT24" s="36" t="str">
        <f t="shared" si="48"/>
        <v/>
      </c>
      <c r="DU24" s="36" t="str">
        <f t="shared" si="49"/>
        <v/>
      </c>
      <c r="DV24" s="36" t="str">
        <f t="shared" si="50"/>
        <v/>
      </c>
      <c r="DW24" s="36" t="str">
        <f t="shared" si="51"/>
        <v/>
      </c>
      <c r="DX24" s="36" t="str">
        <f t="shared" si="52"/>
        <v/>
      </c>
      <c r="DY24" s="36" t="str">
        <f t="shared" si="53"/>
        <v/>
      </c>
      <c r="DZ24" s="36" t="str">
        <f t="shared" si="54"/>
        <v/>
      </c>
      <c r="EA24" s="36" t="str">
        <f t="shared" si="55"/>
        <v/>
      </c>
      <c r="EB24" s="36" t="str">
        <f t="shared" si="56"/>
        <v/>
      </c>
      <c r="EC24" s="16"/>
      <c r="ED24" s="16"/>
      <c r="EE24" s="16"/>
      <c r="EF24" s="16"/>
      <c r="EG24" s="16"/>
      <c r="EH24" s="16"/>
      <c r="EI24" s="16"/>
      <c r="EJ24" s="16"/>
      <c r="EK24" s="16"/>
      <c r="EL24" s="16"/>
      <c r="EM24" s="16"/>
      <c r="EN24" s="16"/>
      <c r="EO24" s="16"/>
      <c r="EP24" s="16"/>
      <c r="EQ24" s="16"/>
      <c r="ER24" s="16"/>
      <c r="ES24" s="16"/>
      <c r="ET24" s="16"/>
      <c r="EU24" s="16"/>
      <c r="EV24" s="16"/>
      <c r="EW24" s="11" t="str">
        <f t="shared" si="57"/>
        <v/>
      </c>
      <c r="EX24" s="11" t="str">
        <f t="shared" si="58"/>
        <v/>
      </c>
      <c r="EY24" s="11" t="str">
        <f t="shared" si="59"/>
        <v/>
      </c>
      <c r="EZ24" s="11" t="str">
        <f t="shared" si="60"/>
        <v/>
      </c>
      <c r="FA24" s="11" t="str">
        <f t="shared" si="61"/>
        <v/>
      </c>
      <c r="FB24" s="11" t="str">
        <f t="shared" si="62"/>
        <v/>
      </c>
      <c r="FC24" s="11" t="str">
        <f t="shared" si="63"/>
        <v/>
      </c>
      <c r="FD24" s="11" t="str">
        <f t="shared" si="64"/>
        <v/>
      </c>
      <c r="FE24" s="11" t="str">
        <f t="shared" si="65"/>
        <v/>
      </c>
      <c r="FF24" s="11" t="str">
        <f t="shared" si="66"/>
        <v/>
      </c>
      <c r="FG24" s="11" t="str">
        <f t="shared" si="67"/>
        <v/>
      </c>
      <c r="FH24" s="11" t="str">
        <f t="shared" si="68"/>
        <v/>
      </c>
      <c r="FI24" s="11" t="str">
        <f t="shared" si="69"/>
        <v/>
      </c>
      <c r="FJ24" s="11" t="str">
        <f t="shared" si="70"/>
        <v/>
      </c>
      <c r="FK24" s="15"/>
      <c r="FL24" s="15"/>
      <c r="FM24" s="15"/>
      <c r="FN24" s="15"/>
      <c r="FO24" s="15"/>
      <c r="FP24" s="15"/>
      <c r="FQ24" s="15"/>
      <c r="FR24" s="15"/>
      <c r="FS24" s="15"/>
      <c r="FT24" s="15"/>
      <c r="FU24" s="15"/>
      <c r="FV24" s="15"/>
      <c r="FW24" s="15"/>
      <c r="FX24" s="15"/>
      <c r="FY24" s="15"/>
      <c r="FZ24" s="15"/>
      <c r="GA24" s="15"/>
      <c r="GB24" s="15"/>
      <c r="GC24" s="15"/>
      <c r="GD24" s="15"/>
      <c r="GE24" s="36" t="str">
        <f t="shared" si="71"/>
        <v/>
      </c>
      <c r="GF24" s="36" t="str">
        <f t="shared" si="72"/>
        <v/>
      </c>
      <c r="GG24" s="36" t="str">
        <f t="shared" si="73"/>
        <v/>
      </c>
      <c r="GH24" s="36" t="str">
        <f t="shared" si="74"/>
        <v/>
      </c>
      <c r="GI24" s="36" t="str">
        <f t="shared" si="75"/>
        <v/>
      </c>
      <c r="GJ24" s="36" t="str">
        <f t="shared" si="76"/>
        <v/>
      </c>
      <c r="GK24" s="36" t="str">
        <f t="shared" si="77"/>
        <v/>
      </c>
      <c r="GL24" s="36" t="str">
        <f t="shared" si="78"/>
        <v/>
      </c>
      <c r="GM24" s="36" t="str">
        <f t="shared" si="79"/>
        <v/>
      </c>
      <c r="GN24" s="36" t="str">
        <f t="shared" si="80"/>
        <v/>
      </c>
      <c r="GO24" s="36" t="str">
        <f t="shared" si="81"/>
        <v/>
      </c>
      <c r="GP24" s="36" t="str">
        <f t="shared" si="82"/>
        <v/>
      </c>
      <c r="GQ24" s="36" t="str">
        <f t="shared" si="83"/>
        <v/>
      </c>
      <c r="GR24" s="36" t="str">
        <f t="shared" si="84"/>
        <v/>
      </c>
      <c r="GS24" s="16"/>
      <c r="GT24" s="16"/>
      <c r="GU24" s="16"/>
      <c r="GV24" s="16"/>
      <c r="GW24" s="16"/>
      <c r="GX24" s="16"/>
      <c r="GY24" s="16"/>
      <c r="GZ24" s="16"/>
      <c r="HA24" s="16"/>
      <c r="HB24" s="16"/>
      <c r="HC24" s="16"/>
      <c r="HD24" s="16"/>
      <c r="HE24" s="16"/>
      <c r="HF24" s="16"/>
      <c r="HG24" s="16"/>
      <c r="HH24" s="16"/>
      <c r="HI24" s="16"/>
      <c r="HJ24" s="16"/>
      <c r="HK24" s="16"/>
      <c r="HL24" s="16"/>
      <c r="HM24" s="11" t="str">
        <f t="shared" si="85"/>
        <v/>
      </c>
      <c r="HN24" s="11" t="str">
        <f t="shared" si="86"/>
        <v/>
      </c>
      <c r="HO24" s="11" t="str">
        <f t="shared" si="87"/>
        <v/>
      </c>
      <c r="HP24" s="11" t="str">
        <f t="shared" si="88"/>
        <v/>
      </c>
      <c r="HQ24" s="11" t="str">
        <f t="shared" si="89"/>
        <v/>
      </c>
      <c r="HR24" s="11" t="str">
        <f t="shared" si="90"/>
        <v/>
      </c>
      <c r="HS24" s="11" t="str">
        <f t="shared" si="91"/>
        <v/>
      </c>
      <c r="HT24" s="11" t="str">
        <f t="shared" si="92"/>
        <v/>
      </c>
      <c r="HU24" s="11" t="str">
        <f t="shared" si="93"/>
        <v/>
      </c>
      <c r="HV24" s="11" t="str">
        <f t="shared" si="94"/>
        <v/>
      </c>
      <c r="HW24" s="11" t="str">
        <f t="shared" si="95"/>
        <v/>
      </c>
      <c r="HX24" s="11" t="str">
        <f t="shared" si="96"/>
        <v/>
      </c>
      <c r="HY24" s="11" t="str">
        <f t="shared" si="97"/>
        <v/>
      </c>
      <c r="HZ24" s="11" t="str">
        <f t="shared" si="98"/>
        <v/>
      </c>
      <c r="IA24" s="15"/>
      <c r="IB24" s="15"/>
      <c r="IC24" s="15"/>
      <c r="ID24" s="15"/>
      <c r="IE24" s="15"/>
      <c r="IF24" s="15"/>
      <c r="IG24" s="15"/>
      <c r="IH24" s="15"/>
      <c r="II24" s="15"/>
      <c r="IJ24" s="15"/>
      <c r="IK24" s="15"/>
      <c r="IL24" s="15"/>
      <c r="IM24" s="15"/>
      <c r="IN24" s="15"/>
      <c r="IO24" s="15"/>
      <c r="IP24" s="15"/>
      <c r="IQ24" s="15"/>
      <c r="IR24" s="15"/>
      <c r="IS24" s="15"/>
      <c r="IT24" s="15"/>
      <c r="IU24" s="36" t="str">
        <f t="shared" si="99"/>
        <v/>
      </c>
      <c r="IV24" s="36" t="str">
        <f t="shared" si="100"/>
        <v/>
      </c>
      <c r="IW24" s="36" t="str">
        <f t="shared" si="101"/>
        <v/>
      </c>
      <c r="IX24" s="36" t="str">
        <f t="shared" si="102"/>
        <v/>
      </c>
      <c r="IY24" s="36" t="str">
        <f t="shared" si="103"/>
        <v/>
      </c>
      <c r="IZ24" s="36" t="str">
        <f t="shared" si="104"/>
        <v/>
      </c>
      <c r="JA24" s="36" t="str">
        <f t="shared" si="105"/>
        <v/>
      </c>
      <c r="JB24" s="36" t="str">
        <f t="shared" si="106"/>
        <v/>
      </c>
      <c r="JC24" s="36" t="str">
        <f t="shared" si="107"/>
        <v/>
      </c>
      <c r="JD24" s="36" t="str">
        <f t="shared" si="108"/>
        <v/>
      </c>
      <c r="JE24" s="36" t="str">
        <f t="shared" si="109"/>
        <v/>
      </c>
      <c r="JF24" s="36" t="str">
        <f t="shared" si="110"/>
        <v/>
      </c>
      <c r="JG24" s="36" t="str">
        <f t="shared" si="111"/>
        <v/>
      </c>
      <c r="JH24" s="36" t="str">
        <f t="shared" si="112"/>
        <v/>
      </c>
      <c r="JI24" s="16"/>
      <c r="JJ24" s="16"/>
      <c r="JK24" s="16"/>
      <c r="JL24" s="16"/>
      <c r="JM24" s="16"/>
      <c r="JN24" s="16"/>
      <c r="JO24" s="16"/>
      <c r="JP24" s="16"/>
      <c r="JQ24" s="16"/>
      <c r="JR24" s="16"/>
      <c r="JS24" s="16"/>
      <c r="JT24" s="16"/>
      <c r="JU24" s="16"/>
      <c r="JV24" s="16"/>
      <c r="JW24" s="16"/>
      <c r="JX24" s="16"/>
      <c r="JY24" s="16"/>
      <c r="JZ24" s="16"/>
      <c r="KA24" s="16"/>
      <c r="KB24" s="16"/>
      <c r="KC24" s="11" t="str">
        <f t="shared" si="113"/>
        <v/>
      </c>
      <c r="KD24" s="11" t="str">
        <f t="shared" si="114"/>
        <v/>
      </c>
      <c r="KE24" s="11" t="str">
        <f t="shared" si="115"/>
        <v/>
      </c>
      <c r="KF24" s="11" t="str">
        <f t="shared" si="116"/>
        <v/>
      </c>
      <c r="KG24" s="11" t="str">
        <f t="shared" si="117"/>
        <v/>
      </c>
      <c r="KH24" s="11" t="str">
        <f t="shared" si="118"/>
        <v/>
      </c>
      <c r="KI24" s="11" t="str">
        <f t="shared" si="119"/>
        <v/>
      </c>
      <c r="KJ24" s="11" t="str">
        <f t="shared" si="120"/>
        <v/>
      </c>
      <c r="KK24" s="11" t="str">
        <f t="shared" si="121"/>
        <v/>
      </c>
      <c r="KL24" s="11" t="str">
        <f t="shared" si="122"/>
        <v/>
      </c>
      <c r="KM24" s="11" t="str">
        <f t="shared" si="123"/>
        <v/>
      </c>
      <c r="KN24" s="11" t="str">
        <f t="shared" si="124"/>
        <v/>
      </c>
      <c r="KO24" s="11" t="str">
        <f t="shared" si="125"/>
        <v/>
      </c>
      <c r="KP24" s="11" t="str">
        <f t="shared" si="126"/>
        <v/>
      </c>
      <c r="KQ24" s="15"/>
      <c r="KR24" s="15"/>
      <c r="KS24" s="15"/>
      <c r="KT24" s="15"/>
      <c r="KU24" s="15"/>
      <c r="KV24" s="15"/>
      <c r="KW24" s="15"/>
      <c r="KX24" s="15"/>
      <c r="KY24" s="15"/>
      <c r="KZ24" s="15"/>
      <c r="LA24" s="15"/>
      <c r="LB24" s="15"/>
      <c r="LC24" s="15"/>
      <c r="LD24" s="15"/>
      <c r="LE24" s="15"/>
      <c r="LF24" s="15"/>
      <c r="LG24" s="15"/>
      <c r="LH24" s="15"/>
      <c r="LI24" s="15"/>
      <c r="LJ24" s="15"/>
      <c r="LK24" s="36" t="str">
        <f t="shared" si="127"/>
        <v/>
      </c>
      <c r="LL24" s="36" t="str">
        <f t="shared" si="128"/>
        <v/>
      </c>
      <c r="LM24" s="36" t="str">
        <f t="shared" si="129"/>
        <v/>
      </c>
      <c r="LN24" s="36" t="str">
        <f t="shared" si="130"/>
        <v/>
      </c>
      <c r="LO24" s="36" t="str">
        <f t="shared" si="131"/>
        <v/>
      </c>
      <c r="LP24" s="36" t="str">
        <f t="shared" si="132"/>
        <v/>
      </c>
      <c r="LQ24" s="36" t="str">
        <f t="shared" si="133"/>
        <v/>
      </c>
      <c r="LR24" s="36" t="str">
        <f t="shared" si="134"/>
        <v/>
      </c>
      <c r="LS24" s="36" t="str">
        <f t="shared" si="135"/>
        <v/>
      </c>
      <c r="LT24" s="36" t="str">
        <f t="shared" si="136"/>
        <v/>
      </c>
      <c r="LU24" s="36" t="str">
        <f t="shared" si="137"/>
        <v/>
      </c>
      <c r="LV24" s="36" t="str">
        <f t="shared" si="138"/>
        <v/>
      </c>
      <c r="LW24" s="36" t="str">
        <f t="shared" si="139"/>
        <v/>
      </c>
      <c r="LX24" s="36" t="str">
        <f t="shared" si="140"/>
        <v/>
      </c>
      <c r="LY24" s="16"/>
      <c r="LZ24" s="16"/>
      <c r="MA24" s="16"/>
      <c r="MB24" s="16"/>
      <c r="MC24" s="16"/>
      <c r="MD24" s="16"/>
      <c r="ME24" s="16"/>
      <c r="MF24" s="16"/>
      <c r="MG24" s="16"/>
      <c r="MH24" s="16"/>
      <c r="MI24" s="16"/>
      <c r="MJ24" s="16"/>
      <c r="MK24" s="16"/>
      <c r="ML24" s="16"/>
      <c r="MM24" s="16"/>
      <c r="MN24" s="16"/>
      <c r="MO24" s="16"/>
      <c r="MP24" s="16"/>
      <c r="MQ24" s="16"/>
      <c r="MR24" s="16"/>
      <c r="MS24" s="11" t="str">
        <f t="shared" si="141"/>
        <v/>
      </c>
      <c r="MT24" s="11" t="str">
        <f t="shared" si="142"/>
        <v/>
      </c>
      <c r="MU24" s="11" t="str">
        <f t="shared" si="143"/>
        <v/>
      </c>
      <c r="MV24" s="11" t="str">
        <f t="shared" si="144"/>
        <v/>
      </c>
      <c r="MW24" s="11" t="str">
        <f t="shared" si="145"/>
        <v/>
      </c>
      <c r="MX24" s="11" t="str">
        <f t="shared" si="146"/>
        <v/>
      </c>
      <c r="MY24" s="11" t="str">
        <f t="shared" si="147"/>
        <v/>
      </c>
      <c r="MZ24" s="11" t="str">
        <f t="shared" si="148"/>
        <v/>
      </c>
      <c r="NA24" s="11" t="str">
        <f t="shared" si="149"/>
        <v/>
      </c>
      <c r="NB24" s="11" t="str">
        <f t="shared" si="150"/>
        <v/>
      </c>
      <c r="NC24" s="11" t="str">
        <f t="shared" si="151"/>
        <v/>
      </c>
      <c r="ND24" s="11" t="str">
        <f t="shared" si="152"/>
        <v/>
      </c>
      <c r="NE24" s="11" t="str">
        <f t="shared" si="153"/>
        <v/>
      </c>
      <c r="NF24" s="11" t="str">
        <f t="shared" si="154"/>
        <v/>
      </c>
      <c r="NG24" s="15"/>
      <c r="NH24" s="15"/>
      <c r="NI24" s="15"/>
      <c r="NJ24" s="15"/>
      <c r="NK24" s="15"/>
      <c r="NL24" s="15"/>
      <c r="NM24" s="15"/>
      <c r="NN24" s="15"/>
      <c r="NO24" s="15"/>
      <c r="NP24" s="15"/>
      <c r="NQ24" s="15"/>
      <c r="NR24" s="15"/>
      <c r="NS24" s="15"/>
      <c r="NT24" s="15"/>
      <c r="NU24" s="15"/>
      <c r="NV24" s="15"/>
      <c r="NW24" s="15"/>
      <c r="NX24" s="15"/>
      <c r="NY24" s="15"/>
      <c r="NZ24" s="15"/>
      <c r="OA24" s="36" t="str">
        <f t="shared" si="155"/>
        <v/>
      </c>
      <c r="OB24" s="36" t="str">
        <f t="shared" si="156"/>
        <v/>
      </c>
      <c r="OC24" s="36" t="str">
        <f t="shared" si="157"/>
        <v/>
      </c>
      <c r="OD24" s="36" t="str">
        <f t="shared" si="158"/>
        <v/>
      </c>
      <c r="OE24" s="36" t="str">
        <f t="shared" si="159"/>
        <v/>
      </c>
      <c r="OF24" s="36" t="str">
        <f t="shared" si="160"/>
        <v/>
      </c>
      <c r="OG24" s="36" t="str">
        <f t="shared" si="161"/>
        <v/>
      </c>
      <c r="OH24" s="36" t="str">
        <f t="shared" si="162"/>
        <v/>
      </c>
      <c r="OI24" s="36" t="str">
        <f t="shared" si="163"/>
        <v/>
      </c>
      <c r="OJ24" s="36" t="str">
        <f t="shared" si="164"/>
        <v/>
      </c>
      <c r="OK24" s="36" t="str">
        <f t="shared" si="165"/>
        <v/>
      </c>
      <c r="OL24" s="36" t="str">
        <f t="shared" si="166"/>
        <v/>
      </c>
      <c r="OM24" s="36" t="str">
        <f t="shared" si="167"/>
        <v/>
      </c>
      <c r="ON24" s="36" t="str">
        <f t="shared" si="168"/>
        <v/>
      </c>
      <c r="OO24" s="16"/>
      <c r="OP24" s="16"/>
      <c r="OQ24" s="16"/>
      <c r="OR24" s="16"/>
      <c r="OS24" s="16"/>
      <c r="OT24" s="16"/>
      <c r="OU24" s="16"/>
      <c r="OV24" s="16"/>
      <c r="OW24" s="16"/>
      <c r="OX24" s="16"/>
      <c r="OY24" s="16"/>
      <c r="OZ24" s="16"/>
      <c r="PA24" s="16"/>
      <c r="PB24" s="16"/>
      <c r="PC24" s="16"/>
      <c r="PD24" s="16"/>
      <c r="PE24" s="16"/>
      <c r="PF24" s="16"/>
      <c r="PG24" s="16"/>
      <c r="PH24" s="16"/>
      <c r="PI24" s="11" t="str">
        <f t="shared" si="169"/>
        <v/>
      </c>
      <c r="PJ24" s="11" t="str">
        <f t="shared" si="170"/>
        <v/>
      </c>
      <c r="PK24" s="11" t="str">
        <f t="shared" si="171"/>
        <v/>
      </c>
      <c r="PL24" s="11" t="str">
        <f t="shared" si="172"/>
        <v/>
      </c>
      <c r="PM24" s="11" t="str">
        <f t="shared" si="173"/>
        <v/>
      </c>
      <c r="PN24" s="11" t="str">
        <f t="shared" si="174"/>
        <v/>
      </c>
      <c r="PO24" s="11" t="str">
        <f t="shared" si="175"/>
        <v/>
      </c>
      <c r="PP24" s="11" t="str">
        <f t="shared" si="176"/>
        <v/>
      </c>
      <c r="PQ24" s="11" t="str">
        <f t="shared" si="177"/>
        <v/>
      </c>
      <c r="PR24" s="11" t="str">
        <f t="shared" si="178"/>
        <v/>
      </c>
      <c r="PS24" s="11" t="str">
        <f t="shared" si="179"/>
        <v/>
      </c>
      <c r="PT24" s="11" t="str">
        <f t="shared" si="180"/>
        <v/>
      </c>
      <c r="PU24" s="11" t="str">
        <f t="shared" si="181"/>
        <v/>
      </c>
      <c r="PV24" s="11" t="str">
        <f t="shared" si="182"/>
        <v/>
      </c>
      <c r="PW24" s="15"/>
      <c r="PX24" s="15"/>
      <c r="PY24" s="15"/>
      <c r="PZ24" s="15"/>
      <c r="QA24" s="15"/>
      <c r="QB24" s="15"/>
      <c r="QC24" s="15"/>
      <c r="QD24" s="15"/>
      <c r="QE24" s="15"/>
      <c r="QF24" s="15"/>
      <c r="QG24" s="15"/>
      <c r="QH24" s="15"/>
      <c r="QI24" s="15"/>
      <c r="QJ24" s="15"/>
      <c r="QK24" s="15"/>
      <c r="QL24" s="15"/>
      <c r="QM24" s="15"/>
      <c r="QN24" s="15"/>
      <c r="QO24" s="15"/>
      <c r="QP24" s="15"/>
      <c r="QQ24" s="36" t="str">
        <f t="shared" si="183"/>
        <v/>
      </c>
      <c r="QR24" s="36" t="str">
        <f t="shared" si="184"/>
        <v/>
      </c>
      <c r="QS24" s="36" t="str">
        <f t="shared" si="185"/>
        <v/>
      </c>
      <c r="QT24" s="36" t="str">
        <f t="shared" si="186"/>
        <v/>
      </c>
      <c r="QU24" s="36" t="str">
        <f t="shared" si="187"/>
        <v/>
      </c>
      <c r="QV24" s="36" t="str">
        <f t="shared" si="188"/>
        <v/>
      </c>
      <c r="QW24" s="36" t="str">
        <f t="shared" si="189"/>
        <v/>
      </c>
      <c r="QX24" s="36" t="str">
        <f t="shared" si="190"/>
        <v/>
      </c>
      <c r="QY24" s="36" t="str">
        <f t="shared" si="191"/>
        <v/>
      </c>
      <c r="QZ24" s="36" t="str">
        <f t="shared" si="192"/>
        <v/>
      </c>
      <c r="RA24" s="36" t="str">
        <f t="shared" si="193"/>
        <v/>
      </c>
      <c r="RB24" s="36" t="str">
        <f t="shared" si="194"/>
        <v/>
      </c>
      <c r="RC24" s="36" t="str">
        <f t="shared" si="195"/>
        <v/>
      </c>
      <c r="RD24" s="36" t="str">
        <f t="shared" si="196"/>
        <v/>
      </c>
      <c r="RE24" s="16"/>
      <c r="RF24" s="16"/>
      <c r="RG24" s="16"/>
      <c r="RH24" s="16"/>
      <c r="RI24" s="16"/>
      <c r="RJ24" s="16"/>
      <c r="RK24" s="16"/>
      <c r="RL24" s="16"/>
      <c r="RM24" s="16"/>
      <c r="RN24" s="16"/>
      <c r="RO24" s="16"/>
      <c r="RP24" s="16"/>
      <c r="RQ24" s="16"/>
      <c r="RR24" s="16"/>
      <c r="RS24" s="16"/>
      <c r="RT24" s="16"/>
      <c r="RU24" s="16"/>
      <c r="RV24" s="16"/>
      <c r="RW24" s="16"/>
      <c r="RX24" s="16"/>
      <c r="RY24" s="11" t="str">
        <f t="shared" si="197"/>
        <v/>
      </c>
      <c r="RZ24" s="11" t="str">
        <f t="shared" si="198"/>
        <v/>
      </c>
      <c r="SA24" s="11" t="str">
        <f t="shared" si="199"/>
        <v/>
      </c>
      <c r="SB24" s="11" t="str">
        <f t="shared" si="200"/>
        <v/>
      </c>
      <c r="SC24" s="11" t="str">
        <f t="shared" si="201"/>
        <v/>
      </c>
      <c r="SD24" s="11" t="str">
        <f t="shared" si="202"/>
        <v/>
      </c>
      <c r="SE24" s="11" t="str">
        <f t="shared" si="203"/>
        <v/>
      </c>
      <c r="SF24" s="11" t="str">
        <f t="shared" si="204"/>
        <v/>
      </c>
      <c r="SG24" s="11" t="str">
        <f t="shared" si="205"/>
        <v/>
      </c>
      <c r="SH24" s="11" t="str">
        <f t="shared" si="206"/>
        <v/>
      </c>
      <c r="SI24" s="11" t="str">
        <f t="shared" si="207"/>
        <v/>
      </c>
      <c r="SJ24" s="11" t="str">
        <f t="shared" si="208"/>
        <v/>
      </c>
      <c r="SK24" s="11" t="str">
        <f t="shared" si="209"/>
        <v/>
      </c>
      <c r="SL24" s="11" t="str">
        <f t="shared" si="210"/>
        <v/>
      </c>
      <c r="SM24" s="15"/>
      <c r="SN24" s="15"/>
      <c r="SO24" s="15"/>
      <c r="SP24" s="15"/>
      <c r="SQ24" s="15"/>
      <c r="SR24" s="15"/>
      <c r="SS24" s="15"/>
      <c r="ST24" s="15"/>
      <c r="SU24" s="15"/>
      <c r="SV24" s="15"/>
      <c r="SW24" s="15"/>
      <c r="SX24" s="15"/>
      <c r="SY24" s="15"/>
      <c r="SZ24" s="15"/>
      <c r="TA24" s="15"/>
      <c r="TB24" s="15"/>
      <c r="TC24" s="15"/>
      <c r="TD24" s="15"/>
      <c r="TE24" s="15"/>
      <c r="TF24" s="15"/>
      <c r="TG24" s="36" t="str">
        <f t="shared" si="211"/>
        <v/>
      </c>
      <c r="TH24" s="36" t="str">
        <f t="shared" si="212"/>
        <v/>
      </c>
      <c r="TI24" s="36" t="str">
        <f t="shared" si="213"/>
        <v/>
      </c>
      <c r="TJ24" s="36" t="str">
        <f t="shared" si="214"/>
        <v/>
      </c>
      <c r="TK24" s="36" t="str">
        <f t="shared" si="215"/>
        <v/>
      </c>
      <c r="TL24" s="36" t="str">
        <f t="shared" si="216"/>
        <v/>
      </c>
      <c r="TM24" s="36" t="str">
        <f t="shared" si="217"/>
        <v/>
      </c>
      <c r="TN24" s="36" t="str">
        <f t="shared" si="218"/>
        <v/>
      </c>
      <c r="TO24" s="36" t="str">
        <f t="shared" si="219"/>
        <v/>
      </c>
      <c r="TP24" s="36" t="str">
        <f t="shared" si="220"/>
        <v/>
      </c>
      <c r="TQ24" s="36" t="str">
        <f t="shared" si="221"/>
        <v/>
      </c>
      <c r="TR24" s="36" t="str">
        <f t="shared" si="222"/>
        <v/>
      </c>
      <c r="TS24" s="36" t="str">
        <f t="shared" si="223"/>
        <v/>
      </c>
      <c r="TT24" s="36" t="str">
        <f t="shared" si="224"/>
        <v/>
      </c>
      <c r="TU24" s="16"/>
      <c r="TV24" s="16"/>
      <c r="TW24" s="16"/>
      <c r="TX24" s="16"/>
      <c r="TY24" s="16"/>
      <c r="TZ24" s="16"/>
      <c r="UA24" s="16"/>
      <c r="UB24" s="16"/>
      <c r="UC24" s="16"/>
      <c r="UD24" s="16"/>
      <c r="UE24" s="16"/>
      <c r="UF24" s="16"/>
      <c r="UG24" s="16"/>
      <c r="UH24" s="16"/>
      <c r="UI24" s="16"/>
      <c r="UJ24" s="16"/>
      <c r="UK24" s="16"/>
      <c r="UL24" s="16"/>
      <c r="UM24" s="16"/>
      <c r="UN24" s="16"/>
      <c r="UO24" s="11" t="str">
        <f t="shared" si="225"/>
        <v/>
      </c>
      <c r="UP24" s="11" t="str">
        <f t="shared" si="226"/>
        <v/>
      </c>
      <c r="UQ24" s="11" t="str">
        <f t="shared" si="227"/>
        <v/>
      </c>
      <c r="UR24" s="11" t="str">
        <f t="shared" si="228"/>
        <v/>
      </c>
      <c r="US24" s="11" t="str">
        <f t="shared" si="229"/>
        <v/>
      </c>
      <c r="UT24" s="11" t="str">
        <f t="shared" si="230"/>
        <v/>
      </c>
      <c r="UU24" s="11" t="str">
        <f t="shared" si="231"/>
        <v/>
      </c>
      <c r="UV24" s="11" t="str">
        <f t="shared" si="232"/>
        <v/>
      </c>
      <c r="UW24" s="11" t="str">
        <f t="shared" si="233"/>
        <v/>
      </c>
      <c r="UX24" s="11" t="str">
        <f t="shared" si="234"/>
        <v/>
      </c>
      <c r="UY24" s="11" t="str">
        <f t="shared" si="235"/>
        <v/>
      </c>
      <c r="UZ24" s="11" t="str">
        <f t="shared" si="236"/>
        <v/>
      </c>
      <c r="VA24" s="11" t="str">
        <f t="shared" si="237"/>
        <v/>
      </c>
      <c r="VB24" s="11" t="str">
        <f t="shared" si="238"/>
        <v/>
      </c>
      <c r="VC24" s="15"/>
      <c r="VD24" s="15"/>
      <c r="VE24" s="15"/>
      <c r="VF24" s="15"/>
      <c r="VG24" s="15"/>
      <c r="VH24" s="15"/>
      <c r="VI24" s="15"/>
      <c r="VJ24" s="15"/>
      <c r="VK24" s="15"/>
      <c r="VL24" s="15"/>
      <c r="VM24" s="15"/>
      <c r="VN24" s="15"/>
      <c r="VO24" s="15"/>
      <c r="VP24" s="15"/>
      <c r="VQ24" s="15"/>
      <c r="VR24" s="15"/>
      <c r="VS24" s="15"/>
      <c r="VT24" s="15"/>
      <c r="VU24" s="15"/>
      <c r="VV24" s="15"/>
      <c r="VW24" s="36" t="str">
        <f t="shared" si="239"/>
        <v/>
      </c>
      <c r="VX24" s="36" t="str">
        <f t="shared" si="240"/>
        <v/>
      </c>
      <c r="VY24" s="36" t="str">
        <f t="shared" si="241"/>
        <v/>
      </c>
      <c r="VZ24" s="36" t="str">
        <f t="shared" si="242"/>
        <v/>
      </c>
      <c r="WA24" s="36" t="str">
        <f t="shared" si="243"/>
        <v/>
      </c>
      <c r="WB24" s="36" t="str">
        <f t="shared" si="244"/>
        <v/>
      </c>
      <c r="WC24" s="36" t="str">
        <f t="shared" si="245"/>
        <v/>
      </c>
      <c r="WD24" s="36" t="str">
        <f t="shared" si="246"/>
        <v/>
      </c>
      <c r="WE24" s="36" t="str">
        <f t="shared" si="247"/>
        <v/>
      </c>
      <c r="WF24" s="36" t="str">
        <f t="shared" si="248"/>
        <v/>
      </c>
      <c r="WG24" s="36" t="str">
        <f t="shared" si="249"/>
        <v/>
      </c>
      <c r="WH24" s="36" t="str">
        <f t="shared" si="250"/>
        <v/>
      </c>
      <c r="WI24" s="36" t="str">
        <f t="shared" si="251"/>
        <v/>
      </c>
      <c r="WJ24" s="36" t="str">
        <f t="shared" si="252"/>
        <v/>
      </c>
    </row>
    <row r="25" spans="1:608" x14ac:dyDescent="0.2">
      <c r="A25" s="4" t="str" cm="1">
        <f t="array" ref="A25">IF(AND(H25&lt;&gt;"",H25&lt;&gt;"No DD",I25&lt;&gt;"P"),SUMPRODUCT((H$4:H$28&lt;&gt;"")*(H$4:H$28&lt;&gt;"No DD")*(I$4:I$28&lt;&gt;"P")*(E$4:E$28&gt;E25))+1,IF(H25="No DD",SUMPRODUCT((H$4:H$28="No DD")*(I$4:I$28&lt;&gt;"P")*(E$4:E$28&gt;E25))+1+SUMPRODUCT((H$4:H$28&lt;&gt;"")*(I$4:I$28&lt;&gt;"P")*(H$4:H$28&lt;&gt;"No DD")),""))</f>
        <v/>
      </c>
      <c r="B25" s="5" t="s">
        <v>205</v>
      </c>
      <c r="C25" s="4" t="s">
        <v>6</v>
      </c>
      <c r="D25" s="4">
        <v>2009</v>
      </c>
      <c r="E25" s="9">
        <f t="shared" si="0"/>
        <v>76.100007610003942</v>
      </c>
      <c r="F25" s="3" t="str">
        <f t="shared" si="1"/>
        <v/>
      </c>
      <c r="G25" s="3" t="str">
        <f t="shared" si="2"/>
        <v/>
      </c>
      <c r="H25" s="32" t="str">
        <f t="shared" si="3"/>
        <v/>
      </c>
      <c r="I25" s="3" t="str">
        <f>IF(COUNTIFS('Senior-M'!B:B,B25,'Senior-M'!A:A,"&lt;9",'Senior-M'!H:H,"&lt;&gt;"&amp;"No DD"),"P","")</f>
        <v/>
      </c>
      <c r="J25" s="8">
        <f t="shared" si="4"/>
        <v>39.450000000000003</v>
      </c>
      <c r="K25" s="8" t="str">
        <f t="shared" si="5"/>
        <v>2025 Nationals</v>
      </c>
      <c r="L25" s="8">
        <f>IFERROR(LARGE((AI25,AL25,AP25,BJ25,BM25,BQ25,CK25,CN25,CR25),2),0)</f>
        <v>36.65</v>
      </c>
      <c r="M25" s="8" t="str">
        <f t="shared" si="6"/>
        <v>2025 3rd Domestic Trial</v>
      </c>
      <c r="N25" s="8">
        <f t="shared" si="7"/>
        <v>0</v>
      </c>
      <c r="O25" s="11" t="str">
        <f>IF(N25=0,"",IF(N25=CT25,"("&amp;CT$2&amp;")",IF(N25=#REF!,"("&amp;#REF!&amp;")")))</f>
        <v/>
      </c>
      <c r="P25" s="8" t="str">
        <f t="shared" si="8"/>
        <v/>
      </c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23"/>
      <c r="AG25" s="34" t="str">
        <f t="shared" si="9"/>
        <v/>
      </c>
      <c r="AH25" s="34" t="str">
        <f t="shared" si="10"/>
        <v/>
      </c>
      <c r="AI25" s="36" t="str">
        <f t="shared" si="11"/>
        <v/>
      </c>
      <c r="AJ25" s="36" t="str">
        <f t="shared" si="12"/>
        <v/>
      </c>
      <c r="AK25" s="36" t="str">
        <f t="shared" si="13"/>
        <v/>
      </c>
      <c r="AL25" s="36" t="str">
        <f t="shared" si="14"/>
        <v/>
      </c>
      <c r="AM25" s="36" t="str">
        <f t="shared" si="15"/>
        <v/>
      </c>
      <c r="AN25" s="36" t="str">
        <f t="shared" si="16"/>
        <v/>
      </c>
      <c r="AO25" s="36" t="str">
        <f t="shared" si="17"/>
        <v/>
      </c>
      <c r="AP25" s="36" t="str">
        <f t="shared" si="18"/>
        <v/>
      </c>
      <c r="AQ25" s="36" t="str">
        <f t="shared" si="19"/>
        <v/>
      </c>
      <c r="AR25" s="22">
        <v>15.3</v>
      </c>
      <c r="AS25" s="22">
        <v>9.1999999999999993</v>
      </c>
      <c r="AT25" s="22">
        <v>0</v>
      </c>
      <c r="AU25" s="22">
        <v>14.95</v>
      </c>
      <c r="AV25" s="22">
        <v>0</v>
      </c>
      <c r="AW25" s="22">
        <v>4.5999999999999996</v>
      </c>
      <c r="AX25" s="22">
        <v>3.4</v>
      </c>
      <c r="AY25" s="22">
        <v>5.6</v>
      </c>
      <c r="AZ25" s="22">
        <v>5.99</v>
      </c>
      <c r="BA25" s="22">
        <v>0</v>
      </c>
      <c r="BB25" s="22">
        <v>5.2</v>
      </c>
      <c r="BC25" s="22">
        <v>3.3</v>
      </c>
      <c r="BD25" s="22">
        <v>4.3</v>
      </c>
      <c r="BE25" s="22">
        <v>5.89</v>
      </c>
      <c r="BF25" s="22">
        <v>0</v>
      </c>
      <c r="BG25" s="24"/>
      <c r="BH25" s="35" t="str">
        <f t="shared" si="20"/>
        <v/>
      </c>
      <c r="BI25" s="35">
        <f t="shared" si="21"/>
        <v>14.95</v>
      </c>
      <c r="BJ25" s="11">
        <f t="shared" si="22"/>
        <v>39.450000000000003</v>
      </c>
      <c r="BK25" s="11">
        <f t="shared" si="23"/>
        <v>5.6</v>
      </c>
      <c r="BL25" s="11">
        <f t="shared" si="24"/>
        <v>5.99</v>
      </c>
      <c r="BM25" s="11">
        <f t="shared" si="25"/>
        <v>19.59</v>
      </c>
      <c r="BN25" s="11">
        <f t="shared" si="26"/>
        <v>39.450000000000003</v>
      </c>
      <c r="BO25" s="11">
        <f t="shared" si="27"/>
        <v>4.3</v>
      </c>
      <c r="BP25" s="11">
        <f t="shared" si="28"/>
        <v>5.89</v>
      </c>
      <c r="BQ25" s="11">
        <f t="shared" si="29"/>
        <v>18.690000000000001</v>
      </c>
      <c r="BR25" s="11">
        <f t="shared" si="30"/>
        <v>58.14</v>
      </c>
      <c r="BS25" s="18">
        <v>11.2</v>
      </c>
      <c r="BT25" s="18">
        <v>6</v>
      </c>
      <c r="BU25" s="18">
        <v>0</v>
      </c>
      <c r="BV25" s="18">
        <v>10.5</v>
      </c>
      <c r="BW25" s="18">
        <v>0</v>
      </c>
      <c r="BX25" s="18">
        <v>9.1</v>
      </c>
      <c r="BY25" s="18">
        <v>6.5</v>
      </c>
      <c r="BZ25" s="18">
        <v>9.8000000000000007</v>
      </c>
      <c r="CA25" s="18">
        <v>11.25</v>
      </c>
      <c r="CB25" s="18">
        <v>0</v>
      </c>
      <c r="CC25" s="18"/>
      <c r="CD25" s="18"/>
      <c r="CE25" s="18"/>
      <c r="CF25" s="18"/>
      <c r="CG25" s="18"/>
      <c r="CH25" s="23"/>
      <c r="CI25" s="34" t="str">
        <f t="shared" si="31"/>
        <v/>
      </c>
      <c r="CJ25" s="34">
        <f t="shared" si="32"/>
        <v>10.5</v>
      </c>
      <c r="CK25" s="36">
        <f t="shared" si="33"/>
        <v>27.7</v>
      </c>
      <c r="CL25" s="36">
        <f t="shared" si="34"/>
        <v>9.8000000000000007</v>
      </c>
      <c r="CM25" s="36">
        <f t="shared" si="35"/>
        <v>11.25</v>
      </c>
      <c r="CN25" s="36">
        <f t="shared" si="36"/>
        <v>36.65</v>
      </c>
      <c r="CO25" s="36">
        <f t="shared" si="37"/>
        <v>36.65</v>
      </c>
      <c r="CP25" s="36" t="str">
        <f t="shared" si="38"/>
        <v/>
      </c>
      <c r="CQ25" s="36" t="str">
        <f t="shared" si="39"/>
        <v/>
      </c>
      <c r="CR25" s="36" t="str">
        <f t="shared" si="40"/>
        <v/>
      </c>
      <c r="CS25" s="36">
        <f t="shared" si="41"/>
        <v>36.65</v>
      </c>
      <c r="CT25" s="47" t="str">
        <f t="shared" si="42"/>
        <v/>
      </c>
      <c r="CU25" s="15"/>
      <c r="CV25" s="15"/>
      <c r="CW25" s="15"/>
      <c r="CX25" s="15"/>
      <c r="CY25" s="15"/>
      <c r="CZ25" s="15"/>
      <c r="DA25" s="15"/>
      <c r="DB25" s="15"/>
      <c r="DC25" s="15"/>
      <c r="DD25" s="15"/>
      <c r="DE25" s="15"/>
      <c r="DF25" s="15"/>
      <c r="DG25" s="15"/>
      <c r="DH25" s="15"/>
      <c r="DI25" s="15"/>
      <c r="DJ25" s="15"/>
      <c r="DK25" s="15"/>
      <c r="DL25" s="15"/>
      <c r="DM25" s="15"/>
      <c r="DN25" s="15"/>
      <c r="DO25" s="36" t="str">
        <f t="shared" si="43"/>
        <v/>
      </c>
      <c r="DP25" s="36" t="str">
        <f t="shared" si="44"/>
        <v/>
      </c>
      <c r="DQ25" s="36" t="str">
        <f t="shared" si="45"/>
        <v/>
      </c>
      <c r="DR25" s="36" t="str">
        <f t="shared" si="46"/>
        <v/>
      </c>
      <c r="DS25" s="36" t="str">
        <f t="shared" si="47"/>
        <v/>
      </c>
      <c r="DT25" s="36" t="str">
        <f t="shared" si="48"/>
        <v/>
      </c>
      <c r="DU25" s="36" t="str">
        <f t="shared" si="49"/>
        <v/>
      </c>
      <c r="DV25" s="36" t="str">
        <f t="shared" si="50"/>
        <v/>
      </c>
      <c r="DW25" s="36" t="str">
        <f t="shared" si="51"/>
        <v/>
      </c>
      <c r="DX25" s="36" t="str">
        <f t="shared" si="52"/>
        <v/>
      </c>
      <c r="DY25" s="36" t="str">
        <f t="shared" si="53"/>
        <v/>
      </c>
      <c r="DZ25" s="36" t="str">
        <f t="shared" si="54"/>
        <v/>
      </c>
      <c r="EA25" s="36" t="str">
        <f t="shared" si="55"/>
        <v/>
      </c>
      <c r="EB25" s="36" t="str">
        <f t="shared" si="56"/>
        <v/>
      </c>
      <c r="EC25" s="16"/>
      <c r="ED25" s="16"/>
      <c r="EE25" s="16"/>
      <c r="EF25" s="16"/>
      <c r="EG25" s="16"/>
      <c r="EH25" s="16"/>
      <c r="EI25" s="16"/>
      <c r="EJ25" s="16"/>
      <c r="EK25" s="16"/>
      <c r="EL25" s="16"/>
      <c r="EM25" s="16"/>
      <c r="EN25" s="16"/>
      <c r="EO25" s="16"/>
      <c r="EP25" s="16"/>
      <c r="EQ25" s="16"/>
      <c r="ER25" s="16"/>
      <c r="ES25" s="16"/>
      <c r="ET25" s="16"/>
      <c r="EU25" s="16"/>
      <c r="EV25" s="16"/>
      <c r="EW25" s="11" t="str">
        <f t="shared" si="57"/>
        <v/>
      </c>
      <c r="EX25" s="11" t="str">
        <f t="shared" si="58"/>
        <v/>
      </c>
      <c r="EY25" s="11" t="str">
        <f t="shared" si="59"/>
        <v/>
      </c>
      <c r="EZ25" s="11" t="str">
        <f t="shared" si="60"/>
        <v/>
      </c>
      <c r="FA25" s="11" t="str">
        <f t="shared" si="61"/>
        <v/>
      </c>
      <c r="FB25" s="11" t="str">
        <f t="shared" si="62"/>
        <v/>
      </c>
      <c r="FC25" s="11" t="str">
        <f t="shared" si="63"/>
        <v/>
      </c>
      <c r="FD25" s="11" t="str">
        <f t="shared" si="64"/>
        <v/>
      </c>
      <c r="FE25" s="11" t="str">
        <f t="shared" si="65"/>
        <v/>
      </c>
      <c r="FF25" s="11" t="str">
        <f t="shared" si="66"/>
        <v/>
      </c>
      <c r="FG25" s="11" t="str">
        <f t="shared" si="67"/>
        <v/>
      </c>
      <c r="FH25" s="11" t="str">
        <f t="shared" si="68"/>
        <v/>
      </c>
      <c r="FI25" s="11" t="str">
        <f t="shared" si="69"/>
        <v/>
      </c>
      <c r="FJ25" s="11" t="str">
        <f t="shared" si="70"/>
        <v/>
      </c>
      <c r="FK25" s="15"/>
      <c r="FL25" s="15"/>
      <c r="FM25" s="15"/>
      <c r="FN25" s="15"/>
      <c r="FO25" s="15"/>
      <c r="FP25" s="15"/>
      <c r="FQ25" s="15"/>
      <c r="FR25" s="15"/>
      <c r="FS25" s="15"/>
      <c r="FT25" s="15"/>
      <c r="FU25" s="15"/>
      <c r="FV25" s="15"/>
      <c r="FW25" s="15"/>
      <c r="FX25" s="15"/>
      <c r="FY25" s="15"/>
      <c r="FZ25" s="15"/>
      <c r="GA25" s="15"/>
      <c r="GB25" s="15"/>
      <c r="GC25" s="15"/>
      <c r="GD25" s="15"/>
      <c r="GE25" s="36" t="str">
        <f t="shared" si="71"/>
        <v/>
      </c>
      <c r="GF25" s="36" t="str">
        <f t="shared" si="72"/>
        <v/>
      </c>
      <c r="GG25" s="36" t="str">
        <f t="shared" si="73"/>
        <v/>
      </c>
      <c r="GH25" s="36" t="str">
        <f t="shared" si="74"/>
        <v/>
      </c>
      <c r="GI25" s="36" t="str">
        <f t="shared" si="75"/>
        <v/>
      </c>
      <c r="GJ25" s="36" t="str">
        <f t="shared" si="76"/>
        <v/>
      </c>
      <c r="GK25" s="36" t="str">
        <f t="shared" si="77"/>
        <v/>
      </c>
      <c r="GL25" s="36" t="str">
        <f t="shared" si="78"/>
        <v/>
      </c>
      <c r="GM25" s="36" t="str">
        <f t="shared" si="79"/>
        <v/>
      </c>
      <c r="GN25" s="36" t="str">
        <f t="shared" si="80"/>
        <v/>
      </c>
      <c r="GO25" s="36" t="str">
        <f t="shared" si="81"/>
        <v/>
      </c>
      <c r="GP25" s="36" t="str">
        <f t="shared" si="82"/>
        <v/>
      </c>
      <c r="GQ25" s="36" t="str">
        <f t="shared" si="83"/>
        <v/>
      </c>
      <c r="GR25" s="36" t="str">
        <f t="shared" si="84"/>
        <v/>
      </c>
      <c r="GS25" s="16"/>
      <c r="GT25" s="16"/>
      <c r="GU25" s="16"/>
      <c r="GV25" s="16"/>
      <c r="GW25" s="16"/>
      <c r="GX25" s="16"/>
      <c r="GY25" s="16"/>
      <c r="GZ25" s="16"/>
      <c r="HA25" s="16"/>
      <c r="HB25" s="16"/>
      <c r="HC25" s="16"/>
      <c r="HD25" s="16"/>
      <c r="HE25" s="16"/>
      <c r="HF25" s="16"/>
      <c r="HG25" s="16"/>
      <c r="HH25" s="16"/>
      <c r="HI25" s="16"/>
      <c r="HJ25" s="16"/>
      <c r="HK25" s="16"/>
      <c r="HL25" s="16"/>
      <c r="HM25" s="11" t="str">
        <f t="shared" si="85"/>
        <v/>
      </c>
      <c r="HN25" s="11" t="str">
        <f t="shared" si="86"/>
        <v/>
      </c>
      <c r="HO25" s="11" t="str">
        <f t="shared" si="87"/>
        <v/>
      </c>
      <c r="HP25" s="11" t="str">
        <f t="shared" si="88"/>
        <v/>
      </c>
      <c r="HQ25" s="11" t="str">
        <f t="shared" si="89"/>
        <v/>
      </c>
      <c r="HR25" s="11" t="str">
        <f t="shared" si="90"/>
        <v/>
      </c>
      <c r="HS25" s="11" t="str">
        <f t="shared" si="91"/>
        <v/>
      </c>
      <c r="HT25" s="11" t="str">
        <f t="shared" si="92"/>
        <v/>
      </c>
      <c r="HU25" s="11" t="str">
        <f t="shared" si="93"/>
        <v/>
      </c>
      <c r="HV25" s="11" t="str">
        <f t="shared" si="94"/>
        <v/>
      </c>
      <c r="HW25" s="11" t="str">
        <f t="shared" si="95"/>
        <v/>
      </c>
      <c r="HX25" s="11" t="str">
        <f t="shared" si="96"/>
        <v/>
      </c>
      <c r="HY25" s="11" t="str">
        <f t="shared" si="97"/>
        <v/>
      </c>
      <c r="HZ25" s="11" t="str">
        <f t="shared" si="98"/>
        <v/>
      </c>
      <c r="IA25" s="15"/>
      <c r="IB25" s="15"/>
      <c r="IC25" s="15"/>
      <c r="ID25" s="15"/>
      <c r="IE25" s="15"/>
      <c r="IF25" s="15"/>
      <c r="IG25" s="15"/>
      <c r="IH25" s="15"/>
      <c r="II25" s="15"/>
      <c r="IJ25" s="15"/>
      <c r="IK25" s="15"/>
      <c r="IL25" s="15"/>
      <c r="IM25" s="15"/>
      <c r="IN25" s="15"/>
      <c r="IO25" s="15"/>
      <c r="IP25" s="15"/>
      <c r="IQ25" s="15"/>
      <c r="IR25" s="15"/>
      <c r="IS25" s="15"/>
      <c r="IT25" s="15"/>
      <c r="IU25" s="36" t="str">
        <f t="shared" si="99"/>
        <v/>
      </c>
      <c r="IV25" s="36" t="str">
        <f t="shared" si="100"/>
        <v/>
      </c>
      <c r="IW25" s="36" t="str">
        <f t="shared" si="101"/>
        <v/>
      </c>
      <c r="IX25" s="36" t="str">
        <f t="shared" si="102"/>
        <v/>
      </c>
      <c r="IY25" s="36" t="str">
        <f t="shared" si="103"/>
        <v/>
      </c>
      <c r="IZ25" s="36" t="str">
        <f t="shared" si="104"/>
        <v/>
      </c>
      <c r="JA25" s="36" t="str">
        <f t="shared" si="105"/>
        <v/>
      </c>
      <c r="JB25" s="36" t="str">
        <f t="shared" si="106"/>
        <v/>
      </c>
      <c r="JC25" s="36" t="str">
        <f t="shared" si="107"/>
        <v/>
      </c>
      <c r="JD25" s="36" t="str">
        <f t="shared" si="108"/>
        <v/>
      </c>
      <c r="JE25" s="36" t="str">
        <f t="shared" si="109"/>
        <v/>
      </c>
      <c r="JF25" s="36" t="str">
        <f t="shared" si="110"/>
        <v/>
      </c>
      <c r="JG25" s="36" t="str">
        <f t="shared" si="111"/>
        <v/>
      </c>
      <c r="JH25" s="36" t="str">
        <f t="shared" si="112"/>
        <v/>
      </c>
      <c r="JI25" s="16"/>
      <c r="JJ25" s="16"/>
      <c r="JK25" s="16"/>
      <c r="JL25" s="16"/>
      <c r="JM25" s="16"/>
      <c r="JN25" s="16"/>
      <c r="JO25" s="16"/>
      <c r="JP25" s="16"/>
      <c r="JQ25" s="16"/>
      <c r="JR25" s="16"/>
      <c r="JS25" s="16"/>
      <c r="JT25" s="16"/>
      <c r="JU25" s="16"/>
      <c r="JV25" s="16"/>
      <c r="JW25" s="16"/>
      <c r="JX25" s="16"/>
      <c r="JY25" s="16"/>
      <c r="JZ25" s="16"/>
      <c r="KA25" s="16"/>
      <c r="KB25" s="16"/>
      <c r="KC25" s="11" t="str">
        <f t="shared" si="113"/>
        <v/>
      </c>
      <c r="KD25" s="11" t="str">
        <f t="shared" si="114"/>
        <v/>
      </c>
      <c r="KE25" s="11" t="str">
        <f t="shared" si="115"/>
        <v/>
      </c>
      <c r="KF25" s="11" t="str">
        <f t="shared" si="116"/>
        <v/>
      </c>
      <c r="KG25" s="11" t="str">
        <f t="shared" si="117"/>
        <v/>
      </c>
      <c r="KH25" s="11" t="str">
        <f t="shared" si="118"/>
        <v/>
      </c>
      <c r="KI25" s="11" t="str">
        <f t="shared" si="119"/>
        <v/>
      </c>
      <c r="KJ25" s="11" t="str">
        <f t="shared" si="120"/>
        <v/>
      </c>
      <c r="KK25" s="11" t="str">
        <f t="shared" si="121"/>
        <v/>
      </c>
      <c r="KL25" s="11" t="str">
        <f t="shared" si="122"/>
        <v/>
      </c>
      <c r="KM25" s="11" t="str">
        <f t="shared" si="123"/>
        <v/>
      </c>
      <c r="KN25" s="11" t="str">
        <f t="shared" si="124"/>
        <v/>
      </c>
      <c r="KO25" s="11" t="str">
        <f t="shared" si="125"/>
        <v/>
      </c>
      <c r="KP25" s="11" t="str">
        <f t="shared" si="126"/>
        <v/>
      </c>
      <c r="KQ25" s="15"/>
      <c r="KR25" s="15"/>
      <c r="KS25" s="15"/>
      <c r="KT25" s="15"/>
      <c r="KU25" s="15"/>
      <c r="KV25" s="15"/>
      <c r="KW25" s="15"/>
      <c r="KX25" s="15"/>
      <c r="KY25" s="15"/>
      <c r="KZ25" s="15"/>
      <c r="LA25" s="15"/>
      <c r="LB25" s="15"/>
      <c r="LC25" s="15"/>
      <c r="LD25" s="15"/>
      <c r="LE25" s="15"/>
      <c r="LF25" s="15"/>
      <c r="LG25" s="15"/>
      <c r="LH25" s="15"/>
      <c r="LI25" s="15"/>
      <c r="LJ25" s="15"/>
      <c r="LK25" s="36" t="str">
        <f t="shared" si="127"/>
        <v/>
      </c>
      <c r="LL25" s="36" t="str">
        <f t="shared" si="128"/>
        <v/>
      </c>
      <c r="LM25" s="36" t="str">
        <f t="shared" si="129"/>
        <v/>
      </c>
      <c r="LN25" s="36" t="str">
        <f t="shared" si="130"/>
        <v/>
      </c>
      <c r="LO25" s="36" t="str">
        <f t="shared" si="131"/>
        <v/>
      </c>
      <c r="LP25" s="36" t="str">
        <f t="shared" si="132"/>
        <v/>
      </c>
      <c r="LQ25" s="36" t="str">
        <f t="shared" si="133"/>
        <v/>
      </c>
      <c r="LR25" s="36" t="str">
        <f t="shared" si="134"/>
        <v/>
      </c>
      <c r="LS25" s="36" t="str">
        <f t="shared" si="135"/>
        <v/>
      </c>
      <c r="LT25" s="36" t="str">
        <f t="shared" si="136"/>
        <v/>
      </c>
      <c r="LU25" s="36" t="str">
        <f t="shared" si="137"/>
        <v/>
      </c>
      <c r="LV25" s="36" t="str">
        <f t="shared" si="138"/>
        <v/>
      </c>
      <c r="LW25" s="36" t="str">
        <f t="shared" si="139"/>
        <v/>
      </c>
      <c r="LX25" s="36" t="str">
        <f t="shared" si="140"/>
        <v/>
      </c>
      <c r="LY25" s="16"/>
      <c r="LZ25" s="16"/>
      <c r="MA25" s="16"/>
      <c r="MB25" s="16"/>
      <c r="MC25" s="16"/>
      <c r="MD25" s="16"/>
      <c r="ME25" s="16"/>
      <c r="MF25" s="16"/>
      <c r="MG25" s="16"/>
      <c r="MH25" s="16"/>
      <c r="MI25" s="16"/>
      <c r="MJ25" s="16"/>
      <c r="MK25" s="16"/>
      <c r="ML25" s="16"/>
      <c r="MM25" s="16"/>
      <c r="MN25" s="16"/>
      <c r="MO25" s="16"/>
      <c r="MP25" s="16"/>
      <c r="MQ25" s="16"/>
      <c r="MR25" s="16"/>
      <c r="MS25" s="11" t="str">
        <f t="shared" si="141"/>
        <v/>
      </c>
      <c r="MT25" s="11" t="str">
        <f t="shared" si="142"/>
        <v/>
      </c>
      <c r="MU25" s="11" t="str">
        <f t="shared" si="143"/>
        <v/>
      </c>
      <c r="MV25" s="11" t="str">
        <f t="shared" si="144"/>
        <v/>
      </c>
      <c r="MW25" s="11" t="str">
        <f t="shared" si="145"/>
        <v/>
      </c>
      <c r="MX25" s="11" t="str">
        <f t="shared" si="146"/>
        <v/>
      </c>
      <c r="MY25" s="11" t="str">
        <f t="shared" si="147"/>
        <v/>
      </c>
      <c r="MZ25" s="11" t="str">
        <f t="shared" si="148"/>
        <v/>
      </c>
      <c r="NA25" s="11" t="str">
        <f t="shared" si="149"/>
        <v/>
      </c>
      <c r="NB25" s="11" t="str">
        <f t="shared" si="150"/>
        <v/>
      </c>
      <c r="NC25" s="11" t="str">
        <f t="shared" si="151"/>
        <v/>
      </c>
      <c r="ND25" s="11" t="str">
        <f t="shared" si="152"/>
        <v/>
      </c>
      <c r="NE25" s="11" t="str">
        <f t="shared" si="153"/>
        <v/>
      </c>
      <c r="NF25" s="11" t="str">
        <f t="shared" si="154"/>
        <v/>
      </c>
      <c r="NG25" s="15"/>
      <c r="NH25" s="15"/>
      <c r="NI25" s="15"/>
      <c r="NJ25" s="15"/>
      <c r="NK25" s="15"/>
      <c r="NL25" s="15"/>
      <c r="NM25" s="15"/>
      <c r="NN25" s="15"/>
      <c r="NO25" s="15"/>
      <c r="NP25" s="15"/>
      <c r="NQ25" s="15"/>
      <c r="NR25" s="15"/>
      <c r="NS25" s="15"/>
      <c r="NT25" s="15"/>
      <c r="NU25" s="15"/>
      <c r="NV25" s="15"/>
      <c r="NW25" s="15"/>
      <c r="NX25" s="15"/>
      <c r="NY25" s="15"/>
      <c r="NZ25" s="15"/>
      <c r="OA25" s="36" t="str">
        <f t="shared" si="155"/>
        <v/>
      </c>
      <c r="OB25" s="36" t="str">
        <f t="shared" si="156"/>
        <v/>
      </c>
      <c r="OC25" s="36" t="str">
        <f t="shared" si="157"/>
        <v/>
      </c>
      <c r="OD25" s="36" t="str">
        <f t="shared" si="158"/>
        <v/>
      </c>
      <c r="OE25" s="36" t="str">
        <f t="shared" si="159"/>
        <v/>
      </c>
      <c r="OF25" s="36" t="str">
        <f t="shared" si="160"/>
        <v/>
      </c>
      <c r="OG25" s="36" t="str">
        <f t="shared" si="161"/>
        <v/>
      </c>
      <c r="OH25" s="36" t="str">
        <f t="shared" si="162"/>
        <v/>
      </c>
      <c r="OI25" s="36" t="str">
        <f t="shared" si="163"/>
        <v/>
      </c>
      <c r="OJ25" s="36" t="str">
        <f t="shared" si="164"/>
        <v/>
      </c>
      <c r="OK25" s="36" t="str">
        <f t="shared" si="165"/>
        <v/>
      </c>
      <c r="OL25" s="36" t="str">
        <f t="shared" si="166"/>
        <v/>
      </c>
      <c r="OM25" s="36" t="str">
        <f t="shared" si="167"/>
        <v/>
      </c>
      <c r="ON25" s="36" t="str">
        <f t="shared" si="168"/>
        <v/>
      </c>
      <c r="OO25" s="16"/>
      <c r="OP25" s="16"/>
      <c r="OQ25" s="16"/>
      <c r="OR25" s="16"/>
      <c r="OS25" s="16"/>
      <c r="OT25" s="16"/>
      <c r="OU25" s="16"/>
      <c r="OV25" s="16"/>
      <c r="OW25" s="16"/>
      <c r="OX25" s="16"/>
      <c r="OY25" s="16"/>
      <c r="OZ25" s="16"/>
      <c r="PA25" s="16"/>
      <c r="PB25" s="16"/>
      <c r="PC25" s="16"/>
      <c r="PD25" s="16"/>
      <c r="PE25" s="16"/>
      <c r="PF25" s="16"/>
      <c r="PG25" s="16"/>
      <c r="PH25" s="16"/>
      <c r="PI25" s="11" t="str">
        <f t="shared" si="169"/>
        <v/>
      </c>
      <c r="PJ25" s="11" t="str">
        <f t="shared" si="170"/>
        <v/>
      </c>
      <c r="PK25" s="11" t="str">
        <f t="shared" si="171"/>
        <v/>
      </c>
      <c r="PL25" s="11" t="str">
        <f t="shared" si="172"/>
        <v/>
      </c>
      <c r="PM25" s="11" t="str">
        <f t="shared" si="173"/>
        <v/>
      </c>
      <c r="PN25" s="11" t="str">
        <f t="shared" si="174"/>
        <v/>
      </c>
      <c r="PO25" s="11" t="str">
        <f t="shared" si="175"/>
        <v/>
      </c>
      <c r="PP25" s="11" t="str">
        <f t="shared" si="176"/>
        <v/>
      </c>
      <c r="PQ25" s="11" t="str">
        <f t="shared" si="177"/>
        <v/>
      </c>
      <c r="PR25" s="11" t="str">
        <f t="shared" si="178"/>
        <v/>
      </c>
      <c r="PS25" s="11" t="str">
        <f t="shared" si="179"/>
        <v/>
      </c>
      <c r="PT25" s="11" t="str">
        <f t="shared" si="180"/>
        <v/>
      </c>
      <c r="PU25" s="11" t="str">
        <f t="shared" si="181"/>
        <v/>
      </c>
      <c r="PV25" s="11" t="str">
        <f t="shared" si="182"/>
        <v/>
      </c>
      <c r="PW25" s="15"/>
      <c r="PX25" s="15"/>
      <c r="PY25" s="15"/>
      <c r="PZ25" s="15"/>
      <c r="QA25" s="15"/>
      <c r="QB25" s="15"/>
      <c r="QC25" s="15"/>
      <c r="QD25" s="15"/>
      <c r="QE25" s="15"/>
      <c r="QF25" s="15"/>
      <c r="QG25" s="15"/>
      <c r="QH25" s="15"/>
      <c r="QI25" s="15"/>
      <c r="QJ25" s="15"/>
      <c r="QK25" s="15"/>
      <c r="QL25" s="15"/>
      <c r="QM25" s="15"/>
      <c r="QN25" s="15"/>
      <c r="QO25" s="15"/>
      <c r="QP25" s="15"/>
      <c r="QQ25" s="36" t="str">
        <f t="shared" si="183"/>
        <v/>
      </c>
      <c r="QR25" s="36" t="str">
        <f t="shared" si="184"/>
        <v/>
      </c>
      <c r="QS25" s="36" t="str">
        <f t="shared" si="185"/>
        <v/>
      </c>
      <c r="QT25" s="36" t="str">
        <f t="shared" si="186"/>
        <v/>
      </c>
      <c r="QU25" s="36" t="str">
        <f t="shared" si="187"/>
        <v/>
      </c>
      <c r="QV25" s="36" t="str">
        <f t="shared" si="188"/>
        <v/>
      </c>
      <c r="QW25" s="36" t="str">
        <f t="shared" si="189"/>
        <v/>
      </c>
      <c r="QX25" s="36" t="str">
        <f t="shared" si="190"/>
        <v/>
      </c>
      <c r="QY25" s="36" t="str">
        <f t="shared" si="191"/>
        <v/>
      </c>
      <c r="QZ25" s="36" t="str">
        <f t="shared" si="192"/>
        <v/>
      </c>
      <c r="RA25" s="36" t="str">
        <f t="shared" si="193"/>
        <v/>
      </c>
      <c r="RB25" s="36" t="str">
        <f t="shared" si="194"/>
        <v/>
      </c>
      <c r="RC25" s="36" t="str">
        <f t="shared" si="195"/>
        <v/>
      </c>
      <c r="RD25" s="36" t="str">
        <f t="shared" si="196"/>
        <v/>
      </c>
      <c r="RE25" s="16"/>
      <c r="RF25" s="16"/>
      <c r="RG25" s="16"/>
      <c r="RH25" s="16"/>
      <c r="RI25" s="16"/>
      <c r="RJ25" s="16"/>
      <c r="RK25" s="16"/>
      <c r="RL25" s="16"/>
      <c r="RM25" s="16"/>
      <c r="RN25" s="16"/>
      <c r="RO25" s="16"/>
      <c r="RP25" s="16"/>
      <c r="RQ25" s="16"/>
      <c r="RR25" s="16"/>
      <c r="RS25" s="16"/>
      <c r="RT25" s="16"/>
      <c r="RU25" s="16"/>
      <c r="RV25" s="16"/>
      <c r="RW25" s="16"/>
      <c r="RX25" s="16"/>
      <c r="RY25" s="11" t="str">
        <f t="shared" si="197"/>
        <v/>
      </c>
      <c r="RZ25" s="11" t="str">
        <f t="shared" si="198"/>
        <v/>
      </c>
      <c r="SA25" s="11" t="str">
        <f t="shared" si="199"/>
        <v/>
      </c>
      <c r="SB25" s="11" t="str">
        <f t="shared" si="200"/>
        <v/>
      </c>
      <c r="SC25" s="11" t="str">
        <f t="shared" si="201"/>
        <v/>
      </c>
      <c r="SD25" s="11" t="str">
        <f t="shared" si="202"/>
        <v/>
      </c>
      <c r="SE25" s="11" t="str">
        <f t="shared" si="203"/>
        <v/>
      </c>
      <c r="SF25" s="11" t="str">
        <f t="shared" si="204"/>
        <v/>
      </c>
      <c r="SG25" s="11" t="str">
        <f t="shared" si="205"/>
        <v/>
      </c>
      <c r="SH25" s="11" t="str">
        <f t="shared" si="206"/>
        <v/>
      </c>
      <c r="SI25" s="11" t="str">
        <f t="shared" si="207"/>
        <v/>
      </c>
      <c r="SJ25" s="11" t="str">
        <f t="shared" si="208"/>
        <v/>
      </c>
      <c r="SK25" s="11" t="str">
        <f t="shared" si="209"/>
        <v/>
      </c>
      <c r="SL25" s="11" t="str">
        <f t="shared" si="210"/>
        <v/>
      </c>
      <c r="SM25" s="15"/>
      <c r="SN25" s="15"/>
      <c r="SO25" s="15"/>
      <c r="SP25" s="15"/>
      <c r="SQ25" s="15"/>
      <c r="SR25" s="15"/>
      <c r="SS25" s="15"/>
      <c r="ST25" s="15"/>
      <c r="SU25" s="15"/>
      <c r="SV25" s="15"/>
      <c r="SW25" s="15"/>
      <c r="SX25" s="15"/>
      <c r="SY25" s="15"/>
      <c r="SZ25" s="15"/>
      <c r="TA25" s="15"/>
      <c r="TB25" s="15"/>
      <c r="TC25" s="15"/>
      <c r="TD25" s="15"/>
      <c r="TE25" s="15"/>
      <c r="TF25" s="15"/>
      <c r="TG25" s="36" t="str">
        <f t="shared" si="211"/>
        <v/>
      </c>
      <c r="TH25" s="36" t="str">
        <f t="shared" si="212"/>
        <v/>
      </c>
      <c r="TI25" s="36" t="str">
        <f t="shared" si="213"/>
        <v/>
      </c>
      <c r="TJ25" s="36" t="str">
        <f t="shared" si="214"/>
        <v/>
      </c>
      <c r="TK25" s="36" t="str">
        <f t="shared" si="215"/>
        <v/>
      </c>
      <c r="TL25" s="36" t="str">
        <f t="shared" si="216"/>
        <v/>
      </c>
      <c r="TM25" s="36" t="str">
        <f t="shared" si="217"/>
        <v/>
      </c>
      <c r="TN25" s="36" t="str">
        <f t="shared" si="218"/>
        <v/>
      </c>
      <c r="TO25" s="36" t="str">
        <f t="shared" si="219"/>
        <v/>
      </c>
      <c r="TP25" s="36" t="str">
        <f t="shared" si="220"/>
        <v/>
      </c>
      <c r="TQ25" s="36" t="str">
        <f t="shared" si="221"/>
        <v/>
      </c>
      <c r="TR25" s="36" t="str">
        <f t="shared" si="222"/>
        <v/>
      </c>
      <c r="TS25" s="36" t="str">
        <f t="shared" si="223"/>
        <v/>
      </c>
      <c r="TT25" s="36" t="str">
        <f t="shared" si="224"/>
        <v/>
      </c>
      <c r="TU25" s="16"/>
      <c r="TV25" s="16"/>
      <c r="TW25" s="16"/>
      <c r="TX25" s="16"/>
      <c r="TY25" s="16"/>
      <c r="TZ25" s="16"/>
      <c r="UA25" s="16"/>
      <c r="UB25" s="16"/>
      <c r="UC25" s="16"/>
      <c r="UD25" s="16"/>
      <c r="UE25" s="16"/>
      <c r="UF25" s="16"/>
      <c r="UG25" s="16"/>
      <c r="UH25" s="16"/>
      <c r="UI25" s="16"/>
      <c r="UJ25" s="16"/>
      <c r="UK25" s="16"/>
      <c r="UL25" s="16"/>
      <c r="UM25" s="16"/>
      <c r="UN25" s="16"/>
      <c r="UO25" s="11" t="str">
        <f t="shared" si="225"/>
        <v/>
      </c>
      <c r="UP25" s="11" t="str">
        <f t="shared" si="226"/>
        <v/>
      </c>
      <c r="UQ25" s="11" t="str">
        <f t="shared" si="227"/>
        <v/>
      </c>
      <c r="UR25" s="11" t="str">
        <f t="shared" si="228"/>
        <v/>
      </c>
      <c r="US25" s="11" t="str">
        <f t="shared" si="229"/>
        <v/>
      </c>
      <c r="UT25" s="11" t="str">
        <f t="shared" si="230"/>
        <v/>
      </c>
      <c r="UU25" s="11" t="str">
        <f t="shared" si="231"/>
        <v/>
      </c>
      <c r="UV25" s="11" t="str">
        <f t="shared" si="232"/>
        <v/>
      </c>
      <c r="UW25" s="11" t="str">
        <f t="shared" si="233"/>
        <v/>
      </c>
      <c r="UX25" s="11" t="str">
        <f t="shared" si="234"/>
        <v/>
      </c>
      <c r="UY25" s="11" t="str">
        <f t="shared" si="235"/>
        <v/>
      </c>
      <c r="UZ25" s="11" t="str">
        <f t="shared" si="236"/>
        <v/>
      </c>
      <c r="VA25" s="11" t="str">
        <f t="shared" si="237"/>
        <v/>
      </c>
      <c r="VB25" s="11" t="str">
        <f t="shared" si="238"/>
        <v/>
      </c>
      <c r="VC25" s="15"/>
      <c r="VD25" s="15"/>
      <c r="VE25" s="15"/>
      <c r="VF25" s="15"/>
      <c r="VG25" s="15"/>
      <c r="VH25" s="15"/>
      <c r="VI25" s="15"/>
      <c r="VJ25" s="15"/>
      <c r="VK25" s="15"/>
      <c r="VL25" s="15"/>
      <c r="VM25" s="15"/>
      <c r="VN25" s="15"/>
      <c r="VO25" s="15"/>
      <c r="VP25" s="15"/>
      <c r="VQ25" s="15"/>
      <c r="VR25" s="15"/>
      <c r="VS25" s="15"/>
      <c r="VT25" s="15"/>
      <c r="VU25" s="15"/>
      <c r="VV25" s="15"/>
      <c r="VW25" s="36" t="str">
        <f t="shared" si="239"/>
        <v/>
      </c>
      <c r="VX25" s="36" t="str">
        <f t="shared" si="240"/>
        <v/>
      </c>
      <c r="VY25" s="36" t="str">
        <f t="shared" si="241"/>
        <v/>
      </c>
      <c r="VZ25" s="36" t="str">
        <f t="shared" si="242"/>
        <v/>
      </c>
      <c r="WA25" s="36" t="str">
        <f t="shared" si="243"/>
        <v/>
      </c>
      <c r="WB25" s="36" t="str">
        <f t="shared" si="244"/>
        <v/>
      </c>
      <c r="WC25" s="36" t="str">
        <f t="shared" si="245"/>
        <v/>
      </c>
      <c r="WD25" s="36" t="str">
        <f t="shared" si="246"/>
        <v/>
      </c>
      <c r="WE25" s="36" t="str">
        <f t="shared" si="247"/>
        <v/>
      </c>
      <c r="WF25" s="36" t="str">
        <f t="shared" si="248"/>
        <v/>
      </c>
      <c r="WG25" s="36" t="str">
        <f t="shared" si="249"/>
        <v/>
      </c>
      <c r="WH25" s="36" t="str">
        <f t="shared" si="250"/>
        <v/>
      </c>
      <c r="WI25" s="36" t="str">
        <f t="shared" si="251"/>
        <v/>
      </c>
      <c r="WJ25" s="36" t="str">
        <f t="shared" si="252"/>
        <v/>
      </c>
    </row>
    <row r="26" spans="1:608" x14ac:dyDescent="0.2">
      <c r="A26" s="4" t="str" cm="1">
        <f t="array" ref="A26">IF(AND(H26&lt;&gt;"",H26&lt;&gt;"No DD",I26&lt;&gt;"P"),SUMPRODUCT((H$4:H$28&lt;&gt;"")*(H$4:H$28&lt;&gt;"No DD")*(I$4:I$28&lt;&gt;"P")*(E$4:E$28&gt;E26))+1,IF(H26="No DD",SUMPRODUCT((H$4:H$28="No DD")*(I$4:I$28&lt;&gt;"P")*(E$4:E$28&gt;E26))+1+SUMPRODUCT((H$4:H$28&lt;&gt;"")*(I$4:I$28&lt;&gt;"P")*(H$4:H$28&lt;&gt;"No DD")),""))</f>
        <v/>
      </c>
      <c r="B26" s="5" t="s">
        <v>206</v>
      </c>
      <c r="C26" s="4" t="s">
        <v>5</v>
      </c>
      <c r="D26" s="4">
        <v>2009</v>
      </c>
      <c r="E26" s="9">
        <f t="shared" si="0"/>
        <v>58.760005876004016</v>
      </c>
      <c r="F26" s="3" t="str">
        <f t="shared" si="1"/>
        <v/>
      </c>
      <c r="G26" s="3" t="str">
        <f t="shared" si="2"/>
        <v/>
      </c>
      <c r="H26" s="32" t="str">
        <f t="shared" si="3"/>
        <v/>
      </c>
      <c r="I26" s="3" t="str">
        <f>IF(COUNTIFS('Senior-M'!B:B,B26,'Senior-M'!A:A,"&lt;9",'Senior-M'!H:H,"&lt;&gt;"&amp;"No DD"),"P","")</f>
        <v/>
      </c>
      <c r="J26" s="8">
        <f t="shared" si="4"/>
        <v>40.090000000000003</v>
      </c>
      <c r="K26" s="8" t="str">
        <f t="shared" si="5"/>
        <v>2025 Nationals</v>
      </c>
      <c r="L26" s="8">
        <f>IFERROR(LARGE((AI26,AL26,AP26,BJ26,BM26,BQ26,CK26,CN26,CR26),2),0)</f>
        <v>18.669999999999998</v>
      </c>
      <c r="M26" s="8" t="str">
        <f t="shared" si="6"/>
        <v>2025 Nationals</v>
      </c>
      <c r="N26" s="8">
        <f t="shared" si="7"/>
        <v>0</v>
      </c>
      <c r="O26" s="11" t="str">
        <f>IF(N26=0,"",IF(N26=CT26,"("&amp;CT$2&amp;")",IF(N26=#REF!,"("&amp;#REF!&amp;")")))</f>
        <v/>
      </c>
      <c r="P26" s="8" t="str">
        <f t="shared" si="8"/>
        <v/>
      </c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23"/>
      <c r="AG26" s="34" t="str">
        <f t="shared" si="9"/>
        <v/>
      </c>
      <c r="AH26" s="34" t="str">
        <f t="shared" si="10"/>
        <v/>
      </c>
      <c r="AI26" s="36" t="str">
        <f t="shared" si="11"/>
        <v/>
      </c>
      <c r="AJ26" s="36" t="str">
        <f t="shared" si="12"/>
        <v/>
      </c>
      <c r="AK26" s="36" t="str">
        <f t="shared" si="13"/>
        <v/>
      </c>
      <c r="AL26" s="36" t="str">
        <f t="shared" si="14"/>
        <v/>
      </c>
      <c r="AM26" s="36" t="str">
        <f t="shared" si="15"/>
        <v/>
      </c>
      <c r="AN26" s="36" t="str">
        <f t="shared" si="16"/>
        <v/>
      </c>
      <c r="AO26" s="36" t="str">
        <f t="shared" si="17"/>
        <v/>
      </c>
      <c r="AP26" s="36" t="str">
        <f t="shared" si="18"/>
        <v/>
      </c>
      <c r="AQ26" s="36" t="str">
        <f t="shared" si="19"/>
        <v/>
      </c>
      <c r="AR26" s="22">
        <v>15.8</v>
      </c>
      <c r="AS26" s="22">
        <v>9.4</v>
      </c>
      <c r="AT26" s="22">
        <v>0</v>
      </c>
      <c r="AU26" s="22">
        <v>14.89</v>
      </c>
      <c r="AV26" s="22">
        <v>0</v>
      </c>
      <c r="AW26" s="22">
        <v>4.0999999999999996</v>
      </c>
      <c r="AX26" s="22">
        <v>2.7</v>
      </c>
      <c r="AY26" s="22">
        <v>3.6</v>
      </c>
      <c r="AZ26" s="22">
        <v>4.45</v>
      </c>
      <c r="BA26" s="22">
        <v>0</v>
      </c>
      <c r="BB26" s="22">
        <v>5.2</v>
      </c>
      <c r="BC26" s="22">
        <v>3.2</v>
      </c>
      <c r="BD26" s="22">
        <v>4.3</v>
      </c>
      <c r="BE26" s="22">
        <v>5.97</v>
      </c>
      <c r="BF26" s="22">
        <v>0</v>
      </c>
      <c r="BG26" s="24"/>
      <c r="BH26" s="35" t="str">
        <f t="shared" si="20"/>
        <v/>
      </c>
      <c r="BI26" s="35">
        <f t="shared" si="21"/>
        <v>14.89</v>
      </c>
      <c r="BJ26" s="11">
        <f t="shared" si="22"/>
        <v>40.090000000000003</v>
      </c>
      <c r="BK26" s="11">
        <f t="shared" si="23"/>
        <v>3.6</v>
      </c>
      <c r="BL26" s="11">
        <f t="shared" si="24"/>
        <v>4.45</v>
      </c>
      <c r="BM26" s="11">
        <f t="shared" si="25"/>
        <v>14.850000000000001</v>
      </c>
      <c r="BN26" s="11">
        <f t="shared" si="26"/>
        <v>40.090000000000003</v>
      </c>
      <c r="BO26" s="11">
        <f t="shared" si="27"/>
        <v>4.3</v>
      </c>
      <c r="BP26" s="11">
        <f t="shared" si="28"/>
        <v>5.97</v>
      </c>
      <c r="BQ26" s="11">
        <f t="shared" si="29"/>
        <v>18.669999999999998</v>
      </c>
      <c r="BR26" s="11">
        <f t="shared" si="30"/>
        <v>58.760000000000005</v>
      </c>
      <c r="BS26" s="18"/>
      <c r="BT26" s="18"/>
      <c r="BU26" s="18"/>
      <c r="BV26" s="18"/>
      <c r="BW26" s="18"/>
      <c r="BX26" s="18"/>
      <c r="BY26" s="18"/>
      <c r="BZ26" s="18"/>
      <c r="CA26" s="18"/>
      <c r="CB26" s="18"/>
      <c r="CC26" s="18"/>
      <c r="CD26" s="18"/>
      <c r="CE26" s="18"/>
      <c r="CF26" s="18"/>
      <c r="CG26" s="18"/>
      <c r="CH26" s="23"/>
      <c r="CI26" s="34" t="str">
        <f t="shared" si="31"/>
        <v/>
      </c>
      <c r="CJ26" s="34" t="str">
        <f t="shared" si="32"/>
        <v/>
      </c>
      <c r="CK26" s="36" t="str">
        <f t="shared" si="33"/>
        <v/>
      </c>
      <c r="CL26" s="36" t="str">
        <f t="shared" si="34"/>
        <v/>
      </c>
      <c r="CM26" s="36" t="str">
        <f t="shared" si="35"/>
        <v/>
      </c>
      <c r="CN26" s="36" t="str">
        <f t="shared" si="36"/>
        <v/>
      </c>
      <c r="CO26" s="36" t="str">
        <f t="shared" si="37"/>
        <v/>
      </c>
      <c r="CP26" s="36" t="str">
        <f t="shared" si="38"/>
        <v/>
      </c>
      <c r="CQ26" s="36" t="str">
        <f t="shared" si="39"/>
        <v/>
      </c>
      <c r="CR26" s="36" t="str">
        <f t="shared" si="40"/>
        <v/>
      </c>
      <c r="CS26" s="36" t="str">
        <f t="shared" si="41"/>
        <v/>
      </c>
      <c r="CT26" s="47" t="str">
        <f t="shared" si="42"/>
        <v/>
      </c>
      <c r="CU26" s="15"/>
      <c r="CV26" s="15"/>
      <c r="CW26" s="15"/>
      <c r="CX26" s="15"/>
      <c r="CY26" s="15"/>
      <c r="CZ26" s="15"/>
      <c r="DA26" s="15"/>
      <c r="DB26" s="15"/>
      <c r="DC26" s="15"/>
      <c r="DD26" s="15"/>
      <c r="DE26" s="15"/>
      <c r="DF26" s="15"/>
      <c r="DG26" s="15"/>
      <c r="DH26" s="15"/>
      <c r="DI26" s="15"/>
      <c r="DJ26" s="15"/>
      <c r="DK26" s="15"/>
      <c r="DL26" s="15"/>
      <c r="DM26" s="15"/>
      <c r="DN26" s="15"/>
      <c r="DO26" s="36" t="str">
        <f t="shared" si="43"/>
        <v/>
      </c>
      <c r="DP26" s="36" t="str">
        <f t="shared" si="44"/>
        <v/>
      </c>
      <c r="DQ26" s="36" t="str">
        <f t="shared" si="45"/>
        <v/>
      </c>
      <c r="DR26" s="36" t="str">
        <f t="shared" si="46"/>
        <v/>
      </c>
      <c r="DS26" s="36" t="str">
        <f t="shared" si="47"/>
        <v/>
      </c>
      <c r="DT26" s="36" t="str">
        <f t="shared" si="48"/>
        <v/>
      </c>
      <c r="DU26" s="36" t="str">
        <f t="shared" si="49"/>
        <v/>
      </c>
      <c r="DV26" s="36" t="str">
        <f t="shared" si="50"/>
        <v/>
      </c>
      <c r="DW26" s="36" t="str">
        <f t="shared" si="51"/>
        <v/>
      </c>
      <c r="DX26" s="36" t="str">
        <f t="shared" si="52"/>
        <v/>
      </c>
      <c r="DY26" s="36" t="str">
        <f t="shared" si="53"/>
        <v/>
      </c>
      <c r="DZ26" s="36" t="str">
        <f t="shared" si="54"/>
        <v/>
      </c>
      <c r="EA26" s="36" t="str">
        <f t="shared" si="55"/>
        <v/>
      </c>
      <c r="EB26" s="36" t="str">
        <f t="shared" si="56"/>
        <v/>
      </c>
      <c r="EC26" s="16"/>
      <c r="ED26" s="16"/>
      <c r="EE26" s="16"/>
      <c r="EF26" s="16"/>
      <c r="EG26" s="16"/>
      <c r="EH26" s="16"/>
      <c r="EI26" s="16"/>
      <c r="EJ26" s="16"/>
      <c r="EK26" s="16"/>
      <c r="EL26" s="16"/>
      <c r="EM26" s="16"/>
      <c r="EN26" s="16"/>
      <c r="EO26" s="16"/>
      <c r="EP26" s="16"/>
      <c r="EQ26" s="16"/>
      <c r="ER26" s="16"/>
      <c r="ES26" s="16"/>
      <c r="ET26" s="16"/>
      <c r="EU26" s="16"/>
      <c r="EV26" s="16"/>
      <c r="EW26" s="11" t="str">
        <f t="shared" si="57"/>
        <v/>
      </c>
      <c r="EX26" s="11" t="str">
        <f t="shared" si="58"/>
        <v/>
      </c>
      <c r="EY26" s="11" t="str">
        <f t="shared" si="59"/>
        <v/>
      </c>
      <c r="EZ26" s="11" t="str">
        <f t="shared" si="60"/>
        <v/>
      </c>
      <c r="FA26" s="11" t="str">
        <f t="shared" si="61"/>
        <v/>
      </c>
      <c r="FB26" s="11" t="str">
        <f t="shared" si="62"/>
        <v/>
      </c>
      <c r="FC26" s="11" t="str">
        <f t="shared" si="63"/>
        <v/>
      </c>
      <c r="FD26" s="11" t="str">
        <f t="shared" si="64"/>
        <v/>
      </c>
      <c r="FE26" s="11" t="str">
        <f t="shared" si="65"/>
        <v/>
      </c>
      <c r="FF26" s="11" t="str">
        <f t="shared" si="66"/>
        <v/>
      </c>
      <c r="FG26" s="11" t="str">
        <f t="shared" si="67"/>
        <v/>
      </c>
      <c r="FH26" s="11" t="str">
        <f t="shared" si="68"/>
        <v/>
      </c>
      <c r="FI26" s="11" t="str">
        <f t="shared" si="69"/>
        <v/>
      </c>
      <c r="FJ26" s="11" t="str">
        <f t="shared" si="70"/>
        <v/>
      </c>
      <c r="FK26" s="15"/>
      <c r="FL26" s="15"/>
      <c r="FM26" s="15"/>
      <c r="FN26" s="15"/>
      <c r="FO26" s="15"/>
      <c r="FP26" s="15"/>
      <c r="FQ26" s="15"/>
      <c r="FR26" s="15"/>
      <c r="FS26" s="15"/>
      <c r="FT26" s="15"/>
      <c r="FU26" s="15"/>
      <c r="FV26" s="15"/>
      <c r="FW26" s="15"/>
      <c r="FX26" s="15"/>
      <c r="FY26" s="15"/>
      <c r="FZ26" s="15"/>
      <c r="GA26" s="15"/>
      <c r="GB26" s="15"/>
      <c r="GC26" s="15"/>
      <c r="GD26" s="15"/>
      <c r="GE26" s="36" t="str">
        <f t="shared" si="71"/>
        <v/>
      </c>
      <c r="GF26" s="36" t="str">
        <f t="shared" si="72"/>
        <v/>
      </c>
      <c r="GG26" s="36" t="str">
        <f t="shared" si="73"/>
        <v/>
      </c>
      <c r="GH26" s="36" t="str">
        <f t="shared" si="74"/>
        <v/>
      </c>
      <c r="GI26" s="36" t="str">
        <f t="shared" si="75"/>
        <v/>
      </c>
      <c r="GJ26" s="36" t="str">
        <f t="shared" si="76"/>
        <v/>
      </c>
      <c r="GK26" s="36" t="str">
        <f t="shared" si="77"/>
        <v/>
      </c>
      <c r="GL26" s="36" t="str">
        <f t="shared" si="78"/>
        <v/>
      </c>
      <c r="GM26" s="36" t="str">
        <f t="shared" si="79"/>
        <v/>
      </c>
      <c r="GN26" s="36" t="str">
        <f t="shared" si="80"/>
        <v/>
      </c>
      <c r="GO26" s="36" t="str">
        <f t="shared" si="81"/>
        <v/>
      </c>
      <c r="GP26" s="36" t="str">
        <f t="shared" si="82"/>
        <v/>
      </c>
      <c r="GQ26" s="36" t="str">
        <f t="shared" si="83"/>
        <v/>
      </c>
      <c r="GR26" s="36" t="str">
        <f t="shared" si="84"/>
        <v/>
      </c>
      <c r="GS26" s="16"/>
      <c r="GT26" s="16"/>
      <c r="GU26" s="16"/>
      <c r="GV26" s="16"/>
      <c r="GW26" s="16"/>
      <c r="GX26" s="16"/>
      <c r="GY26" s="16"/>
      <c r="GZ26" s="16"/>
      <c r="HA26" s="16"/>
      <c r="HB26" s="16"/>
      <c r="HC26" s="16"/>
      <c r="HD26" s="16"/>
      <c r="HE26" s="16"/>
      <c r="HF26" s="16"/>
      <c r="HG26" s="16"/>
      <c r="HH26" s="16"/>
      <c r="HI26" s="16"/>
      <c r="HJ26" s="16"/>
      <c r="HK26" s="16"/>
      <c r="HL26" s="16"/>
      <c r="HM26" s="11" t="str">
        <f t="shared" si="85"/>
        <v/>
      </c>
      <c r="HN26" s="11" t="str">
        <f t="shared" si="86"/>
        <v/>
      </c>
      <c r="HO26" s="11" t="str">
        <f t="shared" si="87"/>
        <v/>
      </c>
      <c r="HP26" s="11" t="str">
        <f t="shared" si="88"/>
        <v/>
      </c>
      <c r="HQ26" s="11" t="str">
        <f t="shared" si="89"/>
        <v/>
      </c>
      <c r="HR26" s="11" t="str">
        <f t="shared" si="90"/>
        <v/>
      </c>
      <c r="HS26" s="11" t="str">
        <f t="shared" si="91"/>
        <v/>
      </c>
      <c r="HT26" s="11" t="str">
        <f t="shared" si="92"/>
        <v/>
      </c>
      <c r="HU26" s="11" t="str">
        <f t="shared" si="93"/>
        <v/>
      </c>
      <c r="HV26" s="11" t="str">
        <f t="shared" si="94"/>
        <v/>
      </c>
      <c r="HW26" s="11" t="str">
        <f t="shared" si="95"/>
        <v/>
      </c>
      <c r="HX26" s="11" t="str">
        <f t="shared" si="96"/>
        <v/>
      </c>
      <c r="HY26" s="11" t="str">
        <f t="shared" si="97"/>
        <v/>
      </c>
      <c r="HZ26" s="11" t="str">
        <f t="shared" si="98"/>
        <v/>
      </c>
      <c r="IA26" s="15"/>
      <c r="IB26" s="15"/>
      <c r="IC26" s="15"/>
      <c r="ID26" s="15"/>
      <c r="IE26" s="15"/>
      <c r="IF26" s="15"/>
      <c r="IG26" s="15"/>
      <c r="IH26" s="15"/>
      <c r="II26" s="15"/>
      <c r="IJ26" s="15"/>
      <c r="IK26" s="15"/>
      <c r="IL26" s="15"/>
      <c r="IM26" s="15"/>
      <c r="IN26" s="15"/>
      <c r="IO26" s="15"/>
      <c r="IP26" s="15"/>
      <c r="IQ26" s="15"/>
      <c r="IR26" s="15"/>
      <c r="IS26" s="15"/>
      <c r="IT26" s="15"/>
      <c r="IU26" s="36" t="str">
        <f t="shared" si="99"/>
        <v/>
      </c>
      <c r="IV26" s="36" t="str">
        <f t="shared" si="100"/>
        <v/>
      </c>
      <c r="IW26" s="36" t="str">
        <f t="shared" si="101"/>
        <v/>
      </c>
      <c r="IX26" s="36" t="str">
        <f t="shared" si="102"/>
        <v/>
      </c>
      <c r="IY26" s="36" t="str">
        <f t="shared" si="103"/>
        <v/>
      </c>
      <c r="IZ26" s="36" t="str">
        <f t="shared" si="104"/>
        <v/>
      </c>
      <c r="JA26" s="36" t="str">
        <f t="shared" si="105"/>
        <v/>
      </c>
      <c r="JB26" s="36" t="str">
        <f t="shared" si="106"/>
        <v/>
      </c>
      <c r="JC26" s="36" t="str">
        <f t="shared" si="107"/>
        <v/>
      </c>
      <c r="JD26" s="36" t="str">
        <f t="shared" si="108"/>
        <v/>
      </c>
      <c r="JE26" s="36" t="str">
        <f t="shared" si="109"/>
        <v/>
      </c>
      <c r="JF26" s="36" t="str">
        <f t="shared" si="110"/>
        <v/>
      </c>
      <c r="JG26" s="36" t="str">
        <f t="shared" si="111"/>
        <v/>
      </c>
      <c r="JH26" s="36" t="str">
        <f t="shared" si="112"/>
        <v/>
      </c>
      <c r="JI26" s="16"/>
      <c r="JJ26" s="16"/>
      <c r="JK26" s="16"/>
      <c r="JL26" s="16"/>
      <c r="JM26" s="16"/>
      <c r="JN26" s="16"/>
      <c r="JO26" s="16"/>
      <c r="JP26" s="16"/>
      <c r="JQ26" s="16"/>
      <c r="JR26" s="16"/>
      <c r="JS26" s="16"/>
      <c r="JT26" s="16"/>
      <c r="JU26" s="16"/>
      <c r="JV26" s="16"/>
      <c r="JW26" s="16"/>
      <c r="JX26" s="16"/>
      <c r="JY26" s="16"/>
      <c r="JZ26" s="16"/>
      <c r="KA26" s="16"/>
      <c r="KB26" s="16"/>
      <c r="KC26" s="11" t="str">
        <f t="shared" si="113"/>
        <v/>
      </c>
      <c r="KD26" s="11" t="str">
        <f t="shared" si="114"/>
        <v/>
      </c>
      <c r="KE26" s="11" t="str">
        <f t="shared" si="115"/>
        <v/>
      </c>
      <c r="KF26" s="11" t="str">
        <f t="shared" si="116"/>
        <v/>
      </c>
      <c r="KG26" s="11" t="str">
        <f t="shared" si="117"/>
        <v/>
      </c>
      <c r="KH26" s="11" t="str">
        <f t="shared" si="118"/>
        <v/>
      </c>
      <c r="KI26" s="11" t="str">
        <f t="shared" si="119"/>
        <v/>
      </c>
      <c r="KJ26" s="11" t="str">
        <f t="shared" si="120"/>
        <v/>
      </c>
      <c r="KK26" s="11" t="str">
        <f t="shared" si="121"/>
        <v/>
      </c>
      <c r="KL26" s="11" t="str">
        <f t="shared" si="122"/>
        <v/>
      </c>
      <c r="KM26" s="11" t="str">
        <f t="shared" si="123"/>
        <v/>
      </c>
      <c r="KN26" s="11" t="str">
        <f t="shared" si="124"/>
        <v/>
      </c>
      <c r="KO26" s="11" t="str">
        <f t="shared" si="125"/>
        <v/>
      </c>
      <c r="KP26" s="11" t="str">
        <f t="shared" si="126"/>
        <v/>
      </c>
      <c r="KQ26" s="15"/>
      <c r="KR26" s="15"/>
      <c r="KS26" s="15"/>
      <c r="KT26" s="15"/>
      <c r="KU26" s="15"/>
      <c r="KV26" s="15"/>
      <c r="KW26" s="15"/>
      <c r="KX26" s="15"/>
      <c r="KY26" s="15"/>
      <c r="KZ26" s="15"/>
      <c r="LA26" s="15"/>
      <c r="LB26" s="15"/>
      <c r="LC26" s="15"/>
      <c r="LD26" s="15"/>
      <c r="LE26" s="15"/>
      <c r="LF26" s="15"/>
      <c r="LG26" s="15"/>
      <c r="LH26" s="15"/>
      <c r="LI26" s="15"/>
      <c r="LJ26" s="15"/>
      <c r="LK26" s="36" t="str">
        <f t="shared" si="127"/>
        <v/>
      </c>
      <c r="LL26" s="36" t="str">
        <f t="shared" si="128"/>
        <v/>
      </c>
      <c r="LM26" s="36" t="str">
        <f t="shared" si="129"/>
        <v/>
      </c>
      <c r="LN26" s="36" t="str">
        <f t="shared" si="130"/>
        <v/>
      </c>
      <c r="LO26" s="36" t="str">
        <f t="shared" si="131"/>
        <v/>
      </c>
      <c r="LP26" s="36" t="str">
        <f t="shared" si="132"/>
        <v/>
      </c>
      <c r="LQ26" s="36" t="str">
        <f t="shared" si="133"/>
        <v/>
      </c>
      <c r="LR26" s="36" t="str">
        <f t="shared" si="134"/>
        <v/>
      </c>
      <c r="LS26" s="36" t="str">
        <f t="shared" si="135"/>
        <v/>
      </c>
      <c r="LT26" s="36" t="str">
        <f t="shared" si="136"/>
        <v/>
      </c>
      <c r="LU26" s="36" t="str">
        <f t="shared" si="137"/>
        <v/>
      </c>
      <c r="LV26" s="36" t="str">
        <f t="shared" si="138"/>
        <v/>
      </c>
      <c r="LW26" s="36" t="str">
        <f t="shared" si="139"/>
        <v/>
      </c>
      <c r="LX26" s="36" t="str">
        <f t="shared" si="140"/>
        <v/>
      </c>
      <c r="LY26" s="16"/>
      <c r="LZ26" s="16"/>
      <c r="MA26" s="16"/>
      <c r="MB26" s="16"/>
      <c r="MC26" s="16"/>
      <c r="MD26" s="16"/>
      <c r="ME26" s="16"/>
      <c r="MF26" s="16"/>
      <c r="MG26" s="16"/>
      <c r="MH26" s="16"/>
      <c r="MI26" s="16"/>
      <c r="MJ26" s="16"/>
      <c r="MK26" s="16"/>
      <c r="ML26" s="16"/>
      <c r="MM26" s="16"/>
      <c r="MN26" s="16"/>
      <c r="MO26" s="16"/>
      <c r="MP26" s="16"/>
      <c r="MQ26" s="16"/>
      <c r="MR26" s="16"/>
      <c r="MS26" s="11" t="str">
        <f t="shared" si="141"/>
        <v/>
      </c>
      <c r="MT26" s="11" t="str">
        <f t="shared" si="142"/>
        <v/>
      </c>
      <c r="MU26" s="11" t="str">
        <f t="shared" si="143"/>
        <v/>
      </c>
      <c r="MV26" s="11" t="str">
        <f t="shared" si="144"/>
        <v/>
      </c>
      <c r="MW26" s="11" t="str">
        <f t="shared" si="145"/>
        <v/>
      </c>
      <c r="MX26" s="11" t="str">
        <f t="shared" si="146"/>
        <v/>
      </c>
      <c r="MY26" s="11" t="str">
        <f t="shared" si="147"/>
        <v/>
      </c>
      <c r="MZ26" s="11" t="str">
        <f t="shared" si="148"/>
        <v/>
      </c>
      <c r="NA26" s="11" t="str">
        <f t="shared" si="149"/>
        <v/>
      </c>
      <c r="NB26" s="11" t="str">
        <f t="shared" si="150"/>
        <v/>
      </c>
      <c r="NC26" s="11" t="str">
        <f t="shared" si="151"/>
        <v/>
      </c>
      <c r="ND26" s="11" t="str">
        <f t="shared" si="152"/>
        <v/>
      </c>
      <c r="NE26" s="11" t="str">
        <f t="shared" si="153"/>
        <v/>
      </c>
      <c r="NF26" s="11" t="str">
        <f t="shared" si="154"/>
        <v/>
      </c>
      <c r="NG26" s="15"/>
      <c r="NH26" s="15"/>
      <c r="NI26" s="15"/>
      <c r="NJ26" s="15"/>
      <c r="NK26" s="15"/>
      <c r="NL26" s="15"/>
      <c r="NM26" s="15"/>
      <c r="NN26" s="15"/>
      <c r="NO26" s="15"/>
      <c r="NP26" s="15"/>
      <c r="NQ26" s="15"/>
      <c r="NR26" s="15"/>
      <c r="NS26" s="15"/>
      <c r="NT26" s="15"/>
      <c r="NU26" s="15"/>
      <c r="NV26" s="15"/>
      <c r="NW26" s="15"/>
      <c r="NX26" s="15"/>
      <c r="NY26" s="15"/>
      <c r="NZ26" s="15"/>
      <c r="OA26" s="36" t="str">
        <f t="shared" si="155"/>
        <v/>
      </c>
      <c r="OB26" s="36" t="str">
        <f t="shared" si="156"/>
        <v/>
      </c>
      <c r="OC26" s="36" t="str">
        <f t="shared" si="157"/>
        <v/>
      </c>
      <c r="OD26" s="36" t="str">
        <f t="shared" si="158"/>
        <v/>
      </c>
      <c r="OE26" s="36" t="str">
        <f t="shared" si="159"/>
        <v/>
      </c>
      <c r="OF26" s="36" t="str">
        <f t="shared" si="160"/>
        <v/>
      </c>
      <c r="OG26" s="36" t="str">
        <f t="shared" si="161"/>
        <v/>
      </c>
      <c r="OH26" s="36" t="str">
        <f t="shared" si="162"/>
        <v/>
      </c>
      <c r="OI26" s="36" t="str">
        <f t="shared" si="163"/>
        <v/>
      </c>
      <c r="OJ26" s="36" t="str">
        <f t="shared" si="164"/>
        <v/>
      </c>
      <c r="OK26" s="36" t="str">
        <f t="shared" si="165"/>
        <v/>
      </c>
      <c r="OL26" s="36" t="str">
        <f t="shared" si="166"/>
        <v/>
      </c>
      <c r="OM26" s="36" t="str">
        <f t="shared" si="167"/>
        <v/>
      </c>
      <c r="ON26" s="36" t="str">
        <f t="shared" si="168"/>
        <v/>
      </c>
      <c r="OO26" s="16"/>
      <c r="OP26" s="16"/>
      <c r="OQ26" s="16"/>
      <c r="OR26" s="16"/>
      <c r="OS26" s="16"/>
      <c r="OT26" s="16"/>
      <c r="OU26" s="16"/>
      <c r="OV26" s="16"/>
      <c r="OW26" s="16"/>
      <c r="OX26" s="16"/>
      <c r="OY26" s="16"/>
      <c r="OZ26" s="16"/>
      <c r="PA26" s="16"/>
      <c r="PB26" s="16"/>
      <c r="PC26" s="16"/>
      <c r="PD26" s="16"/>
      <c r="PE26" s="16"/>
      <c r="PF26" s="16"/>
      <c r="PG26" s="16"/>
      <c r="PH26" s="16"/>
      <c r="PI26" s="11" t="str">
        <f t="shared" si="169"/>
        <v/>
      </c>
      <c r="PJ26" s="11" t="str">
        <f t="shared" si="170"/>
        <v/>
      </c>
      <c r="PK26" s="11" t="str">
        <f t="shared" si="171"/>
        <v/>
      </c>
      <c r="PL26" s="11" t="str">
        <f t="shared" si="172"/>
        <v/>
      </c>
      <c r="PM26" s="11" t="str">
        <f t="shared" si="173"/>
        <v/>
      </c>
      <c r="PN26" s="11" t="str">
        <f t="shared" si="174"/>
        <v/>
      </c>
      <c r="PO26" s="11" t="str">
        <f t="shared" si="175"/>
        <v/>
      </c>
      <c r="PP26" s="11" t="str">
        <f t="shared" si="176"/>
        <v/>
      </c>
      <c r="PQ26" s="11" t="str">
        <f t="shared" si="177"/>
        <v/>
      </c>
      <c r="PR26" s="11" t="str">
        <f t="shared" si="178"/>
        <v/>
      </c>
      <c r="PS26" s="11" t="str">
        <f t="shared" si="179"/>
        <v/>
      </c>
      <c r="PT26" s="11" t="str">
        <f t="shared" si="180"/>
        <v/>
      </c>
      <c r="PU26" s="11" t="str">
        <f t="shared" si="181"/>
        <v/>
      </c>
      <c r="PV26" s="11" t="str">
        <f t="shared" si="182"/>
        <v/>
      </c>
      <c r="PW26" s="15"/>
      <c r="PX26" s="15"/>
      <c r="PY26" s="15"/>
      <c r="PZ26" s="15"/>
      <c r="QA26" s="15"/>
      <c r="QB26" s="15"/>
      <c r="QC26" s="15"/>
      <c r="QD26" s="15"/>
      <c r="QE26" s="15"/>
      <c r="QF26" s="15"/>
      <c r="QG26" s="15"/>
      <c r="QH26" s="15"/>
      <c r="QI26" s="15"/>
      <c r="QJ26" s="15"/>
      <c r="QK26" s="15"/>
      <c r="QL26" s="15"/>
      <c r="QM26" s="15"/>
      <c r="QN26" s="15"/>
      <c r="QO26" s="15"/>
      <c r="QP26" s="15"/>
      <c r="QQ26" s="36" t="str">
        <f t="shared" si="183"/>
        <v/>
      </c>
      <c r="QR26" s="36" t="str">
        <f t="shared" si="184"/>
        <v/>
      </c>
      <c r="QS26" s="36" t="str">
        <f t="shared" si="185"/>
        <v/>
      </c>
      <c r="QT26" s="36" t="str">
        <f t="shared" si="186"/>
        <v/>
      </c>
      <c r="QU26" s="36" t="str">
        <f t="shared" si="187"/>
        <v/>
      </c>
      <c r="QV26" s="36" t="str">
        <f t="shared" si="188"/>
        <v/>
      </c>
      <c r="QW26" s="36" t="str">
        <f t="shared" si="189"/>
        <v/>
      </c>
      <c r="QX26" s="36" t="str">
        <f t="shared" si="190"/>
        <v/>
      </c>
      <c r="QY26" s="36" t="str">
        <f t="shared" si="191"/>
        <v/>
      </c>
      <c r="QZ26" s="36" t="str">
        <f t="shared" si="192"/>
        <v/>
      </c>
      <c r="RA26" s="36" t="str">
        <f t="shared" si="193"/>
        <v/>
      </c>
      <c r="RB26" s="36" t="str">
        <f t="shared" si="194"/>
        <v/>
      </c>
      <c r="RC26" s="36" t="str">
        <f t="shared" si="195"/>
        <v/>
      </c>
      <c r="RD26" s="36" t="str">
        <f t="shared" si="196"/>
        <v/>
      </c>
      <c r="RE26" s="16"/>
      <c r="RF26" s="16"/>
      <c r="RG26" s="16"/>
      <c r="RH26" s="16"/>
      <c r="RI26" s="16"/>
      <c r="RJ26" s="16"/>
      <c r="RK26" s="16"/>
      <c r="RL26" s="16"/>
      <c r="RM26" s="16"/>
      <c r="RN26" s="16"/>
      <c r="RO26" s="16"/>
      <c r="RP26" s="16"/>
      <c r="RQ26" s="16"/>
      <c r="RR26" s="16"/>
      <c r="RS26" s="16"/>
      <c r="RT26" s="16"/>
      <c r="RU26" s="16"/>
      <c r="RV26" s="16"/>
      <c r="RW26" s="16"/>
      <c r="RX26" s="16"/>
      <c r="RY26" s="11" t="str">
        <f t="shared" si="197"/>
        <v/>
      </c>
      <c r="RZ26" s="11" t="str">
        <f t="shared" si="198"/>
        <v/>
      </c>
      <c r="SA26" s="11" t="str">
        <f t="shared" si="199"/>
        <v/>
      </c>
      <c r="SB26" s="11" t="str">
        <f t="shared" si="200"/>
        <v/>
      </c>
      <c r="SC26" s="11" t="str">
        <f t="shared" si="201"/>
        <v/>
      </c>
      <c r="SD26" s="11" t="str">
        <f t="shared" si="202"/>
        <v/>
      </c>
      <c r="SE26" s="11" t="str">
        <f t="shared" si="203"/>
        <v/>
      </c>
      <c r="SF26" s="11" t="str">
        <f t="shared" si="204"/>
        <v/>
      </c>
      <c r="SG26" s="11" t="str">
        <f t="shared" si="205"/>
        <v/>
      </c>
      <c r="SH26" s="11" t="str">
        <f t="shared" si="206"/>
        <v/>
      </c>
      <c r="SI26" s="11" t="str">
        <f t="shared" si="207"/>
        <v/>
      </c>
      <c r="SJ26" s="11" t="str">
        <f t="shared" si="208"/>
        <v/>
      </c>
      <c r="SK26" s="11" t="str">
        <f t="shared" si="209"/>
        <v/>
      </c>
      <c r="SL26" s="11" t="str">
        <f t="shared" si="210"/>
        <v/>
      </c>
      <c r="SM26" s="15"/>
      <c r="SN26" s="15"/>
      <c r="SO26" s="15"/>
      <c r="SP26" s="15"/>
      <c r="SQ26" s="15"/>
      <c r="SR26" s="15"/>
      <c r="SS26" s="15"/>
      <c r="ST26" s="15"/>
      <c r="SU26" s="15"/>
      <c r="SV26" s="15"/>
      <c r="SW26" s="15"/>
      <c r="SX26" s="15"/>
      <c r="SY26" s="15"/>
      <c r="SZ26" s="15"/>
      <c r="TA26" s="15"/>
      <c r="TB26" s="15"/>
      <c r="TC26" s="15"/>
      <c r="TD26" s="15"/>
      <c r="TE26" s="15"/>
      <c r="TF26" s="15"/>
      <c r="TG26" s="36" t="str">
        <f t="shared" si="211"/>
        <v/>
      </c>
      <c r="TH26" s="36" t="str">
        <f t="shared" si="212"/>
        <v/>
      </c>
      <c r="TI26" s="36" t="str">
        <f t="shared" si="213"/>
        <v/>
      </c>
      <c r="TJ26" s="36" t="str">
        <f t="shared" si="214"/>
        <v/>
      </c>
      <c r="TK26" s="36" t="str">
        <f t="shared" si="215"/>
        <v/>
      </c>
      <c r="TL26" s="36" t="str">
        <f t="shared" si="216"/>
        <v/>
      </c>
      <c r="TM26" s="36" t="str">
        <f t="shared" si="217"/>
        <v/>
      </c>
      <c r="TN26" s="36" t="str">
        <f t="shared" si="218"/>
        <v/>
      </c>
      <c r="TO26" s="36" t="str">
        <f t="shared" si="219"/>
        <v/>
      </c>
      <c r="TP26" s="36" t="str">
        <f t="shared" si="220"/>
        <v/>
      </c>
      <c r="TQ26" s="36" t="str">
        <f t="shared" si="221"/>
        <v/>
      </c>
      <c r="TR26" s="36" t="str">
        <f t="shared" si="222"/>
        <v/>
      </c>
      <c r="TS26" s="36" t="str">
        <f t="shared" si="223"/>
        <v/>
      </c>
      <c r="TT26" s="36" t="str">
        <f t="shared" si="224"/>
        <v/>
      </c>
      <c r="TU26" s="16"/>
      <c r="TV26" s="16"/>
      <c r="TW26" s="16"/>
      <c r="TX26" s="16"/>
      <c r="TY26" s="16"/>
      <c r="TZ26" s="16"/>
      <c r="UA26" s="16"/>
      <c r="UB26" s="16"/>
      <c r="UC26" s="16"/>
      <c r="UD26" s="16"/>
      <c r="UE26" s="16"/>
      <c r="UF26" s="16"/>
      <c r="UG26" s="16"/>
      <c r="UH26" s="16"/>
      <c r="UI26" s="16"/>
      <c r="UJ26" s="16"/>
      <c r="UK26" s="16"/>
      <c r="UL26" s="16"/>
      <c r="UM26" s="16"/>
      <c r="UN26" s="16"/>
      <c r="UO26" s="11" t="str">
        <f t="shared" si="225"/>
        <v/>
      </c>
      <c r="UP26" s="11" t="str">
        <f t="shared" si="226"/>
        <v/>
      </c>
      <c r="UQ26" s="11" t="str">
        <f t="shared" si="227"/>
        <v/>
      </c>
      <c r="UR26" s="11" t="str">
        <f t="shared" si="228"/>
        <v/>
      </c>
      <c r="US26" s="11" t="str">
        <f t="shared" si="229"/>
        <v/>
      </c>
      <c r="UT26" s="11" t="str">
        <f t="shared" si="230"/>
        <v/>
      </c>
      <c r="UU26" s="11" t="str">
        <f t="shared" si="231"/>
        <v/>
      </c>
      <c r="UV26" s="11" t="str">
        <f t="shared" si="232"/>
        <v/>
      </c>
      <c r="UW26" s="11" t="str">
        <f t="shared" si="233"/>
        <v/>
      </c>
      <c r="UX26" s="11" t="str">
        <f t="shared" si="234"/>
        <v/>
      </c>
      <c r="UY26" s="11" t="str">
        <f t="shared" si="235"/>
        <v/>
      </c>
      <c r="UZ26" s="11" t="str">
        <f t="shared" si="236"/>
        <v/>
      </c>
      <c r="VA26" s="11" t="str">
        <f t="shared" si="237"/>
        <v/>
      </c>
      <c r="VB26" s="11" t="str">
        <f t="shared" si="238"/>
        <v/>
      </c>
      <c r="VC26" s="15"/>
      <c r="VD26" s="15"/>
      <c r="VE26" s="15"/>
      <c r="VF26" s="15"/>
      <c r="VG26" s="15"/>
      <c r="VH26" s="15"/>
      <c r="VI26" s="15"/>
      <c r="VJ26" s="15"/>
      <c r="VK26" s="15"/>
      <c r="VL26" s="15"/>
      <c r="VM26" s="15"/>
      <c r="VN26" s="15"/>
      <c r="VO26" s="15"/>
      <c r="VP26" s="15"/>
      <c r="VQ26" s="15"/>
      <c r="VR26" s="15"/>
      <c r="VS26" s="15"/>
      <c r="VT26" s="15"/>
      <c r="VU26" s="15"/>
      <c r="VV26" s="15"/>
      <c r="VW26" s="36" t="str">
        <f t="shared" si="239"/>
        <v/>
      </c>
      <c r="VX26" s="36" t="str">
        <f t="shared" si="240"/>
        <v/>
      </c>
      <c r="VY26" s="36" t="str">
        <f t="shared" si="241"/>
        <v/>
      </c>
      <c r="VZ26" s="36" t="str">
        <f t="shared" si="242"/>
        <v/>
      </c>
      <c r="WA26" s="36" t="str">
        <f t="shared" si="243"/>
        <v/>
      </c>
      <c r="WB26" s="36" t="str">
        <f t="shared" si="244"/>
        <v/>
      </c>
      <c r="WC26" s="36" t="str">
        <f t="shared" si="245"/>
        <v/>
      </c>
      <c r="WD26" s="36" t="str">
        <f t="shared" si="246"/>
        <v/>
      </c>
      <c r="WE26" s="36" t="str">
        <f t="shared" si="247"/>
        <v/>
      </c>
      <c r="WF26" s="36" t="str">
        <f t="shared" si="248"/>
        <v/>
      </c>
      <c r="WG26" s="36" t="str">
        <f t="shared" si="249"/>
        <v/>
      </c>
      <c r="WH26" s="36" t="str">
        <f t="shared" si="250"/>
        <v/>
      </c>
      <c r="WI26" s="36" t="str">
        <f t="shared" si="251"/>
        <v/>
      </c>
      <c r="WJ26" s="36" t="str">
        <f t="shared" si="252"/>
        <v/>
      </c>
    </row>
    <row r="27" spans="1:608" x14ac:dyDescent="0.2">
      <c r="A27" s="4" t="str" cm="1">
        <f t="array" ref="A27">IF(AND(H27&lt;&gt;"",H27&lt;&gt;"No DD",I27&lt;&gt;"P"),SUMPRODUCT((H$4:H$28&lt;&gt;"")*(H$4:H$28&lt;&gt;"No DD")*(I$4:I$28&lt;&gt;"P")*(E$4:E$28&gt;E27))+1,IF(H27="No DD",SUMPRODUCT((H$4:H$28="No DD")*(I$4:I$28&lt;&gt;"P")*(E$4:E$28&gt;E27))+1+SUMPRODUCT((H$4:H$28&lt;&gt;"")*(I$4:I$28&lt;&gt;"P")*(H$4:H$28&lt;&gt;"No DD")),""))</f>
        <v/>
      </c>
      <c r="B27" s="5" t="s">
        <v>208</v>
      </c>
      <c r="C27" s="4" t="s">
        <v>6</v>
      </c>
      <c r="D27" s="4">
        <v>2007</v>
      </c>
      <c r="E27" s="9">
        <f t="shared" si="0"/>
        <v>54.360005436004904</v>
      </c>
      <c r="F27" s="3" t="str">
        <f t="shared" si="1"/>
        <v/>
      </c>
      <c r="G27" s="3" t="str">
        <f t="shared" si="2"/>
        <v/>
      </c>
      <c r="H27" s="32" t="str">
        <f t="shared" si="3"/>
        <v/>
      </c>
      <c r="I27" s="3" t="str">
        <f>IF(COUNTIFS('Senior-M'!B:B,B27,'Senior-M'!A:A,"&lt;9",'Senior-M'!H:H,"&lt;&gt;"&amp;"No DD"),"P","")</f>
        <v/>
      </c>
      <c r="J27" s="8">
        <f t="shared" si="4"/>
        <v>49.06</v>
      </c>
      <c r="K27" s="8" t="str">
        <f t="shared" si="5"/>
        <v>2025 Nationals</v>
      </c>
      <c r="L27" s="8">
        <f>IFERROR(LARGE((AI27,AL27,AP27,BJ27,BM27,BQ27,CK27,CN27,CR27),2),0)</f>
        <v>5.3</v>
      </c>
      <c r="M27" s="8" t="str">
        <f t="shared" si="6"/>
        <v>2025 Nationals</v>
      </c>
      <c r="N27" s="8">
        <f t="shared" si="7"/>
        <v>0</v>
      </c>
      <c r="O27" s="11" t="str">
        <f>IF(N27=0,"",IF(N27=CT27,"("&amp;CT$2&amp;")",IF(N27=#REF!,"("&amp;#REF!&amp;")")))</f>
        <v/>
      </c>
      <c r="P27" s="8" t="str">
        <f t="shared" si="8"/>
        <v/>
      </c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23"/>
      <c r="AG27" s="34" t="str">
        <f t="shared" si="9"/>
        <v/>
      </c>
      <c r="AH27" s="34" t="str">
        <f t="shared" si="10"/>
        <v/>
      </c>
      <c r="AI27" s="36" t="str">
        <f t="shared" si="11"/>
        <v/>
      </c>
      <c r="AJ27" s="36" t="str">
        <f t="shared" si="12"/>
        <v/>
      </c>
      <c r="AK27" s="36" t="str">
        <f t="shared" si="13"/>
        <v/>
      </c>
      <c r="AL27" s="36" t="str">
        <f t="shared" si="14"/>
        <v/>
      </c>
      <c r="AM27" s="36" t="str">
        <f t="shared" si="15"/>
        <v/>
      </c>
      <c r="AN27" s="36" t="str">
        <f t="shared" si="16"/>
        <v/>
      </c>
      <c r="AO27" s="36" t="str">
        <f t="shared" si="17"/>
        <v/>
      </c>
      <c r="AP27" s="36" t="str">
        <f t="shared" si="18"/>
        <v/>
      </c>
      <c r="AQ27" s="36" t="str">
        <f t="shared" si="19"/>
        <v/>
      </c>
      <c r="AR27" s="22">
        <v>1.5</v>
      </c>
      <c r="AS27" s="22">
        <v>0.8</v>
      </c>
      <c r="AT27" s="22">
        <v>1.5</v>
      </c>
      <c r="AU27" s="22">
        <v>1.5</v>
      </c>
      <c r="AV27" s="22">
        <v>0</v>
      </c>
      <c r="AW27" s="22">
        <v>1.4</v>
      </c>
      <c r="AX27" s="22">
        <v>0.8</v>
      </c>
      <c r="AY27" s="22">
        <v>1.5</v>
      </c>
      <c r="AZ27" s="22">
        <v>1.51</v>
      </c>
      <c r="BA27" s="22">
        <v>0</v>
      </c>
      <c r="BB27" s="22">
        <v>14.4</v>
      </c>
      <c r="BC27" s="22">
        <v>9</v>
      </c>
      <c r="BD27" s="22">
        <v>11.8</v>
      </c>
      <c r="BE27" s="22">
        <v>14.36</v>
      </c>
      <c r="BF27" s="22">
        <v>0.5</v>
      </c>
      <c r="BG27" s="24"/>
      <c r="BH27" s="35">
        <f t="shared" si="20"/>
        <v>1.5</v>
      </c>
      <c r="BI27" s="35">
        <f t="shared" si="21"/>
        <v>1.5</v>
      </c>
      <c r="BJ27" s="11">
        <f t="shared" si="22"/>
        <v>5.3</v>
      </c>
      <c r="BK27" s="11">
        <f t="shared" si="23"/>
        <v>1.5</v>
      </c>
      <c r="BL27" s="11">
        <f t="shared" si="24"/>
        <v>1.51</v>
      </c>
      <c r="BM27" s="11">
        <f t="shared" si="25"/>
        <v>5.21</v>
      </c>
      <c r="BN27" s="11">
        <f t="shared" si="26"/>
        <v>5.3</v>
      </c>
      <c r="BO27" s="11">
        <f t="shared" si="27"/>
        <v>11.8</v>
      </c>
      <c r="BP27" s="11">
        <f t="shared" si="28"/>
        <v>14.36</v>
      </c>
      <c r="BQ27" s="11">
        <f t="shared" si="29"/>
        <v>49.06</v>
      </c>
      <c r="BR27" s="11">
        <f t="shared" si="30"/>
        <v>54.36</v>
      </c>
      <c r="BS27" s="18"/>
      <c r="BT27" s="18"/>
      <c r="BU27" s="18"/>
      <c r="BV27" s="18"/>
      <c r="BW27" s="18"/>
      <c r="BX27" s="18"/>
      <c r="BY27" s="18"/>
      <c r="BZ27" s="18"/>
      <c r="CA27" s="18"/>
      <c r="CB27" s="18"/>
      <c r="CC27" s="18"/>
      <c r="CD27" s="18"/>
      <c r="CE27" s="18"/>
      <c r="CF27" s="18"/>
      <c r="CG27" s="18"/>
      <c r="CH27" s="23"/>
      <c r="CI27" s="34" t="str">
        <f t="shared" si="31"/>
        <v/>
      </c>
      <c r="CJ27" s="34" t="str">
        <f t="shared" si="32"/>
        <v/>
      </c>
      <c r="CK27" s="36" t="str">
        <f t="shared" si="33"/>
        <v/>
      </c>
      <c r="CL27" s="36" t="str">
        <f t="shared" si="34"/>
        <v/>
      </c>
      <c r="CM27" s="36" t="str">
        <f t="shared" si="35"/>
        <v/>
      </c>
      <c r="CN27" s="36" t="str">
        <f t="shared" si="36"/>
        <v/>
      </c>
      <c r="CO27" s="36" t="str">
        <f t="shared" si="37"/>
        <v/>
      </c>
      <c r="CP27" s="36" t="str">
        <f t="shared" si="38"/>
        <v/>
      </c>
      <c r="CQ27" s="36" t="str">
        <f t="shared" si="39"/>
        <v/>
      </c>
      <c r="CR27" s="36" t="str">
        <f t="shared" si="40"/>
        <v/>
      </c>
      <c r="CS27" s="36" t="str">
        <f t="shared" si="41"/>
        <v/>
      </c>
      <c r="CT27" s="47" t="str">
        <f t="shared" si="42"/>
        <v/>
      </c>
      <c r="CU27" s="15"/>
      <c r="CV27" s="15"/>
      <c r="CW27" s="15"/>
      <c r="CX27" s="15"/>
      <c r="CY27" s="15"/>
      <c r="CZ27" s="15"/>
      <c r="DA27" s="15"/>
      <c r="DB27" s="15"/>
      <c r="DC27" s="15"/>
      <c r="DD27" s="15"/>
      <c r="DE27" s="15"/>
      <c r="DF27" s="15"/>
      <c r="DG27" s="15"/>
      <c r="DH27" s="15"/>
      <c r="DI27" s="15"/>
      <c r="DJ27" s="15"/>
      <c r="DK27" s="15"/>
      <c r="DL27" s="15"/>
      <c r="DM27" s="15"/>
      <c r="DN27" s="15"/>
      <c r="DO27" s="36" t="str">
        <f t="shared" si="43"/>
        <v/>
      </c>
      <c r="DP27" s="36" t="str">
        <f t="shared" si="44"/>
        <v/>
      </c>
      <c r="DQ27" s="36" t="str">
        <f t="shared" si="45"/>
        <v/>
      </c>
      <c r="DR27" s="36" t="str">
        <f t="shared" si="46"/>
        <v/>
      </c>
      <c r="DS27" s="36" t="str">
        <f t="shared" si="47"/>
        <v/>
      </c>
      <c r="DT27" s="36" t="str">
        <f t="shared" si="48"/>
        <v/>
      </c>
      <c r="DU27" s="36" t="str">
        <f t="shared" si="49"/>
        <v/>
      </c>
      <c r="DV27" s="36" t="str">
        <f t="shared" si="50"/>
        <v/>
      </c>
      <c r="DW27" s="36" t="str">
        <f t="shared" si="51"/>
        <v/>
      </c>
      <c r="DX27" s="36" t="str">
        <f t="shared" si="52"/>
        <v/>
      </c>
      <c r="DY27" s="36" t="str">
        <f t="shared" si="53"/>
        <v/>
      </c>
      <c r="DZ27" s="36" t="str">
        <f t="shared" si="54"/>
        <v/>
      </c>
      <c r="EA27" s="36" t="str">
        <f t="shared" si="55"/>
        <v/>
      </c>
      <c r="EB27" s="36" t="str">
        <f t="shared" si="56"/>
        <v/>
      </c>
      <c r="EC27" s="16"/>
      <c r="ED27" s="16"/>
      <c r="EE27" s="16"/>
      <c r="EF27" s="16"/>
      <c r="EG27" s="16"/>
      <c r="EH27" s="16"/>
      <c r="EI27" s="16"/>
      <c r="EJ27" s="16"/>
      <c r="EK27" s="16"/>
      <c r="EL27" s="16"/>
      <c r="EM27" s="16"/>
      <c r="EN27" s="16"/>
      <c r="EO27" s="16"/>
      <c r="EP27" s="16"/>
      <c r="EQ27" s="16"/>
      <c r="ER27" s="16"/>
      <c r="ES27" s="16"/>
      <c r="ET27" s="16"/>
      <c r="EU27" s="16"/>
      <c r="EV27" s="16"/>
      <c r="EW27" s="11" t="str">
        <f t="shared" si="57"/>
        <v/>
      </c>
      <c r="EX27" s="11" t="str">
        <f t="shared" si="58"/>
        <v/>
      </c>
      <c r="EY27" s="11" t="str">
        <f t="shared" si="59"/>
        <v/>
      </c>
      <c r="EZ27" s="11" t="str">
        <f t="shared" si="60"/>
        <v/>
      </c>
      <c r="FA27" s="11" t="str">
        <f t="shared" si="61"/>
        <v/>
      </c>
      <c r="FB27" s="11" t="str">
        <f t="shared" si="62"/>
        <v/>
      </c>
      <c r="FC27" s="11" t="str">
        <f t="shared" si="63"/>
        <v/>
      </c>
      <c r="FD27" s="11" t="str">
        <f t="shared" si="64"/>
        <v/>
      </c>
      <c r="FE27" s="11" t="str">
        <f t="shared" si="65"/>
        <v/>
      </c>
      <c r="FF27" s="11" t="str">
        <f t="shared" si="66"/>
        <v/>
      </c>
      <c r="FG27" s="11" t="str">
        <f t="shared" si="67"/>
        <v/>
      </c>
      <c r="FH27" s="11" t="str">
        <f t="shared" si="68"/>
        <v/>
      </c>
      <c r="FI27" s="11" t="str">
        <f t="shared" si="69"/>
        <v/>
      </c>
      <c r="FJ27" s="11" t="str">
        <f t="shared" si="70"/>
        <v/>
      </c>
      <c r="FK27" s="15"/>
      <c r="FL27" s="15"/>
      <c r="FM27" s="15"/>
      <c r="FN27" s="15"/>
      <c r="FO27" s="15"/>
      <c r="FP27" s="15"/>
      <c r="FQ27" s="15"/>
      <c r="FR27" s="15"/>
      <c r="FS27" s="15"/>
      <c r="FT27" s="15"/>
      <c r="FU27" s="15"/>
      <c r="FV27" s="15"/>
      <c r="FW27" s="15"/>
      <c r="FX27" s="15"/>
      <c r="FY27" s="15"/>
      <c r="FZ27" s="15"/>
      <c r="GA27" s="15"/>
      <c r="GB27" s="15"/>
      <c r="GC27" s="15"/>
      <c r="GD27" s="15"/>
      <c r="GE27" s="36" t="str">
        <f t="shared" si="71"/>
        <v/>
      </c>
      <c r="GF27" s="36" t="str">
        <f t="shared" si="72"/>
        <v/>
      </c>
      <c r="GG27" s="36" t="str">
        <f t="shared" si="73"/>
        <v/>
      </c>
      <c r="GH27" s="36" t="str">
        <f t="shared" si="74"/>
        <v/>
      </c>
      <c r="GI27" s="36" t="str">
        <f t="shared" si="75"/>
        <v/>
      </c>
      <c r="GJ27" s="36" t="str">
        <f t="shared" si="76"/>
        <v/>
      </c>
      <c r="GK27" s="36" t="str">
        <f t="shared" si="77"/>
        <v/>
      </c>
      <c r="GL27" s="36" t="str">
        <f t="shared" si="78"/>
        <v/>
      </c>
      <c r="GM27" s="36" t="str">
        <f t="shared" si="79"/>
        <v/>
      </c>
      <c r="GN27" s="36" t="str">
        <f t="shared" si="80"/>
        <v/>
      </c>
      <c r="GO27" s="36" t="str">
        <f t="shared" si="81"/>
        <v/>
      </c>
      <c r="GP27" s="36" t="str">
        <f t="shared" si="82"/>
        <v/>
      </c>
      <c r="GQ27" s="36" t="str">
        <f t="shared" si="83"/>
        <v/>
      </c>
      <c r="GR27" s="36" t="str">
        <f t="shared" si="84"/>
        <v/>
      </c>
      <c r="GS27" s="16"/>
      <c r="GT27" s="16"/>
      <c r="GU27" s="16"/>
      <c r="GV27" s="16"/>
      <c r="GW27" s="16"/>
      <c r="GX27" s="16"/>
      <c r="GY27" s="16"/>
      <c r="GZ27" s="16"/>
      <c r="HA27" s="16"/>
      <c r="HB27" s="16"/>
      <c r="HC27" s="16"/>
      <c r="HD27" s="16"/>
      <c r="HE27" s="16"/>
      <c r="HF27" s="16"/>
      <c r="HG27" s="16"/>
      <c r="HH27" s="16"/>
      <c r="HI27" s="16"/>
      <c r="HJ27" s="16"/>
      <c r="HK27" s="16"/>
      <c r="HL27" s="16"/>
      <c r="HM27" s="11" t="str">
        <f t="shared" si="85"/>
        <v/>
      </c>
      <c r="HN27" s="11" t="str">
        <f t="shared" si="86"/>
        <v/>
      </c>
      <c r="HO27" s="11" t="str">
        <f t="shared" si="87"/>
        <v/>
      </c>
      <c r="HP27" s="11" t="str">
        <f t="shared" si="88"/>
        <v/>
      </c>
      <c r="HQ27" s="11" t="str">
        <f t="shared" si="89"/>
        <v/>
      </c>
      <c r="HR27" s="11" t="str">
        <f t="shared" si="90"/>
        <v/>
      </c>
      <c r="HS27" s="11" t="str">
        <f t="shared" si="91"/>
        <v/>
      </c>
      <c r="HT27" s="11" t="str">
        <f t="shared" si="92"/>
        <v/>
      </c>
      <c r="HU27" s="11" t="str">
        <f t="shared" si="93"/>
        <v/>
      </c>
      <c r="HV27" s="11" t="str">
        <f t="shared" si="94"/>
        <v/>
      </c>
      <c r="HW27" s="11" t="str">
        <f t="shared" si="95"/>
        <v/>
      </c>
      <c r="HX27" s="11" t="str">
        <f t="shared" si="96"/>
        <v/>
      </c>
      <c r="HY27" s="11" t="str">
        <f t="shared" si="97"/>
        <v/>
      </c>
      <c r="HZ27" s="11" t="str">
        <f t="shared" si="98"/>
        <v/>
      </c>
      <c r="IA27" s="15"/>
      <c r="IB27" s="15"/>
      <c r="IC27" s="15"/>
      <c r="ID27" s="15"/>
      <c r="IE27" s="15"/>
      <c r="IF27" s="15"/>
      <c r="IG27" s="15"/>
      <c r="IH27" s="15"/>
      <c r="II27" s="15"/>
      <c r="IJ27" s="15"/>
      <c r="IK27" s="15"/>
      <c r="IL27" s="15"/>
      <c r="IM27" s="15"/>
      <c r="IN27" s="15"/>
      <c r="IO27" s="15"/>
      <c r="IP27" s="15"/>
      <c r="IQ27" s="15"/>
      <c r="IR27" s="15"/>
      <c r="IS27" s="15"/>
      <c r="IT27" s="15"/>
      <c r="IU27" s="36" t="str">
        <f t="shared" si="99"/>
        <v/>
      </c>
      <c r="IV27" s="36" t="str">
        <f t="shared" si="100"/>
        <v/>
      </c>
      <c r="IW27" s="36" t="str">
        <f t="shared" si="101"/>
        <v/>
      </c>
      <c r="IX27" s="36" t="str">
        <f t="shared" si="102"/>
        <v/>
      </c>
      <c r="IY27" s="36" t="str">
        <f t="shared" si="103"/>
        <v/>
      </c>
      <c r="IZ27" s="36" t="str">
        <f t="shared" si="104"/>
        <v/>
      </c>
      <c r="JA27" s="36" t="str">
        <f t="shared" si="105"/>
        <v/>
      </c>
      <c r="JB27" s="36" t="str">
        <f t="shared" si="106"/>
        <v/>
      </c>
      <c r="JC27" s="36" t="str">
        <f t="shared" si="107"/>
        <v/>
      </c>
      <c r="JD27" s="36" t="str">
        <f t="shared" si="108"/>
        <v/>
      </c>
      <c r="JE27" s="36" t="str">
        <f t="shared" si="109"/>
        <v/>
      </c>
      <c r="JF27" s="36" t="str">
        <f t="shared" si="110"/>
        <v/>
      </c>
      <c r="JG27" s="36" t="str">
        <f t="shared" si="111"/>
        <v/>
      </c>
      <c r="JH27" s="36" t="str">
        <f t="shared" si="112"/>
        <v/>
      </c>
      <c r="JI27" s="16"/>
      <c r="JJ27" s="16"/>
      <c r="JK27" s="16"/>
      <c r="JL27" s="16"/>
      <c r="JM27" s="16"/>
      <c r="JN27" s="16"/>
      <c r="JO27" s="16"/>
      <c r="JP27" s="16"/>
      <c r="JQ27" s="16"/>
      <c r="JR27" s="16"/>
      <c r="JS27" s="16"/>
      <c r="JT27" s="16"/>
      <c r="JU27" s="16"/>
      <c r="JV27" s="16"/>
      <c r="JW27" s="16"/>
      <c r="JX27" s="16"/>
      <c r="JY27" s="16"/>
      <c r="JZ27" s="16"/>
      <c r="KA27" s="16"/>
      <c r="KB27" s="16"/>
      <c r="KC27" s="11" t="str">
        <f t="shared" si="113"/>
        <v/>
      </c>
      <c r="KD27" s="11" t="str">
        <f t="shared" si="114"/>
        <v/>
      </c>
      <c r="KE27" s="11" t="str">
        <f t="shared" si="115"/>
        <v/>
      </c>
      <c r="KF27" s="11" t="str">
        <f t="shared" si="116"/>
        <v/>
      </c>
      <c r="KG27" s="11" t="str">
        <f t="shared" si="117"/>
        <v/>
      </c>
      <c r="KH27" s="11" t="str">
        <f t="shared" si="118"/>
        <v/>
      </c>
      <c r="KI27" s="11" t="str">
        <f t="shared" si="119"/>
        <v/>
      </c>
      <c r="KJ27" s="11" t="str">
        <f t="shared" si="120"/>
        <v/>
      </c>
      <c r="KK27" s="11" t="str">
        <f t="shared" si="121"/>
        <v/>
      </c>
      <c r="KL27" s="11" t="str">
        <f t="shared" si="122"/>
        <v/>
      </c>
      <c r="KM27" s="11" t="str">
        <f t="shared" si="123"/>
        <v/>
      </c>
      <c r="KN27" s="11" t="str">
        <f t="shared" si="124"/>
        <v/>
      </c>
      <c r="KO27" s="11" t="str">
        <f t="shared" si="125"/>
        <v/>
      </c>
      <c r="KP27" s="11" t="str">
        <f t="shared" si="126"/>
        <v/>
      </c>
      <c r="KQ27" s="15"/>
      <c r="KR27" s="15"/>
      <c r="KS27" s="15"/>
      <c r="KT27" s="15"/>
      <c r="KU27" s="15"/>
      <c r="KV27" s="15"/>
      <c r="KW27" s="15"/>
      <c r="KX27" s="15"/>
      <c r="KY27" s="15"/>
      <c r="KZ27" s="15"/>
      <c r="LA27" s="15"/>
      <c r="LB27" s="15"/>
      <c r="LC27" s="15"/>
      <c r="LD27" s="15"/>
      <c r="LE27" s="15"/>
      <c r="LF27" s="15"/>
      <c r="LG27" s="15"/>
      <c r="LH27" s="15"/>
      <c r="LI27" s="15"/>
      <c r="LJ27" s="15"/>
      <c r="LK27" s="36" t="str">
        <f t="shared" si="127"/>
        <v/>
      </c>
      <c r="LL27" s="36" t="str">
        <f t="shared" si="128"/>
        <v/>
      </c>
      <c r="LM27" s="36" t="str">
        <f t="shared" si="129"/>
        <v/>
      </c>
      <c r="LN27" s="36" t="str">
        <f t="shared" si="130"/>
        <v/>
      </c>
      <c r="LO27" s="36" t="str">
        <f t="shared" si="131"/>
        <v/>
      </c>
      <c r="LP27" s="36" t="str">
        <f t="shared" si="132"/>
        <v/>
      </c>
      <c r="LQ27" s="36" t="str">
        <f t="shared" si="133"/>
        <v/>
      </c>
      <c r="LR27" s="36" t="str">
        <f t="shared" si="134"/>
        <v/>
      </c>
      <c r="LS27" s="36" t="str">
        <f t="shared" si="135"/>
        <v/>
      </c>
      <c r="LT27" s="36" t="str">
        <f t="shared" si="136"/>
        <v/>
      </c>
      <c r="LU27" s="36" t="str">
        <f t="shared" si="137"/>
        <v/>
      </c>
      <c r="LV27" s="36" t="str">
        <f t="shared" si="138"/>
        <v/>
      </c>
      <c r="LW27" s="36" t="str">
        <f t="shared" si="139"/>
        <v/>
      </c>
      <c r="LX27" s="36" t="str">
        <f t="shared" si="140"/>
        <v/>
      </c>
      <c r="LY27" s="16"/>
      <c r="LZ27" s="16"/>
      <c r="MA27" s="16"/>
      <c r="MB27" s="16"/>
      <c r="MC27" s="16"/>
      <c r="MD27" s="16"/>
      <c r="ME27" s="16"/>
      <c r="MF27" s="16"/>
      <c r="MG27" s="16"/>
      <c r="MH27" s="16"/>
      <c r="MI27" s="16"/>
      <c r="MJ27" s="16"/>
      <c r="MK27" s="16"/>
      <c r="ML27" s="16"/>
      <c r="MM27" s="16"/>
      <c r="MN27" s="16"/>
      <c r="MO27" s="16"/>
      <c r="MP27" s="16"/>
      <c r="MQ27" s="16"/>
      <c r="MR27" s="16"/>
      <c r="MS27" s="11" t="str">
        <f t="shared" si="141"/>
        <v/>
      </c>
      <c r="MT27" s="11" t="str">
        <f t="shared" si="142"/>
        <v/>
      </c>
      <c r="MU27" s="11" t="str">
        <f t="shared" si="143"/>
        <v/>
      </c>
      <c r="MV27" s="11" t="str">
        <f t="shared" si="144"/>
        <v/>
      </c>
      <c r="MW27" s="11" t="str">
        <f t="shared" si="145"/>
        <v/>
      </c>
      <c r="MX27" s="11" t="str">
        <f t="shared" si="146"/>
        <v/>
      </c>
      <c r="MY27" s="11" t="str">
        <f t="shared" si="147"/>
        <v/>
      </c>
      <c r="MZ27" s="11" t="str">
        <f t="shared" si="148"/>
        <v/>
      </c>
      <c r="NA27" s="11" t="str">
        <f t="shared" si="149"/>
        <v/>
      </c>
      <c r="NB27" s="11" t="str">
        <f t="shared" si="150"/>
        <v/>
      </c>
      <c r="NC27" s="11" t="str">
        <f t="shared" si="151"/>
        <v/>
      </c>
      <c r="ND27" s="11" t="str">
        <f t="shared" si="152"/>
        <v/>
      </c>
      <c r="NE27" s="11" t="str">
        <f t="shared" si="153"/>
        <v/>
      </c>
      <c r="NF27" s="11" t="str">
        <f t="shared" si="154"/>
        <v/>
      </c>
      <c r="NG27" s="15"/>
      <c r="NH27" s="15"/>
      <c r="NI27" s="15"/>
      <c r="NJ27" s="15"/>
      <c r="NK27" s="15"/>
      <c r="NL27" s="15"/>
      <c r="NM27" s="15"/>
      <c r="NN27" s="15"/>
      <c r="NO27" s="15"/>
      <c r="NP27" s="15"/>
      <c r="NQ27" s="15"/>
      <c r="NR27" s="15"/>
      <c r="NS27" s="15"/>
      <c r="NT27" s="15"/>
      <c r="NU27" s="15"/>
      <c r="NV27" s="15"/>
      <c r="NW27" s="15"/>
      <c r="NX27" s="15"/>
      <c r="NY27" s="15"/>
      <c r="NZ27" s="15"/>
      <c r="OA27" s="36" t="str">
        <f t="shared" si="155"/>
        <v/>
      </c>
      <c r="OB27" s="36" t="str">
        <f t="shared" si="156"/>
        <v/>
      </c>
      <c r="OC27" s="36" t="str">
        <f t="shared" si="157"/>
        <v/>
      </c>
      <c r="OD27" s="36" t="str">
        <f t="shared" si="158"/>
        <v/>
      </c>
      <c r="OE27" s="36" t="str">
        <f t="shared" si="159"/>
        <v/>
      </c>
      <c r="OF27" s="36" t="str">
        <f t="shared" si="160"/>
        <v/>
      </c>
      <c r="OG27" s="36" t="str">
        <f t="shared" si="161"/>
        <v/>
      </c>
      <c r="OH27" s="36" t="str">
        <f t="shared" si="162"/>
        <v/>
      </c>
      <c r="OI27" s="36" t="str">
        <f t="shared" si="163"/>
        <v/>
      </c>
      <c r="OJ27" s="36" t="str">
        <f t="shared" si="164"/>
        <v/>
      </c>
      <c r="OK27" s="36" t="str">
        <f t="shared" si="165"/>
        <v/>
      </c>
      <c r="OL27" s="36" t="str">
        <f t="shared" si="166"/>
        <v/>
      </c>
      <c r="OM27" s="36" t="str">
        <f t="shared" si="167"/>
        <v/>
      </c>
      <c r="ON27" s="36" t="str">
        <f t="shared" si="168"/>
        <v/>
      </c>
      <c r="OO27" s="16"/>
      <c r="OP27" s="16"/>
      <c r="OQ27" s="16"/>
      <c r="OR27" s="16"/>
      <c r="OS27" s="16"/>
      <c r="OT27" s="16"/>
      <c r="OU27" s="16"/>
      <c r="OV27" s="16"/>
      <c r="OW27" s="16"/>
      <c r="OX27" s="16"/>
      <c r="OY27" s="16"/>
      <c r="OZ27" s="16"/>
      <c r="PA27" s="16"/>
      <c r="PB27" s="16"/>
      <c r="PC27" s="16"/>
      <c r="PD27" s="16"/>
      <c r="PE27" s="16"/>
      <c r="PF27" s="16"/>
      <c r="PG27" s="16"/>
      <c r="PH27" s="16"/>
      <c r="PI27" s="11" t="str">
        <f t="shared" si="169"/>
        <v/>
      </c>
      <c r="PJ27" s="11" t="str">
        <f t="shared" si="170"/>
        <v/>
      </c>
      <c r="PK27" s="11" t="str">
        <f t="shared" si="171"/>
        <v/>
      </c>
      <c r="PL27" s="11" t="str">
        <f t="shared" si="172"/>
        <v/>
      </c>
      <c r="PM27" s="11" t="str">
        <f t="shared" si="173"/>
        <v/>
      </c>
      <c r="PN27" s="11" t="str">
        <f t="shared" si="174"/>
        <v/>
      </c>
      <c r="PO27" s="11" t="str">
        <f t="shared" si="175"/>
        <v/>
      </c>
      <c r="PP27" s="11" t="str">
        <f t="shared" si="176"/>
        <v/>
      </c>
      <c r="PQ27" s="11" t="str">
        <f t="shared" si="177"/>
        <v/>
      </c>
      <c r="PR27" s="11" t="str">
        <f t="shared" si="178"/>
        <v/>
      </c>
      <c r="PS27" s="11" t="str">
        <f t="shared" si="179"/>
        <v/>
      </c>
      <c r="PT27" s="11" t="str">
        <f t="shared" si="180"/>
        <v/>
      </c>
      <c r="PU27" s="11" t="str">
        <f t="shared" si="181"/>
        <v/>
      </c>
      <c r="PV27" s="11" t="str">
        <f t="shared" si="182"/>
        <v/>
      </c>
      <c r="PW27" s="15"/>
      <c r="PX27" s="15"/>
      <c r="PY27" s="15"/>
      <c r="PZ27" s="15"/>
      <c r="QA27" s="15"/>
      <c r="QB27" s="15"/>
      <c r="QC27" s="15"/>
      <c r="QD27" s="15"/>
      <c r="QE27" s="15"/>
      <c r="QF27" s="15"/>
      <c r="QG27" s="15"/>
      <c r="QH27" s="15"/>
      <c r="QI27" s="15"/>
      <c r="QJ27" s="15"/>
      <c r="QK27" s="15"/>
      <c r="QL27" s="15"/>
      <c r="QM27" s="15"/>
      <c r="QN27" s="15"/>
      <c r="QO27" s="15"/>
      <c r="QP27" s="15"/>
      <c r="QQ27" s="36" t="str">
        <f t="shared" si="183"/>
        <v/>
      </c>
      <c r="QR27" s="36" t="str">
        <f t="shared" si="184"/>
        <v/>
      </c>
      <c r="QS27" s="36" t="str">
        <f t="shared" si="185"/>
        <v/>
      </c>
      <c r="QT27" s="36" t="str">
        <f t="shared" si="186"/>
        <v/>
      </c>
      <c r="QU27" s="36" t="str">
        <f t="shared" si="187"/>
        <v/>
      </c>
      <c r="QV27" s="36" t="str">
        <f t="shared" si="188"/>
        <v/>
      </c>
      <c r="QW27" s="36" t="str">
        <f t="shared" si="189"/>
        <v/>
      </c>
      <c r="QX27" s="36" t="str">
        <f t="shared" si="190"/>
        <v/>
      </c>
      <c r="QY27" s="36" t="str">
        <f t="shared" si="191"/>
        <v/>
      </c>
      <c r="QZ27" s="36" t="str">
        <f t="shared" si="192"/>
        <v/>
      </c>
      <c r="RA27" s="36" t="str">
        <f t="shared" si="193"/>
        <v/>
      </c>
      <c r="RB27" s="36" t="str">
        <f t="shared" si="194"/>
        <v/>
      </c>
      <c r="RC27" s="36" t="str">
        <f t="shared" si="195"/>
        <v/>
      </c>
      <c r="RD27" s="36" t="str">
        <f t="shared" si="196"/>
        <v/>
      </c>
      <c r="RE27" s="16"/>
      <c r="RF27" s="16"/>
      <c r="RG27" s="16"/>
      <c r="RH27" s="16"/>
      <c r="RI27" s="16"/>
      <c r="RJ27" s="16"/>
      <c r="RK27" s="16"/>
      <c r="RL27" s="16"/>
      <c r="RM27" s="16"/>
      <c r="RN27" s="16"/>
      <c r="RO27" s="16"/>
      <c r="RP27" s="16"/>
      <c r="RQ27" s="16"/>
      <c r="RR27" s="16"/>
      <c r="RS27" s="16"/>
      <c r="RT27" s="16"/>
      <c r="RU27" s="16"/>
      <c r="RV27" s="16"/>
      <c r="RW27" s="16"/>
      <c r="RX27" s="16"/>
      <c r="RY27" s="11" t="str">
        <f t="shared" si="197"/>
        <v/>
      </c>
      <c r="RZ27" s="11" t="str">
        <f t="shared" si="198"/>
        <v/>
      </c>
      <c r="SA27" s="11" t="str">
        <f t="shared" si="199"/>
        <v/>
      </c>
      <c r="SB27" s="11" t="str">
        <f t="shared" si="200"/>
        <v/>
      </c>
      <c r="SC27" s="11" t="str">
        <f t="shared" si="201"/>
        <v/>
      </c>
      <c r="SD27" s="11" t="str">
        <f t="shared" si="202"/>
        <v/>
      </c>
      <c r="SE27" s="11" t="str">
        <f t="shared" si="203"/>
        <v/>
      </c>
      <c r="SF27" s="11" t="str">
        <f t="shared" si="204"/>
        <v/>
      </c>
      <c r="SG27" s="11" t="str">
        <f t="shared" si="205"/>
        <v/>
      </c>
      <c r="SH27" s="11" t="str">
        <f t="shared" si="206"/>
        <v/>
      </c>
      <c r="SI27" s="11" t="str">
        <f t="shared" si="207"/>
        <v/>
      </c>
      <c r="SJ27" s="11" t="str">
        <f t="shared" si="208"/>
        <v/>
      </c>
      <c r="SK27" s="11" t="str">
        <f t="shared" si="209"/>
        <v/>
      </c>
      <c r="SL27" s="11" t="str">
        <f t="shared" si="210"/>
        <v/>
      </c>
      <c r="SM27" s="15"/>
      <c r="SN27" s="15"/>
      <c r="SO27" s="15"/>
      <c r="SP27" s="15"/>
      <c r="SQ27" s="15"/>
      <c r="SR27" s="15"/>
      <c r="SS27" s="15"/>
      <c r="ST27" s="15"/>
      <c r="SU27" s="15"/>
      <c r="SV27" s="15"/>
      <c r="SW27" s="15"/>
      <c r="SX27" s="15"/>
      <c r="SY27" s="15"/>
      <c r="SZ27" s="15"/>
      <c r="TA27" s="15"/>
      <c r="TB27" s="15"/>
      <c r="TC27" s="15"/>
      <c r="TD27" s="15"/>
      <c r="TE27" s="15"/>
      <c r="TF27" s="15"/>
      <c r="TG27" s="36" t="str">
        <f t="shared" si="211"/>
        <v/>
      </c>
      <c r="TH27" s="36" t="str">
        <f t="shared" si="212"/>
        <v/>
      </c>
      <c r="TI27" s="36" t="str">
        <f t="shared" si="213"/>
        <v/>
      </c>
      <c r="TJ27" s="36" t="str">
        <f t="shared" si="214"/>
        <v/>
      </c>
      <c r="TK27" s="36" t="str">
        <f t="shared" si="215"/>
        <v/>
      </c>
      <c r="TL27" s="36" t="str">
        <f t="shared" si="216"/>
        <v/>
      </c>
      <c r="TM27" s="36" t="str">
        <f t="shared" si="217"/>
        <v/>
      </c>
      <c r="TN27" s="36" t="str">
        <f t="shared" si="218"/>
        <v/>
      </c>
      <c r="TO27" s="36" t="str">
        <f t="shared" si="219"/>
        <v/>
      </c>
      <c r="TP27" s="36" t="str">
        <f t="shared" si="220"/>
        <v/>
      </c>
      <c r="TQ27" s="36" t="str">
        <f t="shared" si="221"/>
        <v/>
      </c>
      <c r="TR27" s="36" t="str">
        <f t="shared" si="222"/>
        <v/>
      </c>
      <c r="TS27" s="36" t="str">
        <f t="shared" si="223"/>
        <v/>
      </c>
      <c r="TT27" s="36" t="str">
        <f t="shared" si="224"/>
        <v/>
      </c>
      <c r="TU27" s="16"/>
      <c r="TV27" s="16"/>
      <c r="TW27" s="16"/>
      <c r="TX27" s="16"/>
      <c r="TY27" s="16"/>
      <c r="TZ27" s="16"/>
      <c r="UA27" s="16"/>
      <c r="UB27" s="16"/>
      <c r="UC27" s="16"/>
      <c r="UD27" s="16"/>
      <c r="UE27" s="16"/>
      <c r="UF27" s="16"/>
      <c r="UG27" s="16"/>
      <c r="UH27" s="16"/>
      <c r="UI27" s="16"/>
      <c r="UJ27" s="16"/>
      <c r="UK27" s="16"/>
      <c r="UL27" s="16"/>
      <c r="UM27" s="16"/>
      <c r="UN27" s="16"/>
      <c r="UO27" s="11" t="str">
        <f t="shared" si="225"/>
        <v/>
      </c>
      <c r="UP27" s="11" t="str">
        <f t="shared" si="226"/>
        <v/>
      </c>
      <c r="UQ27" s="11" t="str">
        <f t="shared" si="227"/>
        <v/>
      </c>
      <c r="UR27" s="11" t="str">
        <f t="shared" si="228"/>
        <v/>
      </c>
      <c r="US27" s="11" t="str">
        <f t="shared" si="229"/>
        <v/>
      </c>
      <c r="UT27" s="11" t="str">
        <f t="shared" si="230"/>
        <v/>
      </c>
      <c r="UU27" s="11" t="str">
        <f t="shared" si="231"/>
        <v/>
      </c>
      <c r="UV27" s="11" t="str">
        <f t="shared" si="232"/>
        <v/>
      </c>
      <c r="UW27" s="11" t="str">
        <f t="shared" si="233"/>
        <v/>
      </c>
      <c r="UX27" s="11" t="str">
        <f t="shared" si="234"/>
        <v/>
      </c>
      <c r="UY27" s="11" t="str">
        <f t="shared" si="235"/>
        <v/>
      </c>
      <c r="UZ27" s="11" t="str">
        <f t="shared" si="236"/>
        <v/>
      </c>
      <c r="VA27" s="11" t="str">
        <f t="shared" si="237"/>
        <v/>
      </c>
      <c r="VB27" s="11" t="str">
        <f t="shared" si="238"/>
        <v/>
      </c>
      <c r="VC27" s="15"/>
      <c r="VD27" s="15"/>
      <c r="VE27" s="15"/>
      <c r="VF27" s="15"/>
      <c r="VG27" s="15"/>
      <c r="VH27" s="15"/>
      <c r="VI27" s="15"/>
      <c r="VJ27" s="15"/>
      <c r="VK27" s="15"/>
      <c r="VL27" s="15"/>
      <c r="VM27" s="15"/>
      <c r="VN27" s="15"/>
      <c r="VO27" s="15"/>
      <c r="VP27" s="15"/>
      <c r="VQ27" s="15"/>
      <c r="VR27" s="15"/>
      <c r="VS27" s="15"/>
      <c r="VT27" s="15"/>
      <c r="VU27" s="15"/>
      <c r="VV27" s="15"/>
      <c r="VW27" s="36" t="str">
        <f t="shared" si="239"/>
        <v/>
      </c>
      <c r="VX27" s="36" t="str">
        <f t="shared" si="240"/>
        <v/>
      </c>
      <c r="VY27" s="36" t="str">
        <f t="shared" si="241"/>
        <v/>
      </c>
      <c r="VZ27" s="36" t="str">
        <f t="shared" si="242"/>
        <v/>
      </c>
      <c r="WA27" s="36" t="str">
        <f t="shared" si="243"/>
        <v/>
      </c>
      <c r="WB27" s="36" t="str">
        <f t="shared" si="244"/>
        <v/>
      </c>
      <c r="WC27" s="36" t="str">
        <f t="shared" si="245"/>
        <v/>
      </c>
      <c r="WD27" s="36" t="str">
        <f t="shared" si="246"/>
        <v/>
      </c>
      <c r="WE27" s="36" t="str">
        <f t="shared" si="247"/>
        <v/>
      </c>
      <c r="WF27" s="36" t="str">
        <f t="shared" si="248"/>
        <v/>
      </c>
      <c r="WG27" s="36" t="str">
        <f t="shared" si="249"/>
        <v/>
      </c>
      <c r="WH27" s="36" t="str">
        <f t="shared" si="250"/>
        <v/>
      </c>
      <c r="WI27" s="36" t="str">
        <f t="shared" si="251"/>
        <v/>
      </c>
      <c r="WJ27" s="36" t="str">
        <f t="shared" si="252"/>
        <v/>
      </c>
    </row>
    <row r="28" spans="1:608" x14ac:dyDescent="0.2">
      <c r="B28" s="5"/>
      <c r="D28" s="1"/>
    </row>
    <row r="29" spans="1:608" x14ac:dyDescent="0.2">
      <c r="G29" s="32"/>
      <c r="I29" s="32"/>
    </row>
    <row r="30" spans="1:608" x14ac:dyDescent="0.2">
      <c r="B30" s="19" t="s">
        <v>40</v>
      </c>
      <c r="C30" s="5"/>
      <c r="G30" s="3"/>
      <c r="AJ30" s="37"/>
      <c r="AK30" s="37"/>
      <c r="AL30" s="37"/>
      <c r="AN30" s="28"/>
      <c r="AO30" s="28"/>
      <c r="AQ30" s="38">
        <v>14.5</v>
      </c>
      <c r="BK30" s="37"/>
      <c r="BL30" s="37"/>
      <c r="BM30" s="37"/>
      <c r="BO30" s="28"/>
      <c r="BP30" s="28"/>
      <c r="BR30" s="38">
        <v>14.5</v>
      </c>
      <c r="CL30" s="37"/>
      <c r="CM30" s="37"/>
      <c r="CN30" s="37"/>
      <c r="CP30" s="28"/>
      <c r="CQ30" s="28"/>
      <c r="CS30" s="38">
        <v>14.5</v>
      </c>
      <c r="DO30" s="5"/>
      <c r="DP30" s="5"/>
      <c r="DY30" s="2"/>
      <c r="DZ30" s="2"/>
      <c r="EB30" s="38">
        <v>14.5</v>
      </c>
      <c r="EW30" s="5"/>
      <c r="EX30" s="5"/>
      <c r="FG30" s="2"/>
      <c r="FH30" s="2"/>
      <c r="FJ30" s="38">
        <v>14.5</v>
      </c>
      <c r="GE30" s="5"/>
      <c r="GF30" s="5"/>
      <c r="GO30" s="2"/>
      <c r="GP30" s="2"/>
      <c r="GR30" s="38">
        <v>14.5</v>
      </c>
      <c r="HM30" s="5"/>
      <c r="HN30" s="5"/>
      <c r="HW30" s="2"/>
      <c r="HX30" s="2"/>
      <c r="HZ30" s="38">
        <v>14.5</v>
      </c>
      <c r="IU30" s="5"/>
      <c r="IV30" s="5"/>
      <c r="JE30" s="2"/>
      <c r="JF30" s="2"/>
      <c r="JH30" s="38">
        <v>14.5</v>
      </c>
      <c r="KC30" s="5"/>
      <c r="KD30" s="5"/>
      <c r="KM30" s="2"/>
      <c r="KN30" s="2"/>
      <c r="KP30" s="38">
        <v>14.5</v>
      </c>
      <c r="LK30" s="5"/>
      <c r="LL30" s="5"/>
      <c r="LU30" s="2"/>
      <c r="LV30" s="2"/>
      <c r="LX30" s="38">
        <v>14.5</v>
      </c>
      <c r="MS30" s="5"/>
      <c r="MT30" s="5"/>
      <c r="NC30" s="2"/>
      <c r="ND30" s="2"/>
      <c r="NF30" s="38">
        <v>14.5</v>
      </c>
      <c r="OA30" s="5"/>
      <c r="OB30" s="5"/>
      <c r="OK30" s="2"/>
      <c r="OL30" s="2"/>
      <c r="ON30" s="38">
        <v>15.1</v>
      </c>
      <c r="PI30" s="5"/>
      <c r="PJ30" s="5"/>
      <c r="PS30" s="2"/>
      <c r="PT30" s="2"/>
      <c r="PV30" s="38">
        <v>15.1</v>
      </c>
      <c r="QQ30" s="5"/>
      <c r="QR30" s="5"/>
      <c r="RA30" s="2"/>
      <c r="RB30" s="2"/>
      <c r="RD30" s="38">
        <v>15.1</v>
      </c>
      <c r="RY30" s="5"/>
      <c r="RZ30" s="5"/>
      <c r="SI30" s="2"/>
      <c r="SJ30" s="2"/>
      <c r="SL30" s="38">
        <v>15.1</v>
      </c>
      <c r="TG30" s="5"/>
      <c r="TH30" s="5"/>
      <c r="TQ30" s="2"/>
      <c r="TR30" s="2"/>
      <c r="TT30" s="38">
        <v>15.1</v>
      </c>
      <c r="UO30" s="5"/>
      <c r="UP30" s="5"/>
      <c r="UY30" s="2"/>
      <c r="UZ30" s="2"/>
      <c r="VB30" s="38">
        <v>15.1</v>
      </c>
      <c r="VW30" s="5"/>
      <c r="VX30" s="5"/>
      <c r="WG30" s="2"/>
      <c r="WH30" s="2"/>
      <c r="WJ30" s="38">
        <v>15.1</v>
      </c>
    </row>
    <row r="31" spans="1:608" hidden="1" x14ac:dyDescent="0.2">
      <c r="B31" s="26" t="s">
        <v>39</v>
      </c>
      <c r="C31" s="5"/>
      <c r="P31" s="2"/>
      <c r="AJ31" s="37"/>
      <c r="AK31" s="37"/>
      <c r="AL31" s="37"/>
      <c r="AN31" s="28"/>
      <c r="AO31" s="28"/>
      <c r="AQ31" s="39">
        <v>1000</v>
      </c>
      <c r="BK31" s="37"/>
      <c r="BL31" s="37"/>
      <c r="BM31" s="37"/>
      <c r="BO31" s="28"/>
      <c r="BP31" s="28"/>
      <c r="BR31" s="39">
        <v>1000</v>
      </c>
      <c r="CL31" s="37"/>
      <c r="CM31" s="37"/>
      <c r="CN31" s="37"/>
      <c r="CP31" s="28"/>
      <c r="CQ31" s="28"/>
      <c r="CS31" s="39">
        <v>1000</v>
      </c>
      <c r="DO31" s="5"/>
      <c r="DP31" s="5"/>
      <c r="DY31" s="2"/>
      <c r="DZ31" s="2"/>
      <c r="EB31" s="39">
        <v>1000</v>
      </c>
      <c r="EW31" s="5"/>
      <c r="EX31" s="5"/>
      <c r="FG31" s="2"/>
      <c r="FH31" s="2"/>
      <c r="FJ31" s="39">
        <v>1000</v>
      </c>
      <c r="GE31" s="5"/>
      <c r="GF31" s="5"/>
      <c r="GO31" s="2"/>
      <c r="GP31" s="2"/>
      <c r="GR31" s="39">
        <v>1000</v>
      </c>
      <c r="HM31" s="5"/>
      <c r="HN31" s="5"/>
      <c r="HW31" s="2"/>
      <c r="HX31" s="2"/>
      <c r="HZ31" s="39">
        <v>1000</v>
      </c>
      <c r="IU31" s="5"/>
      <c r="IV31" s="5"/>
      <c r="JE31" s="2"/>
      <c r="JF31" s="2"/>
      <c r="JH31" s="39">
        <v>1000</v>
      </c>
      <c r="KC31" s="5"/>
      <c r="KD31" s="5"/>
      <c r="KM31" s="2"/>
      <c r="KN31" s="2"/>
      <c r="KP31" s="39">
        <v>1000</v>
      </c>
      <c r="LK31" s="5"/>
      <c r="LL31" s="5"/>
      <c r="LU31" s="2"/>
      <c r="LV31" s="2"/>
      <c r="LX31" s="39">
        <v>1000</v>
      </c>
      <c r="MS31" s="5"/>
      <c r="MT31" s="5"/>
      <c r="NC31" s="2"/>
      <c r="ND31" s="2"/>
      <c r="NF31" s="39">
        <v>1000</v>
      </c>
      <c r="OA31" s="5"/>
      <c r="OB31" s="5"/>
      <c r="OK31" s="2"/>
      <c r="OL31" s="2"/>
      <c r="ON31" s="39">
        <v>1000</v>
      </c>
      <c r="PI31" s="5"/>
      <c r="PJ31" s="5"/>
      <c r="PS31" s="2"/>
      <c r="PT31" s="2"/>
      <c r="PV31" s="39">
        <v>1000</v>
      </c>
      <c r="QQ31" s="5"/>
      <c r="QR31" s="5"/>
      <c r="RA31" s="2"/>
      <c r="RB31" s="2"/>
      <c r="RD31" s="39">
        <v>1000</v>
      </c>
      <c r="RY31" s="5"/>
      <c r="RZ31" s="5"/>
      <c r="SI31" s="2"/>
      <c r="SJ31" s="2"/>
      <c r="SL31" s="39">
        <v>1000</v>
      </c>
      <c r="TG31" s="5"/>
      <c r="TH31" s="5"/>
      <c r="TQ31" s="2"/>
      <c r="TR31" s="2"/>
      <c r="TT31" s="39">
        <v>1000</v>
      </c>
      <c r="UO31" s="5"/>
      <c r="UP31" s="5"/>
      <c r="UY31" s="2"/>
      <c r="UZ31" s="2"/>
      <c r="VB31" s="39">
        <v>1000</v>
      </c>
      <c r="VW31" s="5"/>
      <c r="VX31" s="5"/>
      <c r="WG31" s="2"/>
      <c r="WH31" s="2"/>
      <c r="WJ31" s="39">
        <v>1000</v>
      </c>
    </row>
    <row r="32" spans="1:608" hidden="1" x14ac:dyDescent="0.2">
      <c r="A32" s="5"/>
      <c r="B32" s="27" t="s">
        <v>50</v>
      </c>
      <c r="C32" s="5"/>
      <c r="E32" s="2"/>
      <c r="AJ32" s="37"/>
      <c r="AK32" s="37"/>
      <c r="AL32" s="37"/>
      <c r="AM32" s="28"/>
      <c r="AN32" s="28"/>
      <c r="AO32" s="28"/>
      <c r="AP32" s="28"/>
      <c r="AQ32" s="40">
        <v>1000</v>
      </c>
      <c r="BK32" s="37"/>
      <c r="BL32" s="37"/>
      <c r="BM32" s="37"/>
      <c r="BO32" s="28"/>
      <c r="BP32" s="28"/>
      <c r="BR32" s="40">
        <v>1000</v>
      </c>
      <c r="CL32" s="37"/>
      <c r="CM32" s="37"/>
      <c r="CN32" s="37"/>
      <c r="CO32" s="28"/>
      <c r="CP32" s="28"/>
      <c r="CQ32" s="28"/>
      <c r="CR32" s="28"/>
      <c r="CS32" s="40">
        <v>1000</v>
      </c>
      <c r="DO32" s="5"/>
      <c r="DP32" s="5"/>
      <c r="DY32" s="2"/>
      <c r="DZ32" s="2"/>
      <c r="EB32" s="40">
        <v>1000</v>
      </c>
      <c r="EW32" s="5"/>
      <c r="EX32" s="5"/>
      <c r="FG32" s="2"/>
      <c r="FH32" s="2"/>
      <c r="FJ32" s="40">
        <v>1000</v>
      </c>
      <c r="GE32" s="5"/>
      <c r="GF32" s="5"/>
      <c r="GO32" s="2"/>
      <c r="GP32" s="2"/>
      <c r="GR32" s="40">
        <v>1000</v>
      </c>
      <c r="HM32" s="5"/>
      <c r="HN32" s="5"/>
      <c r="HW32" s="2"/>
      <c r="HX32" s="2"/>
      <c r="HZ32" s="40">
        <v>1000</v>
      </c>
      <c r="IU32" s="5"/>
      <c r="IV32" s="5"/>
      <c r="JE32" s="2"/>
      <c r="JF32" s="2"/>
      <c r="JH32" s="40">
        <v>1000</v>
      </c>
      <c r="KC32" s="5"/>
      <c r="KD32" s="5"/>
      <c r="KM32" s="2"/>
      <c r="KN32" s="2"/>
      <c r="KP32" s="40">
        <v>1000</v>
      </c>
      <c r="LK32" s="5"/>
      <c r="LL32" s="5"/>
      <c r="LU32" s="2"/>
      <c r="LV32" s="2"/>
      <c r="LX32" s="40">
        <v>1000</v>
      </c>
      <c r="MS32" s="5"/>
      <c r="MT32" s="5"/>
      <c r="NC32" s="2"/>
      <c r="ND32" s="2"/>
      <c r="NF32" s="40">
        <v>1000</v>
      </c>
      <c r="OA32" s="5"/>
      <c r="OB32" s="5"/>
      <c r="OK32" s="2"/>
      <c r="OL32" s="2"/>
      <c r="ON32" s="40">
        <v>1000</v>
      </c>
      <c r="PI32" s="5"/>
      <c r="PJ32" s="5"/>
      <c r="PS32" s="2"/>
      <c r="PT32" s="2"/>
      <c r="PV32" s="40">
        <v>1000</v>
      </c>
      <c r="QQ32" s="5"/>
      <c r="QR32" s="5"/>
      <c r="RA32" s="2"/>
      <c r="RB32" s="2"/>
      <c r="RD32" s="40">
        <v>1000</v>
      </c>
      <c r="RY32" s="5"/>
      <c r="RZ32" s="5"/>
      <c r="SI32" s="2"/>
      <c r="SJ32" s="2"/>
      <c r="SL32" s="40">
        <v>1000</v>
      </c>
      <c r="TG32" s="5"/>
      <c r="TH32" s="5"/>
      <c r="TQ32" s="2"/>
      <c r="TR32" s="2"/>
      <c r="TT32" s="40">
        <v>1000</v>
      </c>
      <c r="UO32" s="5"/>
      <c r="UP32" s="5"/>
      <c r="UY32" s="2"/>
      <c r="UZ32" s="2"/>
      <c r="VB32" s="40">
        <v>1000</v>
      </c>
      <c r="VW32" s="5"/>
      <c r="VX32" s="5"/>
      <c r="WG32" s="2"/>
      <c r="WH32" s="2"/>
      <c r="WJ32" s="40">
        <v>1000</v>
      </c>
    </row>
    <row r="33" spans="1:608" hidden="1" x14ac:dyDescent="0.2">
      <c r="A33" s="5"/>
      <c r="B33" s="31" t="s">
        <v>57</v>
      </c>
      <c r="C33" s="5"/>
      <c r="E33" s="2"/>
      <c r="AJ33" s="37"/>
      <c r="AK33" s="37"/>
      <c r="AL33" s="37"/>
      <c r="AM33" s="28"/>
      <c r="AN33" s="28"/>
      <c r="AO33" s="28"/>
      <c r="AP33" s="28"/>
      <c r="AQ33" s="41">
        <v>1000</v>
      </c>
      <c r="BK33" s="37"/>
      <c r="BL33" s="37"/>
      <c r="BM33" s="37"/>
      <c r="BO33" s="28"/>
      <c r="BP33" s="28"/>
      <c r="BR33" s="41">
        <v>1000</v>
      </c>
      <c r="CL33" s="37"/>
      <c r="CM33" s="37"/>
      <c r="CN33" s="37"/>
      <c r="CO33" s="28"/>
      <c r="CP33" s="28"/>
      <c r="CQ33" s="28"/>
      <c r="CR33" s="28"/>
      <c r="CS33" s="41">
        <v>1000</v>
      </c>
      <c r="DO33" s="5"/>
      <c r="DP33" s="5"/>
      <c r="DY33" s="2"/>
      <c r="DZ33" s="2"/>
      <c r="EB33" s="41">
        <v>1000</v>
      </c>
      <c r="EW33" s="5"/>
      <c r="EX33" s="5"/>
      <c r="FG33" s="2"/>
      <c r="FH33" s="2"/>
      <c r="FJ33" s="41">
        <v>1000</v>
      </c>
      <c r="GE33" s="5"/>
      <c r="GF33" s="5"/>
      <c r="GO33" s="2"/>
      <c r="GP33" s="2"/>
      <c r="GR33" s="41">
        <v>1000</v>
      </c>
      <c r="HM33" s="5"/>
      <c r="HN33" s="5"/>
      <c r="HW33" s="2"/>
      <c r="HX33" s="2"/>
      <c r="HZ33" s="41">
        <v>1000</v>
      </c>
      <c r="IU33" s="5"/>
      <c r="IV33" s="5"/>
      <c r="JE33" s="2"/>
      <c r="JF33" s="2"/>
      <c r="JH33" s="41">
        <v>1000</v>
      </c>
      <c r="KC33" s="5"/>
      <c r="KD33" s="5"/>
      <c r="KM33" s="2"/>
      <c r="KN33" s="2"/>
      <c r="KP33" s="41">
        <v>1000</v>
      </c>
      <c r="LK33" s="5"/>
      <c r="LL33" s="5"/>
      <c r="LU33" s="2"/>
      <c r="LV33" s="2"/>
      <c r="LX33" s="41">
        <v>1000</v>
      </c>
      <c r="MS33" s="5"/>
      <c r="MT33" s="5"/>
      <c r="NC33" s="2"/>
      <c r="ND33" s="2"/>
      <c r="NF33" s="41">
        <v>1000</v>
      </c>
      <c r="OA33" s="5"/>
      <c r="OB33" s="5"/>
      <c r="OK33" s="2"/>
      <c r="OL33" s="2"/>
      <c r="ON33" s="41">
        <v>1000</v>
      </c>
      <c r="PI33" s="5"/>
      <c r="PJ33" s="5"/>
      <c r="PS33" s="2"/>
      <c r="PT33" s="2"/>
      <c r="PV33" s="41">
        <v>1000</v>
      </c>
      <c r="QQ33" s="5"/>
      <c r="QR33" s="5"/>
      <c r="RA33" s="2"/>
      <c r="RB33" s="2"/>
      <c r="RD33" s="41">
        <v>1000</v>
      </c>
      <c r="RY33" s="5"/>
      <c r="RZ33" s="5"/>
      <c r="SI33" s="2"/>
      <c r="SJ33" s="2"/>
      <c r="SL33" s="41">
        <v>1000</v>
      </c>
      <c r="TG33" s="5"/>
      <c r="TH33" s="5"/>
      <c r="TQ33" s="2"/>
      <c r="TR33" s="2"/>
      <c r="TT33" s="41">
        <v>1000</v>
      </c>
      <c r="UO33" s="5"/>
      <c r="UP33" s="5"/>
      <c r="UY33" s="2"/>
      <c r="UZ33" s="2"/>
      <c r="VB33" s="41">
        <v>1000</v>
      </c>
      <c r="VW33" s="5"/>
      <c r="VX33" s="5"/>
      <c r="WG33" s="2"/>
      <c r="WH33" s="2"/>
      <c r="WJ33" s="41">
        <v>1000</v>
      </c>
    </row>
    <row r="34" spans="1:608" x14ac:dyDescent="0.2">
      <c r="A34" s="5"/>
      <c r="B34" s="30" t="s">
        <v>37</v>
      </c>
      <c r="C34" s="5"/>
      <c r="AJ34" s="37"/>
      <c r="AK34" s="37"/>
      <c r="AL34" s="37"/>
      <c r="AM34" s="28"/>
      <c r="AN34" s="28"/>
      <c r="AO34" s="28"/>
      <c r="AP34" s="28"/>
      <c r="AQ34" s="42">
        <v>54</v>
      </c>
      <c r="BK34" s="37"/>
      <c r="BL34" s="37"/>
      <c r="BM34" s="37"/>
      <c r="BO34" s="28"/>
      <c r="BP34" s="28"/>
      <c r="BR34" s="42">
        <v>54</v>
      </c>
      <c r="CL34" s="37"/>
      <c r="CM34" s="37"/>
      <c r="CN34" s="37"/>
      <c r="CO34" s="28"/>
      <c r="CP34" s="28"/>
      <c r="CQ34" s="28"/>
      <c r="CR34" s="28"/>
      <c r="CS34" s="42">
        <v>54</v>
      </c>
      <c r="DO34" s="5"/>
      <c r="DP34" s="5"/>
      <c r="DY34" s="2"/>
      <c r="DZ34" s="2"/>
      <c r="EB34" s="42">
        <v>54</v>
      </c>
      <c r="EW34" s="5"/>
      <c r="EX34" s="5"/>
      <c r="FG34" s="2"/>
      <c r="FH34" s="2"/>
      <c r="FJ34" s="42">
        <v>54</v>
      </c>
      <c r="GE34" s="5"/>
      <c r="GF34" s="5"/>
      <c r="GO34" s="2"/>
      <c r="GP34" s="2"/>
      <c r="GR34" s="42">
        <v>54</v>
      </c>
      <c r="HM34" s="5"/>
      <c r="HN34" s="5"/>
      <c r="HW34" s="2"/>
      <c r="HX34" s="2"/>
      <c r="HZ34" s="42">
        <v>54</v>
      </c>
      <c r="IU34" s="5"/>
      <c r="IV34" s="5"/>
      <c r="JE34" s="2"/>
      <c r="JF34" s="2"/>
      <c r="JH34" s="42">
        <v>54</v>
      </c>
      <c r="KC34" s="5"/>
      <c r="KD34" s="5"/>
      <c r="KM34" s="2"/>
      <c r="KN34" s="2"/>
      <c r="KP34" s="42">
        <v>54</v>
      </c>
      <c r="LK34" s="5"/>
      <c r="LL34" s="5"/>
      <c r="LU34" s="2"/>
      <c r="LV34" s="2"/>
      <c r="LX34" s="42">
        <v>54</v>
      </c>
      <c r="MS34" s="5"/>
      <c r="MT34" s="5"/>
      <c r="NC34" s="2"/>
      <c r="ND34" s="2"/>
      <c r="NF34" s="42">
        <v>54</v>
      </c>
      <c r="OA34" s="5"/>
      <c r="OB34" s="5"/>
      <c r="OK34" s="2"/>
      <c r="OL34" s="2"/>
      <c r="ON34" s="42">
        <v>54.5</v>
      </c>
      <c r="PI34" s="5"/>
      <c r="PJ34" s="5"/>
      <c r="PS34" s="2"/>
      <c r="PT34" s="2"/>
      <c r="PV34" s="42">
        <v>54.5</v>
      </c>
      <c r="QQ34" s="5"/>
      <c r="QR34" s="5"/>
      <c r="RA34" s="2"/>
      <c r="RB34" s="2"/>
      <c r="RD34" s="42">
        <v>54.5</v>
      </c>
      <c r="RY34" s="5"/>
      <c r="RZ34" s="5"/>
      <c r="SI34" s="2"/>
      <c r="SJ34" s="2"/>
      <c r="SL34" s="42">
        <v>54.5</v>
      </c>
      <c r="TG34" s="5"/>
      <c r="TH34" s="5"/>
      <c r="TQ34" s="2"/>
      <c r="TR34" s="2"/>
      <c r="TT34" s="42">
        <v>54.5</v>
      </c>
      <c r="UO34" s="5"/>
      <c r="UP34" s="5"/>
      <c r="UY34" s="2"/>
      <c r="UZ34" s="2"/>
      <c r="VB34" s="42">
        <v>54.5</v>
      </c>
      <c r="VW34" s="5"/>
      <c r="VX34" s="5"/>
      <c r="WG34" s="2"/>
      <c r="WH34" s="2"/>
      <c r="WJ34" s="42">
        <v>54.5</v>
      </c>
    </row>
    <row r="35" spans="1:608" hidden="1" x14ac:dyDescent="0.2">
      <c r="A35" s="5"/>
      <c r="B35" s="20" t="s">
        <v>38</v>
      </c>
      <c r="C35" s="5"/>
      <c r="AJ35" s="37"/>
      <c r="AK35" s="37"/>
      <c r="AL35" s="37"/>
      <c r="AM35" s="28"/>
      <c r="AN35" s="28"/>
      <c r="AO35" s="28"/>
      <c r="AP35" s="28"/>
      <c r="AQ35" s="43">
        <v>1000</v>
      </c>
      <c r="BK35" s="37"/>
      <c r="BL35" s="37"/>
      <c r="BM35" s="37"/>
      <c r="BO35" s="28"/>
      <c r="BP35" s="28"/>
      <c r="BR35" s="43">
        <v>1000</v>
      </c>
      <c r="CL35" s="37"/>
      <c r="CM35" s="37"/>
      <c r="CN35" s="37"/>
      <c r="CO35" s="28"/>
      <c r="CP35" s="28"/>
      <c r="CQ35" s="28"/>
      <c r="CR35" s="28"/>
      <c r="CS35" s="43">
        <v>1000</v>
      </c>
      <c r="DO35" s="5"/>
      <c r="DP35" s="5"/>
      <c r="DY35" s="2"/>
      <c r="DZ35" s="2"/>
      <c r="EB35" s="43">
        <v>1000</v>
      </c>
      <c r="EW35" s="5"/>
      <c r="EX35" s="5"/>
      <c r="FG35" s="2"/>
      <c r="FH35" s="2"/>
      <c r="FJ35" s="43">
        <v>1000</v>
      </c>
      <c r="GE35" s="5"/>
      <c r="GF35" s="5"/>
      <c r="GO35" s="2"/>
      <c r="GP35" s="2"/>
      <c r="GR35" s="43">
        <v>1000</v>
      </c>
      <c r="HM35" s="5"/>
      <c r="HN35" s="5"/>
      <c r="HW35" s="2"/>
      <c r="HX35" s="2"/>
      <c r="HZ35" s="43">
        <v>1000</v>
      </c>
      <c r="IU35" s="5"/>
      <c r="IV35" s="5"/>
      <c r="JE35" s="2"/>
      <c r="JF35" s="2"/>
      <c r="JH35" s="43">
        <v>1000</v>
      </c>
      <c r="KC35" s="5"/>
      <c r="KD35" s="5"/>
      <c r="KM35" s="2"/>
      <c r="KN35" s="2"/>
      <c r="KP35" s="43">
        <v>1000</v>
      </c>
      <c r="LK35" s="5"/>
      <c r="LL35" s="5"/>
      <c r="LU35" s="2"/>
      <c r="LV35" s="2"/>
      <c r="LX35" s="43">
        <v>1000</v>
      </c>
      <c r="MS35" s="5"/>
      <c r="MT35" s="5"/>
      <c r="NC35" s="2"/>
      <c r="ND35" s="2"/>
      <c r="NF35" s="43">
        <v>1000</v>
      </c>
      <c r="OA35" s="5"/>
      <c r="OB35" s="5"/>
      <c r="OK35" s="2"/>
      <c r="OL35" s="2"/>
      <c r="ON35" s="43">
        <v>1000</v>
      </c>
      <c r="PI35" s="5"/>
      <c r="PJ35" s="5"/>
      <c r="PS35" s="2"/>
      <c r="PT35" s="2"/>
      <c r="PV35" s="43">
        <v>1000</v>
      </c>
      <c r="QQ35" s="5"/>
      <c r="QR35" s="5"/>
      <c r="RA35" s="2"/>
      <c r="RB35" s="2"/>
      <c r="RD35" s="43">
        <v>1000</v>
      </c>
      <c r="RY35" s="5"/>
      <c r="RZ35" s="5"/>
      <c r="SI35" s="2"/>
      <c r="SJ35" s="2"/>
      <c r="SL35" s="43">
        <v>1000</v>
      </c>
      <c r="TG35" s="5"/>
      <c r="TH35" s="5"/>
      <c r="TQ35" s="2"/>
      <c r="TR35" s="2"/>
      <c r="TT35" s="43">
        <v>1000</v>
      </c>
      <c r="UO35" s="5"/>
      <c r="UP35" s="5"/>
      <c r="UY35" s="2"/>
      <c r="UZ35" s="2"/>
      <c r="VB35" s="43">
        <v>1000</v>
      </c>
      <c r="VW35" s="5"/>
      <c r="VX35" s="5"/>
      <c r="WG35" s="2"/>
      <c r="WH35" s="2"/>
      <c r="WJ35" s="43">
        <v>1000</v>
      </c>
    </row>
    <row r="36" spans="1:608" hidden="1" x14ac:dyDescent="0.2">
      <c r="A36" s="5"/>
      <c r="B36" s="29" t="s">
        <v>49</v>
      </c>
      <c r="C36" s="5"/>
      <c r="AJ36" s="37"/>
      <c r="AK36" s="37"/>
      <c r="AL36" s="37"/>
      <c r="AM36" s="28"/>
      <c r="AN36" s="28"/>
      <c r="AO36" s="28"/>
      <c r="AP36" s="28"/>
      <c r="AQ36" s="44">
        <v>1000</v>
      </c>
      <c r="BK36" s="37"/>
      <c r="BL36" s="37"/>
      <c r="BM36" s="37"/>
      <c r="BO36" s="28"/>
      <c r="BP36" s="28"/>
      <c r="BR36" s="44">
        <v>1000</v>
      </c>
      <c r="CL36" s="37"/>
      <c r="CM36" s="37"/>
      <c r="CN36" s="37"/>
      <c r="CO36" s="28"/>
      <c r="CP36" s="28"/>
      <c r="CQ36" s="28"/>
      <c r="CR36" s="28"/>
      <c r="CS36" s="44">
        <v>1000</v>
      </c>
      <c r="DO36" s="5"/>
      <c r="DP36" s="5"/>
      <c r="DY36" s="2"/>
      <c r="DZ36" s="2"/>
      <c r="EA36" s="33"/>
      <c r="EB36" s="44">
        <v>1000</v>
      </c>
      <c r="EW36" s="5"/>
      <c r="EX36" s="5"/>
      <c r="FG36" s="2"/>
      <c r="FH36" s="2"/>
      <c r="FI36" s="33"/>
      <c r="FJ36" s="44">
        <v>1000</v>
      </c>
      <c r="GE36" s="5"/>
      <c r="GF36" s="5"/>
      <c r="GO36" s="2"/>
      <c r="GP36" s="2"/>
      <c r="GQ36" s="33"/>
      <c r="GR36" s="44">
        <v>1000</v>
      </c>
      <c r="HM36" s="5"/>
      <c r="HN36" s="5"/>
      <c r="HW36" s="2"/>
      <c r="HX36" s="2"/>
      <c r="HY36" s="33"/>
      <c r="HZ36" s="44">
        <v>1000</v>
      </c>
      <c r="IU36" s="5"/>
      <c r="IV36" s="5"/>
      <c r="JE36" s="2"/>
      <c r="JF36" s="2"/>
      <c r="JG36" s="33"/>
      <c r="JH36" s="44">
        <v>1000</v>
      </c>
      <c r="KC36" s="5"/>
      <c r="KD36" s="5"/>
      <c r="KM36" s="2"/>
      <c r="KN36" s="2"/>
      <c r="KO36" s="33"/>
      <c r="KP36" s="44">
        <v>1000</v>
      </c>
      <c r="LK36" s="5"/>
      <c r="LL36" s="5"/>
      <c r="LU36" s="2"/>
      <c r="LV36" s="2"/>
      <c r="LW36" s="33"/>
      <c r="LX36" s="44">
        <v>1000</v>
      </c>
      <c r="MS36" s="5"/>
      <c r="MT36" s="5"/>
      <c r="NC36" s="2"/>
      <c r="ND36" s="2"/>
      <c r="NE36" s="33"/>
      <c r="NF36" s="44">
        <v>1000</v>
      </c>
      <c r="OA36" s="5"/>
      <c r="OB36" s="5"/>
      <c r="OK36" s="2"/>
      <c r="OL36" s="2"/>
      <c r="OM36" s="33"/>
      <c r="ON36" s="44">
        <v>1000</v>
      </c>
      <c r="PI36" s="5"/>
      <c r="PJ36" s="5"/>
      <c r="PS36" s="2"/>
      <c r="PT36" s="2"/>
      <c r="PU36" s="33"/>
      <c r="PV36" s="44">
        <v>1000</v>
      </c>
      <c r="QQ36" s="5"/>
      <c r="QR36" s="5"/>
      <c r="RA36" s="2"/>
      <c r="RB36" s="2"/>
      <c r="RC36" s="33"/>
      <c r="RD36" s="44">
        <v>1000</v>
      </c>
      <c r="RY36" s="5"/>
      <c r="RZ36" s="5"/>
      <c r="SI36" s="2"/>
      <c r="SJ36" s="2"/>
      <c r="SK36" s="33"/>
      <c r="SL36" s="44">
        <v>1000</v>
      </c>
      <c r="TG36" s="5"/>
      <c r="TH36" s="5"/>
      <c r="TQ36" s="2"/>
      <c r="TR36" s="2"/>
      <c r="TS36" s="33"/>
      <c r="TT36" s="44">
        <v>1000</v>
      </c>
      <c r="UO36" s="5"/>
      <c r="UP36" s="5"/>
      <c r="UY36" s="2"/>
      <c r="UZ36" s="2"/>
      <c r="VA36" s="33"/>
      <c r="VB36" s="44">
        <v>1000</v>
      </c>
      <c r="VW36" s="5"/>
      <c r="VX36" s="5"/>
      <c r="WG36" s="2"/>
      <c r="WH36" s="2"/>
      <c r="WI36" s="33"/>
      <c r="WJ36" s="44">
        <v>1000</v>
      </c>
    </row>
    <row r="37" spans="1:608" hidden="1" x14ac:dyDescent="0.2">
      <c r="A37" s="5"/>
      <c r="B37" s="21" t="s">
        <v>30</v>
      </c>
      <c r="C37" s="5"/>
      <c r="AJ37" s="37"/>
      <c r="AK37" s="37"/>
      <c r="AL37" s="37"/>
      <c r="AM37" s="28"/>
      <c r="AN37" s="37"/>
      <c r="AO37" s="37"/>
      <c r="AP37" s="28"/>
      <c r="AQ37" s="45">
        <v>1000</v>
      </c>
      <c r="BK37" s="37"/>
      <c r="BL37" s="37"/>
      <c r="BM37" s="37"/>
      <c r="BO37" s="37"/>
      <c r="BP37" s="28"/>
      <c r="BR37" s="45">
        <v>1000</v>
      </c>
      <c r="CL37" s="37"/>
      <c r="CM37" s="37"/>
      <c r="CN37" s="37"/>
      <c r="CO37" s="28"/>
      <c r="CP37" s="37"/>
      <c r="CQ37" s="28"/>
      <c r="CR37" s="28"/>
      <c r="CS37" s="45">
        <v>1000</v>
      </c>
      <c r="DO37" s="5"/>
      <c r="DP37" s="5"/>
      <c r="DY37" s="37"/>
      <c r="DZ37" s="2"/>
      <c r="EB37" s="45">
        <v>1000</v>
      </c>
      <c r="EW37" s="5"/>
      <c r="EX37" s="5"/>
      <c r="FG37" s="37"/>
      <c r="FH37" s="2"/>
      <c r="FJ37" s="45">
        <v>1000</v>
      </c>
      <c r="GE37" s="5"/>
      <c r="GF37" s="5"/>
      <c r="GO37" s="2"/>
      <c r="GP37" s="2"/>
      <c r="GR37" s="45">
        <v>1000</v>
      </c>
      <c r="HM37" s="5"/>
      <c r="HN37" s="5"/>
      <c r="HW37" s="37"/>
      <c r="HX37" s="2"/>
      <c r="HZ37" s="45">
        <v>1000</v>
      </c>
      <c r="IU37" s="5"/>
      <c r="IV37" s="5"/>
      <c r="JE37" s="2"/>
      <c r="JF37" s="2"/>
      <c r="JH37" s="45">
        <v>1000</v>
      </c>
      <c r="KC37" s="5"/>
      <c r="KD37" s="5"/>
      <c r="KM37" s="2"/>
      <c r="KN37" s="2"/>
      <c r="KP37" s="45">
        <v>1000</v>
      </c>
      <c r="LK37" s="5"/>
      <c r="LL37" s="5"/>
      <c r="LU37" s="2"/>
      <c r="LV37" s="2"/>
      <c r="LX37" s="45">
        <v>1000</v>
      </c>
      <c r="MS37" s="5"/>
      <c r="MT37" s="5"/>
      <c r="NC37" s="2"/>
      <c r="ND37" s="2"/>
      <c r="NF37" s="45">
        <v>1000</v>
      </c>
      <c r="OA37" s="5"/>
      <c r="OB37" s="5"/>
      <c r="OK37" s="2"/>
      <c r="OL37" s="2"/>
      <c r="ON37" s="45">
        <v>1000</v>
      </c>
      <c r="PI37" s="5"/>
      <c r="PJ37" s="5"/>
      <c r="PS37" s="2"/>
      <c r="PT37" s="2"/>
      <c r="PV37" s="45">
        <v>1000</v>
      </c>
      <c r="QQ37" s="5"/>
      <c r="QR37" s="5"/>
      <c r="RA37" s="2"/>
      <c r="RB37" s="2"/>
      <c r="RD37" s="45">
        <v>1000</v>
      </c>
      <c r="RY37" s="5"/>
      <c r="RZ37" s="5"/>
      <c r="SI37" s="2"/>
      <c r="SJ37" s="2"/>
      <c r="SL37" s="45">
        <v>1000</v>
      </c>
      <c r="TG37" s="5"/>
      <c r="TH37" s="5"/>
      <c r="TQ37" s="2"/>
      <c r="TR37" s="2"/>
      <c r="TT37" s="45">
        <v>1000</v>
      </c>
      <c r="UO37" s="5"/>
      <c r="UP37" s="5"/>
      <c r="UY37" s="2"/>
      <c r="UZ37" s="2"/>
      <c r="VB37" s="45">
        <v>1000</v>
      </c>
      <c r="VW37" s="5"/>
      <c r="VX37" s="5"/>
      <c r="WG37" s="2"/>
      <c r="WH37" s="2"/>
      <c r="WJ37" s="45">
        <v>1000</v>
      </c>
    </row>
    <row r="38" spans="1:608" x14ac:dyDescent="0.2">
      <c r="B38" s="25" t="s">
        <v>43</v>
      </c>
      <c r="C38" s="2"/>
      <c r="AM38" s="28"/>
      <c r="AP38" s="28"/>
      <c r="CO38" s="28"/>
      <c r="CR38" s="28"/>
    </row>
    <row r="39" spans="1:608" x14ac:dyDescent="0.2">
      <c r="A39" s="5"/>
      <c r="B39" s="5"/>
      <c r="C39" s="17"/>
      <c r="AI39" s="28"/>
      <c r="AJ39" s="28"/>
      <c r="AK39" s="28"/>
      <c r="AL39" s="28"/>
      <c r="AM39" s="28"/>
      <c r="AP39" s="28"/>
      <c r="CK39" s="28"/>
      <c r="CL39" s="28"/>
      <c r="CM39" s="28"/>
      <c r="CN39" s="28"/>
      <c r="CO39" s="28"/>
      <c r="CR39" s="28"/>
    </row>
    <row r="40" spans="1:608" ht="17" x14ac:dyDescent="0.2">
      <c r="A40" s="5"/>
      <c r="B40" s="5"/>
      <c r="C40" s="17"/>
      <c r="N40" s="10"/>
      <c r="O40" s="10"/>
      <c r="AI40" s="28"/>
      <c r="AJ40" s="28"/>
      <c r="AK40" s="28"/>
      <c r="AL40" s="28"/>
      <c r="AM40" s="28"/>
      <c r="AP40" s="28"/>
      <c r="CK40" s="28"/>
      <c r="CL40" s="28"/>
      <c r="CM40" s="28"/>
      <c r="CN40" s="28"/>
      <c r="CO40" s="28"/>
      <c r="CR40" s="28"/>
    </row>
    <row r="41" spans="1:608" ht="17" x14ac:dyDescent="0.2">
      <c r="A41" s="5"/>
      <c r="B41" s="5"/>
      <c r="C41" s="17"/>
      <c r="N41" s="10"/>
      <c r="AI41" s="28"/>
      <c r="AJ41" s="28"/>
      <c r="AK41" s="28"/>
      <c r="AL41" s="28"/>
      <c r="AM41" s="28"/>
      <c r="AP41" s="28"/>
      <c r="CK41" s="28"/>
      <c r="CL41" s="28"/>
      <c r="CM41" s="28"/>
      <c r="CN41" s="28"/>
      <c r="CO41" s="28"/>
      <c r="CR41" s="28"/>
    </row>
    <row r="42" spans="1:608" ht="17" x14ac:dyDescent="0.2">
      <c r="N42" s="10"/>
      <c r="O42" s="10"/>
      <c r="AI42" s="28"/>
      <c r="AJ42" s="28"/>
      <c r="AK42" s="28"/>
      <c r="AL42" s="28"/>
      <c r="AM42" s="28"/>
      <c r="AP42" s="28"/>
      <c r="CK42" s="28"/>
      <c r="CL42" s="28"/>
      <c r="CM42" s="28"/>
      <c r="CN42" s="28"/>
      <c r="CO42" s="28"/>
      <c r="CR42" s="28"/>
    </row>
    <row r="43" spans="1:608" ht="17" x14ac:dyDescent="0.2">
      <c r="N43" s="10"/>
      <c r="O43" s="10"/>
      <c r="AI43" s="28"/>
      <c r="AJ43" s="28"/>
      <c r="AK43" s="28"/>
      <c r="AL43" s="28"/>
      <c r="AM43" s="28"/>
      <c r="AP43" s="28"/>
      <c r="CK43" s="28"/>
      <c r="CL43" s="28"/>
      <c r="CM43" s="28"/>
      <c r="CN43" s="28"/>
      <c r="CO43" s="28"/>
      <c r="CR43" s="28"/>
    </row>
    <row r="44" spans="1:608" ht="17" x14ac:dyDescent="0.2">
      <c r="N44" s="10"/>
      <c r="O44" s="10"/>
      <c r="AI44" s="28"/>
      <c r="AJ44" s="28"/>
      <c r="AK44" s="28"/>
      <c r="AL44" s="28"/>
      <c r="AM44" s="28"/>
      <c r="AP44" s="28"/>
      <c r="CK44" s="28"/>
      <c r="CL44" s="28"/>
      <c r="CM44" s="28"/>
      <c r="CN44" s="28"/>
      <c r="CO44" s="28"/>
      <c r="CR44" s="28"/>
    </row>
    <row r="45" spans="1:608" ht="17" x14ac:dyDescent="0.2">
      <c r="N45" s="10"/>
      <c r="O45" s="10"/>
      <c r="P45" s="10"/>
    </row>
    <row r="46" spans="1:608" ht="17" x14ac:dyDescent="0.2">
      <c r="N46" s="10"/>
      <c r="O46" s="10"/>
      <c r="P46" s="10"/>
    </row>
    <row r="47" spans="1:608" ht="17" x14ac:dyDescent="0.2">
      <c r="N47" s="10"/>
      <c r="O47" s="10"/>
      <c r="P47" s="10"/>
    </row>
    <row r="48" spans="1:608" ht="17" x14ac:dyDescent="0.2">
      <c r="N48" s="10"/>
      <c r="O48" s="10"/>
      <c r="P48" s="10"/>
    </row>
    <row r="49" spans="14:16" ht="17" x14ac:dyDescent="0.2">
      <c r="N49" s="10"/>
      <c r="O49" s="10"/>
      <c r="P49" s="10"/>
    </row>
    <row r="50" spans="14:16" ht="17" x14ac:dyDescent="0.2">
      <c r="N50" s="10"/>
      <c r="O50" s="10"/>
      <c r="P50" s="10"/>
    </row>
    <row r="51" spans="14:16" ht="17" x14ac:dyDescent="0.2">
      <c r="N51" s="10"/>
      <c r="O51" s="10"/>
      <c r="P51" s="10"/>
    </row>
    <row r="52" spans="14:16" ht="17" x14ac:dyDescent="0.2">
      <c r="N52" s="10"/>
      <c r="O52" s="10"/>
      <c r="P52" s="10"/>
    </row>
    <row r="53" spans="14:16" ht="17" x14ac:dyDescent="0.2">
      <c r="N53" s="10"/>
      <c r="O53" s="10"/>
      <c r="P53" s="10"/>
    </row>
    <row r="54" spans="14:16" ht="17" x14ac:dyDescent="0.2">
      <c r="N54" s="10"/>
      <c r="O54" s="10"/>
      <c r="P54" s="10"/>
    </row>
    <row r="55" spans="14:16" ht="17" x14ac:dyDescent="0.2">
      <c r="N55" s="10"/>
      <c r="O55" s="10"/>
      <c r="P55" s="10"/>
    </row>
    <row r="56" spans="14:16" ht="17" x14ac:dyDescent="0.2">
      <c r="N56" s="10"/>
      <c r="O56" s="10"/>
      <c r="P56" s="10"/>
    </row>
    <row r="57" spans="14:16" ht="17" x14ac:dyDescent="0.2">
      <c r="N57" s="10"/>
      <c r="O57" s="10"/>
      <c r="P57" s="10"/>
    </row>
    <row r="58" spans="14:16" ht="17" x14ac:dyDescent="0.2">
      <c r="N58" s="10"/>
      <c r="O58" s="10"/>
      <c r="P58" s="10"/>
    </row>
    <row r="59" spans="14:16" ht="17" x14ac:dyDescent="0.2">
      <c r="N59" s="10"/>
      <c r="O59" s="10"/>
      <c r="P59" s="10"/>
    </row>
  </sheetData>
  <sheetProtection sheet="1" formatCells="0" formatColumns="0" formatRows="0"/>
  <autoFilter ref="A1:WJ1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sortState xmlns:xlrd2="http://schemas.microsoft.com/office/spreadsheetml/2017/richdata2" ref="A6:WJ27">
      <sortCondition descending="1" ref="F1:F28"/>
    </sortState>
  </autoFilter>
  <mergeCells count="103">
    <mergeCell ref="UE2:UI2"/>
    <mergeCell ref="UJ2:UN2"/>
    <mergeCell ref="VC2:VG2"/>
    <mergeCell ref="VH2:VL2"/>
    <mergeCell ref="VM2:VQ2"/>
    <mergeCell ref="VR2:VV2"/>
    <mergeCell ref="SM2:SQ2"/>
    <mergeCell ref="SR2:SV2"/>
    <mergeCell ref="SW2:TA2"/>
    <mergeCell ref="TB2:TF2"/>
    <mergeCell ref="TU2:TY2"/>
    <mergeCell ref="TZ2:UD2"/>
    <mergeCell ref="QG2:QK2"/>
    <mergeCell ref="QL2:QP2"/>
    <mergeCell ref="RE2:RI2"/>
    <mergeCell ref="RJ2:RN2"/>
    <mergeCell ref="RO2:RS2"/>
    <mergeCell ref="RT2:RX2"/>
    <mergeCell ref="OO2:OS2"/>
    <mergeCell ref="OT2:OX2"/>
    <mergeCell ref="OY2:PC2"/>
    <mergeCell ref="PD2:PH2"/>
    <mergeCell ref="PW2:QA2"/>
    <mergeCell ref="QB2:QF2"/>
    <mergeCell ref="MI2:MM2"/>
    <mergeCell ref="MN2:MR2"/>
    <mergeCell ref="NG2:NK2"/>
    <mergeCell ref="NL2:NP2"/>
    <mergeCell ref="NQ2:NU2"/>
    <mergeCell ref="NV2:NZ2"/>
    <mergeCell ref="KQ2:KU2"/>
    <mergeCell ref="KV2:KZ2"/>
    <mergeCell ref="LA2:LE2"/>
    <mergeCell ref="LF2:LJ2"/>
    <mergeCell ref="LY2:MC2"/>
    <mergeCell ref="MD2:MH2"/>
    <mergeCell ref="IK2:IO2"/>
    <mergeCell ref="IP2:IT2"/>
    <mergeCell ref="JI2:JM2"/>
    <mergeCell ref="JN2:JR2"/>
    <mergeCell ref="JS2:JW2"/>
    <mergeCell ref="JX2:KB2"/>
    <mergeCell ref="GS2:GW2"/>
    <mergeCell ref="GX2:HB2"/>
    <mergeCell ref="HC2:HG2"/>
    <mergeCell ref="HH2:HL2"/>
    <mergeCell ref="IA2:IE2"/>
    <mergeCell ref="IF2:IJ2"/>
    <mergeCell ref="FK2:FO2"/>
    <mergeCell ref="FP2:FT2"/>
    <mergeCell ref="FU2:FY2"/>
    <mergeCell ref="FZ2:GD2"/>
    <mergeCell ref="CU2:CY2"/>
    <mergeCell ref="CZ2:DD2"/>
    <mergeCell ref="DE2:DI2"/>
    <mergeCell ref="DJ2:DN2"/>
    <mergeCell ref="EC2:EG2"/>
    <mergeCell ref="EH2:EL2"/>
    <mergeCell ref="VC1:WJ1"/>
    <mergeCell ref="Q2:U2"/>
    <mergeCell ref="V2:Z2"/>
    <mergeCell ref="AA2:AE2"/>
    <mergeCell ref="AR2:AV2"/>
    <mergeCell ref="AW2:BA2"/>
    <mergeCell ref="BB2:BF2"/>
    <mergeCell ref="BS2:BW2"/>
    <mergeCell ref="BX2:CB2"/>
    <mergeCell ref="CC2:CG2"/>
    <mergeCell ref="NG1:ON1"/>
    <mergeCell ref="OO1:PV1"/>
    <mergeCell ref="PW1:RD1"/>
    <mergeCell ref="RE1:SL1"/>
    <mergeCell ref="SM1:TT1"/>
    <mergeCell ref="TU1:VB1"/>
    <mergeCell ref="FK1:GR1"/>
    <mergeCell ref="GS1:HZ1"/>
    <mergeCell ref="IA1:JH1"/>
    <mergeCell ref="JI1:KP1"/>
    <mergeCell ref="KQ1:LX1"/>
    <mergeCell ref="LY1:NF1"/>
    <mergeCell ref="Q1:AQ1"/>
    <mergeCell ref="AR1:BR1"/>
    <mergeCell ref="A1:A3"/>
    <mergeCell ref="B1:B3"/>
    <mergeCell ref="C1:C3"/>
    <mergeCell ref="D1:D3"/>
    <mergeCell ref="E1:E3"/>
    <mergeCell ref="F1:F3"/>
    <mergeCell ref="BS1:CS1"/>
    <mergeCell ref="CU1:EB1"/>
    <mergeCell ref="EC1:FJ1"/>
    <mergeCell ref="M1:M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EM2:EQ2"/>
    <mergeCell ref="ER2:EV2"/>
  </mergeCells>
  <conditionalFormatting sqref="H1:H1048576">
    <cfRule type="containsText" dxfId="694" priority="129" operator="containsText" text="No DD">
      <formula>NOT(ISERROR(SEARCH("No DD",H1)))</formula>
    </cfRule>
    <cfRule type="containsText" dxfId="693" priority="130" operator="containsText" text="Merit">
      <formula>NOT(ISERROR(SEARCH("Merit",H1)))</formula>
    </cfRule>
    <cfRule type="containsText" dxfId="692" priority="131" operator="containsText" text="Excellence">
      <formula>NOT(ISERROR(SEARCH("Excellence",H1)))</formula>
    </cfRule>
    <cfRule type="containsText" dxfId="691" priority="132" operator="containsText" text="Worlds Team">
      <formula>NOT(ISERROR(SEARCH("Worlds Team",H1)))</formula>
    </cfRule>
    <cfRule type="containsText" dxfId="690" priority="133" operator="containsText" text="National Team">
      <formula>NOT(ISERROR(SEARCH("National Team",H1)))</formula>
    </cfRule>
  </conditionalFormatting>
  <conditionalFormatting sqref="Q4:AQ27">
    <cfRule type="expression" dxfId="689" priority="128" stopIfTrue="1">
      <formula>IF($AF4&lt;&gt;"",1,0)</formula>
    </cfRule>
  </conditionalFormatting>
  <conditionalFormatting sqref="AR4:BR27">
    <cfRule type="expression" dxfId="688" priority="127" stopIfTrue="1">
      <formula>IF($BG4&lt;&gt;"",1,0)</formula>
    </cfRule>
  </conditionalFormatting>
  <conditionalFormatting sqref="BS4:CS27">
    <cfRule type="expression" dxfId="687" priority="126" stopIfTrue="1">
      <formula>IF($CH4&lt;&gt;"",1,0)</formula>
    </cfRule>
  </conditionalFormatting>
  <conditionalFormatting sqref="BO38:BO1048576 BH1:BH1048576 BK1:BK1048576 BO1:BO36">
    <cfRule type="cellIs" dxfId="686" priority="122" operator="between">
      <formula>$BR$33</formula>
      <formula>1000</formula>
    </cfRule>
    <cfRule type="cellIs" dxfId="685" priority="123" operator="between">
      <formula>$BR$32</formula>
      <formula>$BR$33</formula>
    </cfRule>
    <cfRule type="cellIs" dxfId="684" priority="124" operator="between">
      <formula>$BR$31</formula>
      <formula>$BR$32</formula>
    </cfRule>
    <cfRule type="cellIs" dxfId="683" priority="125" operator="between">
      <formula>$BR$30</formula>
      <formula>$BR$31</formula>
    </cfRule>
  </conditionalFormatting>
  <conditionalFormatting sqref="CP38:CP1048576 CI1:CI1048576 CL1:CL1048576 CP1:CP36">
    <cfRule type="cellIs" dxfId="682" priority="118" operator="between">
      <formula>$CS$33</formula>
      <formula>1000</formula>
    </cfRule>
    <cfRule type="cellIs" dxfId="681" priority="119" operator="between">
      <formula>$CS$32</formula>
      <formula>$CS$33</formula>
    </cfRule>
    <cfRule type="cellIs" dxfId="680" priority="120" operator="between">
      <formula>$CS$31</formula>
      <formula>$CS$32</formula>
    </cfRule>
    <cfRule type="cellIs" dxfId="679" priority="121" operator="between">
      <formula>$CS$30</formula>
      <formula>$CS$31</formula>
    </cfRule>
  </conditionalFormatting>
  <conditionalFormatting sqref="DY38:DY1048576 DO1:DO1048576 DR1:DR1048576 DV1:DV1048576 DY1:DY36">
    <cfRule type="cellIs" dxfId="678" priority="117" operator="between">
      <formula>$EB$30</formula>
      <formula>$EB$31</formula>
    </cfRule>
  </conditionalFormatting>
  <conditionalFormatting sqref="FG38:FG1048576 EW1:EW1048576 EZ1:EZ1048576 FD1:FD1048576 FG1:FG36">
    <cfRule type="cellIs" dxfId="677" priority="116" operator="between">
      <formula>$FJ$30</formula>
      <formula>$FJ$31</formula>
    </cfRule>
  </conditionalFormatting>
  <conditionalFormatting sqref="HW38:HW1048576 HM1:HM1048576 HP1:HP1048576 HT1:HT1048576 HW1:HW36">
    <cfRule type="cellIs" dxfId="676" priority="115" operator="between">
      <formula>$HZ$30</formula>
      <formula>$HZ$31</formula>
    </cfRule>
  </conditionalFormatting>
  <conditionalFormatting sqref="AO37 AG1:AG1048576 AJ1:AJ1048576 AN1:AN1048576">
    <cfRule type="cellIs" dxfId="675" priority="111" operator="between">
      <formula>$AQ$33</formula>
      <formula>1000</formula>
    </cfRule>
    <cfRule type="cellIs" dxfId="674" priority="112" operator="between">
      <formula>$AQ$32</formula>
      <formula>$AQ$33</formula>
    </cfRule>
    <cfRule type="cellIs" dxfId="673" priority="113" operator="between">
      <formula>$AQ$31</formula>
      <formula>$AQ$32</formula>
    </cfRule>
    <cfRule type="cellIs" dxfId="672" priority="114" operator="between">
      <formula>$AQ$30</formula>
      <formula>$AQ$31</formula>
    </cfRule>
  </conditionalFormatting>
  <conditionalFormatting sqref="BO37">
    <cfRule type="cellIs" dxfId="671" priority="107" operator="between">
      <formula>$AQ$33</formula>
      <formula>1000</formula>
    </cfRule>
    <cfRule type="cellIs" dxfId="670" priority="108" operator="between">
      <formula>$AQ$32</formula>
      <formula>$AQ$33</formula>
    </cfRule>
    <cfRule type="cellIs" dxfId="669" priority="109" operator="between">
      <formula>$AQ$31</formula>
      <formula>$AQ$32</formula>
    </cfRule>
    <cfRule type="cellIs" dxfId="668" priority="110" operator="between">
      <formula>$AQ$30</formula>
      <formula>$AQ$31</formula>
    </cfRule>
  </conditionalFormatting>
  <conditionalFormatting sqref="CP37">
    <cfRule type="cellIs" dxfId="667" priority="103" operator="between">
      <formula>$AQ$33</formula>
      <formula>1000</formula>
    </cfRule>
    <cfRule type="cellIs" dxfId="666" priority="104" operator="between">
      <formula>$AQ$32</formula>
      <formula>$AQ$33</formula>
    </cfRule>
    <cfRule type="cellIs" dxfId="665" priority="105" operator="between">
      <formula>$AQ$31</formula>
      <formula>$AQ$32</formula>
    </cfRule>
    <cfRule type="cellIs" dxfId="664" priority="106" operator="between">
      <formula>$AQ$30</formula>
      <formula>$AQ$31</formula>
    </cfRule>
  </conditionalFormatting>
  <conditionalFormatting sqref="DY37">
    <cfRule type="cellIs" dxfId="663" priority="99" operator="between">
      <formula>$AQ$33</formula>
      <formula>1000</formula>
    </cfRule>
    <cfRule type="cellIs" dxfId="662" priority="100" operator="between">
      <formula>$AQ$32</formula>
      <formula>$AQ$33</formula>
    </cfRule>
    <cfRule type="cellIs" dxfId="661" priority="101" operator="between">
      <formula>$AQ$31</formula>
      <formula>$AQ$32</formula>
    </cfRule>
    <cfRule type="cellIs" dxfId="660" priority="102" operator="between">
      <formula>$AQ$30</formula>
      <formula>$AQ$31</formula>
    </cfRule>
  </conditionalFormatting>
  <conditionalFormatting sqref="FG37">
    <cfRule type="cellIs" dxfId="659" priority="95" operator="between">
      <formula>$AQ$33</formula>
      <formula>1000</formula>
    </cfRule>
    <cfRule type="cellIs" dxfId="658" priority="96" operator="between">
      <formula>$AQ$32</formula>
      <formula>$AQ$33</formula>
    </cfRule>
    <cfRule type="cellIs" dxfId="657" priority="97" operator="between">
      <formula>$AQ$31</formula>
      <formula>$AQ$32</formula>
    </cfRule>
    <cfRule type="cellIs" dxfId="656" priority="98" operator="between">
      <formula>$AQ$30</formula>
      <formula>$AQ$31</formula>
    </cfRule>
  </conditionalFormatting>
  <conditionalFormatting sqref="HW37">
    <cfRule type="cellIs" dxfId="655" priority="91" operator="between">
      <formula>$AQ$33</formula>
      <formula>1000</formula>
    </cfRule>
    <cfRule type="cellIs" dxfId="654" priority="92" operator="between">
      <formula>$AQ$32</formula>
      <formula>$AQ$33</formula>
    </cfRule>
    <cfRule type="cellIs" dxfId="653" priority="93" operator="between">
      <formula>$AQ$31</formula>
      <formula>$AQ$32</formula>
    </cfRule>
    <cfRule type="cellIs" dxfId="652" priority="94" operator="between">
      <formula>$AQ$30</formula>
      <formula>$AQ$31</formula>
    </cfRule>
  </conditionalFormatting>
  <conditionalFormatting sqref="K1:K1048576 M1:M1048576">
    <cfRule type="expression" dxfId="651" priority="88" stopIfTrue="1">
      <formula>IF(K1=$BS$1,1,0)</formula>
    </cfRule>
    <cfRule type="expression" dxfId="650" priority="89">
      <formula>IF(K1=$AR$1,1,0)</formula>
    </cfRule>
    <cfRule type="expression" dxfId="649" priority="90">
      <formula>IF(K1=$Q$1,1,0)</formula>
    </cfRule>
  </conditionalFormatting>
  <conditionalFormatting sqref="A4:A1048576">
    <cfRule type="expression" dxfId="648" priority="86">
      <formula>AND(G4&lt;&gt;"",F4="")</formula>
    </cfRule>
    <cfRule type="expression" dxfId="647" priority="87" stopIfTrue="1">
      <formula>IF(A4&gt;4,1,0)</formula>
    </cfRule>
  </conditionalFormatting>
  <conditionalFormatting sqref="CN1:CN1048576 AL1:AL1048576">
    <cfRule type="cellIs" dxfId="646" priority="84" operator="between">
      <formula>AQ$37</formula>
      <formula>1000</formula>
    </cfRule>
    <cfRule type="cellIs" dxfId="645" priority="85" operator="between">
      <formula>AQ$36</formula>
      <formula>AQ$37</formula>
    </cfRule>
  </conditionalFormatting>
  <conditionalFormatting sqref="DT1:DT1048576 FB1:FB1048576 GJ1:GJ1048576 HR1:HR1048576 IZ1:IZ1048576 KH1:KH1048576 LP1:LP1048576 MX1:MX1048576 OF1:OF1048576 PN1:PN1048576 QV1:QV1048576 SD1:SD1048576 TL1:TL37 UT1:UT37 WB1:WB37">
    <cfRule type="cellIs" dxfId="644" priority="82" operator="between">
      <formula>EB$37</formula>
      <formula>1000</formula>
    </cfRule>
    <cfRule type="cellIs" dxfId="643" priority="83" operator="between">
      <formula>EB$36</formula>
      <formula>EB$37</formula>
    </cfRule>
  </conditionalFormatting>
  <conditionalFormatting sqref="AI1:AI1048576 AL1:AL1048576 AP1:AP1048576">
    <cfRule type="cellIs" dxfId="642" priority="78" operator="between">
      <formula>$AQ$37</formula>
      <formula>1000</formula>
    </cfRule>
    <cfRule type="cellIs" dxfId="641" priority="79" operator="between">
      <formula>$AQ$36</formula>
      <formula>$AQ$37</formula>
    </cfRule>
    <cfRule type="cellIs" dxfId="640" priority="80" operator="between">
      <formula>$AQ$35</formula>
      <formula>$AQ$36</formula>
    </cfRule>
    <cfRule type="cellIs" dxfId="639" priority="81" operator="between">
      <formula>$AQ$34</formula>
      <formula>$AQ$35</formula>
    </cfRule>
  </conditionalFormatting>
  <conditionalFormatting sqref="BJ1:BJ1048576 BM1:BM1048576 BQ1:BQ1048576">
    <cfRule type="cellIs" dxfId="638" priority="74" operator="between">
      <formula>$BR$37</formula>
      <formula>1000</formula>
    </cfRule>
    <cfRule type="cellIs" dxfId="637" priority="75" operator="between">
      <formula>$BR$36</formula>
      <formula>$BR$37</formula>
    </cfRule>
    <cfRule type="cellIs" dxfId="636" priority="76" operator="between">
      <formula>$BR$35</formula>
      <formula>$BR$36</formula>
    </cfRule>
    <cfRule type="cellIs" dxfId="635" priority="77" operator="between">
      <formula>$BR$34</formula>
      <formula>$BR$35</formula>
    </cfRule>
  </conditionalFormatting>
  <conditionalFormatting sqref="CK1:CK1048576 CN1:CN1048576 CR1:CR1048576">
    <cfRule type="cellIs" dxfId="634" priority="70" operator="between">
      <formula>$CS$37</formula>
      <formula>1000</formula>
    </cfRule>
    <cfRule type="cellIs" dxfId="633" priority="71" operator="between">
      <formula>$CS$36</formula>
      <formula>$CS$37</formula>
    </cfRule>
    <cfRule type="cellIs" dxfId="632" priority="72" operator="between">
      <formula>$CS$35</formula>
      <formula>$CS$36</formula>
    </cfRule>
    <cfRule type="cellIs" dxfId="631" priority="73" operator="between">
      <formula>$CS$34</formula>
      <formula>$CS$35</formula>
    </cfRule>
  </conditionalFormatting>
  <conditionalFormatting sqref="MS1:MS1048576 MV1:MV1048576 MZ1:MZ1048576 NC1:NC1048576">
    <cfRule type="cellIs" dxfId="630" priority="69" operator="between">
      <formula>$NF$30</formula>
      <formula>$NF$31</formula>
    </cfRule>
  </conditionalFormatting>
  <conditionalFormatting sqref="DQ1:DQ1048576 DT1:DT1048576 DX1:DX1048576 EA1:EA1048576">
    <cfRule type="cellIs" dxfId="629" priority="65" operator="between">
      <formula>$EB$37</formula>
      <formula>1000</formula>
    </cfRule>
    <cfRule type="cellIs" dxfId="628" priority="66" operator="between">
      <formula>$EB$36</formula>
      <formula>$EB$37</formula>
    </cfRule>
    <cfRule type="cellIs" dxfId="627" priority="67" operator="between">
      <formula>$EB$35</formula>
      <formula>$EB$36</formula>
    </cfRule>
    <cfRule type="cellIs" dxfId="626" priority="68" operator="between">
      <formula>$EB$34</formula>
      <formula>$EB$35</formula>
    </cfRule>
  </conditionalFormatting>
  <conditionalFormatting sqref="EY1:EY1048576 FB1:FB1048576 FF1:FF1048576 FI1:FI1048576">
    <cfRule type="cellIs" dxfId="625" priority="61" operator="between">
      <formula>$FJ$37</formula>
      <formula>1000</formula>
    </cfRule>
    <cfRule type="cellIs" dxfId="624" priority="62" operator="between">
      <formula>$FJ$36</formula>
      <formula>$FJ$37</formula>
    </cfRule>
    <cfRule type="cellIs" dxfId="623" priority="63" operator="between">
      <formula>$FJ$35</formula>
      <formula>$FJ$36</formula>
    </cfRule>
    <cfRule type="cellIs" dxfId="622" priority="64" operator="between">
      <formula>$FJ$34</formula>
      <formula>$FJ$35</formula>
    </cfRule>
  </conditionalFormatting>
  <conditionalFormatting sqref="GE1:GE1048576 GH1:GH1048576 GL1:GL1048576 GO1:GO1048576">
    <cfRule type="cellIs" dxfId="621" priority="59" stopIfTrue="1" operator="between">
      <formula>$GR$31</formula>
      <formula>1000</formula>
    </cfRule>
    <cfRule type="cellIs" dxfId="620" priority="60" operator="between">
      <formula>$GR$30</formula>
      <formula>$GR$31</formula>
    </cfRule>
  </conditionalFormatting>
  <conditionalFormatting sqref="GG1:GG1048576 GJ1:GJ1048576 GN1:GN1048576 GQ1:GQ1048576">
    <cfRule type="cellIs" dxfId="619" priority="55" operator="between">
      <formula>$GR$37</formula>
      <formula>1000</formula>
    </cfRule>
    <cfRule type="cellIs" dxfId="618" priority="56" operator="between">
      <formula>$GR$36</formula>
      <formula>$GR$37</formula>
    </cfRule>
    <cfRule type="cellIs" dxfId="617" priority="57" operator="between">
      <formula>$GR$35</formula>
      <formula>$GR$36</formula>
    </cfRule>
    <cfRule type="cellIs" dxfId="616" priority="58" operator="between">
      <formula>$GR$34</formula>
      <formula>$GR$35</formula>
    </cfRule>
  </conditionalFormatting>
  <conditionalFormatting sqref="HO1:HO1048576 HR1:HR1048576 HV1:HV1048576 HY1:HY1048576">
    <cfRule type="cellIs" dxfId="615" priority="51" operator="between">
      <formula>$HZ$37</formula>
      <formula>1000</formula>
    </cfRule>
    <cfRule type="cellIs" dxfId="614" priority="52" operator="between">
      <formula>$HZ$36</formula>
      <formula>$HZ$37</formula>
    </cfRule>
    <cfRule type="cellIs" dxfId="613" priority="53" operator="between">
      <formula>$HZ$35</formula>
      <formula>$HZ$36</formula>
    </cfRule>
    <cfRule type="cellIs" dxfId="612" priority="54" operator="between">
      <formula>$HZ$34</formula>
      <formula>$HZ$35</formula>
    </cfRule>
  </conditionalFormatting>
  <conditionalFormatting sqref="IU1:IU1048576 IX1:IX1048576 JB1:JB1048576 JE1:JE1048576">
    <cfRule type="cellIs" dxfId="611" priority="49" stopIfTrue="1" operator="between">
      <formula>$JH$31</formula>
      <formula>1000</formula>
    </cfRule>
    <cfRule type="cellIs" dxfId="610" priority="50" operator="between">
      <formula>$JH$30</formula>
      <formula>$JH$31</formula>
    </cfRule>
  </conditionalFormatting>
  <conditionalFormatting sqref="IW1:IW1048576 IZ1:IZ1048576 JD1:JD1048576 JG1:JG1048576">
    <cfRule type="cellIs" dxfId="609" priority="45" operator="between">
      <formula>$JH$37</formula>
      <formula>1000</formula>
    </cfRule>
    <cfRule type="cellIs" dxfId="608" priority="46" operator="between">
      <formula>$JH$36</formula>
      <formula>$JH$37</formula>
    </cfRule>
    <cfRule type="cellIs" dxfId="607" priority="47" operator="between">
      <formula>$JH$35</formula>
      <formula>$JH$36</formula>
    </cfRule>
    <cfRule type="cellIs" dxfId="606" priority="48" operator="between">
      <formula>$JH$34</formula>
      <formula>$JH$35</formula>
    </cfRule>
  </conditionalFormatting>
  <conditionalFormatting sqref="KC1:KC1048576 KF1:KF1048576 KJ1:KJ1048576 KM1:KM1048576">
    <cfRule type="cellIs" dxfId="605" priority="43" stopIfTrue="1" operator="between">
      <formula>$KP$31</formula>
      <formula>1000</formula>
    </cfRule>
    <cfRule type="cellIs" dxfId="604" priority="44" operator="between">
      <formula>$KP$30</formula>
      <formula>$KP$31</formula>
    </cfRule>
  </conditionalFormatting>
  <conditionalFormatting sqref="KE1:KE1048576 KH1:KH1048576 KL1:KL1048576 KO1:KO1048576">
    <cfRule type="cellIs" dxfId="603" priority="39" operator="between">
      <formula>$KP$37</formula>
      <formula>1000</formula>
    </cfRule>
    <cfRule type="cellIs" dxfId="602" priority="40" operator="between">
      <formula>$KP$36</formula>
      <formula>$KP$37</formula>
    </cfRule>
    <cfRule type="cellIs" dxfId="601" priority="41" operator="between">
      <formula>$KP$35</formula>
      <formula>$KP$36</formula>
    </cfRule>
    <cfRule type="cellIs" dxfId="600" priority="42" operator="between">
      <formula>$KP$34</formula>
      <formula>$KP$35</formula>
    </cfRule>
  </conditionalFormatting>
  <conditionalFormatting sqref="LK1:LK1048576 LN1:LN1048576 LR1:LR1048576 LU1:LU1048576">
    <cfRule type="cellIs" dxfId="599" priority="37" stopIfTrue="1" operator="between">
      <formula>$LX$31</formula>
      <formula>1000</formula>
    </cfRule>
    <cfRule type="cellIs" dxfId="598" priority="38" operator="between">
      <formula>$LX$30</formula>
      <formula>$LX$31</formula>
    </cfRule>
  </conditionalFormatting>
  <conditionalFormatting sqref="LM1:LM1048576 LP1:LP1048576 LT1:LT1048576 LW1:LW1048576">
    <cfRule type="cellIs" dxfId="597" priority="33" operator="between">
      <formula>$LX$37</formula>
      <formula>1000</formula>
    </cfRule>
    <cfRule type="cellIs" dxfId="596" priority="34" operator="between">
      <formula>$LX$36</formula>
      <formula>$LX$37</formula>
    </cfRule>
    <cfRule type="cellIs" dxfId="595" priority="35" operator="between">
      <formula>$LX$35</formula>
      <formula>$LX$36</formula>
    </cfRule>
    <cfRule type="cellIs" dxfId="594" priority="36" operator="between">
      <formula>$LX$34</formula>
      <formula>$LX$35</formula>
    </cfRule>
  </conditionalFormatting>
  <conditionalFormatting sqref="MS1:MS1048576 MV1:MV1048576 MZ1:MZ1048576">
    <cfRule type="cellIs" dxfId="593" priority="32" operator="between">
      <formula>$NF$31</formula>
      <formula>1000</formula>
    </cfRule>
  </conditionalFormatting>
  <conditionalFormatting sqref="MU1:MU1048576 MX1:MX1048576 NB1:NB1048576 NE1:NE1048576">
    <cfRule type="cellIs" dxfId="592" priority="28" operator="between">
      <formula>$NF$37</formula>
      <formula>1000</formula>
    </cfRule>
    <cfRule type="cellIs" dxfId="591" priority="29" operator="between">
      <formula>$NF$36</formula>
      <formula>$NF$37</formula>
    </cfRule>
    <cfRule type="cellIs" dxfId="590" priority="30" operator="between">
      <formula>$NF$35</formula>
      <formula>$NF$36</formula>
    </cfRule>
    <cfRule type="cellIs" dxfId="589" priority="31" operator="between">
      <formula>$NF$34</formula>
      <formula>$NF$35</formula>
    </cfRule>
  </conditionalFormatting>
  <conditionalFormatting sqref="OA1:OA1048576 OD1:OD1048576 OH1:OH1048576 OK1:OK1048576">
    <cfRule type="cellIs" dxfId="588" priority="26" stopIfTrue="1" operator="between">
      <formula>$ON$31</formula>
      <formula>1000</formula>
    </cfRule>
    <cfRule type="cellIs" dxfId="587" priority="27" operator="between">
      <formula>$ON$30</formula>
      <formula>$ON$31</formula>
    </cfRule>
  </conditionalFormatting>
  <conditionalFormatting sqref="OC1:OC1048576 OF1:OF1048576 OJ1:OJ1048576 OM1:OM1048576">
    <cfRule type="cellIs" dxfId="586" priority="22" operator="between">
      <formula>$ON$37</formula>
      <formula>1000</formula>
    </cfRule>
    <cfRule type="cellIs" dxfId="585" priority="23" operator="between">
      <formula>$ON$36</formula>
      <formula>$ON$37</formula>
    </cfRule>
    <cfRule type="cellIs" dxfId="584" priority="24" operator="between">
      <formula>$ON$35</formula>
      <formula>$ON$36</formula>
    </cfRule>
    <cfRule type="cellIs" dxfId="583" priority="25" operator="between">
      <formula>$ON$34</formula>
      <formula>$ON$35</formula>
    </cfRule>
  </conditionalFormatting>
  <conditionalFormatting sqref="PI1:PI1048576 PL1:PL1048576 PP1:PP1048576 PS1:PS1048576">
    <cfRule type="cellIs" dxfId="582" priority="20" stopIfTrue="1" operator="between">
      <formula>$PV$31</formula>
      <formula>1000</formula>
    </cfRule>
    <cfRule type="cellIs" dxfId="581" priority="21" operator="between">
      <formula>$PV$30</formula>
      <formula>$PV$31</formula>
    </cfRule>
  </conditionalFormatting>
  <conditionalFormatting sqref="PK1:PK1048576 PN1:PN1048576 PR1:PR1048576 PU1:PU1048576">
    <cfRule type="cellIs" dxfId="580" priority="16" operator="between">
      <formula>$PV$37</formula>
      <formula>1000</formula>
    </cfRule>
    <cfRule type="cellIs" dxfId="579" priority="17" operator="between">
      <formula>$PV$36</formula>
      <formula>$PV$37</formula>
    </cfRule>
    <cfRule type="cellIs" dxfId="578" priority="18" operator="between">
      <formula>$PV$35</formula>
      <formula>$PV$36</formula>
    </cfRule>
    <cfRule type="cellIs" dxfId="577" priority="19" operator="between">
      <formula>$PV$34</formula>
      <formula>$PV$35</formula>
    </cfRule>
  </conditionalFormatting>
  <conditionalFormatting sqref="QQ1:QQ1048576 QT1:QT1048576 QX1:QX1048576 RA1:RA1048576">
    <cfRule type="cellIs" dxfId="576" priority="14" stopIfTrue="1" operator="between">
      <formula>$RD$31</formula>
      <formula>1000</formula>
    </cfRule>
    <cfRule type="cellIs" dxfId="575" priority="15" operator="between">
      <formula>$RD$30</formula>
      <formula>$RD$31</formula>
    </cfRule>
  </conditionalFormatting>
  <conditionalFormatting sqref="QS1:QS1048576 QV1:QV1048576 QZ1:QZ1048576 RC1:RC1048576">
    <cfRule type="cellIs" dxfId="574" priority="10" operator="between">
      <formula>$RD$37</formula>
      <formula>1000</formula>
    </cfRule>
    <cfRule type="cellIs" dxfId="573" priority="11" operator="between">
      <formula>$RD$36</formula>
      <formula>$RD$37</formula>
    </cfRule>
    <cfRule type="cellIs" dxfId="572" priority="12" operator="between">
      <formula>$RD$35</formula>
      <formula>$RD$36</formula>
    </cfRule>
    <cfRule type="cellIs" dxfId="571" priority="13" operator="between">
      <formula>$RD$34</formula>
      <formula>$RD$35</formula>
    </cfRule>
  </conditionalFormatting>
  <conditionalFormatting sqref="RY1:RY1048576 SB1:SB1048576 SF1:SF1048576 SI1:SI1048576 TG1:TG37 TJ1:TJ37 TN1:TN37 TQ1:TQ37 UO1:UO37 UR1:UR37 UV1:UV37 UY1:UY37 VW1:VW37 VZ1:VZ37 WD1:WD37 WG1:WG37">
    <cfRule type="cellIs" dxfId="570" priority="8" operator="between">
      <formula>$SL$31</formula>
      <formula>1000</formula>
    </cfRule>
    <cfRule type="cellIs" dxfId="569" priority="9" operator="between">
      <formula>$SL$30</formula>
      <formula>$SL$31</formula>
    </cfRule>
  </conditionalFormatting>
  <conditionalFormatting sqref="SA1:SA1048576 SD1:SD1048576 SH1:SH1048576 SK1:SK1048576 TI1:TI37 TL1:TL37 TP1:TP37 TS1:TS37 UQ1:UQ37 UT1:UT37 UX1:UX37 VA1:VA37 VY1:VY37 WB1:WB37 WF1:WF37 WI1:WI37">
    <cfRule type="cellIs" dxfId="568" priority="4" operator="between">
      <formula>$SL$37</formula>
      <formula>1000</formula>
    </cfRule>
    <cfRule type="cellIs" dxfId="567" priority="5" operator="between">
      <formula>$SL$36</formula>
      <formula>$SL$37</formula>
    </cfRule>
    <cfRule type="cellIs" dxfId="566" priority="6" operator="between">
      <formula>$SL$35</formula>
      <formula>$SL$36</formula>
    </cfRule>
    <cfRule type="cellIs" dxfId="565" priority="7" operator="between">
      <formula>$SL$34</formula>
      <formula>$SL$35</formula>
    </cfRule>
  </conditionalFormatting>
  <conditionalFormatting sqref="DY1:DY1048576 DO1:DO1048576 DR1:DR1048576 DV1:DV1048576">
    <cfRule type="cellIs" dxfId="564" priority="3" stopIfTrue="1" operator="between">
      <formula>$EB$31</formula>
      <formula>1000</formula>
    </cfRule>
  </conditionalFormatting>
  <conditionalFormatting sqref="FG1:FG1048576 EW1:EW1048576 EZ1:EZ1048576 FD1:FD1048576">
    <cfRule type="cellIs" dxfId="563" priority="2" stopIfTrue="1" operator="between">
      <formula>$FJ$31</formula>
      <formula>1000</formula>
    </cfRule>
  </conditionalFormatting>
  <conditionalFormatting sqref="HW1:HW1048576 HM1:HM1048576 HP1:HP1048576 HT1:HT1048576">
    <cfRule type="cellIs" dxfId="562" priority="1" stopIfTrue="1" operator="between">
      <formula>$HZ$31</formula>
      <formula>1000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D6594-E464-6C49-9A98-AE8E360A3D54}">
  <sheetPr codeName="Sheet3"/>
  <dimension ref="A1:WJ45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7.6640625" bestFit="1" customWidth="1"/>
    <col min="3" max="3" width="8.1640625" bestFit="1" customWidth="1"/>
    <col min="4" max="4" width="12" customWidth="1"/>
    <col min="6" max="6" width="16.33203125" customWidth="1"/>
    <col min="7" max="7" width="10.83203125" customWidth="1"/>
    <col min="8" max="8" width="13.33203125" bestFit="1" customWidth="1"/>
    <col min="9" max="9" width="19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2" customWidth="1"/>
    <col min="44" max="59" width="10.83203125" hidden="1" customWidth="1"/>
    <col min="60" max="70" width="10.83203125" style="32" customWidth="1"/>
    <col min="71" max="86" width="10.83203125" hidden="1" customWidth="1"/>
    <col min="87" max="97" width="10.83203125" style="32" customWidth="1"/>
    <col min="98" max="98" width="12.83203125" style="32" customWidth="1"/>
    <col min="99" max="118" width="10.83203125" hidden="1" customWidth="1"/>
    <col min="119" max="131" width="10.83203125" customWidth="1"/>
    <col min="132" max="132" width="10.83203125" style="32" customWidth="1"/>
    <col min="133" max="152" width="10.83203125" hidden="1" customWidth="1"/>
    <col min="153" max="165" width="10.83203125" customWidth="1"/>
    <col min="166" max="166" width="10.83203125" style="32" customWidth="1"/>
    <col min="167" max="186" width="10.83203125" hidden="1" customWidth="1"/>
    <col min="187" max="199" width="10.83203125" customWidth="1"/>
    <col min="200" max="200" width="10.83203125" style="32" customWidth="1"/>
    <col min="201" max="220" width="10.83203125" hidden="1" customWidth="1"/>
    <col min="221" max="233" width="10.83203125" customWidth="1"/>
    <col min="234" max="234" width="10.83203125" style="32" customWidth="1"/>
    <col min="235" max="267" width="10.83203125" hidden="1" customWidth="1"/>
    <col min="268" max="268" width="10.83203125" style="32" hidden="1" customWidth="1"/>
    <col min="269" max="533" width="10.83203125" hidden="1" customWidth="1"/>
    <col min="534" max="534" width="11.83203125" hidden="1" customWidth="1"/>
    <col min="535" max="535" width="12.83203125" hidden="1" customWidth="1"/>
    <col min="536" max="567" width="10.83203125" hidden="1" customWidth="1"/>
    <col min="568" max="568" width="11.83203125" hidden="1" customWidth="1"/>
    <col min="569" max="569" width="12.83203125" hidden="1" customWidth="1"/>
    <col min="570" max="601" width="10.83203125" hidden="1" customWidth="1"/>
    <col min="602" max="602" width="11.83203125" hidden="1" customWidth="1"/>
    <col min="603" max="603" width="12.83203125" hidden="1" customWidth="1"/>
    <col min="604" max="608" width="10.83203125" hidden="1" customWidth="1"/>
  </cols>
  <sheetData>
    <row r="1" spans="1:608" x14ac:dyDescent="0.2">
      <c r="A1" s="56" t="s">
        <v>1</v>
      </c>
      <c r="B1" s="56" t="s">
        <v>26</v>
      </c>
      <c r="C1" s="56" t="s">
        <v>0</v>
      </c>
      <c r="D1" s="56" t="s">
        <v>44</v>
      </c>
      <c r="E1" s="56" t="s">
        <v>2</v>
      </c>
      <c r="F1" s="60" t="s">
        <v>188</v>
      </c>
      <c r="G1" s="56" t="s">
        <v>9</v>
      </c>
      <c r="H1" s="56" t="s">
        <v>10</v>
      </c>
      <c r="I1" s="56" t="s">
        <v>209</v>
      </c>
      <c r="J1" s="57" t="s">
        <v>75</v>
      </c>
      <c r="K1" s="58" t="s">
        <v>28</v>
      </c>
      <c r="L1" s="57" t="s">
        <v>86</v>
      </c>
      <c r="M1" s="58" t="s">
        <v>28</v>
      </c>
      <c r="N1" s="61" t="s">
        <v>12</v>
      </c>
      <c r="O1" s="58" t="s">
        <v>29</v>
      </c>
      <c r="P1" s="58" t="s">
        <v>28</v>
      </c>
      <c r="Q1" s="52" t="s">
        <v>118</v>
      </c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52"/>
      <c r="AF1" s="52"/>
      <c r="AG1" s="52"/>
      <c r="AH1" s="52"/>
      <c r="AI1" s="52"/>
      <c r="AJ1" s="52"/>
      <c r="AK1" s="52"/>
      <c r="AL1" s="52"/>
      <c r="AM1" s="52"/>
      <c r="AN1" s="52"/>
      <c r="AO1" s="52"/>
      <c r="AP1" s="52"/>
      <c r="AQ1" s="52"/>
      <c r="AR1" s="53" t="s">
        <v>145</v>
      </c>
      <c r="AS1" s="53"/>
      <c r="AT1" s="53"/>
      <c r="AU1" s="53"/>
      <c r="AV1" s="53"/>
      <c r="AW1" s="53"/>
      <c r="AX1" s="53"/>
      <c r="AY1" s="53"/>
      <c r="AZ1" s="53"/>
      <c r="BA1" s="53"/>
      <c r="BB1" s="53"/>
      <c r="BC1" s="53"/>
      <c r="BD1" s="53"/>
      <c r="BE1" s="53"/>
      <c r="BF1" s="53"/>
      <c r="BG1" s="53"/>
      <c r="BH1" s="53"/>
      <c r="BI1" s="53"/>
      <c r="BJ1" s="53"/>
      <c r="BK1" s="53"/>
      <c r="BL1" s="53"/>
      <c r="BM1" s="53"/>
      <c r="BN1" s="53"/>
      <c r="BO1" s="53"/>
      <c r="BP1" s="53"/>
      <c r="BQ1" s="53"/>
      <c r="BR1" s="53"/>
      <c r="BS1" s="52" t="s">
        <v>161</v>
      </c>
      <c r="BT1" s="52"/>
      <c r="BU1" s="52"/>
      <c r="BV1" s="52"/>
      <c r="BW1" s="52"/>
      <c r="BX1" s="52"/>
      <c r="BY1" s="52"/>
      <c r="BZ1" s="52"/>
      <c r="CA1" s="52"/>
      <c r="CB1" s="52"/>
      <c r="CC1" s="52"/>
      <c r="CD1" s="52"/>
      <c r="CE1" s="52"/>
      <c r="CF1" s="52"/>
      <c r="CG1" s="52"/>
      <c r="CH1" s="52"/>
      <c r="CI1" s="52"/>
      <c r="CJ1" s="52"/>
      <c r="CK1" s="52"/>
      <c r="CL1" s="52"/>
      <c r="CM1" s="52"/>
      <c r="CN1" s="52"/>
      <c r="CO1" s="52"/>
      <c r="CP1" s="52"/>
      <c r="CQ1" s="52"/>
      <c r="CR1" s="52"/>
      <c r="CS1" s="52"/>
      <c r="CT1" s="50" t="s">
        <v>12</v>
      </c>
      <c r="CU1" s="52" t="s">
        <v>152</v>
      </c>
      <c r="CV1" s="52"/>
      <c r="CW1" s="52"/>
      <c r="CX1" s="52"/>
      <c r="CY1" s="52"/>
      <c r="CZ1" s="52"/>
      <c r="DA1" s="52"/>
      <c r="DB1" s="52"/>
      <c r="DC1" s="52"/>
      <c r="DD1" s="52"/>
      <c r="DE1" s="52"/>
      <c r="DF1" s="52"/>
      <c r="DG1" s="52"/>
      <c r="DH1" s="52"/>
      <c r="DI1" s="52"/>
      <c r="DJ1" s="52"/>
      <c r="DK1" s="52"/>
      <c r="DL1" s="52"/>
      <c r="DM1" s="52"/>
      <c r="DN1" s="52"/>
      <c r="DO1" s="52"/>
      <c r="DP1" s="52"/>
      <c r="DQ1" s="52"/>
      <c r="DR1" s="52"/>
      <c r="DS1" s="52"/>
      <c r="DT1" s="52"/>
      <c r="DU1" s="52"/>
      <c r="DV1" s="52"/>
      <c r="DW1" s="52"/>
      <c r="DX1" s="52"/>
      <c r="DY1" s="52"/>
      <c r="DZ1" s="52"/>
      <c r="EA1" s="52"/>
      <c r="EB1" s="52"/>
      <c r="EC1" s="53" t="s">
        <v>155</v>
      </c>
      <c r="ED1" s="53"/>
      <c r="EE1" s="53"/>
      <c r="EF1" s="53"/>
      <c r="EG1" s="53"/>
      <c r="EH1" s="53"/>
      <c r="EI1" s="53"/>
      <c r="EJ1" s="53"/>
      <c r="EK1" s="53"/>
      <c r="EL1" s="53"/>
      <c r="EM1" s="53"/>
      <c r="EN1" s="53"/>
      <c r="EO1" s="53"/>
      <c r="EP1" s="53"/>
      <c r="EQ1" s="53"/>
      <c r="ER1" s="53"/>
      <c r="ES1" s="53"/>
      <c r="ET1" s="53"/>
      <c r="EU1" s="53"/>
      <c r="EV1" s="53"/>
      <c r="EW1" s="53"/>
      <c r="EX1" s="53"/>
      <c r="EY1" s="53"/>
      <c r="EZ1" s="53"/>
      <c r="FA1" s="53"/>
      <c r="FB1" s="53"/>
      <c r="FC1" s="53"/>
      <c r="FD1" s="53"/>
      <c r="FE1" s="53"/>
      <c r="FF1" s="53"/>
      <c r="FG1" s="53"/>
      <c r="FH1" s="53"/>
      <c r="FI1" s="53"/>
      <c r="FJ1" s="53"/>
      <c r="FK1" s="52" t="s">
        <v>156</v>
      </c>
      <c r="FL1" s="52"/>
      <c r="FM1" s="52"/>
      <c r="FN1" s="52"/>
      <c r="FO1" s="52"/>
      <c r="FP1" s="52"/>
      <c r="FQ1" s="52"/>
      <c r="FR1" s="52"/>
      <c r="FS1" s="52"/>
      <c r="FT1" s="52"/>
      <c r="FU1" s="52"/>
      <c r="FV1" s="52"/>
      <c r="FW1" s="52"/>
      <c r="FX1" s="52"/>
      <c r="FY1" s="52"/>
      <c r="FZ1" s="52"/>
      <c r="GA1" s="52"/>
      <c r="GB1" s="52"/>
      <c r="GC1" s="52"/>
      <c r="GD1" s="52"/>
      <c r="GE1" s="52"/>
      <c r="GF1" s="52"/>
      <c r="GG1" s="52"/>
      <c r="GH1" s="52"/>
      <c r="GI1" s="52"/>
      <c r="GJ1" s="52"/>
      <c r="GK1" s="52"/>
      <c r="GL1" s="52"/>
      <c r="GM1" s="52"/>
      <c r="GN1" s="52"/>
      <c r="GO1" s="52"/>
      <c r="GP1" s="52"/>
      <c r="GQ1" s="52"/>
      <c r="GR1" s="52"/>
      <c r="GS1" s="53" t="s">
        <v>182</v>
      </c>
      <c r="GT1" s="53"/>
      <c r="GU1" s="53"/>
      <c r="GV1" s="53"/>
      <c r="GW1" s="53"/>
      <c r="GX1" s="53"/>
      <c r="GY1" s="53"/>
      <c r="GZ1" s="53"/>
      <c r="HA1" s="53"/>
      <c r="HB1" s="53"/>
      <c r="HC1" s="53"/>
      <c r="HD1" s="53"/>
      <c r="HE1" s="53"/>
      <c r="HF1" s="53"/>
      <c r="HG1" s="53"/>
      <c r="HH1" s="53"/>
      <c r="HI1" s="53"/>
      <c r="HJ1" s="53"/>
      <c r="HK1" s="53"/>
      <c r="HL1" s="53"/>
      <c r="HM1" s="53"/>
      <c r="HN1" s="53"/>
      <c r="HO1" s="53"/>
      <c r="HP1" s="53"/>
      <c r="HQ1" s="53"/>
      <c r="HR1" s="53"/>
      <c r="HS1" s="53"/>
      <c r="HT1" s="53"/>
      <c r="HU1" s="53"/>
      <c r="HV1" s="53"/>
      <c r="HW1" s="53"/>
      <c r="HX1" s="53"/>
      <c r="HY1" s="53"/>
      <c r="HZ1" s="53"/>
      <c r="IA1" s="52"/>
      <c r="IB1" s="52"/>
      <c r="IC1" s="52"/>
      <c r="ID1" s="52"/>
      <c r="IE1" s="52"/>
      <c r="IF1" s="52"/>
      <c r="IG1" s="52"/>
      <c r="IH1" s="52"/>
      <c r="II1" s="52"/>
      <c r="IJ1" s="52"/>
      <c r="IK1" s="52"/>
      <c r="IL1" s="52"/>
      <c r="IM1" s="52"/>
      <c r="IN1" s="52"/>
      <c r="IO1" s="52"/>
      <c r="IP1" s="52"/>
      <c r="IQ1" s="52"/>
      <c r="IR1" s="52"/>
      <c r="IS1" s="52"/>
      <c r="IT1" s="52"/>
      <c r="IU1" s="52"/>
      <c r="IV1" s="52"/>
      <c r="IW1" s="52"/>
      <c r="IX1" s="52"/>
      <c r="IY1" s="52"/>
      <c r="IZ1" s="52"/>
      <c r="JA1" s="52"/>
      <c r="JB1" s="52"/>
      <c r="JC1" s="52"/>
      <c r="JD1" s="52"/>
      <c r="JE1" s="52"/>
      <c r="JF1" s="52"/>
      <c r="JG1" s="52"/>
      <c r="JH1" s="52"/>
      <c r="JI1" s="53"/>
      <c r="JJ1" s="53"/>
      <c r="JK1" s="53"/>
      <c r="JL1" s="53"/>
      <c r="JM1" s="53"/>
      <c r="JN1" s="53"/>
      <c r="JO1" s="53"/>
      <c r="JP1" s="53"/>
      <c r="JQ1" s="53"/>
      <c r="JR1" s="53"/>
      <c r="JS1" s="53"/>
      <c r="JT1" s="53"/>
      <c r="JU1" s="53"/>
      <c r="JV1" s="53"/>
      <c r="JW1" s="53"/>
      <c r="JX1" s="53"/>
      <c r="JY1" s="53"/>
      <c r="JZ1" s="53"/>
      <c r="KA1" s="53"/>
      <c r="KB1" s="53"/>
      <c r="KC1" s="53"/>
      <c r="KD1" s="53"/>
      <c r="KE1" s="53"/>
      <c r="KF1" s="53"/>
      <c r="KG1" s="53"/>
      <c r="KH1" s="53"/>
      <c r="KI1" s="53"/>
      <c r="KJ1" s="53"/>
      <c r="KK1" s="53"/>
      <c r="KL1" s="53"/>
      <c r="KM1" s="53"/>
      <c r="KN1" s="53"/>
      <c r="KO1" s="53"/>
      <c r="KP1" s="53"/>
      <c r="KQ1" s="52"/>
      <c r="KR1" s="52"/>
      <c r="KS1" s="52"/>
      <c r="KT1" s="52"/>
      <c r="KU1" s="52"/>
      <c r="KV1" s="52"/>
      <c r="KW1" s="52"/>
      <c r="KX1" s="52"/>
      <c r="KY1" s="52"/>
      <c r="KZ1" s="52"/>
      <c r="LA1" s="52"/>
      <c r="LB1" s="52"/>
      <c r="LC1" s="52"/>
      <c r="LD1" s="52"/>
      <c r="LE1" s="52"/>
      <c r="LF1" s="52"/>
      <c r="LG1" s="52"/>
      <c r="LH1" s="52"/>
      <c r="LI1" s="52"/>
      <c r="LJ1" s="52"/>
      <c r="LK1" s="52"/>
      <c r="LL1" s="52"/>
      <c r="LM1" s="52"/>
      <c r="LN1" s="52"/>
      <c r="LO1" s="52"/>
      <c r="LP1" s="52"/>
      <c r="LQ1" s="52"/>
      <c r="LR1" s="52"/>
      <c r="LS1" s="52"/>
      <c r="LT1" s="52"/>
      <c r="LU1" s="52"/>
      <c r="LV1" s="52"/>
      <c r="LW1" s="52"/>
      <c r="LX1" s="52"/>
      <c r="LY1" s="53"/>
      <c r="LZ1" s="53"/>
      <c r="MA1" s="53"/>
      <c r="MB1" s="53"/>
      <c r="MC1" s="53"/>
      <c r="MD1" s="53"/>
      <c r="ME1" s="53"/>
      <c r="MF1" s="53"/>
      <c r="MG1" s="53"/>
      <c r="MH1" s="53"/>
      <c r="MI1" s="53"/>
      <c r="MJ1" s="53"/>
      <c r="MK1" s="53"/>
      <c r="ML1" s="53"/>
      <c r="MM1" s="53"/>
      <c r="MN1" s="53"/>
      <c r="MO1" s="53"/>
      <c r="MP1" s="53"/>
      <c r="MQ1" s="53"/>
      <c r="MR1" s="53"/>
      <c r="MS1" s="53"/>
      <c r="MT1" s="53"/>
      <c r="MU1" s="53"/>
      <c r="MV1" s="53"/>
      <c r="MW1" s="53"/>
      <c r="MX1" s="53"/>
      <c r="MY1" s="53"/>
      <c r="MZ1" s="53"/>
      <c r="NA1" s="53"/>
      <c r="NB1" s="53"/>
      <c r="NC1" s="53"/>
      <c r="ND1" s="53"/>
      <c r="NE1" s="53"/>
      <c r="NF1" s="53"/>
      <c r="NG1" s="52"/>
      <c r="NH1" s="52"/>
      <c r="NI1" s="52"/>
      <c r="NJ1" s="52"/>
      <c r="NK1" s="52"/>
      <c r="NL1" s="52"/>
      <c r="NM1" s="52"/>
      <c r="NN1" s="52"/>
      <c r="NO1" s="52"/>
      <c r="NP1" s="52"/>
      <c r="NQ1" s="52"/>
      <c r="NR1" s="52"/>
      <c r="NS1" s="52"/>
      <c r="NT1" s="52"/>
      <c r="NU1" s="52"/>
      <c r="NV1" s="52"/>
      <c r="NW1" s="52"/>
      <c r="NX1" s="52"/>
      <c r="NY1" s="52"/>
      <c r="NZ1" s="52"/>
      <c r="OA1" s="52"/>
      <c r="OB1" s="52"/>
      <c r="OC1" s="52"/>
      <c r="OD1" s="52"/>
      <c r="OE1" s="52"/>
      <c r="OF1" s="52"/>
      <c r="OG1" s="52"/>
      <c r="OH1" s="52"/>
      <c r="OI1" s="52"/>
      <c r="OJ1" s="52"/>
      <c r="OK1" s="52"/>
      <c r="OL1" s="52"/>
      <c r="OM1" s="52"/>
      <c r="ON1" s="52"/>
      <c r="OO1" s="53"/>
      <c r="OP1" s="53"/>
      <c r="OQ1" s="53"/>
      <c r="OR1" s="53"/>
      <c r="OS1" s="53"/>
      <c r="OT1" s="53"/>
      <c r="OU1" s="53"/>
      <c r="OV1" s="53"/>
      <c r="OW1" s="53"/>
      <c r="OX1" s="53"/>
      <c r="OY1" s="53"/>
      <c r="OZ1" s="53"/>
      <c r="PA1" s="53"/>
      <c r="PB1" s="53"/>
      <c r="PC1" s="53"/>
      <c r="PD1" s="53"/>
      <c r="PE1" s="53"/>
      <c r="PF1" s="53"/>
      <c r="PG1" s="53"/>
      <c r="PH1" s="53"/>
      <c r="PI1" s="53"/>
      <c r="PJ1" s="53"/>
      <c r="PK1" s="53"/>
      <c r="PL1" s="53"/>
      <c r="PM1" s="53"/>
      <c r="PN1" s="53"/>
      <c r="PO1" s="53"/>
      <c r="PP1" s="53"/>
      <c r="PQ1" s="53"/>
      <c r="PR1" s="53"/>
      <c r="PS1" s="53"/>
      <c r="PT1" s="53"/>
      <c r="PU1" s="53"/>
      <c r="PV1" s="53"/>
      <c r="PW1" s="52"/>
      <c r="PX1" s="52"/>
      <c r="PY1" s="52"/>
      <c r="PZ1" s="52"/>
      <c r="QA1" s="52"/>
      <c r="QB1" s="52"/>
      <c r="QC1" s="52"/>
      <c r="QD1" s="52"/>
      <c r="QE1" s="52"/>
      <c r="QF1" s="52"/>
      <c r="QG1" s="52"/>
      <c r="QH1" s="52"/>
      <c r="QI1" s="52"/>
      <c r="QJ1" s="52"/>
      <c r="QK1" s="52"/>
      <c r="QL1" s="52"/>
      <c r="QM1" s="52"/>
      <c r="QN1" s="52"/>
      <c r="QO1" s="52"/>
      <c r="QP1" s="52"/>
      <c r="QQ1" s="52"/>
      <c r="QR1" s="52"/>
      <c r="QS1" s="52"/>
      <c r="QT1" s="52"/>
      <c r="QU1" s="52"/>
      <c r="QV1" s="52"/>
      <c r="QW1" s="52"/>
      <c r="QX1" s="52"/>
      <c r="QY1" s="52"/>
      <c r="QZ1" s="52"/>
      <c r="RA1" s="52"/>
      <c r="RB1" s="52"/>
      <c r="RC1" s="52"/>
      <c r="RD1" s="52"/>
      <c r="RE1" s="53"/>
      <c r="RF1" s="53"/>
      <c r="RG1" s="53"/>
      <c r="RH1" s="53"/>
      <c r="RI1" s="53"/>
      <c r="RJ1" s="53"/>
      <c r="RK1" s="53"/>
      <c r="RL1" s="53"/>
      <c r="RM1" s="53"/>
      <c r="RN1" s="53"/>
      <c r="RO1" s="53"/>
      <c r="RP1" s="53"/>
      <c r="RQ1" s="53"/>
      <c r="RR1" s="53"/>
      <c r="RS1" s="53"/>
      <c r="RT1" s="53"/>
      <c r="RU1" s="53"/>
      <c r="RV1" s="53"/>
      <c r="RW1" s="53"/>
      <c r="RX1" s="53"/>
      <c r="RY1" s="53"/>
      <c r="RZ1" s="53"/>
      <c r="SA1" s="53"/>
      <c r="SB1" s="53"/>
      <c r="SC1" s="53"/>
      <c r="SD1" s="53"/>
      <c r="SE1" s="53"/>
      <c r="SF1" s="53"/>
      <c r="SG1" s="53"/>
      <c r="SH1" s="53"/>
      <c r="SI1" s="53"/>
      <c r="SJ1" s="53"/>
      <c r="SK1" s="53"/>
      <c r="SL1" s="53"/>
      <c r="SM1" s="52"/>
      <c r="SN1" s="52"/>
      <c r="SO1" s="52"/>
      <c r="SP1" s="52"/>
      <c r="SQ1" s="52"/>
      <c r="SR1" s="52"/>
      <c r="SS1" s="52"/>
      <c r="ST1" s="52"/>
      <c r="SU1" s="52"/>
      <c r="SV1" s="52"/>
      <c r="SW1" s="52"/>
      <c r="SX1" s="52"/>
      <c r="SY1" s="52"/>
      <c r="SZ1" s="52"/>
      <c r="TA1" s="52"/>
      <c r="TB1" s="52"/>
      <c r="TC1" s="52"/>
      <c r="TD1" s="52"/>
      <c r="TE1" s="52"/>
      <c r="TF1" s="52"/>
      <c r="TG1" s="52"/>
      <c r="TH1" s="52"/>
      <c r="TI1" s="52"/>
      <c r="TJ1" s="52"/>
      <c r="TK1" s="52"/>
      <c r="TL1" s="52"/>
      <c r="TM1" s="52"/>
      <c r="TN1" s="52"/>
      <c r="TO1" s="52"/>
      <c r="TP1" s="52"/>
      <c r="TQ1" s="52"/>
      <c r="TR1" s="52"/>
      <c r="TS1" s="52"/>
      <c r="TT1" s="52"/>
      <c r="TU1" s="53"/>
      <c r="TV1" s="53"/>
      <c r="TW1" s="53"/>
      <c r="TX1" s="53"/>
      <c r="TY1" s="53"/>
      <c r="TZ1" s="53"/>
      <c r="UA1" s="53"/>
      <c r="UB1" s="53"/>
      <c r="UC1" s="53"/>
      <c r="UD1" s="53"/>
      <c r="UE1" s="53"/>
      <c r="UF1" s="53"/>
      <c r="UG1" s="53"/>
      <c r="UH1" s="53"/>
      <c r="UI1" s="53"/>
      <c r="UJ1" s="53"/>
      <c r="UK1" s="53"/>
      <c r="UL1" s="53"/>
      <c r="UM1" s="53"/>
      <c r="UN1" s="53"/>
      <c r="UO1" s="53"/>
      <c r="UP1" s="53"/>
      <c r="UQ1" s="53"/>
      <c r="UR1" s="53"/>
      <c r="US1" s="53"/>
      <c r="UT1" s="53"/>
      <c r="UU1" s="53"/>
      <c r="UV1" s="53"/>
      <c r="UW1" s="53"/>
      <c r="UX1" s="53"/>
      <c r="UY1" s="53"/>
      <c r="UZ1" s="53"/>
      <c r="VA1" s="53"/>
      <c r="VB1" s="53"/>
      <c r="VC1" s="52"/>
      <c r="VD1" s="52"/>
      <c r="VE1" s="52"/>
      <c r="VF1" s="52"/>
      <c r="VG1" s="52"/>
      <c r="VH1" s="52"/>
      <c r="VI1" s="52"/>
      <c r="VJ1" s="52"/>
      <c r="VK1" s="52"/>
      <c r="VL1" s="52"/>
      <c r="VM1" s="52"/>
      <c r="VN1" s="52"/>
      <c r="VO1" s="52"/>
      <c r="VP1" s="52"/>
      <c r="VQ1" s="52"/>
      <c r="VR1" s="52"/>
      <c r="VS1" s="52"/>
      <c r="VT1" s="52"/>
      <c r="VU1" s="52"/>
      <c r="VV1" s="52"/>
      <c r="VW1" s="52"/>
      <c r="VX1" s="52"/>
      <c r="VY1" s="52"/>
      <c r="VZ1" s="52"/>
      <c r="WA1" s="52"/>
      <c r="WB1" s="52"/>
      <c r="WC1" s="52"/>
      <c r="WD1" s="52"/>
      <c r="WE1" s="52"/>
      <c r="WF1" s="52"/>
      <c r="WG1" s="52"/>
      <c r="WH1" s="52"/>
      <c r="WI1" s="52"/>
      <c r="WJ1" s="52"/>
    </row>
    <row r="2" spans="1:608" x14ac:dyDescent="0.2">
      <c r="A2" s="56"/>
      <c r="B2" s="56"/>
      <c r="C2" s="56"/>
      <c r="D2" s="56"/>
      <c r="E2" s="56"/>
      <c r="F2" s="60"/>
      <c r="G2" s="56"/>
      <c r="H2" s="56"/>
      <c r="I2" s="56"/>
      <c r="J2" s="57"/>
      <c r="K2" s="58"/>
      <c r="L2" s="57"/>
      <c r="M2" s="58"/>
      <c r="N2" s="61"/>
      <c r="O2" s="58"/>
      <c r="P2" s="58"/>
      <c r="Q2" s="54" t="s">
        <v>17</v>
      </c>
      <c r="R2" s="54"/>
      <c r="S2" s="54"/>
      <c r="T2" s="54"/>
      <c r="U2" s="54"/>
      <c r="V2" s="54" t="s">
        <v>18</v>
      </c>
      <c r="W2" s="54"/>
      <c r="X2" s="54"/>
      <c r="Y2" s="54"/>
      <c r="Z2" s="54"/>
      <c r="AA2" s="54" t="s">
        <v>21</v>
      </c>
      <c r="AB2" s="54"/>
      <c r="AC2" s="54"/>
      <c r="AD2" s="54"/>
      <c r="AE2" s="54"/>
      <c r="AF2" s="14"/>
      <c r="AG2" s="14" t="s">
        <v>67</v>
      </c>
      <c r="AH2" s="14" t="s">
        <v>68</v>
      </c>
      <c r="AI2" s="14" t="s">
        <v>19</v>
      </c>
      <c r="AJ2" s="14" t="s">
        <v>58</v>
      </c>
      <c r="AK2" s="14" t="s">
        <v>69</v>
      </c>
      <c r="AL2" s="14" t="s">
        <v>20</v>
      </c>
      <c r="AM2" s="14" t="s">
        <v>22</v>
      </c>
      <c r="AN2" s="14" t="s">
        <v>70</v>
      </c>
      <c r="AO2" s="14" t="s">
        <v>71</v>
      </c>
      <c r="AP2" s="14" t="s">
        <v>21</v>
      </c>
      <c r="AQ2" s="14" t="s">
        <v>16</v>
      </c>
      <c r="AR2" s="55" t="s">
        <v>17</v>
      </c>
      <c r="AS2" s="55"/>
      <c r="AT2" s="55"/>
      <c r="AU2" s="55"/>
      <c r="AV2" s="55"/>
      <c r="AW2" s="55" t="s">
        <v>18</v>
      </c>
      <c r="AX2" s="55"/>
      <c r="AY2" s="55"/>
      <c r="AZ2" s="55"/>
      <c r="BA2" s="55"/>
      <c r="BB2" s="55" t="s">
        <v>21</v>
      </c>
      <c r="BC2" s="55"/>
      <c r="BD2" s="55"/>
      <c r="BE2" s="55"/>
      <c r="BF2" s="55"/>
      <c r="BG2" s="13"/>
      <c r="BH2" s="13" t="s">
        <v>67</v>
      </c>
      <c r="BI2" s="13" t="s">
        <v>68</v>
      </c>
      <c r="BJ2" s="13" t="s">
        <v>19</v>
      </c>
      <c r="BK2" s="13" t="s">
        <v>58</v>
      </c>
      <c r="BL2" s="13" t="s">
        <v>69</v>
      </c>
      <c r="BM2" s="13" t="s">
        <v>20</v>
      </c>
      <c r="BN2" s="13" t="s">
        <v>22</v>
      </c>
      <c r="BO2" s="13" t="s">
        <v>70</v>
      </c>
      <c r="BP2" s="13" t="s">
        <v>71</v>
      </c>
      <c r="BQ2" s="13" t="s">
        <v>21</v>
      </c>
      <c r="BR2" s="13" t="s">
        <v>16</v>
      </c>
      <c r="BS2" s="54" t="s">
        <v>17</v>
      </c>
      <c r="BT2" s="54"/>
      <c r="BU2" s="54"/>
      <c r="BV2" s="54"/>
      <c r="BW2" s="54"/>
      <c r="BX2" s="54" t="s">
        <v>18</v>
      </c>
      <c r="BY2" s="54"/>
      <c r="BZ2" s="54"/>
      <c r="CA2" s="54"/>
      <c r="CB2" s="54"/>
      <c r="CC2" s="54" t="s">
        <v>21</v>
      </c>
      <c r="CD2" s="54"/>
      <c r="CE2" s="54"/>
      <c r="CF2" s="54"/>
      <c r="CG2" s="54"/>
      <c r="CH2" s="14"/>
      <c r="CI2" s="14" t="s">
        <v>67</v>
      </c>
      <c r="CJ2" s="14" t="s">
        <v>68</v>
      </c>
      <c r="CK2" s="14" t="s">
        <v>19</v>
      </c>
      <c r="CL2" s="14" t="s">
        <v>58</v>
      </c>
      <c r="CM2" s="14" t="s">
        <v>69</v>
      </c>
      <c r="CN2" s="14" t="s">
        <v>20</v>
      </c>
      <c r="CO2" s="14" t="s">
        <v>22</v>
      </c>
      <c r="CP2" s="14" t="s">
        <v>70</v>
      </c>
      <c r="CQ2" s="14" t="s">
        <v>71</v>
      </c>
      <c r="CR2" s="14" t="s">
        <v>21</v>
      </c>
      <c r="CS2" s="14" t="s">
        <v>16</v>
      </c>
      <c r="CT2" s="46" t="s">
        <v>187</v>
      </c>
      <c r="CU2" s="54" t="s">
        <v>17</v>
      </c>
      <c r="CV2" s="54"/>
      <c r="CW2" s="54"/>
      <c r="CX2" s="54"/>
      <c r="CY2" s="54"/>
      <c r="CZ2" s="54" t="s">
        <v>18</v>
      </c>
      <c r="DA2" s="54"/>
      <c r="DB2" s="54"/>
      <c r="DC2" s="54"/>
      <c r="DD2" s="54"/>
      <c r="DE2" s="54" t="s">
        <v>72</v>
      </c>
      <c r="DF2" s="54"/>
      <c r="DG2" s="54"/>
      <c r="DH2" s="54"/>
      <c r="DI2" s="54"/>
      <c r="DJ2" s="54" t="s">
        <v>21</v>
      </c>
      <c r="DK2" s="54"/>
      <c r="DL2" s="54"/>
      <c r="DM2" s="54"/>
      <c r="DN2" s="54"/>
      <c r="DO2" s="14" t="s">
        <v>67</v>
      </c>
      <c r="DP2" s="14" t="s">
        <v>68</v>
      </c>
      <c r="DQ2" s="14" t="s">
        <v>19</v>
      </c>
      <c r="DR2" s="14" t="s">
        <v>58</v>
      </c>
      <c r="DS2" s="14" t="s">
        <v>69</v>
      </c>
      <c r="DT2" s="14" t="s">
        <v>20</v>
      </c>
      <c r="DU2" s="14" t="s">
        <v>22</v>
      </c>
      <c r="DV2" s="14" t="s">
        <v>73</v>
      </c>
      <c r="DW2" s="14" t="s">
        <v>74</v>
      </c>
      <c r="DX2" s="14" t="s">
        <v>72</v>
      </c>
      <c r="DY2" s="14" t="s">
        <v>70</v>
      </c>
      <c r="DZ2" s="14" t="s">
        <v>71</v>
      </c>
      <c r="EA2" s="14" t="s">
        <v>21</v>
      </c>
      <c r="EB2" s="14" t="s">
        <v>16</v>
      </c>
      <c r="EC2" s="55" t="s">
        <v>17</v>
      </c>
      <c r="ED2" s="55"/>
      <c r="EE2" s="55"/>
      <c r="EF2" s="55"/>
      <c r="EG2" s="55"/>
      <c r="EH2" s="55" t="s">
        <v>18</v>
      </c>
      <c r="EI2" s="55"/>
      <c r="EJ2" s="55"/>
      <c r="EK2" s="55"/>
      <c r="EL2" s="55"/>
      <c r="EM2" s="55" t="s">
        <v>72</v>
      </c>
      <c r="EN2" s="55"/>
      <c r="EO2" s="55"/>
      <c r="EP2" s="55"/>
      <c r="EQ2" s="55"/>
      <c r="ER2" s="55" t="s">
        <v>21</v>
      </c>
      <c r="ES2" s="55"/>
      <c r="ET2" s="55"/>
      <c r="EU2" s="55"/>
      <c r="EV2" s="55"/>
      <c r="EW2" s="13" t="s">
        <v>67</v>
      </c>
      <c r="EX2" s="13" t="s">
        <v>68</v>
      </c>
      <c r="EY2" s="13" t="s">
        <v>19</v>
      </c>
      <c r="EZ2" s="13" t="s">
        <v>58</v>
      </c>
      <c r="FA2" s="13" t="s">
        <v>69</v>
      </c>
      <c r="FB2" s="13" t="s">
        <v>20</v>
      </c>
      <c r="FC2" s="13" t="s">
        <v>22</v>
      </c>
      <c r="FD2" s="13" t="s">
        <v>73</v>
      </c>
      <c r="FE2" s="13" t="s">
        <v>74</v>
      </c>
      <c r="FF2" s="13" t="s">
        <v>72</v>
      </c>
      <c r="FG2" s="13" t="s">
        <v>70</v>
      </c>
      <c r="FH2" s="13" t="s">
        <v>71</v>
      </c>
      <c r="FI2" s="13" t="s">
        <v>21</v>
      </c>
      <c r="FJ2" s="13" t="s">
        <v>16</v>
      </c>
      <c r="FK2" s="54" t="s">
        <v>17</v>
      </c>
      <c r="FL2" s="54"/>
      <c r="FM2" s="54"/>
      <c r="FN2" s="54"/>
      <c r="FO2" s="54"/>
      <c r="FP2" s="54" t="s">
        <v>18</v>
      </c>
      <c r="FQ2" s="54"/>
      <c r="FR2" s="54"/>
      <c r="FS2" s="54"/>
      <c r="FT2" s="54"/>
      <c r="FU2" s="54" t="s">
        <v>72</v>
      </c>
      <c r="FV2" s="54"/>
      <c r="FW2" s="54"/>
      <c r="FX2" s="54"/>
      <c r="FY2" s="54"/>
      <c r="FZ2" s="54" t="s">
        <v>21</v>
      </c>
      <c r="GA2" s="54"/>
      <c r="GB2" s="54"/>
      <c r="GC2" s="54"/>
      <c r="GD2" s="54"/>
      <c r="GE2" s="14" t="s">
        <v>67</v>
      </c>
      <c r="GF2" s="14" t="s">
        <v>68</v>
      </c>
      <c r="GG2" s="14" t="s">
        <v>19</v>
      </c>
      <c r="GH2" s="14" t="s">
        <v>58</v>
      </c>
      <c r="GI2" s="14" t="s">
        <v>69</v>
      </c>
      <c r="GJ2" s="14" t="s">
        <v>20</v>
      </c>
      <c r="GK2" s="14" t="s">
        <v>22</v>
      </c>
      <c r="GL2" s="14" t="s">
        <v>73</v>
      </c>
      <c r="GM2" s="14" t="s">
        <v>74</v>
      </c>
      <c r="GN2" s="14" t="s">
        <v>72</v>
      </c>
      <c r="GO2" s="14" t="s">
        <v>70</v>
      </c>
      <c r="GP2" s="14" t="s">
        <v>71</v>
      </c>
      <c r="GQ2" s="14" t="s">
        <v>21</v>
      </c>
      <c r="GR2" s="14" t="s">
        <v>16</v>
      </c>
      <c r="GS2" s="55" t="s">
        <v>17</v>
      </c>
      <c r="GT2" s="55"/>
      <c r="GU2" s="55"/>
      <c r="GV2" s="55"/>
      <c r="GW2" s="55"/>
      <c r="GX2" s="55" t="s">
        <v>18</v>
      </c>
      <c r="GY2" s="55"/>
      <c r="GZ2" s="55"/>
      <c r="HA2" s="55"/>
      <c r="HB2" s="55"/>
      <c r="HC2" s="55" t="s">
        <v>72</v>
      </c>
      <c r="HD2" s="55"/>
      <c r="HE2" s="55"/>
      <c r="HF2" s="55"/>
      <c r="HG2" s="55"/>
      <c r="HH2" s="55" t="s">
        <v>21</v>
      </c>
      <c r="HI2" s="55"/>
      <c r="HJ2" s="55"/>
      <c r="HK2" s="55"/>
      <c r="HL2" s="55"/>
      <c r="HM2" s="13" t="s">
        <v>67</v>
      </c>
      <c r="HN2" s="13" t="s">
        <v>68</v>
      </c>
      <c r="HO2" s="13" t="s">
        <v>19</v>
      </c>
      <c r="HP2" s="13" t="s">
        <v>58</v>
      </c>
      <c r="HQ2" s="13" t="s">
        <v>69</v>
      </c>
      <c r="HR2" s="13" t="s">
        <v>20</v>
      </c>
      <c r="HS2" s="13" t="s">
        <v>22</v>
      </c>
      <c r="HT2" s="13" t="s">
        <v>73</v>
      </c>
      <c r="HU2" s="13" t="s">
        <v>74</v>
      </c>
      <c r="HV2" s="13" t="s">
        <v>72</v>
      </c>
      <c r="HW2" s="13" t="s">
        <v>70</v>
      </c>
      <c r="HX2" s="13" t="s">
        <v>71</v>
      </c>
      <c r="HY2" s="13" t="s">
        <v>21</v>
      </c>
      <c r="HZ2" s="13" t="s">
        <v>16</v>
      </c>
      <c r="IA2" s="54" t="s">
        <v>17</v>
      </c>
      <c r="IB2" s="54"/>
      <c r="IC2" s="54"/>
      <c r="ID2" s="54"/>
      <c r="IE2" s="54"/>
      <c r="IF2" s="54" t="s">
        <v>18</v>
      </c>
      <c r="IG2" s="54"/>
      <c r="IH2" s="54"/>
      <c r="II2" s="54"/>
      <c r="IJ2" s="54"/>
      <c r="IK2" s="54" t="s">
        <v>72</v>
      </c>
      <c r="IL2" s="54"/>
      <c r="IM2" s="54"/>
      <c r="IN2" s="54"/>
      <c r="IO2" s="54"/>
      <c r="IP2" s="54" t="s">
        <v>21</v>
      </c>
      <c r="IQ2" s="54"/>
      <c r="IR2" s="54"/>
      <c r="IS2" s="54"/>
      <c r="IT2" s="54"/>
      <c r="IU2" s="14" t="s">
        <v>67</v>
      </c>
      <c r="IV2" s="14" t="s">
        <v>68</v>
      </c>
      <c r="IW2" s="14" t="s">
        <v>19</v>
      </c>
      <c r="IX2" s="14" t="s">
        <v>58</v>
      </c>
      <c r="IY2" s="14" t="s">
        <v>69</v>
      </c>
      <c r="IZ2" s="14" t="s">
        <v>20</v>
      </c>
      <c r="JA2" s="14" t="s">
        <v>22</v>
      </c>
      <c r="JB2" s="14" t="s">
        <v>73</v>
      </c>
      <c r="JC2" s="14" t="s">
        <v>74</v>
      </c>
      <c r="JD2" s="14" t="s">
        <v>72</v>
      </c>
      <c r="JE2" s="14" t="s">
        <v>70</v>
      </c>
      <c r="JF2" s="14" t="s">
        <v>71</v>
      </c>
      <c r="JG2" s="14" t="s">
        <v>21</v>
      </c>
      <c r="JH2" s="14" t="s">
        <v>16</v>
      </c>
      <c r="JI2" s="55" t="s">
        <v>17</v>
      </c>
      <c r="JJ2" s="55"/>
      <c r="JK2" s="55"/>
      <c r="JL2" s="55"/>
      <c r="JM2" s="55"/>
      <c r="JN2" s="55" t="s">
        <v>18</v>
      </c>
      <c r="JO2" s="55"/>
      <c r="JP2" s="55"/>
      <c r="JQ2" s="55"/>
      <c r="JR2" s="55"/>
      <c r="JS2" s="55" t="s">
        <v>72</v>
      </c>
      <c r="JT2" s="55"/>
      <c r="JU2" s="55"/>
      <c r="JV2" s="55"/>
      <c r="JW2" s="55"/>
      <c r="JX2" s="55" t="s">
        <v>21</v>
      </c>
      <c r="JY2" s="55"/>
      <c r="JZ2" s="55"/>
      <c r="KA2" s="55"/>
      <c r="KB2" s="55"/>
      <c r="KC2" s="13" t="s">
        <v>67</v>
      </c>
      <c r="KD2" s="13" t="s">
        <v>68</v>
      </c>
      <c r="KE2" s="13" t="s">
        <v>19</v>
      </c>
      <c r="KF2" s="13" t="s">
        <v>58</v>
      </c>
      <c r="KG2" s="13" t="s">
        <v>69</v>
      </c>
      <c r="KH2" s="13" t="s">
        <v>20</v>
      </c>
      <c r="KI2" s="13" t="s">
        <v>22</v>
      </c>
      <c r="KJ2" s="13" t="s">
        <v>73</v>
      </c>
      <c r="KK2" s="13" t="s">
        <v>74</v>
      </c>
      <c r="KL2" s="13" t="s">
        <v>72</v>
      </c>
      <c r="KM2" s="13" t="s">
        <v>70</v>
      </c>
      <c r="KN2" s="13" t="s">
        <v>71</v>
      </c>
      <c r="KO2" s="13" t="s">
        <v>21</v>
      </c>
      <c r="KP2" s="13" t="s">
        <v>16</v>
      </c>
      <c r="KQ2" s="54" t="s">
        <v>17</v>
      </c>
      <c r="KR2" s="54"/>
      <c r="KS2" s="54"/>
      <c r="KT2" s="54"/>
      <c r="KU2" s="54"/>
      <c r="KV2" s="54" t="s">
        <v>18</v>
      </c>
      <c r="KW2" s="54"/>
      <c r="KX2" s="54"/>
      <c r="KY2" s="54"/>
      <c r="KZ2" s="54"/>
      <c r="LA2" s="54" t="s">
        <v>72</v>
      </c>
      <c r="LB2" s="54"/>
      <c r="LC2" s="54"/>
      <c r="LD2" s="54"/>
      <c r="LE2" s="54"/>
      <c r="LF2" s="54" t="s">
        <v>21</v>
      </c>
      <c r="LG2" s="54"/>
      <c r="LH2" s="54"/>
      <c r="LI2" s="54"/>
      <c r="LJ2" s="54"/>
      <c r="LK2" s="14" t="s">
        <v>67</v>
      </c>
      <c r="LL2" s="14" t="s">
        <v>68</v>
      </c>
      <c r="LM2" s="14" t="s">
        <v>19</v>
      </c>
      <c r="LN2" s="14" t="s">
        <v>58</v>
      </c>
      <c r="LO2" s="14" t="s">
        <v>69</v>
      </c>
      <c r="LP2" s="14" t="s">
        <v>20</v>
      </c>
      <c r="LQ2" s="14" t="s">
        <v>22</v>
      </c>
      <c r="LR2" s="14" t="s">
        <v>73</v>
      </c>
      <c r="LS2" s="14" t="s">
        <v>74</v>
      </c>
      <c r="LT2" s="14" t="s">
        <v>72</v>
      </c>
      <c r="LU2" s="14" t="s">
        <v>70</v>
      </c>
      <c r="LV2" s="14" t="s">
        <v>71</v>
      </c>
      <c r="LW2" s="14" t="s">
        <v>21</v>
      </c>
      <c r="LX2" s="14" t="s">
        <v>16</v>
      </c>
      <c r="LY2" s="55" t="s">
        <v>17</v>
      </c>
      <c r="LZ2" s="55"/>
      <c r="MA2" s="55"/>
      <c r="MB2" s="55"/>
      <c r="MC2" s="55"/>
      <c r="MD2" s="55" t="s">
        <v>18</v>
      </c>
      <c r="ME2" s="55"/>
      <c r="MF2" s="55"/>
      <c r="MG2" s="55"/>
      <c r="MH2" s="55"/>
      <c r="MI2" s="55" t="s">
        <v>72</v>
      </c>
      <c r="MJ2" s="55"/>
      <c r="MK2" s="55"/>
      <c r="ML2" s="55"/>
      <c r="MM2" s="55"/>
      <c r="MN2" s="55" t="s">
        <v>21</v>
      </c>
      <c r="MO2" s="55"/>
      <c r="MP2" s="55"/>
      <c r="MQ2" s="55"/>
      <c r="MR2" s="55"/>
      <c r="MS2" s="13" t="s">
        <v>67</v>
      </c>
      <c r="MT2" s="13" t="s">
        <v>68</v>
      </c>
      <c r="MU2" s="13" t="s">
        <v>19</v>
      </c>
      <c r="MV2" s="13" t="s">
        <v>58</v>
      </c>
      <c r="MW2" s="13" t="s">
        <v>69</v>
      </c>
      <c r="MX2" s="13" t="s">
        <v>20</v>
      </c>
      <c r="MY2" s="13" t="s">
        <v>22</v>
      </c>
      <c r="MZ2" s="13" t="s">
        <v>73</v>
      </c>
      <c r="NA2" s="13" t="s">
        <v>74</v>
      </c>
      <c r="NB2" s="13" t="s">
        <v>72</v>
      </c>
      <c r="NC2" s="13" t="s">
        <v>70</v>
      </c>
      <c r="ND2" s="13" t="s">
        <v>71</v>
      </c>
      <c r="NE2" s="13" t="s">
        <v>21</v>
      </c>
      <c r="NF2" s="13" t="s">
        <v>16</v>
      </c>
      <c r="NG2" s="54" t="s">
        <v>17</v>
      </c>
      <c r="NH2" s="54"/>
      <c r="NI2" s="54"/>
      <c r="NJ2" s="54"/>
      <c r="NK2" s="54"/>
      <c r="NL2" s="54" t="s">
        <v>18</v>
      </c>
      <c r="NM2" s="54"/>
      <c r="NN2" s="54"/>
      <c r="NO2" s="54"/>
      <c r="NP2" s="54"/>
      <c r="NQ2" s="54" t="s">
        <v>72</v>
      </c>
      <c r="NR2" s="54"/>
      <c r="NS2" s="54"/>
      <c r="NT2" s="54"/>
      <c r="NU2" s="54"/>
      <c r="NV2" s="54" t="s">
        <v>21</v>
      </c>
      <c r="NW2" s="54"/>
      <c r="NX2" s="54"/>
      <c r="NY2" s="54"/>
      <c r="NZ2" s="54"/>
      <c r="OA2" s="14" t="s">
        <v>67</v>
      </c>
      <c r="OB2" s="14" t="s">
        <v>68</v>
      </c>
      <c r="OC2" s="14" t="s">
        <v>19</v>
      </c>
      <c r="OD2" s="14" t="s">
        <v>58</v>
      </c>
      <c r="OE2" s="14" t="s">
        <v>69</v>
      </c>
      <c r="OF2" s="14" t="s">
        <v>20</v>
      </c>
      <c r="OG2" s="14" t="s">
        <v>22</v>
      </c>
      <c r="OH2" s="14" t="s">
        <v>73</v>
      </c>
      <c r="OI2" s="14" t="s">
        <v>74</v>
      </c>
      <c r="OJ2" s="14" t="s">
        <v>72</v>
      </c>
      <c r="OK2" s="14" t="s">
        <v>70</v>
      </c>
      <c r="OL2" s="14" t="s">
        <v>71</v>
      </c>
      <c r="OM2" s="14" t="s">
        <v>21</v>
      </c>
      <c r="ON2" s="14" t="s">
        <v>16</v>
      </c>
      <c r="OO2" s="55" t="s">
        <v>17</v>
      </c>
      <c r="OP2" s="55"/>
      <c r="OQ2" s="55"/>
      <c r="OR2" s="55"/>
      <c r="OS2" s="55"/>
      <c r="OT2" s="55" t="s">
        <v>18</v>
      </c>
      <c r="OU2" s="55"/>
      <c r="OV2" s="55"/>
      <c r="OW2" s="55"/>
      <c r="OX2" s="55"/>
      <c r="OY2" s="55" t="s">
        <v>72</v>
      </c>
      <c r="OZ2" s="55"/>
      <c r="PA2" s="55"/>
      <c r="PB2" s="55"/>
      <c r="PC2" s="55"/>
      <c r="PD2" s="55" t="s">
        <v>21</v>
      </c>
      <c r="PE2" s="55"/>
      <c r="PF2" s="55"/>
      <c r="PG2" s="55"/>
      <c r="PH2" s="55"/>
      <c r="PI2" s="13" t="s">
        <v>67</v>
      </c>
      <c r="PJ2" s="13" t="s">
        <v>68</v>
      </c>
      <c r="PK2" s="13" t="s">
        <v>19</v>
      </c>
      <c r="PL2" s="13" t="s">
        <v>58</v>
      </c>
      <c r="PM2" s="13" t="s">
        <v>69</v>
      </c>
      <c r="PN2" s="13" t="s">
        <v>20</v>
      </c>
      <c r="PO2" s="13" t="s">
        <v>22</v>
      </c>
      <c r="PP2" s="13" t="s">
        <v>73</v>
      </c>
      <c r="PQ2" s="13" t="s">
        <v>74</v>
      </c>
      <c r="PR2" s="13" t="s">
        <v>72</v>
      </c>
      <c r="PS2" s="13" t="s">
        <v>70</v>
      </c>
      <c r="PT2" s="13" t="s">
        <v>71</v>
      </c>
      <c r="PU2" s="13" t="s">
        <v>21</v>
      </c>
      <c r="PV2" s="13" t="s">
        <v>16</v>
      </c>
      <c r="PW2" s="54" t="s">
        <v>17</v>
      </c>
      <c r="PX2" s="54"/>
      <c r="PY2" s="54"/>
      <c r="PZ2" s="54"/>
      <c r="QA2" s="54"/>
      <c r="QB2" s="54" t="s">
        <v>18</v>
      </c>
      <c r="QC2" s="54"/>
      <c r="QD2" s="54"/>
      <c r="QE2" s="54"/>
      <c r="QF2" s="54"/>
      <c r="QG2" s="54" t="s">
        <v>72</v>
      </c>
      <c r="QH2" s="54"/>
      <c r="QI2" s="54"/>
      <c r="QJ2" s="54"/>
      <c r="QK2" s="54"/>
      <c r="QL2" s="54" t="s">
        <v>21</v>
      </c>
      <c r="QM2" s="54"/>
      <c r="QN2" s="54"/>
      <c r="QO2" s="54"/>
      <c r="QP2" s="54"/>
      <c r="QQ2" s="14" t="s">
        <v>67</v>
      </c>
      <c r="QR2" s="14" t="s">
        <v>68</v>
      </c>
      <c r="QS2" s="14" t="s">
        <v>19</v>
      </c>
      <c r="QT2" s="14" t="s">
        <v>58</v>
      </c>
      <c r="QU2" s="14" t="s">
        <v>69</v>
      </c>
      <c r="QV2" s="14" t="s">
        <v>20</v>
      </c>
      <c r="QW2" s="14" t="s">
        <v>22</v>
      </c>
      <c r="QX2" s="14" t="s">
        <v>73</v>
      </c>
      <c r="QY2" s="14" t="s">
        <v>74</v>
      </c>
      <c r="QZ2" s="14" t="s">
        <v>72</v>
      </c>
      <c r="RA2" s="14" t="s">
        <v>70</v>
      </c>
      <c r="RB2" s="14" t="s">
        <v>71</v>
      </c>
      <c r="RC2" s="14" t="s">
        <v>21</v>
      </c>
      <c r="RD2" s="14" t="s">
        <v>16</v>
      </c>
      <c r="RE2" s="55" t="s">
        <v>17</v>
      </c>
      <c r="RF2" s="55"/>
      <c r="RG2" s="55"/>
      <c r="RH2" s="55"/>
      <c r="RI2" s="55"/>
      <c r="RJ2" s="55" t="s">
        <v>18</v>
      </c>
      <c r="RK2" s="55"/>
      <c r="RL2" s="55"/>
      <c r="RM2" s="55"/>
      <c r="RN2" s="55"/>
      <c r="RO2" s="55" t="s">
        <v>72</v>
      </c>
      <c r="RP2" s="55"/>
      <c r="RQ2" s="55"/>
      <c r="RR2" s="55"/>
      <c r="RS2" s="55"/>
      <c r="RT2" s="55" t="s">
        <v>21</v>
      </c>
      <c r="RU2" s="55"/>
      <c r="RV2" s="55"/>
      <c r="RW2" s="55"/>
      <c r="RX2" s="55"/>
      <c r="RY2" s="13" t="s">
        <v>67</v>
      </c>
      <c r="RZ2" s="13" t="s">
        <v>68</v>
      </c>
      <c r="SA2" s="13" t="s">
        <v>19</v>
      </c>
      <c r="SB2" s="13" t="s">
        <v>58</v>
      </c>
      <c r="SC2" s="13" t="s">
        <v>69</v>
      </c>
      <c r="SD2" s="13" t="s">
        <v>20</v>
      </c>
      <c r="SE2" s="13" t="s">
        <v>22</v>
      </c>
      <c r="SF2" s="13" t="s">
        <v>73</v>
      </c>
      <c r="SG2" s="13" t="s">
        <v>74</v>
      </c>
      <c r="SH2" s="13" t="s">
        <v>72</v>
      </c>
      <c r="SI2" s="13" t="s">
        <v>70</v>
      </c>
      <c r="SJ2" s="13" t="s">
        <v>71</v>
      </c>
      <c r="SK2" s="13" t="s">
        <v>21</v>
      </c>
      <c r="SL2" s="13" t="s">
        <v>16</v>
      </c>
      <c r="SM2" s="54" t="s">
        <v>17</v>
      </c>
      <c r="SN2" s="54"/>
      <c r="SO2" s="54"/>
      <c r="SP2" s="54"/>
      <c r="SQ2" s="54"/>
      <c r="SR2" s="54" t="s">
        <v>18</v>
      </c>
      <c r="SS2" s="54"/>
      <c r="ST2" s="54"/>
      <c r="SU2" s="54"/>
      <c r="SV2" s="54"/>
      <c r="SW2" s="54" t="s">
        <v>72</v>
      </c>
      <c r="SX2" s="54"/>
      <c r="SY2" s="54"/>
      <c r="SZ2" s="54"/>
      <c r="TA2" s="54"/>
      <c r="TB2" s="54" t="s">
        <v>21</v>
      </c>
      <c r="TC2" s="54"/>
      <c r="TD2" s="54"/>
      <c r="TE2" s="54"/>
      <c r="TF2" s="54"/>
      <c r="TG2" s="14" t="s">
        <v>67</v>
      </c>
      <c r="TH2" s="14" t="s">
        <v>68</v>
      </c>
      <c r="TI2" s="14" t="s">
        <v>19</v>
      </c>
      <c r="TJ2" s="14" t="s">
        <v>58</v>
      </c>
      <c r="TK2" s="14" t="s">
        <v>69</v>
      </c>
      <c r="TL2" s="14" t="s">
        <v>20</v>
      </c>
      <c r="TM2" s="14" t="s">
        <v>22</v>
      </c>
      <c r="TN2" s="14" t="s">
        <v>73</v>
      </c>
      <c r="TO2" s="14" t="s">
        <v>74</v>
      </c>
      <c r="TP2" s="14" t="s">
        <v>72</v>
      </c>
      <c r="TQ2" s="14" t="s">
        <v>70</v>
      </c>
      <c r="TR2" s="14" t="s">
        <v>71</v>
      </c>
      <c r="TS2" s="14" t="s">
        <v>21</v>
      </c>
      <c r="TT2" s="14" t="s">
        <v>16</v>
      </c>
      <c r="TU2" s="55" t="s">
        <v>17</v>
      </c>
      <c r="TV2" s="55"/>
      <c r="TW2" s="55"/>
      <c r="TX2" s="55"/>
      <c r="TY2" s="55"/>
      <c r="TZ2" s="55" t="s">
        <v>18</v>
      </c>
      <c r="UA2" s="55"/>
      <c r="UB2" s="55"/>
      <c r="UC2" s="55"/>
      <c r="UD2" s="55"/>
      <c r="UE2" s="55" t="s">
        <v>72</v>
      </c>
      <c r="UF2" s="55"/>
      <c r="UG2" s="55"/>
      <c r="UH2" s="55"/>
      <c r="UI2" s="55"/>
      <c r="UJ2" s="55" t="s">
        <v>21</v>
      </c>
      <c r="UK2" s="55"/>
      <c r="UL2" s="55"/>
      <c r="UM2" s="55"/>
      <c r="UN2" s="55"/>
      <c r="UO2" s="13" t="s">
        <v>67</v>
      </c>
      <c r="UP2" s="13" t="s">
        <v>68</v>
      </c>
      <c r="UQ2" s="13" t="s">
        <v>19</v>
      </c>
      <c r="UR2" s="13" t="s">
        <v>58</v>
      </c>
      <c r="US2" s="13" t="s">
        <v>69</v>
      </c>
      <c r="UT2" s="13" t="s">
        <v>20</v>
      </c>
      <c r="UU2" s="13" t="s">
        <v>22</v>
      </c>
      <c r="UV2" s="13" t="s">
        <v>73</v>
      </c>
      <c r="UW2" s="13" t="s">
        <v>74</v>
      </c>
      <c r="UX2" s="13" t="s">
        <v>72</v>
      </c>
      <c r="UY2" s="13" t="s">
        <v>70</v>
      </c>
      <c r="UZ2" s="13" t="s">
        <v>71</v>
      </c>
      <c r="VA2" s="13" t="s">
        <v>21</v>
      </c>
      <c r="VB2" s="13" t="s">
        <v>16</v>
      </c>
      <c r="VC2" s="54" t="s">
        <v>17</v>
      </c>
      <c r="VD2" s="54"/>
      <c r="VE2" s="54"/>
      <c r="VF2" s="54"/>
      <c r="VG2" s="54"/>
      <c r="VH2" s="54" t="s">
        <v>18</v>
      </c>
      <c r="VI2" s="54"/>
      <c r="VJ2" s="54"/>
      <c r="VK2" s="54"/>
      <c r="VL2" s="54"/>
      <c r="VM2" s="54" t="s">
        <v>72</v>
      </c>
      <c r="VN2" s="54"/>
      <c r="VO2" s="54"/>
      <c r="VP2" s="54"/>
      <c r="VQ2" s="54"/>
      <c r="VR2" s="54" t="s">
        <v>21</v>
      </c>
      <c r="VS2" s="54"/>
      <c r="VT2" s="54"/>
      <c r="VU2" s="54"/>
      <c r="VV2" s="54"/>
      <c r="VW2" s="14" t="s">
        <v>67</v>
      </c>
      <c r="VX2" s="14" t="s">
        <v>68</v>
      </c>
      <c r="VY2" s="14" t="s">
        <v>19</v>
      </c>
      <c r="VZ2" s="14" t="s">
        <v>58</v>
      </c>
      <c r="WA2" s="14" t="s">
        <v>69</v>
      </c>
      <c r="WB2" s="14" t="s">
        <v>20</v>
      </c>
      <c r="WC2" s="14" t="s">
        <v>22</v>
      </c>
      <c r="WD2" s="14" t="s">
        <v>73</v>
      </c>
      <c r="WE2" s="14" t="s">
        <v>74</v>
      </c>
      <c r="WF2" s="14" t="s">
        <v>72</v>
      </c>
      <c r="WG2" s="14" t="s">
        <v>70</v>
      </c>
      <c r="WH2" s="14" t="s">
        <v>71</v>
      </c>
      <c r="WI2" s="14" t="s">
        <v>21</v>
      </c>
      <c r="WJ2" s="14" t="s">
        <v>16</v>
      </c>
    </row>
    <row r="3" spans="1:608" x14ac:dyDescent="0.2">
      <c r="A3" s="56"/>
      <c r="B3" s="56"/>
      <c r="C3" s="56"/>
      <c r="D3" s="56"/>
      <c r="E3" s="56"/>
      <c r="F3" s="60"/>
      <c r="G3" s="56"/>
      <c r="H3" s="56"/>
      <c r="I3" s="56"/>
      <c r="J3" s="57"/>
      <c r="K3" s="58"/>
      <c r="L3" s="57"/>
      <c r="M3" s="58"/>
      <c r="N3" s="61"/>
      <c r="O3" s="58"/>
      <c r="P3" s="58"/>
      <c r="Q3" s="14" t="s">
        <v>13</v>
      </c>
      <c r="R3" s="14" t="s">
        <v>14</v>
      </c>
      <c r="S3" s="14" t="s">
        <v>8</v>
      </c>
      <c r="T3" s="14" t="s">
        <v>15</v>
      </c>
      <c r="U3" s="14" t="s">
        <v>27</v>
      </c>
      <c r="V3" s="14" t="s">
        <v>13</v>
      </c>
      <c r="W3" s="14" t="s">
        <v>14</v>
      </c>
      <c r="X3" s="14" t="s">
        <v>8</v>
      </c>
      <c r="Y3" s="14" t="s">
        <v>15</v>
      </c>
      <c r="Z3" s="14" t="s">
        <v>27</v>
      </c>
      <c r="AA3" s="14" t="s">
        <v>13</v>
      </c>
      <c r="AB3" s="14" t="s">
        <v>14</v>
      </c>
      <c r="AC3" s="14" t="s">
        <v>8</v>
      </c>
      <c r="AD3" s="14" t="s">
        <v>15</v>
      </c>
      <c r="AE3" s="14" t="s">
        <v>27</v>
      </c>
      <c r="AF3" s="14" t="s">
        <v>41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13</v>
      </c>
      <c r="AS3" s="13" t="s">
        <v>14</v>
      </c>
      <c r="AT3" s="13" t="s">
        <v>8</v>
      </c>
      <c r="AU3" s="13" t="s">
        <v>15</v>
      </c>
      <c r="AV3" s="13" t="s">
        <v>27</v>
      </c>
      <c r="AW3" s="13" t="s">
        <v>13</v>
      </c>
      <c r="AX3" s="13" t="s">
        <v>14</v>
      </c>
      <c r="AY3" s="13" t="s">
        <v>8</v>
      </c>
      <c r="AZ3" s="13" t="s">
        <v>15</v>
      </c>
      <c r="BA3" s="13" t="s">
        <v>27</v>
      </c>
      <c r="BB3" s="13" t="s">
        <v>13</v>
      </c>
      <c r="BC3" s="13" t="s">
        <v>14</v>
      </c>
      <c r="BD3" s="13" t="s">
        <v>8</v>
      </c>
      <c r="BE3" s="13" t="s">
        <v>15</v>
      </c>
      <c r="BF3" s="13" t="s">
        <v>27</v>
      </c>
      <c r="BG3" s="13" t="s">
        <v>41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13</v>
      </c>
      <c r="BT3" s="14" t="s">
        <v>14</v>
      </c>
      <c r="BU3" s="14" t="s">
        <v>8</v>
      </c>
      <c r="BV3" s="14" t="s">
        <v>15</v>
      </c>
      <c r="BW3" s="14" t="s">
        <v>27</v>
      </c>
      <c r="BX3" s="14" t="s">
        <v>13</v>
      </c>
      <c r="BY3" s="14" t="s">
        <v>14</v>
      </c>
      <c r="BZ3" s="14" t="s">
        <v>8</v>
      </c>
      <c r="CA3" s="14" t="s">
        <v>15</v>
      </c>
      <c r="CB3" s="14" t="s">
        <v>27</v>
      </c>
      <c r="CC3" s="14" t="s">
        <v>13</v>
      </c>
      <c r="CD3" s="14" t="s">
        <v>14</v>
      </c>
      <c r="CE3" s="14" t="s">
        <v>8</v>
      </c>
      <c r="CF3" s="14" t="s">
        <v>15</v>
      </c>
      <c r="CG3" s="14" t="s">
        <v>27</v>
      </c>
      <c r="CH3" s="14" t="s">
        <v>41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46"/>
      <c r="CU3" s="14" t="s">
        <v>13</v>
      </c>
      <c r="CV3" s="14" t="s">
        <v>14</v>
      </c>
      <c r="CW3" s="14" t="s">
        <v>8</v>
      </c>
      <c r="CX3" s="14" t="s">
        <v>15</v>
      </c>
      <c r="CY3" s="14" t="s">
        <v>27</v>
      </c>
      <c r="CZ3" s="14" t="s">
        <v>13</v>
      </c>
      <c r="DA3" s="14" t="s">
        <v>14</v>
      </c>
      <c r="DB3" s="14" t="s">
        <v>8</v>
      </c>
      <c r="DC3" s="14" t="s">
        <v>15</v>
      </c>
      <c r="DD3" s="14" t="s">
        <v>27</v>
      </c>
      <c r="DE3" s="14" t="s">
        <v>13</v>
      </c>
      <c r="DF3" s="14" t="s">
        <v>14</v>
      </c>
      <c r="DG3" s="14" t="s">
        <v>8</v>
      </c>
      <c r="DH3" s="14" t="s">
        <v>15</v>
      </c>
      <c r="DI3" s="14" t="s">
        <v>27</v>
      </c>
      <c r="DJ3" s="14" t="s">
        <v>13</v>
      </c>
      <c r="DK3" s="14" t="s">
        <v>14</v>
      </c>
      <c r="DL3" s="14" t="s">
        <v>8</v>
      </c>
      <c r="DM3" s="14" t="s">
        <v>15</v>
      </c>
      <c r="DN3" s="14" t="s">
        <v>27</v>
      </c>
      <c r="DO3" s="6"/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14"/>
      <c r="EC3" s="13" t="s">
        <v>13</v>
      </c>
      <c r="ED3" s="13" t="s">
        <v>14</v>
      </c>
      <c r="EE3" s="13" t="s">
        <v>8</v>
      </c>
      <c r="EF3" s="13" t="s">
        <v>15</v>
      </c>
      <c r="EG3" s="13" t="s">
        <v>27</v>
      </c>
      <c r="EH3" s="13" t="s">
        <v>13</v>
      </c>
      <c r="EI3" s="13" t="s">
        <v>14</v>
      </c>
      <c r="EJ3" s="13" t="s">
        <v>8</v>
      </c>
      <c r="EK3" s="13" t="s">
        <v>15</v>
      </c>
      <c r="EL3" s="13" t="s">
        <v>27</v>
      </c>
      <c r="EM3" s="13" t="s">
        <v>13</v>
      </c>
      <c r="EN3" s="13" t="s">
        <v>14</v>
      </c>
      <c r="EO3" s="13" t="s">
        <v>8</v>
      </c>
      <c r="EP3" s="13" t="s">
        <v>15</v>
      </c>
      <c r="EQ3" s="13" t="s">
        <v>27</v>
      </c>
      <c r="ER3" s="13" t="s">
        <v>13</v>
      </c>
      <c r="ES3" s="13" t="s">
        <v>14</v>
      </c>
      <c r="ET3" s="13" t="s">
        <v>8</v>
      </c>
      <c r="EU3" s="13" t="s">
        <v>15</v>
      </c>
      <c r="EV3" s="13" t="s">
        <v>27</v>
      </c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13"/>
      <c r="FK3" s="14" t="s">
        <v>13</v>
      </c>
      <c r="FL3" s="14" t="s">
        <v>14</v>
      </c>
      <c r="FM3" s="14" t="s">
        <v>8</v>
      </c>
      <c r="FN3" s="14" t="s">
        <v>15</v>
      </c>
      <c r="FO3" s="14" t="s">
        <v>27</v>
      </c>
      <c r="FP3" s="14" t="s">
        <v>13</v>
      </c>
      <c r="FQ3" s="14" t="s">
        <v>14</v>
      </c>
      <c r="FR3" s="14" t="s">
        <v>8</v>
      </c>
      <c r="FS3" s="14" t="s">
        <v>15</v>
      </c>
      <c r="FT3" s="14" t="s">
        <v>27</v>
      </c>
      <c r="FU3" s="14" t="s">
        <v>13</v>
      </c>
      <c r="FV3" s="14" t="s">
        <v>14</v>
      </c>
      <c r="FW3" s="14" t="s">
        <v>8</v>
      </c>
      <c r="FX3" s="14" t="s">
        <v>15</v>
      </c>
      <c r="FY3" s="14" t="s">
        <v>27</v>
      </c>
      <c r="FZ3" s="14" t="s">
        <v>13</v>
      </c>
      <c r="GA3" s="14" t="s">
        <v>14</v>
      </c>
      <c r="GB3" s="14" t="s">
        <v>8</v>
      </c>
      <c r="GC3" s="14" t="s">
        <v>15</v>
      </c>
      <c r="GD3" s="14" t="s">
        <v>27</v>
      </c>
      <c r="GE3" s="6"/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14"/>
      <c r="GS3" s="13" t="s">
        <v>13</v>
      </c>
      <c r="GT3" s="13" t="s">
        <v>14</v>
      </c>
      <c r="GU3" s="13" t="s">
        <v>8</v>
      </c>
      <c r="GV3" s="13" t="s">
        <v>15</v>
      </c>
      <c r="GW3" s="13" t="s">
        <v>27</v>
      </c>
      <c r="GX3" s="13" t="s">
        <v>13</v>
      </c>
      <c r="GY3" s="13" t="s">
        <v>14</v>
      </c>
      <c r="GZ3" s="13" t="s">
        <v>8</v>
      </c>
      <c r="HA3" s="13" t="s">
        <v>15</v>
      </c>
      <c r="HB3" s="13" t="s">
        <v>27</v>
      </c>
      <c r="HC3" s="13" t="s">
        <v>13</v>
      </c>
      <c r="HD3" s="13" t="s">
        <v>14</v>
      </c>
      <c r="HE3" s="13" t="s">
        <v>8</v>
      </c>
      <c r="HF3" s="13" t="s">
        <v>15</v>
      </c>
      <c r="HG3" s="13" t="s">
        <v>27</v>
      </c>
      <c r="HH3" s="13" t="s">
        <v>13</v>
      </c>
      <c r="HI3" s="13" t="s">
        <v>14</v>
      </c>
      <c r="HJ3" s="13" t="s">
        <v>8</v>
      </c>
      <c r="HK3" s="13" t="s">
        <v>15</v>
      </c>
      <c r="HL3" s="13" t="s">
        <v>27</v>
      </c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13"/>
      <c r="IA3" s="14" t="s">
        <v>13</v>
      </c>
      <c r="IB3" s="14" t="s">
        <v>14</v>
      </c>
      <c r="IC3" s="14" t="s">
        <v>8</v>
      </c>
      <c r="ID3" s="14" t="s">
        <v>15</v>
      </c>
      <c r="IE3" s="14" t="s">
        <v>27</v>
      </c>
      <c r="IF3" s="14" t="s">
        <v>13</v>
      </c>
      <c r="IG3" s="14" t="s">
        <v>14</v>
      </c>
      <c r="IH3" s="14" t="s">
        <v>8</v>
      </c>
      <c r="II3" s="14" t="s">
        <v>15</v>
      </c>
      <c r="IJ3" s="14" t="s">
        <v>27</v>
      </c>
      <c r="IK3" s="14" t="s">
        <v>13</v>
      </c>
      <c r="IL3" s="14" t="s">
        <v>14</v>
      </c>
      <c r="IM3" s="14" t="s">
        <v>8</v>
      </c>
      <c r="IN3" s="14" t="s">
        <v>15</v>
      </c>
      <c r="IO3" s="14" t="s">
        <v>27</v>
      </c>
      <c r="IP3" s="14" t="s">
        <v>13</v>
      </c>
      <c r="IQ3" s="14" t="s">
        <v>14</v>
      </c>
      <c r="IR3" s="14" t="s">
        <v>8</v>
      </c>
      <c r="IS3" s="14" t="s">
        <v>15</v>
      </c>
      <c r="IT3" s="14" t="s">
        <v>27</v>
      </c>
      <c r="IU3" s="6"/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14"/>
      <c r="JI3" s="13" t="s">
        <v>13</v>
      </c>
      <c r="JJ3" s="13" t="s">
        <v>14</v>
      </c>
      <c r="JK3" s="13" t="s">
        <v>8</v>
      </c>
      <c r="JL3" s="13" t="s">
        <v>15</v>
      </c>
      <c r="JM3" s="13" t="s">
        <v>27</v>
      </c>
      <c r="JN3" s="13" t="s">
        <v>13</v>
      </c>
      <c r="JO3" s="13" t="s">
        <v>14</v>
      </c>
      <c r="JP3" s="13" t="s">
        <v>8</v>
      </c>
      <c r="JQ3" s="13" t="s">
        <v>15</v>
      </c>
      <c r="JR3" s="13" t="s">
        <v>27</v>
      </c>
      <c r="JS3" s="13" t="s">
        <v>13</v>
      </c>
      <c r="JT3" s="13" t="s">
        <v>14</v>
      </c>
      <c r="JU3" s="13" t="s">
        <v>8</v>
      </c>
      <c r="JV3" s="13" t="s">
        <v>15</v>
      </c>
      <c r="JW3" s="13" t="s">
        <v>27</v>
      </c>
      <c r="JX3" s="13" t="s">
        <v>13</v>
      </c>
      <c r="JY3" s="13" t="s">
        <v>14</v>
      </c>
      <c r="JZ3" s="13" t="s">
        <v>8</v>
      </c>
      <c r="KA3" s="13" t="s">
        <v>15</v>
      </c>
      <c r="KB3" s="13" t="s">
        <v>27</v>
      </c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14" t="s">
        <v>13</v>
      </c>
      <c r="KR3" s="14" t="s">
        <v>14</v>
      </c>
      <c r="KS3" s="14" t="s">
        <v>8</v>
      </c>
      <c r="KT3" s="14" t="s">
        <v>15</v>
      </c>
      <c r="KU3" s="14" t="s">
        <v>27</v>
      </c>
      <c r="KV3" s="14" t="s">
        <v>13</v>
      </c>
      <c r="KW3" s="14" t="s">
        <v>14</v>
      </c>
      <c r="KX3" s="14" t="s">
        <v>8</v>
      </c>
      <c r="KY3" s="14" t="s">
        <v>15</v>
      </c>
      <c r="KZ3" s="14" t="s">
        <v>27</v>
      </c>
      <c r="LA3" s="14" t="s">
        <v>13</v>
      </c>
      <c r="LB3" s="14" t="s">
        <v>14</v>
      </c>
      <c r="LC3" s="14" t="s">
        <v>8</v>
      </c>
      <c r="LD3" s="14" t="s">
        <v>15</v>
      </c>
      <c r="LE3" s="14" t="s">
        <v>27</v>
      </c>
      <c r="LF3" s="14" t="s">
        <v>13</v>
      </c>
      <c r="LG3" s="14" t="s">
        <v>14</v>
      </c>
      <c r="LH3" s="14" t="s">
        <v>8</v>
      </c>
      <c r="LI3" s="14" t="s">
        <v>15</v>
      </c>
      <c r="LJ3" s="14" t="s">
        <v>27</v>
      </c>
      <c r="LK3" s="6"/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13" t="s">
        <v>13</v>
      </c>
      <c r="LZ3" s="13" t="s">
        <v>14</v>
      </c>
      <c r="MA3" s="13" t="s">
        <v>8</v>
      </c>
      <c r="MB3" s="13" t="s">
        <v>15</v>
      </c>
      <c r="MC3" s="13" t="s">
        <v>27</v>
      </c>
      <c r="MD3" s="13" t="s">
        <v>13</v>
      </c>
      <c r="ME3" s="13" t="s">
        <v>14</v>
      </c>
      <c r="MF3" s="13" t="s">
        <v>8</v>
      </c>
      <c r="MG3" s="13" t="s">
        <v>15</v>
      </c>
      <c r="MH3" s="13" t="s">
        <v>27</v>
      </c>
      <c r="MI3" s="13" t="s">
        <v>13</v>
      </c>
      <c r="MJ3" s="13" t="s">
        <v>14</v>
      </c>
      <c r="MK3" s="13" t="s">
        <v>8</v>
      </c>
      <c r="ML3" s="13" t="s">
        <v>15</v>
      </c>
      <c r="MM3" s="13" t="s">
        <v>27</v>
      </c>
      <c r="MN3" s="13" t="s">
        <v>13</v>
      </c>
      <c r="MO3" s="13" t="s">
        <v>14</v>
      </c>
      <c r="MP3" s="13" t="s">
        <v>8</v>
      </c>
      <c r="MQ3" s="13" t="s">
        <v>15</v>
      </c>
      <c r="MR3" s="13" t="s">
        <v>27</v>
      </c>
      <c r="MS3" s="7"/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14" t="s">
        <v>13</v>
      </c>
      <c r="NH3" s="14" t="s">
        <v>14</v>
      </c>
      <c r="NI3" s="14" t="s">
        <v>8</v>
      </c>
      <c r="NJ3" s="14" t="s">
        <v>15</v>
      </c>
      <c r="NK3" s="14" t="s">
        <v>27</v>
      </c>
      <c r="NL3" s="14" t="s">
        <v>13</v>
      </c>
      <c r="NM3" s="14" t="s">
        <v>14</v>
      </c>
      <c r="NN3" s="14" t="s">
        <v>8</v>
      </c>
      <c r="NO3" s="14" t="s">
        <v>15</v>
      </c>
      <c r="NP3" s="14" t="s">
        <v>27</v>
      </c>
      <c r="NQ3" s="14" t="s">
        <v>13</v>
      </c>
      <c r="NR3" s="14" t="s">
        <v>14</v>
      </c>
      <c r="NS3" s="14" t="s">
        <v>8</v>
      </c>
      <c r="NT3" s="14" t="s">
        <v>15</v>
      </c>
      <c r="NU3" s="14" t="s">
        <v>27</v>
      </c>
      <c r="NV3" s="14" t="s">
        <v>13</v>
      </c>
      <c r="NW3" s="14" t="s">
        <v>14</v>
      </c>
      <c r="NX3" s="14" t="s">
        <v>8</v>
      </c>
      <c r="NY3" s="14" t="s">
        <v>15</v>
      </c>
      <c r="NZ3" s="14" t="s">
        <v>27</v>
      </c>
      <c r="OA3" s="6"/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13" t="s">
        <v>13</v>
      </c>
      <c r="OP3" s="13" t="s">
        <v>14</v>
      </c>
      <c r="OQ3" s="13" t="s">
        <v>8</v>
      </c>
      <c r="OR3" s="13" t="s">
        <v>15</v>
      </c>
      <c r="OS3" s="13" t="s">
        <v>27</v>
      </c>
      <c r="OT3" s="13" t="s">
        <v>13</v>
      </c>
      <c r="OU3" s="13" t="s">
        <v>14</v>
      </c>
      <c r="OV3" s="13" t="s">
        <v>8</v>
      </c>
      <c r="OW3" s="13" t="s">
        <v>15</v>
      </c>
      <c r="OX3" s="13" t="s">
        <v>27</v>
      </c>
      <c r="OY3" s="13" t="s">
        <v>13</v>
      </c>
      <c r="OZ3" s="13" t="s">
        <v>14</v>
      </c>
      <c r="PA3" s="13" t="s">
        <v>8</v>
      </c>
      <c r="PB3" s="13" t="s">
        <v>15</v>
      </c>
      <c r="PC3" s="13" t="s">
        <v>27</v>
      </c>
      <c r="PD3" s="13" t="s">
        <v>13</v>
      </c>
      <c r="PE3" s="13" t="s">
        <v>14</v>
      </c>
      <c r="PF3" s="13" t="s">
        <v>8</v>
      </c>
      <c r="PG3" s="13" t="s">
        <v>15</v>
      </c>
      <c r="PH3" s="13" t="s">
        <v>27</v>
      </c>
      <c r="PI3" s="7"/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14" t="s">
        <v>13</v>
      </c>
      <c r="PX3" s="14" t="s">
        <v>14</v>
      </c>
      <c r="PY3" s="14" t="s">
        <v>8</v>
      </c>
      <c r="PZ3" s="14" t="s">
        <v>15</v>
      </c>
      <c r="QA3" s="14" t="s">
        <v>27</v>
      </c>
      <c r="QB3" s="14" t="s">
        <v>13</v>
      </c>
      <c r="QC3" s="14" t="s">
        <v>14</v>
      </c>
      <c r="QD3" s="14" t="s">
        <v>8</v>
      </c>
      <c r="QE3" s="14" t="s">
        <v>15</v>
      </c>
      <c r="QF3" s="14" t="s">
        <v>27</v>
      </c>
      <c r="QG3" s="14" t="s">
        <v>13</v>
      </c>
      <c r="QH3" s="14" t="s">
        <v>14</v>
      </c>
      <c r="QI3" s="14" t="s">
        <v>8</v>
      </c>
      <c r="QJ3" s="14" t="s">
        <v>15</v>
      </c>
      <c r="QK3" s="14" t="s">
        <v>27</v>
      </c>
      <c r="QL3" s="14" t="s">
        <v>13</v>
      </c>
      <c r="QM3" s="14" t="s">
        <v>14</v>
      </c>
      <c r="QN3" s="14" t="s">
        <v>8</v>
      </c>
      <c r="QO3" s="14" t="s">
        <v>15</v>
      </c>
      <c r="QP3" s="14" t="s">
        <v>27</v>
      </c>
      <c r="QQ3" s="6"/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13" t="s">
        <v>13</v>
      </c>
      <c r="RF3" s="13" t="s">
        <v>14</v>
      </c>
      <c r="RG3" s="13" t="s">
        <v>8</v>
      </c>
      <c r="RH3" s="13" t="s">
        <v>15</v>
      </c>
      <c r="RI3" s="13" t="s">
        <v>27</v>
      </c>
      <c r="RJ3" s="13" t="s">
        <v>13</v>
      </c>
      <c r="RK3" s="13" t="s">
        <v>14</v>
      </c>
      <c r="RL3" s="13" t="s">
        <v>8</v>
      </c>
      <c r="RM3" s="13" t="s">
        <v>15</v>
      </c>
      <c r="RN3" s="13" t="s">
        <v>27</v>
      </c>
      <c r="RO3" s="13" t="s">
        <v>13</v>
      </c>
      <c r="RP3" s="13" t="s">
        <v>14</v>
      </c>
      <c r="RQ3" s="13" t="s">
        <v>8</v>
      </c>
      <c r="RR3" s="13" t="s">
        <v>15</v>
      </c>
      <c r="RS3" s="13" t="s">
        <v>27</v>
      </c>
      <c r="RT3" s="13" t="s">
        <v>13</v>
      </c>
      <c r="RU3" s="13" t="s">
        <v>14</v>
      </c>
      <c r="RV3" s="13" t="s">
        <v>8</v>
      </c>
      <c r="RW3" s="13" t="s">
        <v>15</v>
      </c>
      <c r="RX3" s="13" t="s">
        <v>27</v>
      </c>
      <c r="RY3" s="7"/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14" t="s">
        <v>13</v>
      </c>
      <c r="SN3" s="14" t="s">
        <v>14</v>
      </c>
      <c r="SO3" s="14" t="s">
        <v>8</v>
      </c>
      <c r="SP3" s="14" t="s">
        <v>15</v>
      </c>
      <c r="SQ3" s="14" t="s">
        <v>27</v>
      </c>
      <c r="SR3" s="14" t="s">
        <v>13</v>
      </c>
      <c r="SS3" s="14" t="s">
        <v>14</v>
      </c>
      <c r="ST3" s="14" t="s">
        <v>8</v>
      </c>
      <c r="SU3" s="14" t="s">
        <v>15</v>
      </c>
      <c r="SV3" s="14" t="s">
        <v>27</v>
      </c>
      <c r="SW3" s="14" t="s">
        <v>13</v>
      </c>
      <c r="SX3" s="14" t="s">
        <v>14</v>
      </c>
      <c r="SY3" s="14" t="s">
        <v>8</v>
      </c>
      <c r="SZ3" s="14" t="s">
        <v>15</v>
      </c>
      <c r="TA3" s="14" t="s">
        <v>27</v>
      </c>
      <c r="TB3" s="14" t="s">
        <v>13</v>
      </c>
      <c r="TC3" s="14" t="s">
        <v>14</v>
      </c>
      <c r="TD3" s="14" t="s">
        <v>8</v>
      </c>
      <c r="TE3" s="14" t="s">
        <v>15</v>
      </c>
      <c r="TF3" s="14" t="s">
        <v>27</v>
      </c>
      <c r="TG3" s="6"/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13" t="s">
        <v>13</v>
      </c>
      <c r="TV3" s="13" t="s">
        <v>14</v>
      </c>
      <c r="TW3" s="13" t="s">
        <v>8</v>
      </c>
      <c r="TX3" s="13" t="s">
        <v>15</v>
      </c>
      <c r="TY3" s="13" t="s">
        <v>27</v>
      </c>
      <c r="TZ3" s="13" t="s">
        <v>13</v>
      </c>
      <c r="UA3" s="13" t="s">
        <v>14</v>
      </c>
      <c r="UB3" s="13" t="s">
        <v>8</v>
      </c>
      <c r="UC3" s="13" t="s">
        <v>15</v>
      </c>
      <c r="UD3" s="13" t="s">
        <v>27</v>
      </c>
      <c r="UE3" s="13" t="s">
        <v>13</v>
      </c>
      <c r="UF3" s="13" t="s">
        <v>14</v>
      </c>
      <c r="UG3" s="13" t="s">
        <v>8</v>
      </c>
      <c r="UH3" s="13" t="s">
        <v>15</v>
      </c>
      <c r="UI3" s="13" t="s">
        <v>27</v>
      </c>
      <c r="UJ3" s="13" t="s">
        <v>13</v>
      </c>
      <c r="UK3" s="13" t="s">
        <v>14</v>
      </c>
      <c r="UL3" s="13" t="s">
        <v>8</v>
      </c>
      <c r="UM3" s="13" t="s">
        <v>15</v>
      </c>
      <c r="UN3" s="13" t="s">
        <v>27</v>
      </c>
      <c r="UO3" s="7"/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14" t="s">
        <v>13</v>
      </c>
      <c r="VD3" s="14" t="s">
        <v>14</v>
      </c>
      <c r="VE3" s="14" t="s">
        <v>8</v>
      </c>
      <c r="VF3" s="14" t="s">
        <v>15</v>
      </c>
      <c r="VG3" s="14" t="s">
        <v>27</v>
      </c>
      <c r="VH3" s="14" t="s">
        <v>13</v>
      </c>
      <c r="VI3" s="14" t="s">
        <v>14</v>
      </c>
      <c r="VJ3" s="14" t="s">
        <v>8</v>
      </c>
      <c r="VK3" s="14" t="s">
        <v>15</v>
      </c>
      <c r="VL3" s="14" t="s">
        <v>27</v>
      </c>
      <c r="VM3" s="14" t="s">
        <v>13</v>
      </c>
      <c r="VN3" s="14" t="s">
        <v>14</v>
      </c>
      <c r="VO3" s="14" t="s">
        <v>8</v>
      </c>
      <c r="VP3" s="14" t="s">
        <v>15</v>
      </c>
      <c r="VQ3" s="14" t="s">
        <v>27</v>
      </c>
      <c r="VR3" s="14" t="s">
        <v>13</v>
      </c>
      <c r="VS3" s="14" t="s">
        <v>14</v>
      </c>
      <c r="VT3" s="14" t="s">
        <v>8</v>
      </c>
      <c r="VU3" s="14" t="s">
        <v>15</v>
      </c>
      <c r="VV3" s="14" t="s">
        <v>27</v>
      </c>
      <c r="VW3" s="6"/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</row>
    <row r="4" spans="1:608" x14ac:dyDescent="0.2">
      <c r="A4" s="4" t="str" cm="1">
        <f t="array" ref="A4">IF(AND(H4&lt;&gt;"",H4&lt;&gt;"No DD",I4&lt;&gt;"P"),SUMPRODUCT((H$4:H$14&lt;&gt;"")*(H$4:H$14&lt;&gt;"No DD")*(I$4:I$14&lt;&gt;"P")*(E$4:E$14&gt;E4))+1,IF(H4="No DD",SUMPRODUCT((H$4:H$14="No DD")*(I$4:I$14&lt;&gt;"P")*(E$4:E$14&gt;E4))+1+SUMPRODUCT((H$4:H$14&lt;&gt;"")*(I$4:I$14&lt;&gt;"P")*(H$4:H$14&lt;&gt;"No DD")),""))</f>
        <v/>
      </c>
      <c r="B4" s="5" t="s">
        <v>110</v>
      </c>
      <c r="C4" s="4" t="s">
        <v>7</v>
      </c>
      <c r="D4" s="4">
        <v>2007</v>
      </c>
      <c r="E4" s="9">
        <f t="shared" ref="E4:E13" si="0">J4+L4+N4+(J4+L4)*0.0000001+MAX(J4,L4)*0.0000000000001</f>
        <v>104.0200104020052</v>
      </c>
      <c r="F4" s="3" t="str">
        <f t="shared" ref="F4:F13" si="1">IF(OR(AND(AG4&gt;=AQ$16,AG4&lt;&gt;"",AI4&gt;=AQ$20,AI4&lt;&gt;"",AF4=""),AND(AJ4&gt;=AQ$16,AJ4&lt;&gt;"",AL4&gt;=AQ$20,AL4&lt;&gt;"",AF4=""),AND(AN4&gt;=AQ$16,AN4&lt;&gt;"",AP4&gt;=AQ$20,AP4&lt;&gt;"",AF4=""),AND(BH4&gt;=BR$16,BH4&lt;&gt;"",BJ4&gt;=BR$20,BJ4&lt;&gt;"",BG4=""),AND(BK4&gt;=BR$16,BK4&lt;&gt;"",BM4&gt;=BR$20,BM4&lt;&gt;"",BG4=""),AND(BO4&gt;=BR$16,BO4&lt;&gt;"",BQ4&gt;=BR$20,BQ4&lt;&gt;"",BG4=""),AND(CI4&gt;=CS$16,CI4&lt;&gt;"",CK4&gt;=CS$20,CK4&lt;&gt;"",CH4=""),AND(CL4&gt;=CS$16,CL4&lt;&gt;"",CN4&gt;=CS$20,CN4&lt;&gt;"",CH4=""),AND(CP4&gt;=CS$16,CP4&lt;&gt;"",CR4&gt;=CS$20,CR4&lt;&gt;"",CH4=""),AND(DO4&gt;=EB$16,DO4&lt;&gt;"",DQ4&gt;=EB$20,DQ4&lt;&gt;""),AND(DR4&gt;=EB$16,DR4&lt;&gt;"",DT4&gt;=EB$20,DT4&lt;&gt;""),AND(DV4&gt;=EB$16,DV4&lt;&gt;"",DX4&gt;=EB$20,DX4&lt;&gt;""),AND(DY4&gt;=EB$16,DY4&lt;&gt;"",EA4&gt;=EB$20,EA4&lt;&gt;""),AND(EW4&gt;=FJ$16,EW4&lt;&gt;"",EY4&gt;=FJ$20,EY4&lt;&gt;""),AND(EZ4&gt;=FJ$16,EZ4&lt;&gt;"",FB4&gt;=FJ$20,FB4&lt;&gt;""),AND(FD4&gt;=FJ$16,FD4&lt;&gt;"",FF4&gt;=FJ$20,FF4&lt;&gt;""),AND(FG4&gt;=FJ$16,FG4&lt;&gt;"",FI4&gt;=FJ$20,FI4&lt;&gt;""),AND(GE4&gt;=GR$16,GE4&lt;&gt;"",GG4&gt;=GR$20,GG4&lt;&gt;""),AND(GH4&gt;=GR$16,GH4&lt;&gt;"",GJ4&gt;=GR$20,GJ4&lt;&gt;""),AND(GL4&gt;=GR$16,GL4&lt;&gt;"",GN4&gt;=GR$20,GN4&lt;&gt;""),AND(GO4&gt;=GR$16,GO4&lt;&gt;"",GQ4&gt;=GR$20,GQ4&lt;&gt;""),AND(HM4&gt;=HZ$16,HM4&lt;&gt;"",HO4&gt;=HZ$20,HO4&lt;&gt;""),AND(HP4&gt;=HZ$16,HP4&lt;&gt;"",HR4&gt;=HZ$20,HR4&lt;&gt;""),AND(HT4&gt;=HZ$16,HT4&lt;&gt;"",HV4&gt;=HZ$20,HV4&lt;&gt;""),AND(HW4&gt;=HZ$16,HW4&lt;&gt;"",HY4&gt;=HZ$20,HY4&lt;&gt;""),AND(IU4&gt;=JH$16,IU4&lt;&gt;"",IW4&gt;=JH$20,IW4&lt;&gt;""),AND(IX4&gt;=JH$16,IX4&lt;&gt;"",IZ4&gt;=JH$20,IZ4&lt;&gt;""),AND(JB4&gt;=JH$16,JB4&lt;&gt;"",JD4&gt;=JH$20,JD4&lt;&gt;""),AND(JE4&gt;=JH$16,JE4&lt;&gt;"",JG4&gt;=JH$20,JG4&lt;&gt;""),AND(KC4&gt;=KP$16,KC4&lt;&gt;"",KE4&gt;=KP$20,KE4&lt;&gt;""),AND(KF4&gt;=KP$16,KF4&lt;&gt;"",KH4&gt;=KP$20,KH4&lt;&gt;""),AND(KJ4&gt;=KP$16,KJ4&lt;&gt;"",KL4&gt;=KP$20,KL4&lt;&gt;""),AND(KM4&gt;=KP$16,KM4&lt;&gt;"",KO4&gt;=KP$20,KO4&lt;&gt;""),AND(LK4&gt;=LX$16,LK4&lt;&gt;"",LM4&gt;=LX$20,LM4&lt;&gt;""),AND(LN4&gt;=LX$16,LN4&lt;&gt;"",LP4&gt;=LX$20,LP4&lt;&gt;""),AND(LR4&gt;=LX$16,LR4&lt;&gt;"",LT4&gt;=LX$20,LT4&lt;&gt;""),AND(LU4&gt;=LX$16,LU4&lt;&gt;"",LW4&gt;=LX$20,LW4&lt;&gt;""),AND(MS4&gt;=NF$16,MS4&lt;&gt;"",MU4&gt;=NF$20,MU4&lt;&gt;""),AND(MV4&gt;=NF$16,MV4&lt;&gt;"",MX4&gt;=NF$20,MX4&lt;&gt;""),AND(MZ4&gt;=NF$16,MZ4&lt;&gt;"",NB4&gt;=NF$20,NB4&lt;&gt;""),AND(NC4&gt;=NF$16,NC4&lt;&gt;"",NE4&gt;=NF$20,NE4&lt;&gt;""),AND(OA4&gt;=ON$16,OA4&lt;&gt;"",OC4&gt;=ON$20,OC4&lt;&gt;""),AND(OD4&gt;=ON$16,OD4&lt;&gt;"",OF4&gt;=ON$20,OF4&lt;&gt;""),AND(OH4&gt;=ON$16,OH4&lt;&gt;"",OJ4&gt;=ON$20,OJ4&lt;&gt;""),AND(OK4&gt;=ON$16,OK4&lt;&gt;"",OM4&gt;=ON$20,OM4&lt;&gt;""),AND(PI4&gt;=PV$16,PI4&lt;&gt;"",PK4&gt;=PV$20,PK4&lt;&gt;""),AND(PL4&gt;=PV$16,PL4&lt;&gt;"",PN4&gt;=PV$20,PN4&lt;&gt;""),AND(PP4&gt;=PV$16,PP4&lt;&gt;"",PR4&gt;=PV$20,PR4&lt;&gt;""),AND(PS4&gt;=PV$16,PS4&lt;&gt;"",PU4&gt;=PV$20,PU4&lt;&gt;""),AND(QQ4&gt;=RD$16,QQ4&lt;&gt;"",QS4&gt;=RD$20,QS4&lt;&gt;""),AND(QT4&gt;=RD$16,QT4&lt;&gt;"",QV4&gt;=RD$20,QV4&lt;&gt;""),AND(QX4&gt;=RD$16,QX4&lt;&gt;"",QZ4&gt;=RD$20,QZ4&lt;&gt;""),AND(RA4&gt;=RD$16,RA4&lt;&gt;"",RC4&gt;=RD$20,RC4&lt;&gt;""),AND(RY4&gt;=SL$16,RY4&lt;&gt;"",SA4&gt;=SL$20,SA4&lt;&gt;""),AND(SB4&gt;=SL$16,SB4&lt;&gt;"",SD4&gt;=SL$20,SD4&lt;&gt;""),AND(SF4&gt;=SL$16,SF4&lt;&gt;"",SH4&gt;=SL$20,SH4&lt;&gt;""),AND(SI4&gt;=SL$16,SI4&lt;&gt;"",SK4&gt;=SL$20,SK4&lt;&gt;""),AND(TG4&gt;=TT$16,TG4&lt;&gt;"",TI4&gt;=TT$20,TI4&lt;&gt;""),AND(TJ4&gt;=TT$16,TJ4&lt;&gt;"",TL4&gt;=TT$20,TL4&lt;&gt;""),AND(TN4&gt;=TT$16,TN4&lt;&gt;"",TP4&gt;=TT$20,TXN4&lt;&gt;""),AND(TQ4&gt;=TT$16,TQ4&lt;&gt;"",TS4&gt;=TT$20,TS4&lt;&gt;""),AND(UO4&gt;=VB$16,UO4&lt;&gt;"",UQ4&gt;=VB$20,UQ4&lt;&gt;""),AND(UR4&gt;=VB$16,UR4&lt;&gt;"",UT4&gt;=VB$20,UT4&lt;&gt;""),AND(UV4&gt;=VB$16,UV4&lt;&gt;"",UX4&gt;=VB$20,UX4&lt;&gt;""),AND(UY4&gt;=VB$16,UY4&lt;&gt;"",VA4&gt;=VB$20,VA4&lt;&gt;""),AND(VW4&gt;=WJ$16,VW4&lt;&gt;"",VY4&gt;=WJ$20,VY4&lt;&gt;""),AND(VZ4&gt;=WJ$16,VZ4&lt;&gt;"",WB4&gt;=WJ$20,WB4&lt;&gt;""),AND(WD4&gt;=WJ$16,WD4&lt;&gt;"",WF4&gt;=WJ$20,WF4&lt;&gt;""),AND(WG4&gt;=WJ$16,WG4&lt;&gt;"",WI4&gt;=WJ$20,WI4&lt;&gt;"")),"P","")</f>
        <v>P</v>
      </c>
      <c r="G4" s="3" t="str">
        <f t="shared" ref="G4:G13" si="2">IF(OR(AND(AI4&gt;=AQ$20,AI4&lt;&gt;"",AF4=""),AND(AL4&gt;=AQ$20,AL4&lt;&gt;"",AF4=""),AND(AP4&gt;=AQ$20,AP4&lt;&gt;"",AF4=""),AND(BJ4&gt;=BR$20,BJ4&lt;&gt;"",BG4=""),AND(BM4&gt;=BR$20,BM4&lt;&gt;"",BG4=""),AND(BQ4&gt;=BR$20,BQ4&lt;&gt;"",BG4=""),AND(CK4&gt;=CS$20,CK4&lt;&gt;"",CH4=""),AND(CN4&gt;=CS$20,CN4&lt;&gt;"",CH4=""),AND(CR4&gt;=CS$20,CR4&lt;&gt;"",CH4=""),AND(DQ4&gt;=EB$20,DQ4&lt;&gt;""),AND(DT4&gt;=EB$20,DT4&lt;&gt;""),AND(DX4&gt;=EB$20,DX4&lt;&gt;""),AND(EA4&gt;=EB$20,EA4&lt;&gt;""),AND(EY4&gt;=FJ$20,EY4&lt;&gt;""),AND(FB4&gt;=FJ$20,FB4&lt;&gt;""),AND(FF4&gt;=FJ$20,FF4&lt;&gt;""),AND(FI4&gt;=FJ$20,FI4&lt;&gt;""),AND(GG4&gt;=GR$20,GG4&lt;&gt;""),AND(GJ4&gt;=GR$20,GJ4&lt;&gt;""),AND(GN4&gt;=GR$20,GN4&lt;&gt;""),AND(GQ4&gt;=GR$20,GQ4&lt;&gt;""),AND(HO4&gt;=HZ$20,HO4&lt;&gt;""),AND(HR4&gt;=HZ$20,HR4&lt;&gt;""),AND(HV4&gt;=HZ$20,HV4&lt;&gt;""),AND(HY4&gt;=HZ$20,HY4&lt;&gt;""),AND(IW4&gt;=JH$20,IW4&lt;&gt;""),AND(IZ4&gt;=JH$20,IZ4&lt;&gt;""),AND(JD4&gt;=JH$20,JD4&lt;&gt;""),AND(JG4&gt;=JH$20,JG4&lt;&gt;""),AND(KE4&gt;=KP$20,KE4&lt;&gt;""),AND(KH4&gt;=KP$20,KH4&lt;&gt;""),AND(KL4&gt;=KP$20,KL4&lt;&gt;""),AND(KO4&gt;=KP$20,KO4&lt;&gt;""),AND(LM4&gt;=LX$20,LM4&lt;&gt;""),AND(LP4&gt;=LX$20,LP4&lt;&gt;""),AND(LT4&gt;=LX$20,LT4&lt;&gt;""),AND(LW4&gt;=LX$20,LW4&lt;&gt;""),AND(MU4&gt;=NF$20,MU4&lt;&gt;""),AND(MX4&gt;=NF$20,MX4&lt;&gt;""),AND(NB4&gt;=NF$20,NB4&lt;&gt;""),AND(NE4&gt;=NF$20,NE4&lt;&gt;""),AND(OC4&gt;=ON$20,OC4&lt;&gt;""),AND(OF4&gt;=ON$20,OF4&lt;&gt;""),AND(OJ4&gt;=ON$20,OJ4&lt;&gt;""),AND(OM4&gt;=ON$20,OM4&lt;&gt;""),AND(PK4&gt;=PV$20,PK4&lt;&gt;""),AND(PN4&gt;=PV$20,PN4&lt;&gt;""),AND(PR4&gt;=PV$20,PR4&lt;&gt;""),AND(PU4&gt;=PV$20,PU4&lt;&gt;""),AND(QS4&gt;=RD$20,QS4&lt;&gt;""),AND(QV4&gt;=RD$20,QV4&lt;&gt;""),AND(QZ4&gt;=RD$20,QZ4&lt;&gt;""),AND(RC4&gt;=RD$20,RC4&lt;&gt;""),AND(SA4&gt;=SL$20,SA4&lt;&gt;""),AND(SD4&gt;=SL$20,SD4&lt;&gt;""),AND(SH4&gt;=SL$20,SH4&lt;&gt;""),AND(SK4&gt;=SL$20,SK4&lt;&gt;""),AND(TI4&gt;=TT$20,TI4&lt;&gt;""),AND(TL4&gt;=TT$20,TL4&lt;&gt;""),AND(TP4&gt;=TT$20,TXN4&lt;&gt;""),AND(TS4&gt;=TT$20,TS4&lt;&gt;""),AND(UQ4&gt;=VB$20,UQ4&lt;&gt;""),AND(UT4&gt;=VB$20,UT4&lt;&gt;""),AND(UX4&gt;=VB$20,UX4&lt;&gt;""),AND(VA4&gt;=VB$20,VA4&lt;&gt;""),AND(VY4&gt;=WJ$20,VY4&lt;&gt;""),AND(WB4&gt;=WJ$20,WB4&lt;&gt;""),AND(WF4&gt;=WJ$20,WF4&lt;&gt;""),AND(WI4&gt;=WJ$20,WI4&lt;&gt;"")),"P","")</f>
        <v>P</v>
      </c>
      <c r="H4" s="32" t="str">
        <f t="shared" ref="H4:H13" si="3">IF(AND(G4="P",F4=""),"No DD",IF(OR(AND(AG4&gt;=AQ$19,AG4&lt;&gt;"",AI4&gt;=AQ$23,AI4&lt;&gt;"",AF4=""),AND(AJ4&gt;=AQ$19,AJ4&lt;&gt;"",AL4&gt;=AQ$23,AL4&lt;&gt;"",AF4=""),AND(AN4&gt;=AQ$19,AN4&lt;&gt;"",AP4&gt;=AQ$23,AP4&lt;&gt;"",AF4=""),AND(BH4&gt;=BR$19,BH4&lt;&gt;"",BJ4&gt;=BR$23,BJ4&lt;&gt;"",BG4=""),AND(BK4&gt;=BR$19,BK4&lt;&gt;"",BM4&gt;=BR$23,BM4&lt;&gt;"",BG4=""),AND(BO4&gt;=BR$19,BO4&lt;&gt;"",BQ4&gt;=BR$23,BQ4&lt;&gt;"",BG4=""),AND(CI4&gt;=CS$19,CI4&lt;&gt;"",CK4&gt;=CS$23,CK4&lt;&gt;"",CH4=""),AND(CL4&gt;=CS$19,CL4&lt;&gt;"",CN4&gt;=CS$23,CN4&lt;&gt;"",CH4=""),AND(CP4&gt;=CS$19,CP4&lt;&gt;"",CR4&gt;=CS$23,CR4&lt;&gt;"",CH4=""),AND(DO4&gt;=EB$19,DO4&lt;&gt;"",DQ4&gt;=EB$23,DQ4&lt;&gt;""),AND(DR4&gt;=EB$19,DR4&lt;&gt;"",DT4&gt;=EB$23,DT4&lt;&gt;""),AND(DV4&gt;=EB$19,DV4&lt;&gt;"",DX4&gt;=EB$23,DX4&lt;&gt;""),AND(DY4&gt;=EB$19,DY4&lt;&gt;"",EA4&gt;=EB$23,EA4&lt;&gt;""),AND(EW4&gt;=FJ$19,EW4&lt;&gt;"",EY4&gt;=FJ$23,EY4&lt;&gt;""),AND(EZ4&gt;=FJ$19,EZ4&lt;&gt;"",FB4&gt;=FJ$23,FB4&lt;&gt;""),AND(FD4&gt;=FJ$19,FD4&lt;&gt;"",FF4&gt;=FJ$23,FF4&lt;&gt;""),AND(FG4&gt;=FJ$19,FG4&lt;&gt;"",FI4&gt;=FJ$23,FI4&lt;&gt;""),AND(GE4&gt;=GR$19,GE4&lt;&gt;"",GG4&gt;=GR$23,GG4&lt;&gt;""),AND(GH4&gt;=GR$19,GH4&lt;&gt;"",GJ4&gt;=GR$23,GJ4&lt;&gt;""),AND(GL4&gt;=GR$19,GL4&lt;&gt;"",GN4&gt;=GR$23,GN4&lt;&gt;""),AND(GO4&gt;=GR$19,GO4&lt;&gt;"",GQ4&gt;=GR$23,GQ4&lt;&gt;""),AND(HM4&gt;=HZ$19,HM4&lt;&gt;"",HO4&gt;=HZ$23,HO4&lt;&gt;""),AND(HP4&gt;=HZ$19,HP4&lt;&gt;"",HR4&gt;=HZ$23,HR4&lt;&gt;""),AND(HT4&gt;=HZ$19,HT4&lt;&gt;"",HV4&gt;=HZ$23,HV4&lt;&gt;""),AND(HW4&gt;=HZ$19,HW4&lt;&gt;"",HY4&gt;=HZ$23,HY4&lt;&gt;""),AND(IU4&gt;=JH$19,IU4&lt;&gt;"",IW4&gt;=JH$23,IW4&lt;&gt;""),AND(IX4&gt;=JH$19,IX4&lt;&gt;"",IZ4&gt;=JH$23,IZ4&lt;&gt;""),AND(JB4&gt;=JH$19,JB4&lt;&gt;"",JD4&gt;=JH$23,JD4&lt;&gt;""),AND(JE4&gt;=JH$19,JE4&lt;&gt;"",JG4&gt;=JH$23,JG4&lt;&gt;""),AND(KC4&gt;=KP$19,KC4&lt;&gt;"",KE4&gt;=KP$23,KE4&lt;&gt;""),AND(KF4&gt;=KP$19,KF4&lt;&gt;"",KH4&gt;=KP$23,KH4&lt;&gt;""),AND(KJ4&gt;=KP$19,KJ4&lt;&gt;"",KL4&gt;=KP$23,KL4&lt;&gt;""),AND(KM4&gt;=KP$19,KM4&lt;&gt;"",KO4&gt;=KP$23,KO4&lt;&gt;""),AND(LK4&gt;=LX$19,LK4&lt;&gt;"",LM4&gt;=LX$23,LM4&lt;&gt;""),AND(LN4&gt;=LX$19,LN4&lt;&gt;"",LP4&gt;=LX$23,LP4&lt;&gt;""),AND(LR4&gt;=LX$19,LR4&lt;&gt;"",LT4&gt;=LX$23,LT4&lt;&gt;""),AND(LU4&gt;=LX$19,LU4&lt;&gt;"",LW4&gt;=LX$23,LW4&lt;&gt;""),AND(MS4&gt;=NF$19,MS4&lt;&gt;"",MU4&gt;=NF$23,MU4&lt;&gt;""),AND(MV4&gt;=NF$19,MV4&lt;&gt;"",MX4&gt;=NF$23,MX4&lt;&gt;""),AND(MZ4&gt;=NF$19,MZ4&lt;&gt;"",NB4&gt;=NF$23,NB4&lt;&gt;""),AND(NC4&gt;=NF$19,NC4&lt;&gt;"",NE4&gt;=NF$23,NE4&lt;&gt;""),AND(OA4&gt;=ON$19,OA4&lt;&gt;"",OC4&gt;=ON$23,OC4&lt;&gt;""),AND(OD4&gt;=ON$19,OD4&lt;&gt;"",OF4&gt;=ON$23,OF4&lt;&gt;""),AND(OH4&gt;=ON$19,OH4&lt;&gt;"",OJ4&gt;=ON$23,OJ4&lt;&gt;""),AND(OK4&gt;=ON$19,OK4&lt;&gt;"",OM4&gt;=ON$23,OM4&lt;&gt;""),AND(PI4&gt;=PV$19,PI4&lt;&gt;"",PK4&gt;=PV$23,PK4&lt;&gt;""),AND(PL4&gt;=PV$19,PL4&lt;&gt;"",PN4&gt;=PV$23,PN4&lt;&gt;""),AND(PP4&gt;=PV$19,PP4&lt;&gt;"",PR4&gt;=PV$23,PR4&lt;&gt;""),AND(PS4&gt;=PV$19,PS4&lt;&gt;"",PU4&gt;=PV$23,PU4&lt;&gt;""),AND(QQ4&gt;=RD$19,QQ4&lt;&gt;"",QS4&gt;=RD$23,QS4&lt;&gt;""),AND(QT4&gt;=RD$19,QT4&lt;&gt;"",QV4&gt;=RD$23,QV4&lt;&gt;""),AND(QX4&gt;=RD$19,QX4&lt;&gt;"",QZ4&gt;=RD$23,QZ4&lt;&gt;""),AND(RA4&gt;=RD$19,RA4&lt;&gt;"",RC4&gt;=RD$23,RC4&lt;&gt;""),AND(RY4&gt;=SL$19,RY4&lt;&gt;"",SA4&gt;=SL$23,SA4&lt;&gt;""),AND(SB4&gt;=SL$19,SB4&lt;&gt;"",SD4&gt;=SL$23,SD4&lt;&gt;""),AND(SF4&gt;=SL$19,SF4&lt;&gt;"",SH4&gt;=SL$23,SH4&lt;&gt;""),AND(SI4&gt;=SL$19,SI4&lt;&gt;"",SK4&gt;=SL$23,SK4&lt;&gt;""),AND(TG4&gt;=TT$19,TG4&lt;&gt;"",TI4&gt;=TT$23,TI4&lt;&gt;""),AND(TJ4&gt;=TT$19,TJ4&lt;&gt;"",TL4&gt;=TT$23,TL4&lt;&gt;""),AND(TN4&gt;=TT$19,TN4&lt;&gt;"",TP4&gt;=TT$343,TXN4&lt;&gt;""),AND(TQ4&gt;=TT$19,TQ4&lt;&gt;"",TS4&gt;=TT$23,TS4&lt;&gt;""),AND(UO4&gt;=VB$19,UO4&lt;&gt;"",UQ4&gt;=VB$23,UQ4&lt;&gt;""),AND(UR4&gt;=VB$19,UR4&lt;&gt;"",UT4&gt;=VB$23,UT4&lt;&gt;""),AND(UV4&gt;=VB$19,UV4&lt;&gt;"",UX4&gt;=VB$23,UX4&lt;&gt;""),AND(UY4&gt;=VB$19,UY4&lt;&gt;"",VA4&gt;=VB$23,VA4&lt;&gt;""),AND(VW4&gt;=WJ$19,VW4&lt;&gt;"",VY4&gt;=WJ$23,VY4&lt;&gt;""),AND(VZ4&gt;=WJ$19,VZ4&lt;&gt;"",WB4&gt;=WJ$23,WB4&lt;&gt;""),AND(WD4&gt;=WJ$19,WD4&lt;&gt;"",WF4&gt;=WJ$23,WF4&lt;&gt;""),AND(WG4&gt;=WJ$19,WG4&lt;&gt;"",WI4&gt;=WJ$23,WI4&lt;&gt;"")),"Merit",IF(OR(AND(AG4&gt;=AQ$18,AG4&lt;&gt;"",AI4&gt;=AQ$22,AI4&lt;&gt;"",AF4=""),AND(AJ4&gt;=AQ$18,AJ4&lt;&gt;"",AL4&gt;=AQ$22,AL4&lt;&gt;"",AF4=""),AND(AN4&gt;=AQ$18,AN4&lt;&gt;"",AP4&gt;=AQ$22,AP4&lt;&gt;"",AF4=""),AND(BH4&gt;=BR$18,BH4&lt;&gt;"",BJ4&gt;=BR$22,BJ4&lt;&gt;"",BG4=""),AND(BK4&gt;=BR$18,BK4&lt;&gt;"",BM4&gt;=BR$22,BM4&lt;&gt;"",BG4=""),AND(BO4&gt;=BR$18,BO4&lt;&gt;"",BQ4&gt;=BR$22,BQ4&lt;&gt;"",BG4=""),AND(CI4&gt;=CS$18,CI4&lt;&gt;"",CK4&gt;=CS$22,CK4&lt;&gt;"",CH4=""),AND(CL4&gt;=CS$18,CL4&lt;&gt;"",CN4&gt;=CS$22,CN4&lt;&gt;"",CH4=""),AND(CP4&gt;=CS$18,CP4&lt;&gt;"",CR4&gt;=CS$22,CR4&lt;&gt;"",CH4=""),AND(DO4&gt;=EB$18,DO4&lt;&gt;"",DQ4&gt;=EB$22,DQ4&lt;&gt;""),AND(DR4&gt;=EB$18,DR4&lt;&gt;"",DT4&gt;=EB$22,DT4&lt;&gt;""),AND(DV4&gt;=EB$18,DV4&lt;&gt;"",DX4&gt;=EB$22,DX4&lt;&gt;""),AND(DY4&gt;=EB$18,DY4&lt;&gt;"",EA4&gt;=EB$22,EA4&lt;&gt;""),AND(EW4&gt;=FJ$18,EW4&lt;&gt;"",EY4&gt;=FJ$22,EY4&lt;&gt;""),AND(EZ4&gt;=FJ$18,EZ4&lt;&gt;"",FB4&gt;=FJ$22,FB4&lt;&gt;""),AND(FD4&gt;=FJ$18,FD4&lt;&gt;"",FF4&gt;=FJ$22,FF4&lt;&gt;""),AND(FG4&gt;=FJ$18,FG4&lt;&gt;"",FI4&gt;=FJ$22,FI4&lt;&gt;""),AND(GE4&gt;=GR$18,GE4&lt;&gt;"",GG4&gt;=GR$22,GG4&lt;&gt;""),AND(GH4&gt;=GR$18,GH4&lt;&gt;"",GJ4&gt;=GR$22,GJ4&lt;&gt;""),AND(GL4&gt;=GR$18,GL4&lt;&gt;"",GN4&gt;=GR$22,GN4&lt;&gt;""),AND(GO4&gt;=GR$18,GO4&lt;&gt;"",GQ4&gt;=GR$22,GQ4&lt;&gt;""),AND(HM4&gt;=HZ$18,HM4&lt;&gt;"",HO4&gt;=HZ$22,HO4&lt;&gt;""),AND(HP4&gt;=HZ$18,HP4&lt;&gt;"",HR4&gt;=HZ$22,HR4&lt;&gt;""),AND(HT4&gt;=HZ$18,HT4&lt;&gt;"",HV4&gt;=HZ$22,HV4&lt;&gt;""),AND(HW4&gt;=HZ$18,HW4&lt;&gt;"",HY4&gt;=HZ$22,HY4&lt;&gt;""),AND(IU4&gt;=JH$18,IU4&lt;&gt;"",IW4&gt;=JH$22,IW4&lt;&gt;""),AND(IX4&gt;=JH$18,IX4&lt;&gt;"",IZ4&gt;=JH$22,IZ4&lt;&gt;""),AND(JB4&gt;=JH$18,JB4&lt;&gt;"",JD4&gt;=JH$22,JD4&lt;&gt;""),AND(JE4&gt;=JH$18,JE4&lt;&gt;"",JG4&gt;=JH$22,JG4&lt;&gt;""),AND(KC4&gt;=KP$18,KC4&lt;&gt;"",KE4&gt;=KP$22,KE4&lt;&gt;""),AND(KF4&gt;=KP$18,KF4&lt;&gt;"",KH4&gt;=KP$22,KH4&lt;&gt;""),AND(KJ4&gt;=KP$18,KJ4&lt;&gt;"",KL4&gt;=KP$22,KL4&lt;&gt;""),AND(KM4&gt;=KP$18,KM4&lt;&gt;"",KO4&gt;=KP$22,KO4&lt;&gt;""),AND(LK4&gt;=LX$18,LK4&lt;&gt;"",LM4&gt;=LX$22,LM4&lt;&gt;""),AND(LN4&gt;=LX$18,LN4&lt;&gt;"",LP4&gt;=LX$22,LP4&lt;&gt;""),AND(LR4&gt;=LX$18,LR4&lt;&gt;"",LT4&gt;=LX$22,LT4&lt;&gt;""),AND(LU4&gt;=LX$18,LU4&lt;&gt;"",LW4&gt;=LX$22,LW4&lt;&gt;""),AND(MS4&gt;=NF$18,MS4&lt;&gt;"",MU4&gt;=NF$22,MU4&lt;&gt;""),AND(MV4&gt;=NF$18,MV4&lt;&gt;"",MX4&gt;=NF$22,MX4&lt;&gt;""),AND(MZ4&gt;=NF$18,MZ4&lt;&gt;"",NB4&gt;=NF$22,NB4&lt;&gt;""),AND(NC4&gt;=NF$18,NC4&lt;&gt;"",NE4&gt;=NF$22,NE4&lt;&gt;""),AND(OA4&gt;=ON$18,OA4&lt;&gt;"",OC4&gt;=ON$22,OC4&lt;&gt;""),AND(OD4&gt;=ON$18,OD4&lt;&gt;"",OF4&gt;=ON$22,OF4&lt;&gt;""),AND(OH4&gt;=ON$18,OH4&lt;&gt;"",OJ4&gt;=ON$22,OJ4&lt;&gt;""),AND(OK4&gt;=ON$18,OK4&lt;&gt;"",OM4&gt;=ON$22,OM4&lt;&gt;""),AND(PI4&gt;=PV$18,PI4&lt;&gt;"",PK4&gt;=PV$22,PK4&lt;&gt;""),AND(PL4&gt;=PV$18,PL4&lt;&gt;"",PN4&gt;=PV$22,PN4&lt;&gt;""),AND(PP4&gt;=PV$18,PP4&lt;&gt;"",PR4&gt;=PV$22,PR4&lt;&gt;""),AND(PS4&gt;=PV$18,PS4&lt;&gt;"",PU4&gt;=PV$22,PU4&lt;&gt;""),AND(QQ4&gt;=RD$18,QQ4&lt;&gt;"",QS4&gt;=RD$22,QS4&lt;&gt;""),AND(QT4&gt;=RD$18,QT4&lt;&gt;"",QV4&gt;=RD$22,QV4&lt;&gt;""),AND(QX4&gt;=RD$18,QX4&lt;&gt;"",QZ4&gt;=RD$22,QZ4&lt;&gt;""),AND(RA4&gt;=RD$18,RA4&lt;&gt;"",RC4&gt;=RD$22,RC4&lt;&gt;""),AND(RY4&gt;=SL$18,RY4&lt;&gt;"",SA4&gt;=SL$22,SA4&lt;&gt;""),AND(SB4&gt;=SL$18,SB4&lt;&gt;"",SD4&gt;=SL$22,SD4&lt;&gt;""),AND(SF4&gt;=SL$18,SF4&lt;&gt;"",SH4&gt;=SL$22,SH4&lt;&gt;""),AND(SI4&gt;=SL$18,SI4&lt;&gt;"",SK4&gt;=SL$22,SK4&lt;&gt;""),AND(TG4&gt;=TT$18,TG4&lt;&gt;"",TI4&gt;=TT$22,TI4&lt;&gt;""),AND(TJ4&gt;=TT$18,TJ4&lt;&gt;"",TL4&gt;=TT$22,TL4&lt;&gt;""),AND(TN4&gt;=TT$18,TN4&lt;&gt;"",TP4&gt;=TT$22,TXN4&lt;&gt;""),AND(TQ4&gt;=TT$18,TQ4&lt;&gt;"",TS4&gt;=TT$22,TS4&lt;&gt;""),AND(UO4&gt;=VB$18,UO4&lt;&gt;"",UQ4&gt;=VB$22,UQ4&lt;&gt;""),AND(UR4&gt;=VB$18,UR4&lt;&gt;"",UT4&gt;=VB$22,UT4&lt;&gt;""),AND(UV4&gt;=VB$18,UV4&lt;&gt;"",UX4&gt;=VB$22,UX4&lt;&gt;""),AND(UY4&gt;=VB$18,UY4&lt;&gt;"",VA4&gt;=VB$22,VA4&lt;&gt;""),AND(VW4&gt;=WJ$18,VW4&lt;&gt;"",VY4&gt;=WJ$22,VY4&lt;&gt;""),AND(VZ4&gt;=WJ$18,VZ4&lt;&gt;"",WB4&gt;=WJ$22,WB4&lt;&gt;""),AND(WD4&gt;=WJ$18,WD4&lt;&gt;"",WF4&gt;=WJ$22,WF4&lt;&gt;""),AND(WG4&gt;=WJ$18,WG4&lt;&gt;"",WI4&gt;=WJ$22,WI4&lt;&gt;"")),"Excellence",IF(I4="P","National Team",IF(F4="P","National Team","")))))</f>
        <v>National Team</v>
      </c>
      <c r="I4" s="3" t="str">
        <f>IF(COUNTIFS('Senior-W'!B:B,B4,'Senior-W'!A:A,"&lt;9",'Senior-W'!H:H,"&lt;&gt;"&amp;"No DD"),"P","")</f>
        <v>P</v>
      </c>
      <c r="J4" s="8">
        <f t="shared" ref="J4:J13" si="4">MAX(AI4,AL4,AP4,BJ4,BM4,BQ4,CK4,CN4,CR4)</f>
        <v>52.15</v>
      </c>
      <c r="K4" s="8" t="str">
        <f t="shared" ref="K4:K13" si="5">IF(J4="","",IF(OR(J4=CK4,J4=CN4,J4=CR4),$BS$1,IF(OR(J4=BJ4,J4=BM4,J4=BQ4),$AR$1,IF(OR(J4=AI4,J4=AL4,J4=AP4),$Q$1,""))))</f>
        <v>2025 Nationals</v>
      </c>
      <c r="L4" s="8">
        <f>IFERROR(LARGE((AI4,AL4,AP4,BJ4,BM4,BQ4,CK4,CN4,CR4),2),0)</f>
        <v>51.86999999999999</v>
      </c>
      <c r="M4" s="8" t="str">
        <f t="shared" ref="M4:M13" si="6">IF(L4="","",IF(OR(L4=CK4,L4=CN4,L4=CR4),$BS$1,IF(OR(L4=BJ4,L4=BM4,L4=BQ4),$AR$1,IF(OR(L4=AI4,L4=AL4,L4=AP4),$Q$1,""))))</f>
        <v>2025 Nationals</v>
      </c>
      <c r="N4" s="8">
        <f t="shared" ref="N4:N13" si="7">IF(MAX(CT4,0)&gt;0,MAX(CT4,0),0)</f>
        <v>0</v>
      </c>
      <c r="O4" s="11" t="str">
        <f>IF(N4=0,"",IF(N4=CT4,"("&amp;CT$2&amp;")",IF(N4=#REF!,"("&amp;#REF!&amp;")")))</f>
        <v/>
      </c>
      <c r="P4" s="8" t="str">
        <f t="shared" ref="P4:P13" si="8">IF(N4=0,"",IF(N4+MAX(L4,0)=MAX(WC4,WF4,WI4),$VC$1,IF(N4+MAX(L4,0)=MAX(UU4,UX4,VA4),$TU$1,IF(N4+MAX(L4,0)=MAX(TM4,TP4,TS4),$SM$1,IF(N4+MAX(L4,0)=MAX(SE4,SH4,SK4),$RE$1,IF(N4+MAX(L4,0)=MAX(QW4,QZ4,RC4),$PW$1,IF(N4+MAX(L4,0)=MAX(PO4,PR4,PU4),$OO$1,IF(N4+MAX(L4,0)=MAX(OG4,OJ4,OM4),$NG$1,IF(N4+MAX(L4,0)=MAX(MY4,NB4,NE4),$LY$1,IF(N4+MAX(L4,0)=MAX(LQ4,LT4,LW4),$KQ$1,IF(N4+MAX(L4,0)=MAX(KI4,KL4,KO4),$JI$1,IF(N4+MAX(L4,0)=MAX(JA4,JD4,JG4),$IA$1,IF(N4+MAX(L4,0)=MAX(HS4,HV4,HY4),$GS$1,IF(N4+MAX(L4,0)=MAX(GK4,GN4,GQ4),$FK$1,IF(N4+MAX(L4,0)=MAX(FC4,FF4,FI4),$EC$1,IF(N4+MAX(L4,0)=MAX(DU4,DX4,EA4),$CU$1))))))))))))))))</f>
        <v/>
      </c>
      <c r="Q4" s="18">
        <v>13.5</v>
      </c>
      <c r="R4" s="18">
        <v>9.1</v>
      </c>
      <c r="S4" s="18">
        <v>12.4</v>
      </c>
      <c r="T4" s="18">
        <v>14.35</v>
      </c>
      <c r="U4" s="18">
        <v>0.3</v>
      </c>
      <c r="V4" s="18">
        <v>14.8</v>
      </c>
      <c r="W4" s="18">
        <v>9.1999999999999993</v>
      </c>
      <c r="X4" s="18">
        <v>13.4</v>
      </c>
      <c r="Y4" s="18">
        <v>14.09</v>
      </c>
      <c r="Z4" s="18">
        <v>0</v>
      </c>
      <c r="AA4" s="18">
        <v>13.7</v>
      </c>
      <c r="AB4" s="18">
        <v>9.1999999999999993</v>
      </c>
      <c r="AC4" s="18">
        <v>14.3</v>
      </c>
      <c r="AD4" s="18">
        <v>14.26</v>
      </c>
      <c r="AE4" s="18">
        <v>0</v>
      </c>
      <c r="AF4" s="23"/>
      <c r="AG4" s="34">
        <f t="shared" ref="AG4:AG13" si="9">IF(S4&gt;0,S4,"")</f>
        <v>12.4</v>
      </c>
      <c r="AH4" s="34">
        <f t="shared" ref="AH4:AH13" si="10">IF(T4&gt;0,T4,"")</f>
        <v>14.35</v>
      </c>
      <c r="AI4" s="36">
        <f t="shared" ref="AI4:AI13" si="11">IF(SUM(Q4:T4)-U4&gt;0,SUM(Q4:T4)-U4,"")</f>
        <v>49.050000000000004</v>
      </c>
      <c r="AJ4" s="36">
        <f t="shared" ref="AJ4:AJ13" si="12">IF(X4&gt;0,X4,"")</f>
        <v>13.4</v>
      </c>
      <c r="AK4" s="36">
        <f t="shared" ref="AK4:AK13" si="13">IF(Y4&gt;0,Y4,"")</f>
        <v>14.09</v>
      </c>
      <c r="AL4" s="36">
        <f t="shared" ref="AL4:AL13" si="14">IF(SUM(V4:Y4)-Z4&gt;0,SUM(V4:Y4)-Z4,"")</f>
        <v>51.489999999999995</v>
      </c>
      <c r="AM4" s="36">
        <f t="shared" ref="AM4:AM13" si="15">IF(AI4="","",MAX(AI4,AL4))</f>
        <v>51.489999999999995</v>
      </c>
      <c r="AN4" s="36">
        <f t="shared" ref="AN4:AN13" si="16">IF(AC4&gt;0,AC4,"")</f>
        <v>14.3</v>
      </c>
      <c r="AO4" s="36">
        <f t="shared" ref="AO4:AO13" si="17">IF(AD4&gt;0,AD4,"")</f>
        <v>14.26</v>
      </c>
      <c r="AP4" s="36">
        <f t="shared" ref="AP4:AP13" si="18">IF(SUM(AA4:AD4)-AE4&gt;0,SUM(AA4:AD4)-AE4,"")</f>
        <v>51.46</v>
      </c>
      <c r="AQ4" s="36">
        <f t="shared" ref="AQ4:AQ13" si="19">IF(SUM(AM4,AP4)&gt;0,SUM(AM4,AP4),"")</f>
        <v>102.94999999999999</v>
      </c>
      <c r="AR4" s="22">
        <v>14.1</v>
      </c>
      <c r="AS4" s="22">
        <v>9.6999999999999993</v>
      </c>
      <c r="AT4" s="22">
        <v>10.8</v>
      </c>
      <c r="AU4" s="22">
        <v>14.25</v>
      </c>
      <c r="AV4" s="22">
        <v>1.9</v>
      </c>
      <c r="AW4" s="22">
        <v>14.6</v>
      </c>
      <c r="AX4" s="22">
        <v>9.1</v>
      </c>
      <c r="AY4" s="22">
        <v>14.3</v>
      </c>
      <c r="AZ4" s="22">
        <v>14.15</v>
      </c>
      <c r="BA4" s="22">
        <v>0</v>
      </c>
      <c r="BB4" s="22">
        <v>13.7</v>
      </c>
      <c r="BC4" s="22">
        <v>9.6</v>
      </c>
      <c r="BD4" s="22">
        <v>14.3</v>
      </c>
      <c r="BE4" s="22">
        <v>14.27</v>
      </c>
      <c r="BF4" s="22">
        <v>0</v>
      </c>
      <c r="BG4" s="24"/>
      <c r="BH4" s="35">
        <f t="shared" ref="BH4:BH13" si="20">IF(AT4&gt;0,AT4,"")</f>
        <v>10.8</v>
      </c>
      <c r="BI4" s="35">
        <f t="shared" ref="BI4:BI13" si="21">IF(AU4&gt;0,AU4,"")</f>
        <v>14.25</v>
      </c>
      <c r="BJ4" s="11">
        <f t="shared" ref="BJ4:BJ13" si="22">IF(SUM(AR4:AU4)-AV4&gt;0,SUM(AR4:AU4)-AV4,"")</f>
        <v>46.949999999999996</v>
      </c>
      <c r="BK4" s="11">
        <f t="shared" ref="BK4:BK13" si="23">IF(AY4&gt;0,AY4,"")</f>
        <v>14.3</v>
      </c>
      <c r="BL4" s="11">
        <f t="shared" ref="BL4:BL13" si="24">IF(AZ4&gt;0,AZ4,"")</f>
        <v>14.15</v>
      </c>
      <c r="BM4" s="11">
        <f t="shared" ref="BM4:BM13" si="25">IF(SUM(AW4:AZ4)-BA4&gt;0,SUM(AW4:AZ4)-BA4,"")</f>
        <v>52.15</v>
      </c>
      <c r="BN4" s="11">
        <f t="shared" ref="BN4:BN13" si="26">IF(BJ4="","",MAX(BJ4,BM4))</f>
        <v>52.15</v>
      </c>
      <c r="BO4" s="11">
        <f t="shared" ref="BO4:BO13" si="27">IF(BD4&gt;0,BD4,"")</f>
        <v>14.3</v>
      </c>
      <c r="BP4" s="11">
        <f t="shared" ref="BP4:BP13" si="28">IF(BE4&gt;0,BE4,"")</f>
        <v>14.27</v>
      </c>
      <c r="BQ4" s="11">
        <f t="shared" ref="BQ4:BQ13" si="29">IF(SUM(BB4:BE4)-BF4&gt;0,SUM(BB4:BE4)-BF4,"")</f>
        <v>51.86999999999999</v>
      </c>
      <c r="BR4" s="11">
        <f t="shared" ref="BR4:BR13" si="30">IF(SUM(BN4,BQ4)&gt;0,SUM(BN4,BQ4),"")</f>
        <v>104.01999999999998</v>
      </c>
      <c r="BS4" s="18">
        <v>13.8</v>
      </c>
      <c r="BT4" s="18">
        <v>9.3999999999999986</v>
      </c>
      <c r="BU4" s="18">
        <v>11.600000000000001</v>
      </c>
      <c r="BV4" s="18">
        <v>14.3</v>
      </c>
      <c r="BW4" s="18">
        <v>1.0999999999999999</v>
      </c>
      <c r="BX4" s="18">
        <v>14.7</v>
      </c>
      <c r="BY4" s="18">
        <v>9.1499999999999986</v>
      </c>
      <c r="BZ4" s="18">
        <v>13.850000000000001</v>
      </c>
      <c r="CA4" s="18">
        <v>14.120000000000001</v>
      </c>
      <c r="CB4" s="18">
        <v>0</v>
      </c>
      <c r="CC4" s="18">
        <v>13.7</v>
      </c>
      <c r="CD4" s="18">
        <v>9.3999999999999986</v>
      </c>
      <c r="CE4" s="18">
        <v>14.3</v>
      </c>
      <c r="CF4" s="18">
        <v>14.265000000000001</v>
      </c>
      <c r="CG4" s="18">
        <v>0</v>
      </c>
      <c r="CH4" s="23" t="s">
        <v>42</v>
      </c>
      <c r="CI4" s="34">
        <f t="shared" ref="CI4:CI13" si="31">IF(BU4&gt;0,BU4,"")</f>
        <v>11.600000000000001</v>
      </c>
      <c r="CJ4" s="34">
        <f t="shared" ref="CJ4:CJ13" si="32">IF(BV4&gt;0,BV4,"")</f>
        <v>14.3</v>
      </c>
      <c r="CK4" s="36">
        <f t="shared" ref="CK4:CK13" si="33">IF(SUM(BS4:BV4)-BW4&gt;0,SUM(BS4:BV4)-BW4,"")</f>
        <v>47.999999999999993</v>
      </c>
      <c r="CL4" s="36">
        <f t="shared" ref="CL4:CL13" si="34">IF(BZ4&gt;0,BZ4,"")</f>
        <v>13.850000000000001</v>
      </c>
      <c r="CM4" s="36">
        <f t="shared" ref="CM4:CM13" si="35">IF(CA4&gt;0,CA4,"")</f>
        <v>14.120000000000001</v>
      </c>
      <c r="CN4" s="36">
        <f t="shared" ref="CN4:CN13" si="36">IF(SUM(BX4:CA4)-CB4&gt;0,SUM(BX4:CA4)-CB4,"")</f>
        <v>51.820000000000007</v>
      </c>
      <c r="CO4" s="36">
        <f t="shared" ref="CO4:CO13" si="37">IF(CK4="","",MAX(CK4,CN4))</f>
        <v>51.820000000000007</v>
      </c>
      <c r="CP4" s="36">
        <f t="shared" ref="CP4:CP13" si="38">IF(CE4&gt;0,CE4,"")</f>
        <v>14.3</v>
      </c>
      <c r="CQ4" s="36">
        <f t="shared" ref="CQ4:CQ13" si="39">IF(CF4&gt;0,CF4,"")</f>
        <v>14.265000000000001</v>
      </c>
      <c r="CR4" s="36">
        <f t="shared" ref="CR4:CR13" si="40">IF(SUM(CC4:CF4)-CG4&gt;0,SUM(CC4:CF4)-CG4,"")</f>
        <v>51.664999999999999</v>
      </c>
      <c r="CS4" s="36">
        <f t="shared" ref="CS4:CS13" si="41">IF(SUM(CO4,CR4)&gt;0,SUM(CO4,CR4),"")</f>
        <v>103.48500000000001</v>
      </c>
      <c r="CT4" s="47" t="str">
        <f t="shared" ref="CT4:CT13" si="42">IF(MAX(DU4,DX4,EA4,FC4,FF4,FI4,GK4,GN4,GQ4,HS4,HV4,HY4,JA4,JD4,JG4,KI4,KL4,KO4,LQ4,LT4,LW4,MY4,NB4,NE4,OG4,OJ4,OM4,PO4,PR4,PU4,QW4,QZ4,RC4,SE4,SH4,SK4,TM4,TP4,TS4,UU4,UX4,VA4,WC4,WF4,WI4)-MAX(L4,0)&gt;0.001,MAX(DU4,DX4,EA4,FC4,FF4,FI4,GK4,GN4,GQ4,HS4,HV4,HY4,JA4,JD4,JG4,KI4,KL4,KO4,LQ4,LT4,LW4,MY4,NB4,NE4,OG4,OJ4,OM4,PO4,PR4,PU4,QW4,QZ4,RC4,SE4,SH4,SK4,TM4,TP4,TS4,UU4,UX4,VA4,WC4,WF4,WI4)-MAX(L4,0),"")</f>
        <v/>
      </c>
      <c r="CU4" s="15">
        <v>13.5</v>
      </c>
      <c r="CV4" s="15">
        <v>9.3000000000000007</v>
      </c>
      <c r="CW4" s="15">
        <v>14.3</v>
      </c>
      <c r="CX4" s="15">
        <v>14.44</v>
      </c>
      <c r="CY4" s="15">
        <v>0</v>
      </c>
      <c r="CZ4" s="15">
        <v>13.3</v>
      </c>
      <c r="DA4" s="15">
        <v>9.3000000000000007</v>
      </c>
      <c r="DB4" s="15">
        <v>14.3</v>
      </c>
      <c r="DC4" s="15">
        <v>14.25</v>
      </c>
      <c r="DD4" s="15">
        <v>0</v>
      </c>
      <c r="DE4" s="15"/>
      <c r="DF4" s="15"/>
      <c r="DG4" s="15"/>
      <c r="DH4" s="15"/>
      <c r="DI4" s="15"/>
      <c r="DJ4" s="15"/>
      <c r="DK4" s="15"/>
      <c r="DL4" s="15"/>
      <c r="DM4" s="15"/>
      <c r="DN4" s="15"/>
      <c r="DO4" s="36">
        <f t="shared" ref="DO4:DO13" si="43">IF(CW4&gt;0,CW4,"")</f>
        <v>14.3</v>
      </c>
      <c r="DP4" s="36">
        <f t="shared" ref="DP4:DP13" si="44">IF(CX4&gt;0,CX4,"")</f>
        <v>14.44</v>
      </c>
      <c r="DQ4" s="36">
        <f t="shared" ref="DQ4:DQ13" si="45">IF(SUM(CU4:CX4)-CY4&gt;0,SUM(CU4:CX4)-CY4,"")</f>
        <v>51.54</v>
      </c>
      <c r="DR4" s="36">
        <f t="shared" ref="DR4:DR13" si="46">IF(DB4&gt;0,DB4,"")</f>
        <v>14.3</v>
      </c>
      <c r="DS4" s="36">
        <f t="shared" ref="DS4:DS13" si="47">IF(DC4&gt;0,DC4,"")</f>
        <v>14.25</v>
      </c>
      <c r="DT4" s="36">
        <f t="shared" ref="DT4:DT13" si="48">IF(SUM(CZ4:DC4)-DD4&gt;0,SUM(CZ4:DC4)-DD4,"")</f>
        <v>51.150000000000006</v>
      </c>
      <c r="DU4" s="36">
        <f t="shared" ref="DU4:DU13" si="49">IF(MAX(DQ4,DT4)&gt;0,MAX(DQ4,DT4),"")</f>
        <v>51.54</v>
      </c>
      <c r="DV4" s="36" t="str">
        <f t="shared" ref="DV4:DV13" si="50">IF(DG4&gt;0,DG4,"")</f>
        <v/>
      </c>
      <c r="DW4" s="36" t="str">
        <f t="shared" ref="DW4:DW13" si="51">IF(DH4&gt;0,DH4,"")</f>
        <v/>
      </c>
      <c r="DX4" s="36" t="str">
        <f t="shared" ref="DX4:DX13" si="52">IF(SUM(DE4:DH4)-DI4&gt;0,SUM(DE4:DH4)-DI4,"")</f>
        <v/>
      </c>
      <c r="DY4" s="36" t="str">
        <f t="shared" ref="DY4:DY13" si="53">IF(DL4&gt;0,DL4,"")</f>
        <v/>
      </c>
      <c r="DZ4" s="36" t="str">
        <f t="shared" ref="DZ4:DZ13" si="54">IF(DM4&gt;0,DM4,"")</f>
        <v/>
      </c>
      <c r="EA4" s="36" t="str">
        <f t="shared" ref="EA4:EA13" si="55">IF(SUM(DJ4:DM4)-DN4&gt;0,SUM(DJ4:DM4)-DN4,"")</f>
        <v/>
      </c>
      <c r="EB4" s="36">
        <f t="shared" ref="EB4:EB13" si="56">IF(SUM(DU4,DX4,EA4)&gt;0,SUM(DU4,DX4,EA4),"")</f>
        <v>51.54</v>
      </c>
      <c r="EC4" s="16"/>
      <c r="ED4" s="16"/>
      <c r="EE4" s="16"/>
      <c r="EF4" s="16"/>
      <c r="EG4" s="16"/>
      <c r="EH4" s="16"/>
      <c r="EI4" s="16"/>
      <c r="EJ4" s="16"/>
      <c r="EK4" s="16"/>
      <c r="EL4" s="16"/>
      <c r="EM4" s="16"/>
      <c r="EN4" s="16"/>
      <c r="EO4" s="16"/>
      <c r="EP4" s="16"/>
      <c r="EQ4" s="16"/>
      <c r="ER4" s="16"/>
      <c r="ES4" s="16"/>
      <c r="ET4" s="16"/>
      <c r="EU4" s="16"/>
      <c r="EV4" s="16"/>
      <c r="EW4" s="11" t="str">
        <f t="shared" ref="EW4:EW13" si="57">IF(EE4&gt;0,EE4,"")</f>
        <v/>
      </c>
      <c r="EX4" s="11" t="str">
        <f t="shared" ref="EX4:EX13" si="58">IF(EF4&gt;0,EF4,"")</f>
        <v/>
      </c>
      <c r="EY4" s="11" t="str">
        <f t="shared" ref="EY4:EY13" si="59">IF(SUM(EC4:EF4)-EG4&gt;0,SUM(EC4:EF4)-EG4,"")</f>
        <v/>
      </c>
      <c r="EZ4" s="11" t="str">
        <f t="shared" ref="EZ4:EZ13" si="60">IF(EJ4&gt;0,EJ4,"")</f>
        <v/>
      </c>
      <c r="FA4" s="11" t="str">
        <f t="shared" ref="FA4:FA13" si="61">IF(EK4&gt;0,EK4,"")</f>
        <v/>
      </c>
      <c r="FB4" s="11" t="str">
        <f t="shared" ref="FB4:FB13" si="62">IF(SUM(EH4:EK4)-EL4&gt;0,SUM(EH4:EK4)-EL4,"")</f>
        <v/>
      </c>
      <c r="FC4" s="11" t="str">
        <f t="shared" ref="FC4:FC13" si="63">IF(MAX(EY4,FB4)&gt;0,MAX(EY4,FB4),"")</f>
        <v/>
      </c>
      <c r="FD4" s="11" t="str">
        <f t="shared" ref="FD4:FD13" si="64">IF(EO4&gt;0,EO4,"")</f>
        <v/>
      </c>
      <c r="FE4" s="11" t="str">
        <f t="shared" ref="FE4:FE13" si="65">IF(EP4&gt;0,EP4,"")</f>
        <v/>
      </c>
      <c r="FF4" s="11" t="str">
        <f t="shared" ref="FF4:FF13" si="66">IF(SUM(EM4:EP4)-EQ4&gt;0,SUM(EM4:EP4)-EQ4,"")</f>
        <v/>
      </c>
      <c r="FG4" s="11" t="str">
        <f t="shared" ref="FG4:FG13" si="67">IF(ET4&gt;0,ET4,"")</f>
        <v/>
      </c>
      <c r="FH4" s="11" t="str">
        <f t="shared" ref="FH4:FH13" si="68">IF(EU4&gt;0,EU4,"")</f>
        <v/>
      </c>
      <c r="FI4" s="11" t="str">
        <f t="shared" ref="FI4:FI13" si="69">IF(SUM(ER4:EU4)-EV4&gt;0,SUM(ER4:EU4)-EV4,"")</f>
        <v/>
      </c>
      <c r="FJ4" s="11" t="str">
        <f t="shared" ref="FJ4:FJ13" si="70">IF(SUM(FC4,FF4,FI4)&gt;0,SUM(FC4,FF4,FI4),"")</f>
        <v/>
      </c>
      <c r="FK4" s="15"/>
      <c r="FL4" s="15"/>
      <c r="FM4" s="15"/>
      <c r="FN4" s="15"/>
      <c r="FO4" s="15"/>
      <c r="FP4" s="15">
        <v>14</v>
      </c>
      <c r="FQ4" s="15">
        <v>9.6</v>
      </c>
      <c r="FR4" s="15">
        <v>13.4</v>
      </c>
      <c r="FS4" s="15">
        <v>14.48</v>
      </c>
      <c r="FT4" s="15">
        <v>0</v>
      </c>
      <c r="FU4" s="15"/>
      <c r="FV4" s="15"/>
      <c r="FW4" s="15"/>
      <c r="FX4" s="15"/>
      <c r="FY4" s="15"/>
      <c r="FZ4" s="15">
        <v>13.5</v>
      </c>
      <c r="GA4" s="15">
        <v>9.3000000000000007</v>
      </c>
      <c r="GB4" s="15">
        <v>14.3</v>
      </c>
      <c r="GC4" s="15">
        <v>14.37</v>
      </c>
      <c r="GD4" s="15">
        <v>0</v>
      </c>
      <c r="GE4" s="36" t="str">
        <f t="shared" ref="GE4:GE13" si="71">IF(FM4&gt;0,FM4,"")</f>
        <v/>
      </c>
      <c r="GF4" s="36" t="str">
        <f t="shared" ref="GF4:GF13" si="72">IF(FN4&gt;0,FN4,"")</f>
        <v/>
      </c>
      <c r="GG4" s="36" t="str">
        <f t="shared" ref="GG4:GG13" si="73">IF(SUM(FK4:FN4)-FO4&gt;0,SUM(FK4:FN4)-FO4,"")</f>
        <v/>
      </c>
      <c r="GH4" s="36">
        <f t="shared" ref="GH4:GH13" si="74">IF(FR4&gt;0,FR4,"")</f>
        <v>13.4</v>
      </c>
      <c r="GI4" s="36">
        <f t="shared" ref="GI4:GI13" si="75">IF(FS4&gt;0,FS4,"")</f>
        <v>14.48</v>
      </c>
      <c r="GJ4" s="36">
        <f t="shared" ref="GJ4:GJ13" si="76">IF(SUM(FP4:FS4)-FT4&gt;0,SUM(FP4:FS4)-FT4,"")</f>
        <v>51.480000000000004</v>
      </c>
      <c r="GK4" s="36">
        <f t="shared" ref="GK4:GK13" si="77">IF(MAX(GG4,GJ4)&gt;0,MAX(GG4,GJ4),"")</f>
        <v>51.480000000000004</v>
      </c>
      <c r="GL4" s="36" t="str">
        <f t="shared" ref="GL4:GL13" si="78">IF(FW4&gt;0,FW4,"")</f>
        <v/>
      </c>
      <c r="GM4" s="36" t="str">
        <f t="shared" ref="GM4:GM13" si="79">IF(FX4&gt;0,FX4,"")</f>
        <v/>
      </c>
      <c r="GN4" s="36" t="str">
        <f t="shared" ref="GN4:GN13" si="80">IF(SUM(FU4:FX4)-FY4&gt;0,SUM(FU4:FX4)-FY4,"")</f>
        <v/>
      </c>
      <c r="GO4" s="36">
        <f t="shared" ref="GO4:GO13" si="81">IF(GB4&gt;0,GB4,"")</f>
        <v>14.3</v>
      </c>
      <c r="GP4" s="36">
        <f t="shared" ref="GP4:GP13" si="82">IF(GC4&gt;0,GC4,"")</f>
        <v>14.37</v>
      </c>
      <c r="GQ4" s="36">
        <f t="shared" ref="GQ4:GQ13" si="83">IF(SUM(FZ4:GC4)-GD4&gt;0,SUM(FZ4:GC4)-GD4,"")</f>
        <v>51.47</v>
      </c>
      <c r="GR4" s="36">
        <f t="shared" ref="GR4:GR13" si="84">IF(SUM(GK4,GN4,GQ4)&gt;0,SUM(GK4,GN4,GQ4),"")</f>
        <v>102.95</v>
      </c>
      <c r="GS4" s="16">
        <v>17.5</v>
      </c>
      <c r="GT4" s="16">
        <v>9.5</v>
      </c>
      <c r="GU4" s="16">
        <v>1.6</v>
      </c>
      <c r="GV4" s="16">
        <v>15.48</v>
      </c>
      <c r="GW4" s="16">
        <v>0</v>
      </c>
      <c r="GX4" s="16">
        <v>15.2</v>
      </c>
      <c r="GY4" s="16">
        <v>9.4</v>
      </c>
      <c r="GZ4" s="16">
        <v>12.1</v>
      </c>
      <c r="HA4" s="16">
        <v>14.75</v>
      </c>
      <c r="HB4" s="16">
        <v>0</v>
      </c>
      <c r="HC4" s="16"/>
      <c r="HD4" s="16"/>
      <c r="HE4" s="16"/>
      <c r="HF4" s="16"/>
      <c r="HG4" s="16"/>
      <c r="HH4" s="16"/>
      <c r="HI4" s="16"/>
      <c r="HJ4" s="16"/>
      <c r="HK4" s="16"/>
      <c r="HL4" s="16"/>
      <c r="HM4" s="11">
        <f t="shared" ref="HM4:HM13" si="85">IF(GU4&gt;0,GU4,"")</f>
        <v>1.6</v>
      </c>
      <c r="HN4" s="11">
        <f t="shared" ref="HN4:HN13" si="86">IF(GV4&gt;0,GV4,"")</f>
        <v>15.48</v>
      </c>
      <c r="HO4" s="11">
        <f t="shared" ref="HO4:HO13" si="87">IF(SUM(GS4:GV4)-GW4&gt;0,SUM(GS4:GV4)-GW4,"")</f>
        <v>44.08</v>
      </c>
      <c r="HP4" s="11">
        <f t="shared" ref="HP4:HP13" si="88">IF(GZ4&gt;0,GZ4,"")</f>
        <v>12.1</v>
      </c>
      <c r="HQ4" s="11">
        <f t="shared" ref="HQ4:HQ13" si="89">IF(HA4&gt;0,HA4,"")</f>
        <v>14.75</v>
      </c>
      <c r="HR4" s="11">
        <f t="shared" ref="HR4:HR13" si="90">IF(SUM(GX4:HA4)-HB4&gt;0,SUM(GX4:HA4)-HB4,"")</f>
        <v>51.45</v>
      </c>
      <c r="HS4" s="11">
        <f t="shared" ref="HS4:HS13" si="91">IF(MAX(HO4,HR4)&gt;0,MAX(HO4,HR4),"")</f>
        <v>51.45</v>
      </c>
      <c r="HT4" s="11" t="str">
        <f t="shared" ref="HT4:HT13" si="92">IF(HE4&gt;0,HE4,"")</f>
        <v/>
      </c>
      <c r="HU4" s="11" t="str">
        <f t="shared" ref="HU4:HU13" si="93">IF(HF4&gt;0,HF4,"")</f>
        <v/>
      </c>
      <c r="HV4" s="11" t="str">
        <f t="shared" ref="HV4:HV13" si="94">IF(SUM(HC4:HF4)-HG4&gt;0,SUM(HC4:HF4)-HG4,"")</f>
        <v/>
      </c>
      <c r="HW4" s="11" t="str">
        <f t="shared" ref="HW4:HW13" si="95">IF(HJ4&gt;0,HJ4,"")</f>
        <v/>
      </c>
      <c r="HX4" s="11" t="str">
        <f t="shared" ref="HX4:HX13" si="96">IF(HK4&gt;0,HK4,"")</f>
        <v/>
      </c>
      <c r="HY4" s="11" t="str">
        <f t="shared" ref="HY4:HY13" si="97">IF(SUM(HH4:HK4)-HL4&gt;0,SUM(HH4:HK4)-HL4,"")</f>
        <v/>
      </c>
      <c r="HZ4" s="11">
        <f t="shared" ref="HZ4:HZ13" si="98">IF(SUM(HS4,HV4,HY4)&gt;0,SUM(HS4,HV4,HY4),"")</f>
        <v>51.45</v>
      </c>
      <c r="IA4" s="15"/>
      <c r="IB4" s="15"/>
      <c r="IC4" s="15"/>
      <c r="ID4" s="15"/>
      <c r="IE4" s="15"/>
      <c r="IF4" s="15"/>
      <c r="IG4" s="15"/>
      <c r="IH4" s="15"/>
      <c r="II4" s="15"/>
      <c r="IJ4" s="15"/>
      <c r="IK4" s="15"/>
      <c r="IL4" s="15"/>
      <c r="IM4" s="15"/>
      <c r="IN4" s="15"/>
      <c r="IO4" s="15"/>
      <c r="IP4" s="15"/>
      <c r="IQ4" s="15"/>
      <c r="IR4" s="15"/>
      <c r="IS4" s="15"/>
      <c r="IT4" s="15"/>
      <c r="IU4" s="36" t="str">
        <f t="shared" ref="IU4:IU13" si="99">IF(IC4&gt;0,IC4,"")</f>
        <v/>
      </c>
      <c r="IV4" s="36" t="str">
        <f t="shared" ref="IV4:IV13" si="100">IF(ID4&gt;0,ID4,"")</f>
        <v/>
      </c>
      <c r="IW4" s="36" t="str">
        <f t="shared" ref="IW4:IW13" si="101">IF(SUM(IA4:ID4)-IE4&gt;0,SUM(IA4:ID4)-IE4,"")</f>
        <v/>
      </c>
      <c r="IX4" s="36" t="str">
        <f t="shared" ref="IX4:IX13" si="102">IF(IH4&gt;0,IH4,"")</f>
        <v/>
      </c>
      <c r="IY4" s="36" t="str">
        <f t="shared" ref="IY4:IY13" si="103">IF(II4&gt;0,II4,"")</f>
        <v/>
      </c>
      <c r="IZ4" s="36" t="str">
        <f t="shared" ref="IZ4:IZ13" si="104">IF(SUM(IF4:II4)-IJ4&gt;0,SUM(IF4:II4)-IJ4,"")</f>
        <v/>
      </c>
      <c r="JA4" s="36" t="str">
        <f t="shared" ref="JA4:JA13" si="105">IF(MAX(IW4,IZ4)&gt;0,MAX(IW4,IZ4),"")</f>
        <v/>
      </c>
      <c r="JB4" s="36" t="str">
        <f t="shared" ref="JB4:JB13" si="106">IF(IM4&gt;0,IM4,"")</f>
        <v/>
      </c>
      <c r="JC4" s="36" t="str">
        <f t="shared" ref="JC4:JC13" si="107">IF(IN4&gt;0,IN4,"")</f>
        <v/>
      </c>
      <c r="JD4" s="36" t="str">
        <f t="shared" ref="JD4:JD13" si="108">IF(SUM(IK4:IN4)-IO4&gt;0,SUM(IK4:IN4)-IO4,"")</f>
        <v/>
      </c>
      <c r="JE4" s="36" t="str">
        <f t="shared" ref="JE4:JE13" si="109">IF(IR4&gt;0,IR4,"")</f>
        <v/>
      </c>
      <c r="JF4" s="36" t="str">
        <f t="shared" ref="JF4:JF13" si="110">IF(IS4&gt;0,IS4,"")</f>
        <v/>
      </c>
      <c r="JG4" s="36" t="str">
        <f t="shared" ref="JG4:JG13" si="111">IF(SUM(IP4:IS4)-IT4&gt;0,SUM(IP4:IS4)-IT4,"")</f>
        <v/>
      </c>
      <c r="JH4" s="36" t="str">
        <f t="shared" ref="JH4:JH13" si="112">IF(SUM(JA4,JD4,JG4)&gt;0,SUM(JA4,JD4,JG4),"")</f>
        <v/>
      </c>
      <c r="JI4" s="16"/>
      <c r="JJ4" s="16"/>
      <c r="JK4" s="16"/>
      <c r="JL4" s="16"/>
      <c r="JM4" s="16"/>
      <c r="JN4" s="16"/>
      <c r="JO4" s="16"/>
      <c r="JP4" s="16"/>
      <c r="JQ4" s="16"/>
      <c r="JR4" s="16"/>
      <c r="JS4" s="16"/>
      <c r="JT4" s="16"/>
      <c r="JU4" s="16"/>
      <c r="JV4" s="16"/>
      <c r="JW4" s="16"/>
      <c r="JX4" s="16"/>
      <c r="JY4" s="16"/>
      <c r="JZ4" s="16"/>
      <c r="KA4" s="16"/>
      <c r="KB4" s="16"/>
      <c r="KC4" s="11" t="str">
        <f t="shared" ref="KC4:KC13" si="113">IF(JK4&gt;0,JK4,"")</f>
        <v/>
      </c>
      <c r="KD4" s="11" t="str">
        <f t="shared" ref="KD4:KD13" si="114">IF(JL4&gt;0,JL4,"")</f>
        <v/>
      </c>
      <c r="KE4" s="11" t="str">
        <f t="shared" ref="KE4:KE13" si="115">IF(SUM(JI4:JL4)-JM4&gt;0,SUM(JI4:JL4)-JM4,"")</f>
        <v/>
      </c>
      <c r="KF4" s="11" t="str">
        <f t="shared" ref="KF4:KF13" si="116">IF(JP4&gt;0,JP4,"")</f>
        <v/>
      </c>
      <c r="KG4" s="11" t="str">
        <f t="shared" ref="KG4:KG13" si="117">IF(JQ4&gt;0,JQ4,"")</f>
        <v/>
      </c>
      <c r="KH4" s="11" t="str">
        <f t="shared" ref="KH4:KH13" si="118">IF(SUM(JN4:JQ4)-JR4&gt;0,SUM(JN4:JQ4)-JR4,"")</f>
        <v/>
      </c>
      <c r="KI4" s="11" t="str">
        <f t="shared" ref="KI4:KI13" si="119">IF(MAX(KE4,KH4)&gt;0,MAX(KE4,KH4),"")</f>
        <v/>
      </c>
      <c r="KJ4" s="11" t="str">
        <f t="shared" ref="KJ4:KJ13" si="120">IF(JU4&gt;0,JU4,"")</f>
        <v/>
      </c>
      <c r="KK4" s="11" t="str">
        <f t="shared" ref="KK4:KK13" si="121">IF(JV4&gt;0,JV4,"")</f>
        <v/>
      </c>
      <c r="KL4" s="11" t="str">
        <f t="shared" ref="KL4:KL13" si="122">IF(SUM(JS4:JV4)-JW4&gt;0,SUM(JS4:JV4)-JW4,"")</f>
        <v/>
      </c>
      <c r="KM4" s="11" t="str">
        <f t="shared" ref="KM4:KM13" si="123">IF(JZ4&gt;0,JZ4,"")</f>
        <v/>
      </c>
      <c r="KN4" s="11" t="str">
        <f t="shared" ref="KN4:KN13" si="124">IF(KA4&gt;0,KA4,"")</f>
        <v/>
      </c>
      <c r="KO4" s="11" t="str">
        <f t="shared" ref="KO4:KO13" si="125">IF(SUM(JX4:KA4)-KB4&gt;0,SUM(JX4:KA4)-KB4,"")</f>
        <v/>
      </c>
      <c r="KP4" s="11" t="str">
        <f t="shared" ref="KP4:KP13" si="126">IF(SUM(KI4,KL4,KO4)&gt;0,SUM(KI4,KL4,KO4),"")</f>
        <v/>
      </c>
      <c r="KQ4" s="15"/>
      <c r="KR4" s="15"/>
      <c r="KS4" s="15"/>
      <c r="KT4" s="15"/>
      <c r="KU4" s="15"/>
      <c r="KV4" s="15"/>
      <c r="KW4" s="15"/>
      <c r="KX4" s="15"/>
      <c r="KY4" s="15"/>
      <c r="KZ4" s="15"/>
      <c r="LA4" s="15"/>
      <c r="LB4" s="15"/>
      <c r="LC4" s="15"/>
      <c r="LD4" s="15"/>
      <c r="LE4" s="15"/>
      <c r="LF4" s="15"/>
      <c r="LG4" s="15"/>
      <c r="LH4" s="15"/>
      <c r="LI4" s="15"/>
      <c r="LJ4" s="15"/>
      <c r="LK4" s="36" t="str">
        <f t="shared" ref="LK4:LK13" si="127">IF(KS4&gt;0,KS4,"")</f>
        <v/>
      </c>
      <c r="LL4" s="36" t="str">
        <f t="shared" ref="LL4:LL13" si="128">IF(KT4&gt;0,KT4,"")</f>
        <v/>
      </c>
      <c r="LM4" s="36" t="str">
        <f t="shared" ref="LM4:LM13" si="129">IF(SUM(KQ4:KT4)-KU4&gt;0,SUM(KQ4:KT4)-KU4,"")</f>
        <v/>
      </c>
      <c r="LN4" s="36" t="str">
        <f t="shared" ref="LN4:LN13" si="130">IF(KX4&gt;0,KX4,"")</f>
        <v/>
      </c>
      <c r="LO4" s="36" t="str">
        <f t="shared" ref="LO4:LO13" si="131">IF(KY4&gt;0,KY4,"")</f>
        <v/>
      </c>
      <c r="LP4" s="36" t="str">
        <f t="shared" ref="LP4:LP13" si="132">IF(SUM(KV4:KY4)-KZ4&gt;0,SUM(KV4:KY4)-KZ4,"")</f>
        <v/>
      </c>
      <c r="LQ4" s="36" t="str">
        <f t="shared" ref="LQ4:LQ13" si="133">IF(MAX(LM4,LP4)&gt;0,MAX(LM4,LP4),"")</f>
        <v/>
      </c>
      <c r="LR4" s="36" t="str">
        <f t="shared" ref="LR4:LR13" si="134">IF(LC4&gt;0,LC4,"")</f>
        <v/>
      </c>
      <c r="LS4" s="36" t="str">
        <f t="shared" ref="LS4:LS13" si="135">IF(LD4&gt;0,LD4,"")</f>
        <v/>
      </c>
      <c r="LT4" s="36" t="str">
        <f t="shared" ref="LT4:LT13" si="136">IF(SUM(LA4:LD4)-LE4&gt;0,SUM(LA4:LD4)-LE4,"")</f>
        <v/>
      </c>
      <c r="LU4" s="36" t="str">
        <f t="shared" ref="LU4:LU13" si="137">IF(LH4&gt;0,LH4,"")</f>
        <v/>
      </c>
      <c r="LV4" s="36" t="str">
        <f t="shared" ref="LV4:LV13" si="138">IF(LI4&gt;0,LI4,"")</f>
        <v/>
      </c>
      <c r="LW4" s="36" t="str">
        <f t="shared" ref="LW4:LW13" si="139">IF(SUM(LF4:LI4)-LJ4&gt;0,SUM(LF4:LI4)-LJ4,"")</f>
        <v/>
      </c>
      <c r="LX4" s="36" t="str">
        <f t="shared" ref="LX4:LX13" si="140">IF(SUM(LQ4,LT4,LW4)&gt;0,SUM(LQ4,LT4,LW4),"")</f>
        <v/>
      </c>
      <c r="LY4" s="16"/>
      <c r="LZ4" s="16"/>
      <c r="MA4" s="16"/>
      <c r="MB4" s="16"/>
      <c r="MC4" s="16"/>
      <c r="MD4" s="16"/>
      <c r="ME4" s="16"/>
      <c r="MF4" s="16"/>
      <c r="MG4" s="16"/>
      <c r="MH4" s="16"/>
      <c r="MI4" s="16"/>
      <c r="MJ4" s="16"/>
      <c r="MK4" s="16"/>
      <c r="ML4" s="16"/>
      <c r="MM4" s="16"/>
      <c r="MN4" s="16"/>
      <c r="MO4" s="16"/>
      <c r="MP4" s="16"/>
      <c r="MQ4" s="16"/>
      <c r="MR4" s="16"/>
      <c r="MS4" s="11" t="str">
        <f t="shared" ref="MS4:MS13" si="141">IF(MA4&gt;0,MA4,"")</f>
        <v/>
      </c>
      <c r="MT4" s="11" t="str">
        <f t="shared" ref="MT4:MT13" si="142">IF(MB4&gt;0,MB4,"")</f>
        <v/>
      </c>
      <c r="MU4" s="11" t="str">
        <f t="shared" ref="MU4:MU13" si="143">IF(SUM(LY4:MB4)-MC4&gt;0,SUM(LY4:MB4)-MC4,"")</f>
        <v/>
      </c>
      <c r="MV4" s="11" t="str">
        <f t="shared" ref="MV4:MV13" si="144">IF(MF4&gt;0,MF4,"")</f>
        <v/>
      </c>
      <c r="MW4" s="11" t="str">
        <f t="shared" ref="MW4:MW13" si="145">IF(MG4&gt;0,MG4,"")</f>
        <v/>
      </c>
      <c r="MX4" s="11" t="str">
        <f t="shared" ref="MX4:MX13" si="146">IF(SUM(MD4:MG4)-MH4&gt;0,SUM(MD4:MG4)-MH4,"")</f>
        <v/>
      </c>
      <c r="MY4" s="11" t="str">
        <f t="shared" ref="MY4:MY13" si="147">IF(MAX(MU4,MX4)&gt;0,MAX(MU4,MX4),"")</f>
        <v/>
      </c>
      <c r="MZ4" s="11" t="str">
        <f t="shared" ref="MZ4:MZ13" si="148">IF(MK4&gt;0,MK4,"")</f>
        <v/>
      </c>
      <c r="NA4" s="11" t="str">
        <f t="shared" ref="NA4:NA13" si="149">IF(ML4&gt;0,ML4,"")</f>
        <v/>
      </c>
      <c r="NB4" s="11" t="str">
        <f t="shared" ref="NB4:NB13" si="150">IF(SUM(MI4:ML4)-MM4&gt;0,SUM(MI4:ML4)-MM4,"")</f>
        <v/>
      </c>
      <c r="NC4" s="11" t="str">
        <f t="shared" ref="NC4:NC13" si="151">IF(MP4&gt;0,MP4,"")</f>
        <v/>
      </c>
      <c r="ND4" s="11" t="str">
        <f t="shared" ref="ND4:ND13" si="152">IF(MQ4&gt;0,MQ4,"")</f>
        <v/>
      </c>
      <c r="NE4" s="11" t="str">
        <f t="shared" ref="NE4:NE13" si="153">IF(SUM(MN4:MQ4)-MR4&gt;0,SUM(MN4:MQ4)-MR4,"")</f>
        <v/>
      </c>
      <c r="NF4" s="11" t="str">
        <f t="shared" ref="NF4:NF13" si="154">IF(SUM(MY4,NB4,NE4)&gt;0,SUM(MY4,NB4,NE4),"")</f>
        <v/>
      </c>
      <c r="NG4" s="15"/>
      <c r="NH4" s="15"/>
      <c r="NI4" s="15"/>
      <c r="NJ4" s="15"/>
      <c r="NK4" s="15"/>
      <c r="NL4" s="15"/>
      <c r="NM4" s="15"/>
      <c r="NN4" s="15"/>
      <c r="NO4" s="15"/>
      <c r="NP4" s="15"/>
      <c r="NQ4" s="15"/>
      <c r="NR4" s="15"/>
      <c r="NS4" s="15"/>
      <c r="NT4" s="15"/>
      <c r="NU4" s="15"/>
      <c r="NV4" s="15"/>
      <c r="NW4" s="15"/>
      <c r="NX4" s="15"/>
      <c r="NY4" s="15"/>
      <c r="NZ4" s="15"/>
      <c r="OA4" s="36" t="str">
        <f t="shared" ref="OA4:OA13" si="155">IF(NI4&gt;0,NI4,"")</f>
        <v/>
      </c>
      <c r="OB4" s="36" t="str">
        <f t="shared" ref="OB4:OB13" si="156">IF(NJ4&gt;0,NJ4,"")</f>
        <v/>
      </c>
      <c r="OC4" s="36" t="str">
        <f t="shared" ref="OC4:OC13" si="157">IF(SUM(NG4:NJ4)-NK4&gt;0,SUM(NG4:NJ4)-NK4,"")</f>
        <v/>
      </c>
      <c r="OD4" s="36" t="str">
        <f t="shared" ref="OD4:OD13" si="158">IF(NN4&gt;0,NN4,"")</f>
        <v/>
      </c>
      <c r="OE4" s="36" t="str">
        <f t="shared" ref="OE4:OE13" si="159">IF(NO4&gt;0,NO4,"")</f>
        <v/>
      </c>
      <c r="OF4" s="36" t="str">
        <f t="shared" ref="OF4:OF13" si="160">IF(SUM(NL4:NO4)-NP4&gt;0,SUM(NL4:NO4)-NP4,"")</f>
        <v/>
      </c>
      <c r="OG4" s="36" t="str">
        <f t="shared" ref="OG4:OG13" si="161">IF(MAX(OC4,OF4)&gt;0,MAX(OC4,OF4),"")</f>
        <v/>
      </c>
      <c r="OH4" s="36" t="str">
        <f t="shared" ref="OH4:OH13" si="162">IF(NS4&gt;0,NS4,"")</f>
        <v/>
      </c>
      <c r="OI4" s="36" t="str">
        <f t="shared" ref="OI4:OI13" si="163">IF(NT4&gt;0,NT4,"")</f>
        <v/>
      </c>
      <c r="OJ4" s="36" t="str">
        <f t="shared" ref="OJ4:OJ13" si="164">IF(SUM(NQ4:NT4)-NU4&gt;0,SUM(NQ4:NT4)-NU4,"")</f>
        <v/>
      </c>
      <c r="OK4" s="36" t="str">
        <f t="shared" ref="OK4:OK13" si="165">IF(NX4&gt;0,NX4,"")</f>
        <v/>
      </c>
      <c r="OL4" s="36" t="str">
        <f t="shared" ref="OL4:OL13" si="166">IF(NY4&gt;0,NY4,"")</f>
        <v/>
      </c>
      <c r="OM4" s="36" t="str">
        <f t="shared" ref="OM4:OM13" si="167">IF(SUM(NV4:NY4)-NZ4&gt;0,SUM(NV4:NY4)-NZ4,"")</f>
        <v/>
      </c>
      <c r="ON4" s="36" t="str">
        <f t="shared" ref="ON4:ON13" si="168">IF(SUM(OG4,OJ4,OM4)&gt;0,SUM(OG4,OJ4,OM4),"")</f>
        <v/>
      </c>
      <c r="OO4" s="16"/>
      <c r="OP4" s="16"/>
      <c r="OQ4" s="16"/>
      <c r="OR4" s="16"/>
      <c r="OS4" s="16"/>
      <c r="OT4" s="16"/>
      <c r="OU4" s="16"/>
      <c r="OV4" s="16"/>
      <c r="OW4" s="16"/>
      <c r="OX4" s="16"/>
      <c r="OY4" s="16"/>
      <c r="OZ4" s="16"/>
      <c r="PA4" s="16"/>
      <c r="PB4" s="16"/>
      <c r="PC4" s="16"/>
      <c r="PD4" s="16"/>
      <c r="PE4" s="16"/>
      <c r="PF4" s="16"/>
      <c r="PG4" s="16"/>
      <c r="PH4" s="16"/>
      <c r="PI4" s="11" t="str">
        <f t="shared" ref="PI4:PI13" si="169">IF(OQ4&gt;0,OQ4,"")</f>
        <v/>
      </c>
      <c r="PJ4" s="11" t="str">
        <f t="shared" ref="PJ4:PJ13" si="170">IF(OR4&gt;0,OR4,"")</f>
        <v/>
      </c>
      <c r="PK4" s="11" t="str">
        <f t="shared" ref="PK4:PK13" si="171">IF(SUM(OO4:OR4)-OS4&gt;0,SUM(OO4:OR4)-OS4,"")</f>
        <v/>
      </c>
      <c r="PL4" s="11" t="str">
        <f t="shared" ref="PL4:PL13" si="172">IF(OV4&gt;0,OV4,"")</f>
        <v/>
      </c>
      <c r="PM4" s="11" t="str">
        <f t="shared" ref="PM4:PM13" si="173">IF(OW4&gt;0,OW4,"")</f>
        <v/>
      </c>
      <c r="PN4" s="11" t="str">
        <f t="shared" ref="PN4:PN13" si="174">IF(SUM(OT4:OW4)-OX4&gt;0,SUM(OT4:OW4)-OX4,"")</f>
        <v/>
      </c>
      <c r="PO4" s="11" t="str">
        <f t="shared" ref="PO4:PO13" si="175">IF(MAX(PK4,PN4)&gt;0,MAX(PK4,PN4),"")</f>
        <v/>
      </c>
      <c r="PP4" s="11" t="str">
        <f t="shared" ref="PP4:PP13" si="176">IF(PA4&gt;0,PA4,"")</f>
        <v/>
      </c>
      <c r="PQ4" s="11" t="str">
        <f t="shared" ref="PQ4:PQ13" si="177">IF(PB4&gt;0,PB4,"")</f>
        <v/>
      </c>
      <c r="PR4" s="11" t="str">
        <f t="shared" ref="PR4:PR13" si="178">IF(SUM(OY4:PB4)-PC4&gt;0,SUM(OY4:PB4)-PC4,"")</f>
        <v/>
      </c>
      <c r="PS4" s="11" t="str">
        <f t="shared" ref="PS4:PS13" si="179">IF(PF4&gt;0,PF4,"")</f>
        <v/>
      </c>
      <c r="PT4" s="11" t="str">
        <f t="shared" ref="PT4:PT13" si="180">IF(PG4&gt;0,PG4,"")</f>
        <v/>
      </c>
      <c r="PU4" s="11" t="str">
        <f t="shared" ref="PU4:PU13" si="181">IF(SUM(PD4:PG4)-PH4&gt;0,SUM(PD4:PG4)-PH4,"")</f>
        <v/>
      </c>
      <c r="PV4" s="11" t="str">
        <f t="shared" ref="PV4:PV13" si="182">IF(SUM(PO4,PR4,PU4)&gt;0,SUM(PO4,PR4,PU4),"")</f>
        <v/>
      </c>
      <c r="PW4" s="15"/>
      <c r="PX4" s="15"/>
      <c r="PY4" s="15"/>
      <c r="PZ4" s="15"/>
      <c r="QA4" s="15"/>
      <c r="QB4" s="15"/>
      <c r="QC4" s="15"/>
      <c r="QD4" s="15"/>
      <c r="QE4" s="15"/>
      <c r="QF4" s="15"/>
      <c r="QG4" s="15"/>
      <c r="QH4" s="15"/>
      <c r="QI4" s="15"/>
      <c r="QJ4" s="15"/>
      <c r="QK4" s="15"/>
      <c r="QL4" s="15"/>
      <c r="QM4" s="15"/>
      <c r="QN4" s="15"/>
      <c r="QO4" s="15"/>
      <c r="QP4" s="15"/>
      <c r="QQ4" s="36" t="str">
        <f t="shared" ref="QQ4:QQ13" si="183">IF(PY4&gt;0,PY4,"")</f>
        <v/>
      </c>
      <c r="QR4" s="36" t="str">
        <f t="shared" ref="QR4:QR13" si="184">IF(PZ4&gt;0,PZ4,"")</f>
        <v/>
      </c>
      <c r="QS4" s="36" t="str">
        <f t="shared" ref="QS4:QS13" si="185">IF(SUM(PW4:PZ4)-QA4&gt;0,SUM(PW4:PZ4)-QA4,"")</f>
        <v/>
      </c>
      <c r="QT4" s="36" t="str">
        <f t="shared" ref="QT4:QT13" si="186">IF(QD4&gt;0,QD4,"")</f>
        <v/>
      </c>
      <c r="QU4" s="36" t="str">
        <f t="shared" ref="QU4:QU13" si="187">IF(QE4&gt;0,QE4,"")</f>
        <v/>
      </c>
      <c r="QV4" s="36" t="str">
        <f t="shared" ref="QV4:QV13" si="188">IF(SUM(QB4:QE4)-QF4&gt;0,SUM(QB4:QE4)-QF4,"")</f>
        <v/>
      </c>
      <c r="QW4" s="36" t="str">
        <f t="shared" ref="QW4:QW13" si="189">IF(MAX(QS4,QV4)&gt;0,MAX(QS4,QV4),"")</f>
        <v/>
      </c>
      <c r="QX4" s="36" t="str">
        <f t="shared" ref="QX4:QX13" si="190">IF(QI4&gt;0,QI4,"")</f>
        <v/>
      </c>
      <c r="QY4" s="36" t="str">
        <f t="shared" ref="QY4:QY13" si="191">IF(QJ4&gt;0,QJ4,"")</f>
        <v/>
      </c>
      <c r="QZ4" s="36" t="str">
        <f t="shared" ref="QZ4:QZ13" si="192">IF(SUM(QG4:QJ4)-QK4&gt;0,SUM(QG4:QJ4)-QK4,"")</f>
        <v/>
      </c>
      <c r="RA4" s="36" t="str">
        <f t="shared" ref="RA4:RA13" si="193">IF(QN4&gt;0,QN4,"")</f>
        <v/>
      </c>
      <c r="RB4" s="36" t="str">
        <f t="shared" ref="RB4:RB13" si="194">IF(QO4&gt;0,QO4,"")</f>
        <v/>
      </c>
      <c r="RC4" s="36" t="str">
        <f t="shared" ref="RC4:RC13" si="195">IF(SUM(QL4:QO4)-QP4&gt;0,SUM(QL4:QO4)-QP4,"")</f>
        <v/>
      </c>
      <c r="RD4" s="36" t="str">
        <f t="shared" ref="RD4:RD13" si="196">IF(SUM(QW4,QZ4,RC4)&gt;0,SUM(QW4,QZ4,RC4),"")</f>
        <v/>
      </c>
      <c r="RE4" s="16"/>
      <c r="RF4" s="16"/>
      <c r="RG4" s="16"/>
      <c r="RH4" s="16"/>
      <c r="RI4" s="16"/>
      <c r="RJ4" s="16"/>
      <c r="RK4" s="16"/>
      <c r="RL4" s="16"/>
      <c r="RM4" s="16"/>
      <c r="RN4" s="16"/>
      <c r="RO4" s="16"/>
      <c r="RP4" s="16"/>
      <c r="RQ4" s="16"/>
      <c r="RR4" s="16"/>
      <c r="RS4" s="16"/>
      <c r="RT4" s="16"/>
      <c r="RU4" s="16"/>
      <c r="RV4" s="16"/>
      <c r="RW4" s="16"/>
      <c r="RX4" s="16"/>
      <c r="RY4" s="11" t="str">
        <f t="shared" ref="RY4:RY13" si="197">IF(RG4&gt;0,RG4,"")</f>
        <v/>
      </c>
      <c r="RZ4" s="11" t="str">
        <f t="shared" ref="RZ4:RZ13" si="198">IF(RH4&gt;0,RH4,"")</f>
        <v/>
      </c>
      <c r="SA4" s="11" t="str">
        <f t="shared" ref="SA4:SA13" si="199">IF(SUM(RE4:RH4)-RI4&gt;0,SUM(RE4:RH4)-RI4,"")</f>
        <v/>
      </c>
      <c r="SB4" s="11" t="str">
        <f t="shared" ref="SB4:SB13" si="200">IF(RL4&gt;0,RL4,"")</f>
        <v/>
      </c>
      <c r="SC4" s="11" t="str">
        <f t="shared" ref="SC4:SC13" si="201">IF(RM4&gt;0,RM4,"")</f>
        <v/>
      </c>
      <c r="SD4" s="11" t="str">
        <f t="shared" ref="SD4:SD13" si="202">IF(SUM(RJ4:RM4)-RN4&gt;0,SUM(RJ4:RM4)-RN4,"")</f>
        <v/>
      </c>
      <c r="SE4" s="11" t="str">
        <f t="shared" ref="SE4:SE13" si="203">IF(MAX(SA4,SD4)&gt;0,MAX(SA4,SD4),"")</f>
        <v/>
      </c>
      <c r="SF4" s="11" t="str">
        <f t="shared" ref="SF4:SF13" si="204">IF(RQ4&gt;0,RQ4,"")</f>
        <v/>
      </c>
      <c r="SG4" s="11" t="str">
        <f t="shared" ref="SG4:SG13" si="205">IF(RR4&gt;0,RR4,"")</f>
        <v/>
      </c>
      <c r="SH4" s="11" t="str">
        <f t="shared" ref="SH4:SH13" si="206">IF(SUM(RO4:RR4)-RS4&gt;0,SUM(RO4:RR4)-RS4,"")</f>
        <v/>
      </c>
      <c r="SI4" s="11" t="str">
        <f t="shared" ref="SI4:SI13" si="207">IF(RV4&gt;0,RV4,"")</f>
        <v/>
      </c>
      <c r="SJ4" s="11" t="str">
        <f t="shared" ref="SJ4:SJ13" si="208">IF(RW4&gt;0,RW4,"")</f>
        <v/>
      </c>
      <c r="SK4" s="11" t="str">
        <f t="shared" ref="SK4:SK13" si="209">IF(SUM(RT4:RW4)-RX4&gt;0,SUM(RT4:RW4)-RX4,"")</f>
        <v/>
      </c>
      <c r="SL4" s="11" t="str">
        <f t="shared" ref="SL4:SL13" si="210">IF(SUM(SE4,SH4,SK4)&gt;0,SUM(SE4,SH4,SK4),"")</f>
        <v/>
      </c>
      <c r="SM4" s="15"/>
      <c r="SN4" s="15"/>
      <c r="SO4" s="15"/>
      <c r="SP4" s="15"/>
      <c r="SQ4" s="15"/>
      <c r="SR4" s="15"/>
      <c r="SS4" s="15"/>
      <c r="ST4" s="15"/>
      <c r="SU4" s="15"/>
      <c r="SV4" s="15"/>
      <c r="SW4" s="15"/>
      <c r="SX4" s="15"/>
      <c r="SY4" s="15"/>
      <c r="SZ4" s="15"/>
      <c r="TA4" s="15"/>
      <c r="TB4" s="15"/>
      <c r="TC4" s="15"/>
      <c r="TD4" s="15"/>
      <c r="TE4" s="15"/>
      <c r="TF4" s="15"/>
      <c r="TG4" s="36" t="str">
        <f t="shared" ref="TG4:TG13" si="211">IF(SO4&gt;0,SO4,"")</f>
        <v/>
      </c>
      <c r="TH4" s="36" t="str">
        <f t="shared" ref="TH4:TH13" si="212">IF(SP4&gt;0,SP4,"")</f>
        <v/>
      </c>
      <c r="TI4" s="36" t="str">
        <f t="shared" ref="TI4:TI13" si="213">IF(SUM(SM4:SP4)-SQ4&gt;0,SUM(SM4:SP4)-SQ4,"")</f>
        <v/>
      </c>
      <c r="TJ4" s="36" t="str">
        <f t="shared" ref="TJ4:TJ13" si="214">IF(ST4&gt;0,ST4,"")</f>
        <v/>
      </c>
      <c r="TK4" s="36" t="str">
        <f t="shared" ref="TK4:TK13" si="215">IF(SU4&gt;0,SU4,"")</f>
        <v/>
      </c>
      <c r="TL4" s="36" t="str">
        <f t="shared" ref="TL4:TL13" si="216">IF(SUM(SR4:SU4)-SV4&gt;0,SUM(SR4:SU4)-SV4,"")</f>
        <v/>
      </c>
      <c r="TM4" s="36" t="str">
        <f t="shared" ref="TM4:TM13" si="217">IF(MAX(TI4,TL4)&gt;0,MAX(TI4,TL4),"")</f>
        <v/>
      </c>
      <c r="TN4" s="36" t="str">
        <f t="shared" ref="TN4:TN13" si="218">IF(SY4&gt;0,SY4,"")</f>
        <v/>
      </c>
      <c r="TO4" s="36" t="str">
        <f t="shared" ref="TO4:TO13" si="219">IF(SZ4&gt;0,SZ4,"")</f>
        <v/>
      </c>
      <c r="TP4" s="36" t="str">
        <f t="shared" ref="TP4:TP13" si="220">IF(SUM(SW4:SZ4)-TA4&gt;0,SUM(SW4:SZ4)-TA4,"")</f>
        <v/>
      </c>
      <c r="TQ4" s="36" t="str">
        <f t="shared" ref="TQ4:TQ13" si="221">IF(TD4&gt;0,TD4,"")</f>
        <v/>
      </c>
      <c r="TR4" s="36" t="str">
        <f t="shared" ref="TR4:TR13" si="222">IF(TE4&gt;0,TE4,"")</f>
        <v/>
      </c>
      <c r="TS4" s="36" t="str">
        <f t="shared" ref="TS4:TS13" si="223">IF(SUM(TB4:TE4)-TF4&gt;0,SUM(TB4:TE4)-TF4,"")</f>
        <v/>
      </c>
      <c r="TT4" s="36" t="str">
        <f t="shared" ref="TT4:TT13" si="224">IF(SUM(TM4,TP4,TS4)&gt;0,SUM(TM4,TP4,TS4),"")</f>
        <v/>
      </c>
      <c r="TU4" s="16"/>
      <c r="TV4" s="16"/>
      <c r="TW4" s="16"/>
      <c r="TX4" s="16"/>
      <c r="TY4" s="16"/>
      <c r="TZ4" s="16"/>
      <c r="UA4" s="16"/>
      <c r="UB4" s="16"/>
      <c r="UC4" s="16"/>
      <c r="UD4" s="16"/>
      <c r="UE4" s="16"/>
      <c r="UF4" s="16"/>
      <c r="UG4" s="16"/>
      <c r="UH4" s="16"/>
      <c r="UI4" s="16"/>
      <c r="UJ4" s="16"/>
      <c r="UK4" s="16"/>
      <c r="UL4" s="16"/>
      <c r="UM4" s="16"/>
      <c r="UN4" s="16"/>
      <c r="UO4" s="11" t="str">
        <f t="shared" ref="UO4:UO13" si="225">IF(TW4&gt;0,TW4,"")</f>
        <v/>
      </c>
      <c r="UP4" s="11" t="str">
        <f t="shared" ref="UP4:UP13" si="226">IF(TX4&gt;0,TX4,"")</f>
        <v/>
      </c>
      <c r="UQ4" s="11" t="str">
        <f t="shared" ref="UQ4:UQ13" si="227">IF(SUM(TU4:TX4)-TY4&gt;0,SUM(TU4:TX4)-TY4,"")</f>
        <v/>
      </c>
      <c r="UR4" s="11" t="str">
        <f t="shared" ref="UR4:UR13" si="228">IF(UB4&gt;0,UB4,"")</f>
        <v/>
      </c>
      <c r="US4" s="11" t="str">
        <f t="shared" ref="US4:US13" si="229">IF(UC4&gt;0,UC4,"")</f>
        <v/>
      </c>
      <c r="UT4" s="11" t="str">
        <f t="shared" ref="UT4:UT13" si="230">IF(SUM(TZ4:UC4)-UD4&gt;0,SUM(TZ4:UC4)-UD4,"")</f>
        <v/>
      </c>
      <c r="UU4" s="11" t="str">
        <f t="shared" ref="UU4:UU13" si="231">IF(MAX(UQ4,UT4)&gt;0,MAX(UQ4,UT4),"")</f>
        <v/>
      </c>
      <c r="UV4" s="11" t="str">
        <f t="shared" ref="UV4:UV13" si="232">IF(UG4&gt;0,UG4,"")</f>
        <v/>
      </c>
      <c r="UW4" s="11" t="str">
        <f t="shared" ref="UW4:UW13" si="233">IF(UH4&gt;0,UH4,"")</f>
        <v/>
      </c>
      <c r="UX4" s="11" t="str">
        <f t="shared" ref="UX4:UX13" si="234">IF(SUM(UE4:UH4)-UI4&gt;0,SUM(UE4:UH4)-UI4,"")</f>
        <v/>
      </c>
      <c r="UY4" s="11" t="str">
        <f t="shared" ref="UY4:UY13" si="235">IF(UL4&gt;0,UL4,"")</f>
        <v/>
      </c>
      <c r="UZ4" s="11" t="str">
        <f t="shared" ref="UZ4:UZ13" si="236">IF(UM4&gt;0,UM4,"")</f>
        <v/>
      </c>
      <c r="VA4" s="11" t="str">
        <f t="shared" ref="VA4:VA13" si="237">IF(SUM(UJ4:UM4)-UN4&gt;0,SUM(UJ4:UM4)-UN4,"")</f>
        <v/>
      </c>
      <c r="VB4" s="11" t="str">
        <f t="shared" ref="VB4:VB13" si="238">IF(SUM(UU4,UX4,VA4)&gt;0,SUM(UU4,UX4,VA4),"")</f>
        <v/>
      </c>
      <c r="VC4" s="15"/>
      <c r="VD4" s="15"/>
      <c r="VE4" s="15"/>
      <c r="VF4" s="15"/>
      <c r="VG4" s="15"/>
      <c r="VH4" s="15"/>
      <c r="VI4" s="15"/>
      <c r="VJ4" s="15"/>
      <c r="VK4" s="15"/>
      <c r="VL4" s="15"/>
      <c r="VM4" s="15"/>
      <c r="VN4" s="15"/>
      <c r="VO4" s="15"/>
      <c r="VP4" s="15"/>
      <c r="VQ4" s="15"/>
      <c r="VR4" s="15"/>
      <c r="VS4" s="15"/>
      <c r="VT4" s="15"/>
      <c r="VU4" s="15"/>
      <c r="VV4" s="15"/>
      <c r="VW4" s="36" t="str">
        <f t="shared" ref="VW4:VW13" si="239">IF(VE4&gt;0,VE4,"")</f>
        <v/>
      </c>
      <c r="VX4" s="36" t="str">
        <f t="shared" ref="VX4:VX13" si="240">IF(VF4&gt;0,VF4,"")</f>
        <v/>
      </c>
      <c r="VY4" s="36" t="str">
        <f t="shared" ref="VY4:VY13" si="241">IF(SUM(VC4:VF4)-VG4&gt;0,SUM(VC4:VF4)-VG4,"")</f>
        <v/>
      </c>
      <c r="VZ4" s="36" t="str">
        <f t="shared" ref="VZ4:VZ13" si="242">IF(VJ4&gt;0,VJ4,"")</f>
        <v/>
      </c>
      <c r="WA4" s="36" t="str">
        <f t="shared" ref="WA4:WA13" si="243">IF(VK4&gt;0,VK4,"")</f>
        <v/>
      </c>
      <c r="WB4" s="36" t="str">
        <f t="shared" ref="WB4:WB13" si="244">IF(SUM(VH4:VK4)-VL4&gt;0,SUM(VH4:VK4)-VL4,"")</f>
        <v/>
      </c>
      <c r="WC4" s="36" t="str">
        <f t="shared" ref="WC4:WC13" si="245">IF(MAX(VY4,WB4)&gt;0,MAX(VY4,WB4),"")</f>
        <v/>
      </c>
      <c r="WD4" s="36" t="str">
        <f t="shared" ref="WD4:WD13" si="246">IF(VO4&gt;0,VO4,"")</f>
        <v/>
      </c>
      <c r="WE4" s="36" t="str">
        <f t="shared" ref="WE4:WE13" si="247">IF(VP4&gt;0,VP4,"")</f>
        <v/>
      </c>
      <c r="WF4" s="36" t="str">
        <f t="shared" ref="WF4:WF13" si="248">IF(SUM(VM4:VP4)-VQ4&gt;0,SUM(VM4:VP4)-VQ4,"")</f>
        <v/>
      </c>
      <c r="WG4" s="36" t="str">
        <f t="shared" ref="WG4:WG13" si="249">IF(VT4&gt;0,VT4,"")</f>
        <v/>
      </c>
      <c r="WH4" s="36" t="str">
        <f t="shared" ref="WH4:WH13" si="250">IF(VU4&gt;0,VU4,"")</f>
        <v/>
      </c>
      <c r="WI4" s="36" t="str">
        <f t="shared" ref="WI4:WI13" si="251">IF(SUM(VR4:VU4)-VV4&gt;0,SUM(VR4:VU4)-VV4,"")</f>
        <v/>
      </c>
      <c r="WJ4" s="36" t="str">
        <f t="shared" ref="WJ4:WJ13" si="252">IF(SUM(WC4,WF4,WI4)&gt;0,SUM(WC4,WF4,WI4),"")</f>
        <v/>
      </c>
    </row>
    <row r="5" spans="1:608" x14ac:dyDescent="0.2">
      <c r="A5" s="4" cm="1">
        <f t="array" ref="A5">IF(AND(H5&lt;&gt;"",H5&lt;&gt;"No DD",I5&lt;&gt;"P"),SUMPRODUCT((H$4:H$14&lt;&gt;"")*(H$4:H$14&lt;&gt;"No DD")*(I$4:I$14&lt;&gt;"P")*(E$4:E$14&gt;E5))+1,IF(H5="No DD",SUMPRODUCT((H$4:H$14="No DD")*(I$4:I$14&lt;&gt;"P")*(E$4:E$14&gt;E5))+1+SUMPRODUCT((H$4:H$14&lt;&gt;"")*(I$4:I$14&lt;&gt;"P")*(H$4:H$14&lt;&gt;"No DD")),""))</f>
        <v>1</v>
      </c>
      <c r="B5" s="5" t="s">
        <v>87</v>
      </c>
      <c r="C5" s="4" t="s">
        <v>3</v>
      </c>
      <c r="D5" s="4">
        <v>2006</v>
      </c>
      <c r="E5" s="9">
        <f t="shared" si="0"/>
        <v>102.0700102070052</v>
      </c>
      <c r="F5" s="3" t="str">
        <f t="shared" si="1"/>
        <v>P</v>
      </c>
      <c r="G5" s="3" t="str">
        <f t="shared" si="2"/>
        <v>P</v>
      </c>
      <c r="H5" s="32" t="str">
        <f t="shared" si="3"/>
        <v>National Team</v>
      </c>
      <c r="I5" s="3" t="str">
        <f>IF(COUNTIFS('Senior-W'!B:B,B5,'Senior-W'!A:A,"&lt;9",'Senior-W'!H:H,"&lt;&gt;"&amp;"No DD"),"P","")</f>
        <v/>
      </c>
      <c r="J5" s="8">
        <f t="shared" si="4"/>
        <v>51.89</v>
      </c>
      <c r="K5" s="8" t="str">
        <f t="shared" si="5"/>
        <v>2025 3rd Domestic Trial</v>
      </c>
      <c r="L5" s="8">
        <f>IFERROR(LARGE((AI5,AL5,AP5,BJ5,BM5,BQ5,CK5,CN5,CR5),2),0)</f>
        <v>50.180000000000007</v>
      </c>
      <c r="M5" s="8" t="str">
        <f t="shared" si="6"/>
        <v>2025 Nationals</v>
      </c>
      <c r="N5" s="8">
        <f t="shared" si="7"/>
        <v>0</v>
      </c>
      <c r="O5" s="11" t="str">
        <f>IF(N5=0,"",IF(N5=CT5,"("&amp;CT$2&amp;")",IF(N5=#REF!,"("&amp;#REF!&amp;")")))</f>
        <v/>
      </c>
      <c r="P5" s="8" t="str">
        <f t="shared" si="8"/>
        <v/>
      </c>
      <c r="Q5" s="18">
        <v>13.55</v>
      </c>
      <c r="R5" s="18">
        <v>9.3000000000000007</v>
      </c>
      <c r="S5" s="18">
        <v>11.7</v>
      </c>
      <c r="T5" s="18">
        <v>13.84</v>
      </c>
      <c r="U5" s="18">
        <v>0</v>
      </c>
      <c r="V5" s="18">
        <v>8.4</v>
      </c>
      <c r="W5" s="18">
        <v>5.1999999999999993</v>
      </c>
      <c r="X5" s="18">
        <v>7.2</v>
      </c>
      <c r="Y5" s="18">
        <v>8.26</v>
      </c>
      <c r="Z5" s="18">
        <v>0</v>
      </c>
      <c r="AA5" s="18">
        <v>11.8</v>
      </c>
      <c r="AB5" s="18">
        <v>8.85</v>
      </c>
      <c r="AC5" s="18">
        <v>12</v>
      </c>
      <c r="AD5" s="18">
        <v>14.02</v>
      </c>
      <c r="AE5" s="18">
        <v>0.1</v>
      </c>
      <c r="AF5" s="23" t="s">
        <v>42</v>
      </c>
      <c r="AG5" s="34">
        <f t="shared" si="9"/>
        <v>11.7</v>
      </c>
      <c r="AH5" s="34">
        <f t="shared" si="10"/>
        <v>13.84</v>
      </c>
      <c r="AI5" s="36">
        <f t="shared" si="11"/>
        <v>48.39</v>
      </c>
      <c r="AJ5" s="36">
        <f t="shared" si="12"/>
        <v>7.2</v>
      </c>
      <c r="AK5" s="36">
        <f t="shared" si="13"/>
        <v>8.26</v>
      </c>
      <c r="AL5" s="36">
        <f t="shared" si="14"/>
        <v>29.060000000000002</v>
      </c>
      <c r="AM5" s="36">
        <f t="shared" si="15"/>
        <v>48.39</v>
      </c>
      <c r="AN5" s="36">
        <f t="shared" si="16"/>
        <v>12</v>
      </c>
      <c r="AO5" s="36">
        <f t="shared" si="17"/>
        <v>14.02</v>
      </c>
      <c r="AP5" s="36">
        <f t="shared" si="18"/>
        <v>46.57</v>
      </c>
      <c r="AQ5" s="36">
        <f t="shared" si="19"/>
        <v>94.960000000000008</v>
      </c>
      <c r="AR5" s="22">
        <v>14.4</v>
      </c>
      <c r="AS5" s="22">
        <v>9.3000000000000007</v>
      </c>
      <c r="AT5" s="22">
        <v>12.7</v>
      </c>
      <c r="AU5" s="22">
        <v>13.78</v>
      </c>
      <c r="AV5" s="22">
        <v>0</v>
      </c>
      <c r="AW5" s="22">
        <v>2.9</v>
      </c>
      <c r="AX5" s="22">
        <v>1.8</v>
      </c>
      <c r="AY5" s="22">
        <v>3</v>
      </c>
      <c r="AZ5" s="22">
        <v>3</v>
      </c>
      <c r="BA5" s="22">
        <v>0</v>
      </c>
      <c r="BB5" s="22">
        <v>12.8</v>
      </c>
      <c r="BC5" s="22">
        <v>9.1999999999999993</v>
      </c>
      <c r="BD5" s="22">
        <v>12.5</v>
      </c>
      <c r="BE5" s="22">
        <v>14.4</v>
      </c>
      <c r="BF5" s="22">
        <v>0.2</v>
      </c>
      <c r="BG5" s="24"/>
      <c r="BH5" s="35">
        <f t="shared" si="20"/>
        <v>12.7</v>
      </c>
      <c r="BI5" s="35">
        <f t="shared" si="21"/>
        <v>13.78</v>
      </c>
      <c r="BJ5" s="11">
        <f t="shared" si="22"/>
        <v>50.180000000000007</v>
      </c>
      <c r="BK5" s="11">
        <f t="shared" si="23"/>
        <v>3</v>
      </c>
      <c r="BL5" s="11">
        <f t="shared" si="24"/>
        <v>3</v>
      </c>
      <c r="BM5" s="11">
        <f t="shared" si="25"/>
        <v>10.7</v>
      </c>
      <c r="BN5" s="11">
        <f t="shared" si="26"/>
        <v>50.180000000000007</v>
      </c>
      <c r="BO5" s="11">
        <f t="shared" si="27"/>
        <v>12.5</v>
      </c>
      <c r="BP5" s="11">
        <f t="shared" si="28"/>
        <v>14.4</v>
      </c>
      <c r="BQ5" s="11">
        <f t="shared" si="29"/>
        <v>48.699999999999996</v>
      </c>
      <c r="BR5" s="11">
        <f t="shared" si="30"/>
        <v>98.88</v>
      </c>
      <c r="BS5" s="18">
        <v>11.9</v>
      </c>
      <c r="BT5" s="18">
        <v>9.1</v>
      </c>
      <c r="BU5" s="18">
        <v>13.8</v>
      </c>
      <c r="BV5" s="18">
        <v>14.77</v>
      </c>
      <c r="BW5" s="18">
        <v>0</v>
      </c>
      <c r="BX5" s="18">
        <v>6.1</v>
      </c>
      <c r="BY5" s="18">
        <v>4.5999999999999996</v>
      </c>
      <c r="BZ5" s="18">
        <v>7.1</v>
      </c>
      <c r="CA5" s="18">
        <v>6.38</v>
      </c>
      <c r="CB5" s="18">
        <v>0</v>
      </c>
      <c r="CC5" s="18">
        <v>13.8</v>
      </c>
      <c r="CD5" s="18">
        <v>9.4</v>
      </c>
      <c r="CE5" s="18">
        <v>13.8</v>
      </c>
      <c r="CF5" s="18">
        <v>14.89</v>
      </c>
      <c r="CG5" s="18">
        <v>0</v>
      </c>
      <c r="CH5" s="23"/>
      <c r="CI5" s="34">
        <f t="shared" si="31"/>
        <v>13.8</v>
      </c>
      <c r="CJ5" s="34">
        <f t="shared" si="32"/>
        <v>14.77</v>
      </c>
      <c r="CK5" s="36">
        <f t="shared" si="33"/>
        <v>49.569999999999993</v>
      </c>
      <c r="CL5" s="36">
        <f t="shared" si="34"/>
        <v>7.1</v>
      </c>
      <c r="CM5" s="36">
        <f t="shared" si="35"/>
        <v>6.38</v>
      </c>
      <c r="CN5" s="36">
        <f t="shared" si="36"/>
        <v>24.179999999999996</v>
      </c>
      <c r="CO5" s="36">
        <f t="shared" si="37"/>
        <v>49.569999999999993</v>
      </c>
      <c r="CP5" s="36">
        <f t="shared" si="38"/>
        <v>13.8</v>
      </c>
      <c r="CQ5" s="36">
        <f t="shared" si="39"/>
        <v>14.89</v>
      </c>
      <c r="CR5" s="36">
        <f t="shared" si="40"/>
        <v>51.89</v>
      </c>
      <c r="CS5" s="36">
        <f t="shared" si="41"/>
        <v>101.46</v>
      </c>
      <c r="CT5" s="47" t="str">
        <f t="shared" si="42"/>
        <v/>
      </c>
      <c r="CU5" s="15"/>
      <c r="CV5" s="15"/>
      <c r="CW5" s="15"/>
      <c r="CX5" s="15"/>
      <c r="CY5" s="15"/>
      <c r="CZ5" s="15"/>
      <c r="DA5" s="15"/>
      <c r="DB5" s="15"/>
      <c r="DC5" s="15"/>
      <c r="DD5" s="15"/>
      <c r="DE5" s="15"/>
      <c r="DF5" s="15"/>
      <c r="DG5" s="15"/>
      <c r="DH5" s="15"/>
      <c r="DI5" s="15"/>
      <c r="DJ5" s="15"/>
      <c r="DK5" s="15"/>
      <c r="DL5" s="15"/>
      <c r="DM5" s="15"/>
      <c r="DN5" s="15"/>
      <c r="DO5" s="36" t="str">
        <f t="shared" si="43"/>
        <v/>
      </c>
      <c r="DP5" s="36" t="str">
        <f t="shared" si="44"/>
        <v/>
      </c>
      <c r="DQ5" s="36" t="str">
        <f t="shared" si="45"/>
        <v/>
      </c>
      <c r="DR5" s="36" t="str">
        <f t="shared" si="46"/>
        <v/>
      </c>
      <c r="DS5" s="36" t="str">
        <f t="shared" si="47"/>
        <v/>
      </c>
      <c r="DT5" s="36" t="str">
        <f t="shared" si="48"/>
        <v/>
      </c>
      <c r="DU5" s="36" t="str">
        <f t="shared" si="49"/>
        <v/>
      </c>
      <c r="DV5" s="36" t="str">
        <f t="shared" si="50"/>
        <v/>
      </c>
      <c r="DW5" s="36" t="str">
        <f t="shared" si="51"/>
        <v/>
      </c>
      <c r="DX5" s="36" t="str">
        <f t="shared" si="52"/>
        <v/>
      </c>
      <c r="DY5" s="36" t="str">
        <f t="shared" si="53"/>
        <v/>
      </c>
      <c r="DZ5" s="36" t="str">
        <f t="shared" si="54"/>
        <v/>
      </c>
      <c r="EA5" s="36" t="str">
        <f t="shared" si="55"/>
        <v/>
      </c>
      <c r="EB5" s="36" t="str">
        <f t="shared" si="56"/>
        <v/>
      </c>
      <c r="EC5" s="16">
        <v>13.7</v>
      </c>
      <c r="ED5" s="16">
        <v>9</v>
      </c>
      <c r="EE5" s="16">
        <v>12.7</v>
      </c>
      <c r="EF5" s="16">
        <v>13.87</v>
      </c>
      <c r="EG5" s="16">
        <v>0</v>
      </c>
      <c r="EH5" s="16">
        <v>11.7</v>
      </c>
      <c r="EI5" s="16">
        <v>7.2</v>
      </c>
      <c r="EJ5" s="16">
        <v>8.3000000000000007</v>
      </c>
      <c r="EK5" s="16">
        <v>11.08</v>
      </c>
      <c r="EL5" s="16">
        <v>0.2</v>
      </c>
      <c r="EM5" s="16">
        <v>13.3</v>
      </c>
      <c r="EN5" s="16">
        <v>9.1</v>
      </c>
      <c r="EO5" s="16">
        <v>12.7</v>
      </c>
      <c r="EP5" s="16">
        <v>13.85</v>
      </c>
      <c r="EQ5" s="16">
        <v>0</v>
      </c>
      <c r="ER5" s="16"/>
      <c r="ES5" s="16"/>
      <c r="ET5" s="16"/>
      <c r="EU5" s="16"/>
      <c r="EV5" s="16"/>
      <c r="EW5" s="11">
        <f t="shared" si="57"/>
        <v>12.7</v>
      </c>
      <c r="EX5" s="11">
        <f t="shared" si="58"/>
        <v>13.87</v>
      </c>
      <c r="EY5" s="11">
        <f t="shared" si="59"/>
        <v>49.269999999999996</v>
      </c>
      <c r="EZ5" s="11">
        <f t="shared" si="60"/>
        <v>8.3000000000000007</v>
      </c>
      <c r="FA5" s="11">
        <f t="shared" si="61"/>
        <v>11.08</v>
      </c>
      <c r="FB5" s="11">
        <f t="shared" si="62"/>
        <v>38.08</v>
      </c>
      <c r="FC5" s="11">
        <f t="shared" si="63"/>
        <v>49.269999999999996</v>
      </c>
      <c r="FD5" s="11">
        <f t="shared" si="64"/>
        <v>12.7</v>
      </c>
      <c r="FE5" s="11">
        <f t="shared" si="65"/>
        <v>13.85</v>
      </c>
      <c r="FF5" s="11">
        <f t="shared" si="66"/>
        <v>48.949999999999996</v>
      </c>
      <c r="FG5" s="11" t="str">
        <f t="shared" si="67"/>
        <v/>
      </c>
      <c r="FH5" s="11" t="str">
        <f t="shared" si="68"/>
        <v/>
      </c>
      <c r="FI5" s="11" t="str">
        <f t="shared" si="69"/>
        <v/>
      </c>
      <c r="FJ5" s="11">
        <f t="shared" si="70"/>
        <v>98.22</v>
      </c>
      <c r="FK5" s="15"/>
      <c r="FL5" s="15"/>
      <c r="FM5" s="15"/>
      <c r="FN5" s="15"/>
      <c r="FO5" s="15"/>
      <c r="FP5" s="15"/>
      <c r="FQ5" s="15"/>
      <c r="FR5" s="15"/>
      <c r="FS5" s="15"/>
      <c r="FT5" s="15"/>
      <c r="FU5" s="15"/>
      <c r="FV5" s="15"/>
      <c r="FW5" s="15"/>
      <c r="FX5" s="15"/>
      <c r="FY5" s="15"/>
      <c r="FZ5" s="15"/>
      <c r="GA5" s="15"/>
      <c r="GB5" s="15"/>
      <c r="GC5" s="15"/>
      <c r="GD5" s="15"/>
      <c r="GE5" s="36" t="str">
        <f t="shared" si="71"/>
        <v/>
      </c>
      <c r="GF5" s="36" t="str">
        <f t="shared" si="72"/>
        <v/>
      </c>
      <c r="GG5" s="36" t="str">
        <f t="shared" si="73"/>
        <v/>
      </c>
      <c r="GH5" s="36" t="str">
        <f t="shared" si="74"/>
        <v/>
      </c>
      <c r="GI5" s="36" t="str">
        <f t="shared" si="75"/>
        <v/>
      </c>
      <c r="GJ5" s="36" t="str">
        <f t="shared" si="76"/>
        <v/>
      </c>
      <c r="GK5" s="36" t="str">
        <f t="shared" si="77"/>
        <v/>
      </c>
      <c r="GL5" s="36" t="str">
        <f t="shared" si="78"/>
        <v/>
      </c>
      <c r="GM5" s="36" t="str">
        <f t="shared" si="79"/>
        <v/>
      </c>
      <c r="GN5" s="36" t="str">
        <f t="shared" si="80"/>
        <v/>
      </c>
      <c r="GO5" s="36" t="str">
        <f t="shared" si="81"/>
        <v/>
      </c>
      <c r="GP5" s="36" t="str">
        <f t="shared" si="82"/>
        <v/>
      </c>
      <c r="GQ5" s="36" t="str">
        <f t="shared" si="83"/>
        <v/>
      </c>
      <c r="GR5" s="36" t="str">
        <f t="shared" si="84"/>
        <v/>
      </c>
      <c r="GS5" s="16">
        <v>15.3</v>
      </c>
      <c r="GT5" s="16">
        <v>8.9</v>
      </c>
      <c r="GU5" s="16">
        <v>2.8</v>
      </c>
      <c r="GV5" s="16">
        <v>14.8</v>
      </c>
      <c r="GW5" s="16">
        <v>0</v>
      </c>
      <c r="GX5" s="16">
        <v>12.1</v>
      </c>
      <c r="GY5" s="16">
        <v>9.4</v>
      </c>
      <c r="GZ5" s="16">
        <v>13.8</v>
      </c>
      <c r="HA5" s="16">
        <v>13.68</v>
      </c>
      <c r="HB5" s="16">
        <v>0</v>
      </c>
      <c r="HC5" s="16"/>
      <c r="HD5" s="16"/>
      <c r="HE5" s="16"/>
      <c r="HF5" s="16"/>
      <c r="HG5" s="16"/>
      <c r="HH5" s="16"/>
      <c r="HI5" s="16"/>
      <c r="HJ5" s="16"/>
      <c r="HK5" s="16"/>
      <c r="HL5" s="16"/>
      <c r="HM5" s="11">
        <f t="shared" si="85"/>
        <v>2.8</v>
      </c>
      <c r="HN5" s="11">
        <f t="shared" si="86"/>
        <v>14.8</v>
      </c>
      <c r="HO5" s="11">
        <f t="shared" si="87"/>
        <v>41.800000000000004</v>
      </c>
      <c r="HP5" s="11">
        <f t="shared" si="88"/>
        <v>13.8</v>
      </c>
      <c r="HQ5" s="11">
        <f t="shared" si="89"/>
        <v>13.68</v>
      </c>
      <c r="HR5" s="11">
        <f t="shared" si="90"/>
        <v>48.98</v>
      </c>
      <c r="HS5" s="11">
        <f t="shared" si="91"/>
        <v>48.98</v>
      </c>
      <c r="HT5" s="11" t="str">
        <f t="shared" si="92"/>
        <v/>
      </c>
      <c r="HU5" s="11" t="str">
        <f t="shared" si="93"/>
        <v/>
      </c>
      <c r="HV5" s="11" t="str">
        <f t="shared" si="94"/>
        <v/>
      </c>
      <c r="HW5" s="11" t="str">
        <f t="shared" si="95"/>
        <v/>
      </c>
      <c r="HX5" s="11" t="str">
        <f t="shared" si="96"/>
        <v/>
      </c>
      <c r="HY5" s="11" t="str">
        <f t="shared" si="97"/>
        <v/>
      </c>
      <c r="HZ5" s="11">
        <f t="shared" si="98"/>
        <v>48.98</v>
      </c>
      <c r="IA5" s="15"/>
      <c r="IB5" s="15"/>
      <c r="IC5" s="15"/>
      <c r="ID5" s="15"/>
      <c r="IE5" s="15"/>
      <c r="IF5" s="15"/>
      <c r="IG5" s="15"/>
      <c r="IH5" s="15"/>
      <c r="II5" s="15"/>
      <c r="IJ5" s="15"/>
      <c r="IK5" s="15"/>
      <c r="IL5" s="15"/>
      <c r="IM5" s="15"/>
      <c r="IN5" s="15"/>
      <c r="IO5" s="15"/>
      <c r="IP5" s="15"/>
      <c r="IQ5" s="15"/>
      <c r="IR5" s="15"/>
      <c r="IS5" s="15"/>
      <c r="IT5" s="15"/>
      <c r="IU5" s="36" t="str">
        <f t="shared" si="99"/>
        <v/>
      </c>
      <c r="IV5" s="36" t="str">
        <f t="shared" si="100"/>
        <v/>
      </c>
      <c r="IW5" s="36" t="str">
        <f t="shared" si="101"/>
        <v/>
      </c>
      <c r="IX5" s="36" t="str">
        <f t="shared" si="102"/>
        <v/>
      </c>
      <c r="IY5" s="36" t="str">
        <f t="shared" si="103"/>
        <v/>
      </c>
      <c r="IZ5" s="36" t="str">
        <f t="shared" si="104"/>
        <v/>
      </c>
      <c r="JA5" s="36" t="str">
        <f t="shared" si="105"/>
        <v/>
      </c>
      <c r="JB5" s="36" t="str">
        <f t="shared" si="106"/>
        <v/>
      </c>
      <c r="JC5" s="36" t="str">
        <f t="shared" si="107"/>
        <v/>
      </c>
      <c r="JD5" s="36" t="str">
        <f t="shared" si="108"/>
        <v/>
      </c>
      <c r="JE5" s="36" t="str">
        <f t="shared" si="109"/>
        <v/>
      </c>
      <c r="JF5" s="36" t="str">
        <f t="shared" si="110"/>
        <v/>
      </c>
      <c r="JG5" s="36" t="str">
        <f t="shared" si="111"/>
        <v/>
      </c>
      <c r="JH5" s="36" t="str">
        <f t="shared" si="112"/>
        <v/>
      </c>
      <c r="JI5" s="16"/>
      <c r="JJ5" s="16"/>
      <c r="JK5" s="16"/>
      <c r="JL5" s="16"/>
      <c r="JM5" s="16"/>
      <c r="JN5" s="16"/>
      <c r="JO5" s="16"/>
      <c r="JP5" s="16"/>
      <c r="JQ5" s="16"/>
      <c r="JR5" s="16"/>
      <c r="JS5" s="16"/>
      <c r="JT5" s="16"/>
      <c r="JU5" s="16"/>
      <c r="JV5" s="16"/>
      <c r="JW5" s="16"/>
      <c r="JX5" s="16"/>
      <c r="JY5" s="16"/>
      <c r="JZ5" s="16"/>
      <c r="KA5" s="16"/>
      <c r="KB5" s="16"/>
      <c r="KC5" s="11" t="str">
        <f t="shared" si="113"/>
        <v/>
      </c>
      <c r="KD5" s="11" t="str">
        <f t="shared" si="114"/>
        <v/>
      </c>
      <c r="KE5" s="11" t="str">
        <f t="shared" si="115"/>
        <v/>
      </c>
      <c r="KF5" s="11" t="str">
        <f t="shared" si="116"/>
        <v/>
      </c>
      <c r="KG5" s="11" t="str">
        <f t="shared" si="117"/>
        <v/>
      </c>
      <c r="KH5" s="11" t="str">
        <f t="shared" si="118"/>
        <v/>
      </c>
      <c r="KI5" s="11" t="str">
        <f t="shared" si="119"/>
        <v/>
      </c>
      <c r="KJ5" s="11" t="str">
        <f t="shared" si="120"/>
        <v/>
      </c>
      <c r="KK5" s="11" t="str">
        <f t="shared" si="121"/>
        <v/>
      </c>
      <c r="KL5" s="11" t="str">
        <f t="shared" si="122"/>
        <v/>
      </c>
      <c r="KM5" s="11" t="str">
        <f t="shared" si="123"/>
        <v/>
      </c>
      <c r="KN5" s="11" t="str">
        <f t="shared" si="124"/>
        <v/>
      </c>
      <c r="KO5" s="11" t="str">
        <f t="shared" si="125"/>
        <v/>
      </c>
      <c r="KP5" s="11" t="str">
        <f t="shared" si="126"/>
        <v/>
      </c>
      <c r="KQ5" s="15"/>
      <c r="KR5" s="15"/>
      <c r="KS5" s="15"/>
      <c r="KT5" s="15"/>
      <c r="KU5" s="15"/>
      <c r="KV5" s="15"/>
      <c r="KW5" s="15"/>
      <c r="KX5" s="15"/>
      <c r="KY5" s="15"/>
      <c r="KZ5" s="15"/>
      <c r="LA5" s="15"/>
      <c r="LB5" s="15"/>
      <c r="LC5" s="15"/>
      <c r="LD5" s="15"/>
      <c r="LE5" s="15"/>
      <c r="LF5" s="15"/>
      <c r="LG5" s="15"/>
      <c r="LH5" s="15"/>
      <c r="LI5" s="15"/>
      <c r="LJ5" s="15"/>
      <c r="LK5" s="36" t="str">
        <f t="shared" si="127"/>
        <v/>
      </c>
      <c r="LL5" s="36" t="str">
        <f t="shared" si="128"/>
        <v/>
      </c>
      <c r="LM5" s="36" t="str">
        <f t="shared" si="129"/>
        <v/>
      </c>
      <c r="LN5" s="36" t="str">
        <f t="shared" si="130"/>
        <v/>
      </c>
      <c r="LO5" s="36" t="str">
        <f t="shared" si="131"/>
        <v/>
      </c>
      <c r="LP5" s="36" t="str">
        <f t="shared" si="132"/>
        <v/>
      </c>
      <c r="LQ5" s="36" t="str">
        <f t="shared" si="133"/>
        <v/>
      </c>
      <c r="LR5" s="36" t="str">
        <f t="shared" si="134"/>
        <v/>
      </c>
      <c r="LS5" s="36" t="str">
        <f t="shared" si="135"/>
        <v/>
      </c>
      <c r="LT5" s="36" t="str">
        <f t="shared" si="136"/>
        <v/>
      </c>
      <c r="LU5" s="36" t="str">
        <f t="shared" si="137"/>
        <v/>
      </c>
      <c r="LV5" s="36" t="str">
        <f t="shared" si="138"/>
        <v/>
      </c>
      <c r="LW5" s="36" t="str">
        <f t="shared" si="139"/>
        <v/>
      </c>
      <c r="LX5" s="36" t="str">
        <f t="shared" si="140"/>
        <v/>
      </c>
      <c r="LY5" s="16"/>
      <c r="LZ5" s="16"/>
      <c r="MA5" s="16"/>
      <c r="MB5" s="16"/>
      <c r="MC5" s="16"/>
      <c r="MD5" s="16"/>
      <c r="ME5" s="16"/>
      <c r="MF5" s="16"/>
      <c r="MG5" s="16"/>
      <c r="MH5" s="16"/>
      <c r="MI5" s="16"/>
      <c r="MJ5" s="16"/>
      <c r="MK5" s="16"/>
      <c r="ML5" s="16"/>
      <c r="MM5" s="16"/>
      <c r="MN5" s="16"/>
      <c r="MO5" s="16"/>
      <c r="MP5" s="16"/>
      <c r="MQ5" s="16"/>
      <c r="MR5" s="16"/>
      <c r="MS5" s="11" t="str">
        <f t="shared" si="141"/>
        <v/>
      </c>
      <c r="MT5" s="11" t="str">
        <f t="shared" si="142"/>
        <v/>
      </c>
      <c r="MU5" s="11" t="str">
        <f t="shared" si="143"/>
        <v/>
      </c>
      <c r="MV5" s="11" t="str">
        <f t="shared" si="144"/>
        <v/>
      </c>
      <c r="MW5" s="11" t="str">
        <f t="shared" si="145"/>
        <v/>
      </c>
      <c r="MX5" s="11" t="str">
        <f t="shared" si="146"/>
        <v/>
      </c>
      <c r="MY5" s="11" t="str">
        <f t="shared" si="147"/>
        <v/>
      </c>
      <c r="MZ5" s="11" t="str">
        <f t="shared" si="148"/>
        <v/>
      </c>
      <c r="NA5" s="11" t="str">
        <f t="shared" si="149"/>
        <v/>
      </c>
      <c r="NB5" s="11" t="str">
        <f t="shared" si="150"/>
        <v/>
      </c>
      <c r="NC5" s="11" t="str">
        <f t="shared" si="151"/>
        <v/>
      </c>
      <c r="ND5" s="11" t="str">
        <f t="shared" si="152"/>
        <v/>
      </c>
      <c r="NE5" s="11" t="str">
        <f t="shared" si="153"/>
        <v/>
      </c>
      <c r="NF5" s="11" t="str">
        <f t="shared" si="154"/>
        <v/>
      </c>
      <c r="NG5" s="15"/>
      <c r="NH5" s="15"/>
      <c r="NI5" s="15"/>
      <c r="NJ5" s="15"/>
      <c r="NK5" s="15"/>
      <c r="NL5" s="15"/>
      <c r="NM5" s="15"/>
      <c r="NN5" s="15"/>
      <c r="NO5" s="15"/>
      <c r="NP5" s="15"/>
      <c r="NQ5" s="15"/>
      <c r="NR5" s="15"/>
      <c r="NS5" s="15"/>
      <c r="NT5" s="15"/>
      <c r="NU5" s="15"/>
      <c r="NV5" s="15"/>
      <c r="NW5" s="15"/>
      <c r="NX5" s="15"/>
      <c r="NY5" s="15"/>
      <c r="NZ5" s="15"/>
      <c r="OA5" s="36" t="str">
        <f t="shared" si="155"/>
        <v/>
      </c>
      <c r="OB5" s="36" t="str">
        <f t="shared" si="156"/>
        <v/>
      </c>
      <c r="OC5" s="36" t="str">
        <f t="shared" si="157"/>
        <v/>
      </c>
      <c r="OD5" s="36" t="str">
        <f t="shared" si="158"/>
        <v/>
      </c>
      <c r="OE5" s="36" t="str">
        <f t="shared" si="159"/>
        <v/>
      </c>
      <c r="OF5" s="36" t="str">
        <f t="shared" si="160"/>
        <v/>
      </c>
      <c r="OG5" s="36" t="str">
        <f t="shared" si="161"/>
        <v/>
      </c>
      <c r="OH5" s="36" t="str">
        <f t="shared" si="162"/>
        <v/>
      </c>
      <c r="OI5" s="36" t="str">
        <f t="shared" si="163"/>
        <v/>
      </c>
      <c r="OJ5" s="36" t="str">
        <f t="shared" si="164"/>
        <v/>
      </c>
      <c r="OK5" s="36" t="str">
        <f t="shared" si="165"/>
        <v/>
      </c>
      <c r="OL5" s="36" t="str">
        <f t="shared" si="166"/>
        <v/>
      </c>
      <c r="OM5" s="36" t="str">
        <f t="shared" si="167"/>
        <v/>
      </c>
      <c r="ON5" s="36" t="str">
        <f t="shared" si="168"/>
        <v/>
      </c>
      <c r="OO5" s="16"/>
      <c r="OP5" s="16"/>
      <c r="OQ5" s="16"/>
      <c r="OR5" s="16"/>
      <c r="OS5" s="16"/>
      <c r="OT5" s="16"/>
      <c r="OU5" s="16"/>
      <c r="OV5" s="16"/>
      <c r="OW5" s="16"/>
      <c r="OX5" s="16"/>
      <c r="OY5" s="16"/>
      <c r="OZ5" s="16"/>
      <c r="PA5" s="16"/>
      <c r="PB5" s="16"/>
      <c r="PC5" s="16"/>
      <c r="PD5" s="16"/>
      <c r="PE5" s="16"/>
      <c r="PF5" s="16"/>
      <c r="PG5" s="16"/>
      <c r="PH5" s="16"/>
      <c r="PI5" s="11" t="str">
        <f t="shared" si="169"/>
        <v/>
      </c>
      <c r="PJ5" s="11" t="str">
        <f t="shared" si="170"/>
        <v/>
      </c>
      <c r="PK5" s="11" t="str">
        <f t="shared" si="171"/>
        <v/>
      </c>
      <c r="PL5" s="11" t="str">
        <f t="shared" si="172"/>
        <v/>
      </c>
      <c r="PM5" s="11" t="str">
        <f t="shared" si="173"/>
        <v/>
      </c>
      <c r="PN5" s="11" t="str">
        <f t="shared" si="174"/>
        <v/>
      </c>
      <c r="PO5" s="11" t="str">
        <f t="shared" si="175"/>
        <v/>
      </c>
      <c r="PP5" s="11" t="str">
        <f t="shared" si="176"/>
        <v/>
      </c>
      <c r="PQ5" s="11" t="str">
        <f t="shared" si="177"/>
        <v/>
      </c>
      <c r="PR5" s="11" t="str">
        <f t="shared" si="178"/>
        <v/>
      </c>
      <c r="PS5" s="11" t="str">
        <f t="shared" si="179"/>
        <v/>
      </c>
      <c r="PT5" s="11" t="str">
        <f t="shared" si="180"/>
        <v/>
      </c>
      <c r="PU5" s="11" t="str">
        <f t="shared" si="181"/>
        <v/>
      </c>
      <c r="PV5" s="11" t="str">
        <f t="shared" si="182"/>
        <v/>
      </c>
      <c r="PW5" s="15"/>
      <c r="PX5" s="15"/>
      <c r="PY5" s="15"/>
      <c r="PZ5" s="15"/>
      <c r="QA5" s="15"/>
      <c r="QB5" s="15"/>
      <c r="QC5" s="15"/>
      <c r="QD5" s="15"/>
      <c r="QE5" s="15"/>
      <c r="QF5" s="15"/>
      <c r="QG5" s="15"/>
      <c r="QH5" s="15"/>
      <c r="QI5" s="15"/>
      <c r="QJ5" s="15"/>
      <c r="QK5" s="15"/>
      <c r="QL5" s="15"/>
      <c r="QM5" s="15"/>
      <c r="QN5" s="15"/>
      <c r="QO5" s="15"/>
      <c r="QP5" s="15"/>
      <c r="QQ5" s="36" t="str">
        <f t="shared" si="183"/>
        <v/>
      </c>
      <c r="QR5" s="36" t="str">
        <f t="shared" si="184"/>
        <v/>
      </c>
      <c r="QS5" s="36" t="str">
        <f t="shared" si="185"/>
        <v/>
      </c>
      <c r="QT5" s="36" t="str">
        <f t="shared" si="186"/>
        <v/>
      </c>
      <c r="QU5" s="36" t="str">
        <f t="shared" si="187"/>
        <v/>
      </c>
      <c r="QV5" s="36" t="str">
        <f t="shared" si="188"/>
        <v/>
      </c>
      <c r="QW5" s="36" t="str">
        <f t="shared" si="189"/>
        <v/>
      </c>
      <c r="QX5" s="36" t="str">
        <f t="shared" si="190"/>
        <v/>
      </c>
      <c r="QY5" s="36" t="str">
        <f t="shared" si="191"/>
        <v/>
      </c>
      <c r="QZ5" s="36" t="str">
        <f t="shared" si="192"/>
        <v/>
      </c>
      <c r="RA5" s="36" t="str">
        <f t="shared" si="193"/>
        <v/>
      </c>
      <c r="RB5" s="36" t="str">
        <f t="shared" si="194"/>
        <v/>
      </c>
      <c r="RC5" s="36" t="str">
        <f t="shared" si="195"/>
        <v/>
      </c>
      <c r="RD5" s="36" t="str">
        <f t="shared" si="196"/>
        <v/>
      </c>
      <c r="RE5" s="16"/>
      <c r="RF5" s="16"/>
      <c r="RG5" s="16"/>
      <c r="RH5" s="16"/>
      <c r="RI5" s="16"/>
      <c r="RJ5" s="16"/>
      <c r="RK5" s="16"/>
      <c r="RL5" s="16"/>
      <c r="RM5" s="16"/>
      <c r="RN5" s="16"/>
      <c r="RO5" s="16"/>
      <c r="RP5" s="16"/>
      <c r="RQ5" s="16"/>
      <c r="RR5" s="16"/>
      <c r="RS5" s="16"/>
      <c r="RT5" s="16"/>
      <c r="RU5" s="16"/>
      <c r="RV5" s="16"/>
      <c r="RW5" s="16"/>
      <c r="RX5" s="16"/>
      <c r="RY5" s="11" t="str">
        <f t="shared" si="197"/>
        <v/>
      </c>
      <c r="RZ5" s="11" t="str">
        <f t="shared" si="198"/>
        <v/>
      </c>
      <c r="SA5" s="11" t="str">
        <f t="shared" si="199"/>
        <v/>
      </c>
      <c r="SB5" s="11" t="str">
        <f t="shared" si="200"/>
        <v/>
      </c>
      <c r="SC5" s="11" t="str">
        <f t="shared" si="201"/>
        <v/>
      </c>
      <c r="SD5" s="11" t="str">
        <f t="shared" si="202"/>
        <v/>
      </c>
      <c r="SE5" s="11" t="str">
        <f t="shared" si="203"/>
        <v/>
      </c>
      <c r="SF5" s="11" t="str">
        <f t="shared" si="204"/>
        <v/>
      </c>
      <c r="SG5" s="11" t="str">
        <f t="shared" si="205"/>
        <v/>
      </c>
      <c r="SH5" s="11" t="str">
        <f t="shared" si="206"/>
        <v/>
      </c>
      <c r="SI5" s="11" t="str">
        <f t="shared" si="207"/>
        <v/>
      </c>
      <c r="SJ5" s="11" t="str">
        <f t="shared" si="208"/>
        <v/>
      </c>
      <c r="SK5" s="11" t="str">
        <f t="shared" si="209"/>
        <v/>
      </c>
      <c r="SL5" s="11" t="str">
        <f t="shared" si="210"/>
        <v/>
      </c>
      <c r="SM5" s="15"/>
      <c r="SN5" s="15"/>
      <c r="SO5" s="15"/>
      <c r="SP5" s="15"/>
      <c r="SQ5" s="15"/>
      <c r="SR5" s="15"/>
      <c r="SS5" s="15"/>
      <c r="ST5" s="15"/>
      <c r="SU5" s="15"/>
      <c r="SV5" s="15"/>
      <c r="SW5" s="15"/>
      <c r="SX5" s="15"/>
      <c r="SY5" s="15"/>
      <c r="SZ5" s="15"/>
      <c r="TA5" s="15"/>
      <c r="TB5" s="15"/>
      <c r="TC5" s="15"/>
      <c r="TD5" s="15"/>
      <c r="TE5" s="15"/>
      <c r="TF5" s="15"/>
      <c r="TG5" s="36" t="str">
        <f t="shared" si="211"/>
        <v/>
      </c>
      <c r="TH5" s="36" t="str">
        <f t="shared" si="212"/>
        <v/>
      </c>
      <c r="TI5" s="36" t="str">
        <f t="shared" si="213"/>
        <v/>
      </c>
      <c r="TJ5" s="36" t="str">
        <f t="shared" si="214"/>
        <v/>
      </c>
      <c r="TK5" s="36" t="str">
        <f t="shared" si="215"/>
        <v/>
      </c>
      <c r="TL5" s="36" t="str">
        <f t="shared" si="216"/>
        <v/>
      </c>
      <c r="TM5" s="36" t="str">
        <f t="shared" si="217"/>
        <v/>
      </c>
      <c r="TN5" s="36" t="str">
        <f t="shared" si="218"/>
        <v/>
      </c>
      <c r="TO5" s="36" t="str">
        <f t="shared" si="219"/>
        <v/>
      </c>
      <c r="TP5" s="36" t="str">
        <f t="shared" si="220"/>
        <v/>
      </c>
      <c r="TQ5" s="36" t="str">
        <f t="shared" si="221"/>
        <v/>
      </c>
      <c r="TR5" s="36" t="str">
        <f t="shared" si="222"/>
        <v/>
      </c>
      <c r="TS5" s="36" t="str">
        <f t="shared" si="223"/>
        <v/>
      </c>
      <c r="TT5" s="36" t="str">
        <f t="shared" si="224"/>
        <v/>
      </c>
      <c r="TU5" s="16"/>
      <c r="TV5" s="16"/>
      <c r="TW5" s="16"/>
      <c r="TX5" s="16"/>
      <c r="TY5" s="16"/>
      <c r="TZ5" s="16"/>
      <c r="UA5" s="16"/>
      <c r="UB5" s="16"/>
      <c r="UC5" s="16"/>
      <c r="UD5" s="16"/>
      <c r="UE5" s="16"/>
      <c r="UF5" s="16"/>
      <c r="UG5" s="16"/>
      <c r="UH5" s="16"/>
      <c r="UI5" s="16"/>
      <c r="UJ5" s="16"/>
      <c r="UK5" s="16"/>
      <c r="UL5" s="16"/>
      <c r="UM5" s="16"/>
      <c r="UN5" s="16"/>
      <c r="UO5" s="11" t="str">
        <f t="shared" si="225"/>
        <v/>
      </c>
      <c r="UP5" s="11" t="str">
        <f t="shared" si="226"/>
        <v/>
      </c>
      <c r="UQ5" s="11" t="str">
        <f t="shared" si="227"/>
        <v/>
      </c>
      <c r="UR5" s="11" t="str">
        <f t="shared" si="228"/>
        <v/>
      </c>
      <c r="US5" s="11" t="str">
        <f t="shared" si="229"/>
        <v/>
      </c>
      <c r="UT5" s="11" t="str">
        <f t="shared" si="230"/>
        <v/>
      </c>
      <c r="UU5" s="11" t="str">
        <f t="shared" si="231"/>
        <v/>
      </c>
      <c r="UV5" s="11" t="str">
        <f t="shared" si="232"/>
        <v/>
      </c>
      <c r="UW5" s="11" t="str">
        <f t="shared" si="233"/>
        <v/>
      </c>
      <c r="UX5" s="11" t="str">
        <f t="shared" si="234"/>
        <v/>
      </c>
      <c r="UY5" s="11" t="str">
        <f t="shared" si="235"/>
        <v/>
      </c>
      <c r="UZ5" s="11" t="str">
        <f t="shared" si="236"/>
        <v/>
      </c>
      <c r="VA5" s="11" t="str">
        <f t="shared" si="237"/>
        <v/>
      </c>
      <c r="VB5" s="11" t="str">
        <f t="shared" si="238"/>
        <v/>
      </c>
      <c r="VC5" s="15"/>
      <c r="VD5" s="15"/>
      <c r="VE5" s="15"/>
      <c r="VF5" s="15"/>
      <c r="VG5" s="15"/>
      <c r="VH5" s="15"/>
      <c r="VI5" s="15"/>
      <c r="VJ5" s="15"/>
      <c r="VK5" s="15"/>
      <c r="VL5" s="15"/>
      <c r="VM5" s="15"/>
      <c r="VN5" s="15"/>
      <c r="VO5" s="15"/>
      <c r="VP5" s="15"/>
      <c r="VQ5" s="15"/>
      <c r="VR5" s="15"/>
      <c r="VS5" s="15"/>
      <c r="VT5" s="15"/>
      <c r="VU5" s="15"/>
      <c r="VV5" s="15"/>
      <c r="VW5" s="36" t="str">
        <f t="shared" si="239"/>
        <v/>
      </c>
      <c r="VX5" s="36" t="str">
        <f t="shared" si="240"/>
        <v/>
      </c>
      <c r="VY5" s="36" t="str">
        <f t="shared" si="241"/>
        <v/>
      </c>
      <c r="VZ5" s="36" t="str">
        <f t="shared" si="242"/>
        <v/>
      </c>
      <c r="WA5" s="36" t="str">
        <f t="shared" si="243"/>
        <v/>
      </c>
      <c r="WB5" s="36" t="str">
        <f t="shared" si="244"/>
        <v/>
      </c>
      <c r="WC5" s="36" t="str">
        <f t="shared" si="245"/>
        <v/>
      </c>
      <c r="WD5" s="36" t="str">
        <f t="shared" si="246"/>
        <v/>
      </c>
      <c r="WE5" s="36" t="str">
        <f t="shared" si="247"/>
        <v/>
      </c>
      <c r="WF5" s="36" t="str">
        <f t="shared" si="248"/>
        <v/>
      </c>
      <c r="WG5" s="36" t="str">
        <f t="shared" si="249"/>
        <v/>
      </c>
      <c r="WH5" s="36" t="str">
        <f t="shared" si="250"/>
        <v/>
      </c>
      <c r="WI5" s="36" t="str">
        <f t="shared" si="251"/>
        <v/>
      </c>
      <c r="WJ5" s="36" t="str">
        <f t="shared" si="252"/>
        <v/>
      </c>
    </row>
    <row r="6" spans="1:608" x14ac:dyDescent="0.2">
      <c r="A6" s="4" cm="1">
        <f t="array" ref="A6">IF(AND(H6&lt;&gt;"",H6&lt;&gt;"No DD",I6&lt;&gt;"P"),SUMPRODUCT((H$4:H$14&lt;&gt;"")*(H$4:H$14&lt;&gt;"No DD")*(I$4:I$14&lt;&gt;"P")*(E$4:E$14&gt;E6))+1,IF(H6="No DD",SUMPRODUCT((H$4:H$14="No DD")*(I$4:I$14&lt;&gt;"P")*(E$4:E$14&gt;E6))+1+SUMPRODUCT((H$4:H$14&lt;&gt;"")*(I$4:I$14&lt;&gt;"P")*(H$4:H$14&lt;&gt;"No DD")),""))</f>
        <v>2</v>
      </c>
      <c r="B6" s="5" t="s">
        <v>213</v>
      </c>
      <c r="C6" s="4" t="s">
        <v>7</v>
      </c>
      <c r="D6" s="4">
        <v>2009</v>
      </c>
      <c r="E6" s="9">
        <f t="shared" si="0"/>
        <v>101.40001014000511</v>
      </c>
      <c r="F6" s="3" t="str">
        <f t="shared" si="1"/>
        <v>P</v>
      </c>
      <c r="G6" s="3" t="str">
        <f t="shared" si="2"/>
        <v>P</v>
      </c>
      <c r="H6" s="32" t="str">
        <f t="shared" si="3"/>
        <v>National Team</v>
      </c>
      <c r="I6" s="3" t="str">
        <f>IF(COUNTIFS('Senior-W'!B:B,B6,'Senior-W'!A:A,"&lt;9",'Senior-W'!H:H,"&lt;&gt;"&amp;"No DD"),"P","")</f>
        <v/>
      </c>
      <c r="J6" s="8">
        <f t="shared" si="4"/>
        <v>50.95</v>
      </c>
      <c r="K6" s="8" t="str">
        <f t="shared" si="5"/>
        <v>2025 Nationals</v>
      </c>
      <c r="L6" s="8">
        <f>IFERROR(LARGE((AI6,AL6,AP6,BJ6,BM6,BQ6,CK6,CN6,CR6),2),0)</f>
        <v>50.45</v>
      </c>
      <c r="M6" s="8" t="str">
        <f t="shared" si="6"/>
        <v>2025 Elite Canada</v>
      </c>
      <c r="N6" s="8">
        <f t="shared" si="7"/>
        <v>0</v>
      </c>
      <c r="O6" s="11" t="str">
        <f>IF(N6=0,"",IF(N6=CT6,"("&amp;CT$2&amp;")",IF(N6=#REF!,"("&amp;#REF!&amp;")")))</f>
        <v/>
      </c>
      <c r="P6" s="8" t="str">
        <f t="shared" si="8"/>
        <v/>
      </c>
      <c r="Q6" s="18">
        <v>16.399999999999999</v>
      </c>
      <c r="R6" s="18">
        <v>9.6</v>
      </c>
      <c r="S6" s="18">
        <v>0</v>
      </c>
      <c r="T6" s="18">
        <v>14.52</v>
      </c>
      <c r="U6" s="18">
        <v>0</v>
      </c>
      <c r="V6" s="18">
        <v>15.7</v>
      </c>
      <c r="W6" s="18">
        <v>9.4</v>
      </c>
      <c r="X6" s="18">
        <v>11.3</v>
      </c>
      <c r="Y6" s="18">
        <v>14.05</v>
      </c>
      <c r="Z6" s="18">
        <v>0</v>
      </c>
      <c r="AA6" s="18">
        <v>14.1</v>
      </c>
      <c r="AB6" s="18">
        <v>9</v>
      </c>
      <c r="AC6" s="18">
        <v>11.1</v>
      </c>
      <c r="AD6" s="18">
        <v>14.08</v>
      </c>
      <c r="AE6" s="18">
        <v>0</v>
      </c>
      <c r="AF6" s="23"/>
      <c r="AG6" s="34" t="str">
        <f t="shared" si="9"/>
        <v/>
      </c>
      <c r="AH6" s="34">
        <f t="shared" si="10"/>
        <v>14.52</v>
      </c>
      <c r="AI6" s="36">
        <f t="shared" si="11"/>
        <v>40.519999999999996</v>
      </c>
      <c r="AJ6" s="36">
        <f t="shared" si="12"/>
        <v>11.3</v>
      </c>
      <c r="AK6" s="36">
        <f t="shared" si="13"/>
        <v>14.05</v>
      </c>
      <c r="AL6" s="36">
        <f t="shared" si="14"/>
        <v>50.45</v>
      </c>
      <c r="AM6" s="36">
        <f t="shared" si="15"/>
        <v>50.45</v>
      </c>
      <c r="AN6" s="36">
        <f t="shared" si="16"/>
        <v>11.1</v>
      </c>
      <c r="AO6" s="36">
        <f t="shared" si="17"/>
        <v>14.08</v>
      </c>
      <c r="AP6" s="36">
        <f t="shared" si="18"/>
        <v>48.28</v>
      </c>
      <c r="AQ6" s="36">
        <f t="shared" si="19"/>
        <v>98.73</v>
      </c>
      <c r="AR6" s="22">
        <v>18.3</v>
      </c>
      <c r="AS6" s="22">
        <v>9.6</v>
      </c>
      <c r="AT6" s="22">
        <v>0</v>
      </c>
      <c r="AU6" s="22">
        <v>14.94</v>
      </c>
      <c r="AV6" s="22">
        <v>0</v>
      </c>
      <c r="AW6" s="22">
        <v>7.3</v>
      </c>
      <c r="AX6" s="22">
        <v>5.3</v>
      </c>
      <c r="AY6" s="22">
        <v>7.2</v>
      </c>
      <c r="AZ6" s="22">
        <v>8.5299999999999994</v>
      </c>
      <c r="BA6" s="22">
        <v>0</v>
      </c>
      <c r="BB6" s="22">
        <v>14.4</v>
      </c>
      <c r="BC6" s="22">
        <v>9.1999999999999993</v>
      </c>
      <c r="BD6" s="22">
        <v>13.1</v>
      </c>
      <c r="BE6" s="22">
        <v>14.25</v>
      </c>
      <c r="BF6" s="22">
        <v>0</v>
      </c>
      <c r="BG6" s="24"/>
      <c r="BH6" s="35" t="str">
        <f t="shared" si="20"/>
        <v/>
      </c>
      <c r="BI6" s="35">
        <f t="shared" si="21"/>
        <v>14.94</v>
      </c>
      <c r="BJ6" s="11">
        <f t="shared" si="22"/>
        <v>42.839999999999996</v>
      </c>
      <c r="BK6" s="11">
        <f t="shared" si="23"/>
        <v>7.2</v>
      </c>
      <c r="BL6" s="11">
        <f t="shared" si="24"/>
        <v>8.5299999999999994</v>
      </c>
      <c r="BM6" s="11">
        <f t="shared" si="25"/>
        <v>28.33</v>
      </c>
      <c r="BN6" s="11">
        <f t="shared" si="26"/>
        <v>42.839999999999996</v>
      </c>
      <c r="BO6" s="11">
        <f t="shared" si="27"/>
        <v>13.1</v>
      </c>
      <c r="BP6" s="11">
        <f t="shared" si="28"/>
        <v>14.25</v>
      </c>
      <c r="BQ6" s="11">
        <f t="shared" si="29"/>
        <v>50.95</v>
      </c>
      <c r="BR6" s="11">
        <f t="shared" si="30"/>
        <v>93.789999999999992</v>
      </c>
      <c r="BS6" s="18">
        <v>16.7</v>
      </c>
      <c r="BT6" s="18">
        <v>9.6999999999999993</v>
      </c>
      <c r="BU6" s="18">
        <v>0</v>
      </c>
      <c r="BV6" s="18">
        <v>15.34</v>
      </c>
      <c r="BW6" s="18">
        <v>0</v>
      </c>
      <c r="BX6" s="18">
        <v>1.4</v>
      </c>
      <c r="BY6" s="18">
        <v>0.8</v>
      </c>
      <c r="BZ6" s="18">
        <v>2</v>
      </c>
      <c r="CA6" s="18">
        <v>1.59</v>
      </c>
      <c r="CB6" s="18">
        <v>0.2</v>
      </c>
      <c r="CC6" s="18">
        <v>7</v>
      </c>
      <c r="CD6" s="18">
        <v>4.5999999999999996</v>
      </c>
      <c r="CE6" s="18">
        <v>6.9</v>
      </c>
      <c r="CF6" s="18">
        <v>7.31</v>
      </c>
      <c r="CG6" s="18">
        <v>0</v>
      </c>
      <c r="CH6" s="23"/>
      <c r="CI6" s="34" t="str">
        <f t="shared" si="31"/>
        <v/>
      </c>
      <c r="CJ6" s="34">
        <f t="shared" si="32"/>
        <v>15.34</v>
      </c>
      <c r="CK6" s="36">
        <f t="shared" si="33"/>
        <v>41.739999999999995</v>
      </c>
      <c r="CL6" s="36">
        <f t="shared" si="34"/>
        <v>2</v>
      </c>
      <c r="CM6" s="36">
        <f t="shared" si="35"/>
        <v>1.59</v>
      </c>
      <c r="CN6" s="36">
        <f t="shared" si="36"/>
        <v>5.59</v>
      </c>
      <c r="CO6" s="36">
        <f t="shared" si="37"/>
        <v>41.739999999999995</v>
      </c>
      <c r="CP6" s="36">
        <f t="shared" si="38"/>
        <v>6.9</v>
      </c>
      <c r="CQ6" s="36">
        <f t="shared" si="39"/>
        <v>7.31</v>
      </c>
      <c r="CR6" s="36">
        <f t="shared" si="40"/>
        <v>25.81</v>
      </c>
      <c r="CS6" s="36">
        <f t="shared" si="41"/>
        <v>67.55</v>
      </c>
      <c r="CT6" s="47" t="str">
        <f t="shared" si="42"/>
        <v/>
      </c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  <c r="DJ6" s="15"/>
      <c r="DK6" s="15"/>
      <c r="DL6" s="15"/>
      <c r="DM6" s="15"/>
      <c r="DN6" s="15"/>
      <c r="DO6" s="36" t="str">
        <f t="shared" si="43"/>
        <v/>
      </c>
      <c r="DP6" s="36" t="str">
        <f t="shared" si="44"/>
        <v/>
      </c>
      <c r="DQ6" s="36" t="str">
        <f t="shared" si="45"/>
        <v/>
      </c>
      <c r="DR6" s="36" t="str">
        <f t="shared" si="46"/>
        <v/>
      </c>
      <c r="DS6" s="36" t="str">
        <f t="shared" si="47"/>
        <v/>
      </c>
      <c r="DT6" s="36" t="str">
        <f t="shared" si="48"/>
        <v/>
      </c>
      <c r="DU6" s="36" t="str">
        <f t="shared" si="49"/>
        <v/>
      </c>
      <c r="DV6" s="36" t="str">
        <f t="shared" si="50"/>
        <v/>
      </c>
      <c r="DW6" s="36" t="str">
        <f t="shared" si="51"/>
        <v/>
      </c>
      <c r="DX6" s="36" t="str">
        <f t="shared" si="52"/>
        <v/>
      </c>
      <c r="DY6" s="36" t="str">
        <f t="shared" si="53"/>
        <v/>
      </c>
      <c r="DZ6" s="36" t="str">
        <f t="shared" si="54"/>
        <v/>
      </c>
      <c r="EA6" s="36" t="str">
        <f t="shared" si="55"/>
        <v/>
      </c>
      <c r="EB6" s="36" t="str">
        <f t="shared" si="56"/>
        <v/>
      </c>
      <c r="EC6" s="16">
        <v>17.3</v>
      </c>
      <c r="ED6" s="16">
        <v>0</v>
      </c>
      <c r="EE6" s="16">
        <v>9.6</v>
      </c>
      <c r="EF6" s="16">
        <v>15.05</v>
      </c>
      <c r="EG6" s="16">
        <v>0</v>
      </c>
      <c r="EH6" s="16">
        <v>8.1999999999999993</v>
      </c>
      <c r="EI6" s="16">
        <v>7.8</v>
      </c>
      <c r="EJ6" s="16">
        <v>5.5</v>
      </c>
      <c r="EK6" s="16">
        <v>8.83</v>
      </c>
      <c r="EL6" s="16">
        <v>0.2</v>
      </c>
      <c r="EM6" s="16"/>
      <c r="EN6" s="16"/>
      <c r="EO6" s="16"/>
      <c r="EP6" s="16"/>
      <c r="EQ6" s="16"/>
      <c r="ER6" s="16"/>
      <c r="ES6" s="16"/>
      <c r="ET6" s="16"/>
      <c r="EU6" s="16"/>
      <c r="EV6" s="16"/>
      <c r="EW6" s="11">
        <f t="shared" si="57"/>
        <v>9.6</v>
      </c>
      <c r="EX6" s="11">
        <f t="shared" si="58"/>
        <v>15.05</v>
      </c>
      <c r="EY6" s="11">
        <f t="shared" si="59"/>
        <v>41.95</v>
      </c>
      <c r="EZ6" s="11">
        <f t="shared" si="60"/>
        <v>5.5</v>
      </c>
      <c r="FA6" s="11">
        <f t="shared" si="61"/>
        <v>8.83</v>
      </c>
      <c r="FB6" s="11">
        <f t="shared" si="62"/>
        <v>30.13</v>
      </c>
      <c r="FC6" s="11">
        <f t="shared" si="63"/>
        <v>41.95</v>
      </c>
      <c r="FD6" s="11" t="str">
        <f t="shared" si="64"/>
        <v/>
      </c>
      <c r="FE6" s="11" t="str">
        <f t="shared" si="65"/>
        <v/>
      </c>
      <c r="FF6" s="11" t="str">
        <f t="shared" si="66"/>
        <v/>
      </c>
      <c r="FG6" s="11" t="str">
        <f t="shared" si="67"/>
        <v/>
      </c>
      <c r="FH6" s="11" t="str">
        <f t="shared" si="68"/>
        <v/>
      </c>
      <c r="FI6" s="11" t="str">
        <f t="shared" si="69"/>
        <v/>
      </c>
      <c r="FJ6" s="11">
        <f t="shared" si="70"/>
        <v>41.95</v>
      </c>
      <c r="FK6" s="15"/>
      <c r="FL6" s="15"/>
      <c r="FM6" s="15"/>
      <c r="FN6" s="15"/>
      <c r="FO6" s="15"/>
      <c r="FP6" s="15"/>
      <c r="FQ6" s="15"/>
      <c r="FR6" s="15"/>
      <c r="FS6" s="15"/>
      <c r="FT6" s="15"/>
      <c r="FU6" s="15"/>
      <c r="FV6" s="15"/>
      <c r="FW6" s="15"/>
      <c r="FX6" s="15"/>
      <c r="FY6" s="15"/>
      <c r="FZ6" s="15"/>
      <c r="GA6" s="15"/>
      <c r="GB6" s="15"/>
      <c r="GC6" s="15"/>
      <c r="GD6" s="15"/>
      <c r="GE6" s="36" t="str">
        <f t="shared" si="71"/>
        <v/>
      </c>
      <c r="GF6" s="36" t="str">
        <f t="shared" si="72"/>
        <v/>
      </c>
      <c r="GG6" s="36" t="str">
        <f t="shared" si="73"/>
        <v/>
      </c>
      <c r="GH6" s="36" t="str">
        <f t="shared" si="74"/>
        <v/>
      </c>
      <c r="GI6" s="36" t="str">
        <f t="shared" si="75"/>
        <v/>
      </c>
      <c r="GJ6" s="36" t="str">
        <f t="shared" si="76"/>
        <v/>
      </c>
      <c r="GK6" s="36" t="str">
        <f t="shared" si="77"/>
        <v/>
      </c>
      <c r="GL6" s="36" t="str">
        <f t="shared" si="78"/>
        <v/>
      </c>
      <c r="GM6" s="36" t="str">
        <f t="shared" si="79"/>
        <v/>
      </c>
      <c r="GN6" s="36" t="str">
        <f t="shared" si="80"/>
        <v/>
      </c>
      <c r="GO6" s="36" t="str">
        <f t="shared" si="81"/>
        <v/>
      </c>
      <c r="GP6" s="36" t="str">
        <f t="shared" si="82"/>
        <v/>
      </c>
      <c r="GQ6" s="36" t="str">
        <f t="shared" si="83"/>
        <v/>
      </c>
      <c r="GR6" s="36" t="str">
        <f t="shared" si="84"/>
        <v/>
      </c>
      <c r="GS6" s="16">
        <v>16.2</v>
      </c>
      <c r="GT6" s="16">
        <v>9.5</v>
      </c>
      <c r="GU6" s="16">
        <v>0</v>
      </c>
      <c r="GV6" s="16">
        <v>15.35</v>
      </c>
      <c r="GW6" s="16">
        <v>0</v>
      </c>
      <c r="GX6" s="16">
        <v>9.6</v>
      </c>
      <c r="GY6" s="16">
        <v>6.1</v>
      </c>
      <c r="GZ6" s="16">
        <v>5.8</v>
      </c>
      <c r="HA6" s="16">
        <v>10.46</v>
      </c>
      <c r="HB6" s="16">
        <v>0</v>
      </c>
      <c r="HC6" s="16"/>
      <c r="HD6" s="16"/>
      <c r="HE6" s="16"/>
      <c r="HF6" s="16"/>
      <c r="HG6" s="16"/>
      <c r="HH6" s="16"/>
      <c r="HI6" s="16"/>
      <c r="HJ6" s="16"/>
      <c r="HK6" s="16"/>
      <c r="HL6" s="16"/>
      <c r="HM6" s="11" t="str">
        <f t="shared" si="85"/>
        <v/>
      </c>
      <c r="HN6" s="11">
        <f t="shared" si="86"/>
        <v>15.35</v>
      </c>
      <c r="HO6" s="11">
        <f t="shared" si="87"/>
        <v>41.05</v>
      </c>
      <c r="HP6" s="11">
        <f t="shared" si="88"/>
        <v>5.8</v>
      </c>
      <c r="HQ6" s="11">
        <f t="shared" si="89"/>
        <v>10.46</v>
      </c>
      <c r="HR6" s="11">
        <f t="shared" si="90"/>
        <v>31.96</v>
      </c>
      <c r="HS6" s="11">
        <f t="shared" si="91"/>
        <v>41.05</v>
      </c>
      <c r="HT6" s="11" t="str">
        <f t="shared" si="92"/>
        <v/>
      </c>
      <c r="HU6" s="11" t="str">
        <f t="shared" si="93"/>
        <v/>
      </c>
      <c r="HV6" s="11" t="str">
        <f t="shared" si="94"/>
        <v/>
      </c>
      <c r="HW6" s="11" t="str">
        <f t="shared" si="95"/>
        <v/>
      </c>
      <c r="HX6" s="11" t="str">
        <f t="shared" si="96"/>
        <v/>
      </c>
      <c r="HY6" s="11" t="str">
        <f t="shared" si="97"/>
        <v/>
      </c>
      <c r="HZ6" s="11">
        <f t="shared" si="98"/>
        <v>41.05</v>
      </c>
      <c r="IA6" s="15"/>
      <c r="IB6" s="15"/>
      <c r="IC6" s="15"/>
      <c r="ID6" s="15"/>
      <c r="IE6" s="15"/>
      <c r="IF6" s="15"/>
      <c r="IG6" s="15"/>
      <c r="IH6" s="15"/>
      <c r="II6" s="15"/>
      <c r="IJ6" s="15"/>
      <c r="IK6" s="15"/>
      <c r="IL6" s="15"/>
      <c r="IM6" s="15"/>
      <c r="IN6" s="15"/>
      <c r="IO6" s="15"/>
      <c r="IP6" s="15"/>
      <c r="IQ6" s="15"/>
      <c r="IR6" s="15"/>
      <c r="IS6" s="15"/>
      <c r="IT6" s="15"/>
      <c r="IU6" s="36" t="str">
        <f t="shared" si="99"/>
        <v/>
      </c>
      <c r="IV6" s="36" t="str">
        <f t="shared" si="100"/>
        <v/>
      </c>
      <c r="IW6" s="36" t="str">
        <f t="shared" si="101"/>
        <v/>
      </c>
      <c r="IX6" s="36" t="str">
        <f t="shared" si="102"/>
        <v/>
      </c>
      <c r="IY6" s="36" t="str">
        <f t="shared" si="103"/>
        <v/>
      </c>
      <c r="IZ6" s="36" t="str">
        <f t="shared" si="104"/>
        <v/>
      </c>
      <c r="JA6" s="36" t="str">
        <f t="shared" si="105"/>
        <v/>
      </c>
      <c r="JB6" s="36" t="str">
        <f t="shared" si="106"/>
        <v/>
      </c>
      <c r="JC6" s="36" t="str">
        <f t="shared" si="107"/>
        <v/>
      </c>
      <c r="JD6" s="36" t="str">
        <f t="shared" si="108"/>
        <v/>
      </c>
      <c r="JE6" s="36" t="str">
        <f t="shared" si="109"/>
        <v/>
      </c>
      <c r="JF6" s="36" t="str">
        <f t="shared" si="110"/>
        <v/>
      </c>
      <c r="JG6" s="36" t="str">
        <f t="shared" si="111"/>
        <v/>
      </c>
      <c r="JH6" s="36" t="str">
        <f t="shared" si="112"/>
        <v/>
      </c>
      <c r="JI6" s="16"/>
      <c r="JJ6" s="16"/>
      <c r="JK6" s="16"/>
      <c r="JL6" s="16"/>
      <c r="JM6" s="16"/>
      <c r="JN6" s="16"/>
      <c r="JO6" s="16"/>
      <c r="JP6" s="16"/>
      <c r="JQ6" s="16"/>
      <c r="JR6" s="16"/>
      <c r="JS6" s="16"/>
      <c r="JT6" s="16"/>
      <c r="JU6" s="16"/>
      <c r="JV6" s="16"/>
      <c r="JW6" s="16"/>
      <c r="JX6" s="16"/>
      <c r="JY6" s="16"/>
      <c r="JZ6" s="16"/>
      <c r="KA6" s="16"/>
      <c r="KB6" s="16"/>
      <c r="KC6" s="11" t="str">
        <f t="shared" si="113"/>
        <v/>
      </c>
      <c r="KD6" s="11" t="str">
        <f t="shared" si="114"/>
        <v/>
      </c>
      <c r="KE6" s="11" t="str">
        <f t="shared" si="115"/>
        <v/>
      </c>
      <c r="KF6" s="11" t="str">
        <f t="shared" si="116"/>
        <v/>
      </c>
      <c r="KG6" s="11" t="str">
        <f t="shared" si="117"/>
        <v/>
      </c>
      <c r="KH6" s="11" t="str">
        <f t="shared" si="118"/>
        <v/>
      </c>
      <c r="KI6" s="11" t="str">
        <f t="shared" si="119"/>
        <v/>
      </c>
      <c r="KJ6" s="11" t="str">
        <f t="shared" si="120"/>
        <v/>
      </c>
      <c r="KK6" s="11" t="str">
        <f t="shared" si="121"/>
        <v/>
      </c>
      <c r="KL6" s="11" t="str">
        <f t="shared" si="122"/>
        <v/>
      </c>
      <c r="KM6" s="11" t="str">
        <f t="shared" si="123"/>
        <v/>
      </c>
      <c r="KN6" s="11" t="str">
        <f t="shared" si="124"/>
        <v/>
      </c>
      <c r="KO6" s="11" t="str">
        <f t="shared" si="125"/>
        <v/>
      </c>
      <c r="KP6" s="11" t="str">
        <f t="shared" si="126"/>
        <v/>
      </c>
      <c r="KQ6" s="15"/>
      <c r="KR6" s="15"/>
      <c r="KS6" s="15"/>
      <c r="KT6" s="15"/>
      <c r="KU6" s="15"/>
      <c r="KV6" s="15"/>
      <c r="KW6" s="15"/>
      <c r="KX6" s="15"/>
      <c r="KY6" s="15"/>
      <c r="KZ6" s="15"/>
      <c r="LA6" s="15"/>
      <c r="LB6" s="15"/>
      <c r="LC6" s="15"/>
      <c r="LD6" s="15"/>
      <c r="LE6" s="15"/>
      <c r="LF6" s="15"/>
      <c r="LG6" s="15"/>
      <c r="LH6" s="15"/>
      <c r="LI6" s="15"/>
      <c r="LJ6" s="15"/>
      <c r="LK6" s="36" t="str">
        <f t="shared" si="127"/>
        <v/>
      </c>
      <c r="LL6" s="36" t="str">
        <f t="shared" si="128"/>
        <v/>
      </c>
      <c r="LM6" s="36" t="str">
        <f t="shared" si="129"/>
        <v/>
      </c>
      <c r="LN6" s="36" t="str">
        <f t="shared" si="130"/>
        <v/>
      </c>
      <c r="LO6" s="36" t="str">
        <f t="shared" si="131"/>
        <v/>
      </c>
      <c r="LP6" s="36" t="str">
        <f t="shared" si="132"/>
        <v/>
      </c>
      <c r="LQ6" s="36" t="str">
        <f t="shared" si="133"/>
        <v/>
      </c>
      <c r="LR6" s="36" t="str">
        <f t="shared" si="134"/>
        <v/>
      </c>
      <c r="LS6" s="36" t="str">
        <f t="shared" si="135"/>
        <v/>
      </c>
      <c r="LT6" s="36" t="str">
        <f t="shared" si="136"/>
        <v/>
      </c>
      <c r="LU6" s="36" t="str">
        <f t="shared" si="137"/>
        <v/>
      </c>
      <c r="LV6" s="36" t="str">
        <f t="shared" si="138"/>
        <v/>
      </c>
      <c r="LW6" s="36" t="str">
        <f t="shared" si="139"/>
        <v/>
      </c>
      <c r="LX6" s="36" t="str">
        <f t="shared" si="140"/>
        <v/>
      </c>
      <c r="LY6" s="16"/>
      <c r="LZ6" s="16"/>
      <c r="MA6" s="16"/>
      <c r="MB6" s="16"/>
      <c r="MC6" s="16"/>
      <c r="MD6" s="16"/>
      <c r="ME6" s="16"/>
      <c r="MF6" s="16"/>
      <c r="MG6" s="16"/>
      <c r="MH6" s="16"/>
      <c r="MI6" s="16"/>
      <c r="MJ6" s="16"/>
      <c r="MK6" s="16"/>
      <c r="ML6" s="16"/>
      <c r="MM6" s="16"/>
      <c r="MN6" s="16"/>
      <c r="MO6" s="16"/>
      <c r="MP6" s="16"/>
      <c r="MQ6" s="16"/>
      <c r="MR6" s="16"/>
      <c r="MS6" s="11" t="str">
        <f t="shared" si="141"/>
        <v/>
      </c>
      <c r="MT6" s="11" t="str">
        <f t="shared" si="142"/>
        <v/>
      </c>
      <c r="MU6" s="11" t="str">
        <f t="shared" si="143"/>
        <v/>
      </c>
      <c r="MV6" s="11" t="str">
        <f t="shared" si="144"/>
        <v/>
      </c>
      <c r="MW6" s="11" t="str">
        <f t="shared" si="145"/>
        <v/>
      </c>
      <c r="MX6" s="11" t="str">
        <f t="shared" si="146"/>
        <v/>
      </c>
      <c r="MY6" s="11" t="str">
        <f t="shared" si="147"/>
        <v/>
      </c>
      <c r="MZ6" s="11" t="str">
        <f t="shared" si="148"/>
        <v/>
      </c>
      <c r="NA6" s="11" t="str">
        <f t="shared" si="149"/>
        <v/>
      </c>
      <c r="NB6" s="11" t="str">
        <f t="shared" si="150"/>
        <v/>
      </c>
      <c r="NC6" s="11" t="str">
        <f t="shared" si="151"/>
        <v/>
      </c>
      <c r="ND6" s="11" t="str">
        <f t="shared" si="152"/>
        <v/>
      </c>
      <c r="NE6" s="11" t="str">
        <f t="shared" si="153"/>
        <v/>
      </c>
      <c r="NF6" s="11" t="str">
        <f t="shared" si="154"/>
        <v/>
      </c>
      <c r="NG6" s="15"/>
      <c r="NH6" s="15"/>
      <c r="NI6" s="15"/>
      <c r="NJ6" s="15"/>
      <c r="NK6" s="15"/>
      <c r="NL6" s="15"/>
      <c r="NM6" s="15"/>
      <c r="NN6" s="15"/>
      <c r="NO6" s="15"/>
      <c r="NP6" s="15"/>
      <c r="NQ6" s="15"/>
      <c r="NR6" s="15"/>
      <c r="NS6" s="15"/>
      <c r="NT6" s="15"/>
      <c r="NU6" s="15"/>
      <c r="NV6" s="15"/>
      <c r="NW6" s="15"/>
      <c r="NX6" s="15"/>
      <c r="NY6" s="15"/>
      <c r="NZ6" s="15"/>
      <c r="OA6" s="36" t="str">
        <f t="shared" si="155"/>
        <v/>
      </c>
      <c r="OB6" s="36" t="str">
        <f t="shared" si="156"/>
        <v/>
      </c>
      <c r="OC6" s="36" t="str">
        <f t="shared" si="157"/>
        <v/>
      </c>
      <c r="OD6" s="36" t="str">
        <f t="shared" si="158"/>
        <v/>
      </c>
      <c r="OE6" s="36" t="str">
        <f t="shared" si="159"/>
        <v/>
      </c>
      <c r="OF6" s="36" t="str">
        <f t="shared" si="160"/>
        <v/>
      </c>
      <c r="OG6" s="36" t="str">
        <f t="shared" si="161"/>
        <v/>
      </c>
      <c r="OH6" s="36" t="str">
        <f t="shared" si="162"/>
        <v/>
      </c>
      <c r="OI6" s="36" t="str">
        <f t="shared" si="163"/>
        <v/>
      </c>
      <c r="OJ6" s="36" t="str">
        <f t="shared" si="164"/>
        <v/>
      </c>
      <c r="OK6" s="36" t="str">
        <f t="shared" si="165"/>
        <v/>
      </c>
      <c r="OL6" s="36" t="str">
        <f t="shared" si="166"/>
        <v/>
      </c>
      <c r="OM6" s="36" t="str">
        <f t="shared" si="167"/>
        <v/>
      </c>
      <c r="ON6" s="36" t="str">
        <f t="shared" si="168"/>
        <v/>
      </c>
      <c r="OO6" s="16"/>
      <c r="OP6" s="16"/>
      <c r="OQ6" s="16"/>
      <c r="OR6" s="16"/>
      <c r="OS6" s="16"/>
      <c r="OT6" s="16"/>
      <c r="OU6" s="16"/>
      <c r="OV6" s="16"/>
      <c r="OW6" s="16"/>
      <c r="OX6" s="16"/>
      <c r="OY6" s="16"/>
      <c r="OZ6" s="16"/>
      <c r="PA6" s="16"/>
      <c r="PB6" s="16"/>
      <c r="PC6" s="16"/>
      <c r="PD6" s="16"/>
      <c r="PE6" s="16"/>
      <c r="PF6" s="16"/>
      <c r="PG6" s="16"/>
      <c r="PH6" s="16"/>
      <c r="PI6" s="11" t="str">
        <f t="shared" si="169"/>
        <v/>
      </c>
      <c r="PJ6" s="11" t="str">
        <f t="shared" si="170"/>
        <v/>
      </c>
      <c r="PK6" s="11" t="str">
        <f t="shared" si="171"/>
        <v/>
      </c>
      <c r="PL6" s="11" t="str">
        <f t="shared" si="172"/>
        <v/>
      </c>
      <c r="PM6" s="11" t="str">
        <f t="shared" si="173"/>
        <v/>
      </c>
      <c r="PN6" s="11" t="str">
        <f t="shared" si="174"/>
        <v/>
      </c>
      <c r="PO6" s="11" t="str">
        <f t="shared" si="175"/>
        <v/>
      </c>
      <c r="PP6" s="11" t="str">
        <f t="shared" si="176"/>
        <v/>
      </c>
      <c r="PQ6" s="11" t="str">
        <f t="shared" si="177"/>
        <v/>
      </c>
      <c r="PR6" s="11" t="str">
        <f t="shared" si="178"/>
        <v/>
      </c>
      <c r="PS6" s="11" t="str">
        <f t="shared" si="179"/>
        <v/>
      </c>
      <c r="PT6" s="11" t="str">
        <f t="shared" si="180"/>
        <v/>
      </c>
      <c r="PU6" s="11" t="str">
        <f t="shared" si="181"/>
        <v/>
      </c>
      <c r="PV6" s="11" t="str">
        <f t="shared" si="182"/>
        <v/>
      </c>
      <c r="PW6" s="15"/>
      <c r="PX6" s="15"/>
      <c r="PY6" s="15"/>
      <c r="PZ6" s="15"/>
      <c r="QA6" s="15"/>
      <c r="QB6" s="15"/>
      <c r="QC6" s="15"/>
      <c r="QD6" s="15"/>
      <c r="QE6" s="15"/>
      <c r="QF6" s="15"/>
      <c r="QG6" s="15"/>
      <c r="QH6" s="15"/>
      <c r="QI6" s="15"/>
      <c r="QJ6" s="15"/>
      <c r="QK6" s="15"/>
      <c r="QL6" s="15"/>
      <c r="QM6" s="15"/>
      <c r="QN6" s="15"/>
      <c r="QO6" s="15"/>
      <c r="QP6" s="15"/>
      <c r="QQ6" s="36" t="str">
        <f t="shared" si="183"/>
        <v/>
      </c>
      <c r="QR6" s="36" t="str">
        <f t="shared" si="184"/>
        <v/>
      </c>
      <c r="QS6" s="36" t="str">
        <f t="shared" si="185"/>
        <v/>
      </c>
      <c r="QT6" s="36" t="str">
        <f t="shared" si="186"/>
        <v/>
      </c>
      <c r="QU6" s="36" t="str">
        <f t="shared" si="187"/>
        <v/>
      </c>
      <c r="QV6" s="36" t="str">
        <f t="shared" si="188"/>
        <v/>
      </c>
      <c r="QW6" s="36" t="str">
        <f t="shared" si="189"/>
        <v/>
      </c>
      <c r="QX6" s="36" t="str">
        <f t="shared" si="190"/>
        <v/>
      </c>
      <c r="QY6" s="36" t="str">
        <f t="shared" si="191"/>
        <v/>
      </c>
      <c r="QZ6" s="36" t="str">
        <f t="shared" si="192"/>
        <v/>
      </c>
      <c r="RA6" s="36" t="str">
        <f t="shared" si="193"/>
        <v/>
      </c>
      <c r="RB6" s="36" t="str">
        <f t="shared" si="194"/>
        <v/>
      </c>
      <c r="RC6" s="36" t="str">
        <f t="shared" si="195"/>
        <v/>
      </c>
      <c r="RD6" s="36" t="str">
        <f t="shared" si="196"/>
        <v/>
      </c>
      <c r="RE6" s="16"/>
      <c r="RF6" s="16"/>
      <c r="RG6" s="16"/>
      <c r="RH6" s="16"/>
      <c r="RI6" s="16"/>
      <c r="RJ6" s="16"/>
      <c r="RK6" s="16"/>
      <c r="RL6" s="16"/>
      <c r="RM6" s="16"/>
      <c r="RN6" s="16"/>
      <c r="RO6" s="16"/>
      <c r="RP6" s="16"/>
      <c r="RQ6" s="16"/>
      <c r="RR6" s="16"/>
      <c r="RS6" s="16"/>
      <c r="RT6" s="16"/>
      <c r="RU6" s="16"/>
      <c r="RV6" s="16"/>
      <c r="RW6" s="16"/>
      <c r="RX6" s="16"/>
      <c r="RY6" s="11" t="str">
        <f t="shared" si="197"/>
        <v/>
      </c>
      <c r="RZ6" s="11" t="str">
        <f t="shared" si="198"/>
        <v/>
      </c>
      <c r="SA6" s="11" t="str">
        <f t="shared" si="199"/>
        <v/>
      </c>
      <c r="SB6" s="11" t="str">
        <f t="shared" si="200"/>
        <v/>
      </c>
      <c r="SC6" s="11" t="str">
        <f t="shared" si="201"/>
        <v/>
      </c>
      <c r="SD6" s="11" t="str">
        <f t="shared" si="202"/>
        <v/>
      </c>
      <c r="SE6" s="11" t="str">
        <f t="shared" si="203"/>
        <v/>
      </c>
      <c r="SF6" s="11" t="str">
        <f t="shared" si="204"/>
        <v/>
      </c>
      <c r="SG6" s="11" t="str">
        <f t="shared" si="205"/>
        <v/>
      </c>
      <c r="SH6" s="11" t="str">
        <f t="shared" si="206"/>
        <v/>
      </c>
      <c r="SI6" s="11" t="str">
        <f t="shared" si="207"/>
        <v/>
      </c>
      <c r="SJ6" s="11" t="str">
        <f t="shared" si="208"/>
        <v/>
      </c>
      <c r="SK6" s="11" t="str">
        <f t="shared" si="209"/>
        <v/>
      </c>
      <c r="SL6" s="11" t="str">
        <f t="shared" si="210"/>
        <v/>
      </c>
      <c r="SM6" s="15"/>
      <c r="SN6" s="15"/>
      <c r="SO6" s="15"/>
      <c r="SP6" s="15"/>
      <c r="SQ6" s="15"/>
      <c r="SR6" s="15"/>
      <c r="SS6" s="15"/>
      <c r="ST6" s="15"/>
      <c r="SU6" s="15"/>
      <c r="SV6" s="15"/>
      <c r="SW6" s="15"/>
      <c r="SX6" s="15"/>
      <c r="SY6" s="15"/>
      <c r="SZ6" s="15"/>
      <c r="TA6" s="15"/>
      <c r="TB6" s="15"/>
      <c r="TC6" s="15"/>
      <c r="TD6" s="15"/>
      <c r="TE6" s="15"/>
      <c r="TF6" s="15"/>
      <c r="TG6" s="36" t="str">
        <f t="shared" si="211"/>
        <v/>
      </c>
      <c r="TH6" s="36" t="str">
        <f t="shared" si="212"/>
        <v/>
      </c>
      <c r="TI6" s="36" t="str">
        <f t="shared" si="213"/>
        <v/>
      </c>
      <c r="TJ6" s="36" t="str">
        <f t="shared" si="214"/>
        <v/>
      </c>
      <c r="TK6" s="36" t="str">
        <f t="shared" si="215"/>
        <v/>
      </c>
      <c r="TL6" s="36" t="str">
        <f t="shared" si="216"/>
        <v/>
      </c>
      <c r="TM6" s="36" t="str">
        <f t="shared" si="217"/>
        <v/>
      </c>
      <c r="TN6" s="36" t="str">
        <f t="shared" si="218"/>
        <v/>
      </c>
      <c r="TO6" s="36" t="str">
        <f t="shared" si="219"/>
        <v/>
      </c>
      <c r="TP6" s="36" t="str">
        <f t="shared" si="220"/>
        <v/>
      </c>
      <c r="TQ6" s="36" t="str">
        <f t="shared" si="221"/>
        <v/>
      </c>
      <c r="TR6" s="36" t="str">
        <f t="shared" si="222"/>
        <v/>
      </c>
      <c r="TS6" s="36" t="str">
        <f t="shared" si="223"/>
        <v/>
      </c>
      <c r="TT6" s="36" t="str">
        <f t="shared" si="224"/>
        <v/>
      </c>
      <c r="TU6" s="16"/>
      <c r="TV6" s="16"/>
      <c r="TW6" s="16"/>
      <c r="TX6" s="16"/>
      <c r="TY6" s="16"/>
      <c r="TZ6" s="16"/>
      <c r="UA6" s="16"/>
      <c r="UB6" s="16"/>
      <c r="UC6" s="16"/>
      <c r="UD6" s="16"/>
      <c r="UE6" s="16"/>
      <c r="UF6" s="16"/>
      <c r="UG6" s="16"/>
      <c r="UH6" s="16"/>
      <c r="UI6" s="16"/>
      <c r="UJ6" s="16"/>
      <c r="UK6" s="16"/>
      <c r="UL6" s="16"/>
      <c r="UM6" s="16"/>
      <c r="UN6" s="16"/>
      <c r="UO6" s="11" t="str">
        <f t="shared" si="225"/>
        <v/>
      </c>
      <c r="UP6" s="11" t="str">
        <f t="shared" si="226"/>
        <v/>
      </c>
      <c r="UQ6" s="11" t="str">
        <f t="shared" si="227"/>
        <v/>
      </c>
      <c r="UR6" s="11" t="str">
        <f t="shared" si="228"/>
        <v/>
      </c>
      <c r="US6" s="11" t="str">
        <f t="shared" si="229"/>
        <v/>
      </c>
      <c r="UT6" s="11" t="str">
        <f t="shared" si="230"/>
        <v/>
      </c>
      <c r="UU6" s="11" t="str">
        <f t="shared" si="231"/>
        <v/>
      </c>
      <c r="UV6" s="11" t="str">
        <f t="shared" si="232"/>
        <v/>
      </c>
      <c r="UW6" s="11" t="str">
        <f t="shared" si="233"/>
        <v/>
      </c>
      <c r="UX6" s="11" t="str">
        <f t="shared" si="234"/>
        <v/>
      </c>
      <c r="UY6" s="11" t="str">
        <f t="shared" si="235"/>
        <v/>
      </c>
      <c r="UZ6" s="11" t="str">
        <f t="shared" si="236"/>
        <v/>
      </c>
      <c r="VA6" s="11" t="str">
        <f t="shared" si="237"/>
        <v/>
      </c>
      <c r="VB6" s="11" t="str">
        <f t="shared" si="238"/>
        <v/>
      </c>
      <c r="VC6" s="15"/>
      <c r="VD6" s="15"/>
      <c r="VE6" s="15"/>
      <c r="VF6" s="15"/>
      <c r="VG6" s="15"/>
      <c r="VH6" s="15"/>
      <c r="VI6" s="15"/>
      <c r="VJ6" s="15"/>
      <c r="VK6" s="15"/>
      <c r="VL6" s="15"/>
      <c r="VM6" s="15"/>
      <c r="VN6" s="15"/>
      <c r="VO6" s="15"/>
      <c r="VP6" s="15"/>
      <c r="VQ6" s="15"/>
      <c r="VR6" s="15"/>
      <c r="VS6" s="15"/>
      <c r="VT6" s="15"/>
      <c r="VU6" s="15"/>
      <c r="VV6" s="15"/>
      <c r="VW6" s="36" t="str">
        <f t="shared" si="239"/>
        <v/>
      </c>
      <c r="VX6" s="36" t="str">
        <f t="shared" si="240"/>
        <v/>
      </c>
      <c r="VY6" s="36" t="str">
        <f t="shared" si="241"/>
        <v/>
      </c>
      <c r="VZ6" s="36" t="str">
        <f t="shared" si="242"/>
        <v/>
      </c>
      <c r="WA6" s="36" t="str">
        <f t="shared" si="243"/>
        <v/>
      </c>
      <c r="WB6" s="36" t="str">
        <f t="shared" si="244"/>
        <v/>
      </c>
      <c r="WC6" s="36" t="str">
        <f t="shared" si="245"/>
        <v/>
      </c>
      <c r="WD6" s="36" t="str">
        <f t="shared" si="246"/>
        <v/>
      </c>
      <c r="WE6" s="36" t="str">
        <f t="shared" si="247"/>
        <v/>
      </c>
      <c r="WF6" s="36" t="str">
        <f t="shared" si="248"/>
        <v/>
      </c>
      <c r="WG6" s="36" t="str">
        <f t="shared" si="249"/>
        <v/>
      </c>
      <c r="WH6" s="36" t="str">
        <f t="shared" si="250"/>
        <v/>
      </c>
      <c r="WI6" s="36" t="str">
        <f t="shared" si="251"/>
        <v/>
      </c>
      <c r="WJ6" s="36" t="str">
        <f t="shared" si="252"/>
        <v/>
      </c>
    </row>
    <row r="7" spans="1:608" x14ac:dyDescent="0.2">
      <c r="A7" s="4" cm="1">
        <f t="array" ref="A7">IF(AND(H7&lt;&gt;"",H7&lt;&gt;"No DD",I7&lt;&gt;"P"),SUMPRODUCT((H$4:H$14&lt;&gt;"")*(H$4:H$14&lt;&gt;"No DD")*(I$4:I$14&lt;&gt;"P")*(E$4:E$14&gt;E7))+1,IF(H7="No DD",SUMPRODUCT((H$4:H$14="No DD")*(I$4:I$14&lt;&gt;"P")*(E$4:E$14&gt;E7))+1+SUMPRODUCT((H$4:H$14&lt;&gt;"")*(I$4:I$14&lt;&gt;"P")*(H$4:H$14&lt;&gt;"No DD")),""))</f>
        <v>3</v>
      </c>
      <c r="B7" s="5" t="s">
        <v>212</v>
      </c>
      <c r="C7" s="4" t="s">
        <v>6</v>
      </c>
      <c r="D7" s="4">
        <v>2007</v>
      </c>
      <c r="E7" s="9">
        <f t="shared" si="0"/>
        <v>99.630009711005016</v>
      </c>
      <c r="F7" s="3" t="str">
        <f t="shared" si="1"/>
        <v>P</v>
      </c>
      <c r="G7" s="3" t="str">
        <f t="shared" si="2"/>
        <v>P</v>
      </c>
      <c r="H7" s="32" t="str">
        <f t="shared" si="3"/>
        <v>National Team</v>
      </c>
      <c r="I7" s="3" t="str">
        <f>IF(COUNTIFS('Senior-W'!B:B,B7,'Senior-W'!A:A,"&lt;9",'Senior-W'!H:H,"&lt;&gt;"&amp;"No DD"),"P","")</f>
        <v/>
      </c>
      <c r="J7" s="8">
        <f t="shared" si="4"/>
        <v>50.1</v>
      </c>
      <c r="K7" s="8" t="str">
        <f t="shared" si="5"/>
        <v>2025 Nationals</v>
      </c>
      <c r="L7" s="8">
        <f>IFERROR(LARGE((AI7,AL7,AP7,BJ7,BM7,BQ7,CK7,CN7,CR7),2),0)</f>
        <v>47.01</v>
      </c>
      <c r="M7" s="8" t="str">
        <f t="shared" si="6"/>
        <v>2025 Elite Canada</v>
      </c>
      <c r="N7" s="8">
        <f t="shared" si="7"/>
        <v>2.5200000000000031</v>
      </c>
      <c r="O7" s="11" t="str">
        <f>IF(N7=0,"",IF(N7=CT7,"("&amp;CT$2&amp;")",IF(N7=#REF!,"("&amp;#REF!&amp;")")))</f>
        <v>(Any)</v>
      </c>
      <c r="P7" s="8" t="str">
        <f t="shared" si="8"/>
        <v>2025 WAGC (Nov 16)</v>
      </c>
      <c r="Q7" s="18">
        <v>13.7</v>
      </c>
      <c r="R7" s="18">
        <v>9.3000000000000007</v>
      </c>
      <c r="S7" s="18">
        <v>10.3</v>
      </c>
      <c r="T7" s="18">
        <v>14.21</v>
      </c>
      <c r="U7" s="18">
        <v>0.5</v>
      </c>
      <c r="V7" s="18">
        <v>7.4</v>
      </c>
      <c r="W7" s="18">
        <v>4.8</v>
      </c>
      <c r="X7" s="18">
        <v>5.8</v>
      </c>
      <c r="Y7" s="18">
        <v>7.22</v>
      </c>
      <c r="Z7" s="18">
        <v>0</v>
      </c>
      <c r="AA7" s="18">
        <v>6</v>
      </c>
      <c r="AB7" s="18">
        <v>3.7</v>
      </c>
      <c r="AC7" s="18">
        <v>4.7</v>
      </c>
      <c r="AD7" s="18">
        <v>5.71</v>
      </c>
      <c r="AE7" s="18">
        <v>0</v>
      </c>
      <c r="AF7" s="23"/>
      <c r="AG7" s="34">
        <f t="shared" si="9"/>
        <v>10.3</v>
      </c>
      <c r="AH7" s="34">
        <f t="shared" si="10"/>
        <v>14.21</v>
      </c>
      <c r="AI7" s="36">
        <f t="shared" si="11"/>
        <v>47.01</v>
      </c>
      <c r="AJ7" s="36">
        <f t="shared" si="12"/>
        <v>5.8</v>
      </c>
      <c r="AK7" s="36">
        <f t="shared" si="13"/>
        <v>7.22</v>
      </c>
      <c r="AL7" s="36">
        <f t="shared" si="14"/>
        <v>25.22</v>
      </c>
      <c r="AM7" s="36">
        <f t="shared" si="15"/>
        <v>47.01</v>
      </c>
      <c r="AN7" s="36">
        <f t="shared" si="16"/>
        <v>4.7</v>
      </c>
      <c r="AO7" s="36">
        <f t="shared" si="17"/>
        <v>5.71</v>
      </c>
      <c r="AP7" s="36">
        <f t="shared" si="18"/>
        <v>20.11</v>
      </c>
      <c r="AQ7" s="36">
        <f t="shared" si="19"/>
        <v>67.12</v>
      </c>
      <c r="AR7" s="22">
        <v>7.4</v>
      </c>
      <c r="AS7" s="22">
        <v>4.5999999999999996</v>
      </c>
      <c r="AT7" s="22">
        <v>6</v>
      </c>
      <c r="AU7" s="22">
        <v>7.15</v>
      </c>
      <c r="AV7" s="22">
        <v>0</v>
      </c>
      <c r="AW7" s="22">
        <v>14.6</v>
      </c>
      <c r="AX7" s="22">
        <v>8.9</v>
      </c>
      <c r="AY7" s="22">
        <v>12.7</v>
      </c>
      <c r="AZ7" s="22">
        <v>13.9</v>
      </c>
      <c r="BA7" s="22">
        <v>0</v>
      </c>
      <c r="BB7" s="22">
        <v>4.5999999999999996</v>
      </c>
      <c r="BC7" s="22">
        <v>2.9</v>
      </c>
      <c r="BD7" s="22">
        <v>3.6</v>
      </c>
      <c r="BE7" s="22">
        <v>4.32</v>
      </c>
      <c r="BF7" s="22">
        <v>0</v>
      </c>
      <c r="BG7" s="24"/>
      <c r="BH7" s="35">
        <f t="shared" si="20"/>
        <v>6</v>
      </c>
      <c r="BI7" s="35">
        <f t="shared" si="21"/>
        <v>7.15</v>
      </c>
      <c r="BJ7" s="11">
        <f t="shared" si="22"/>
        <v>25.15</v>
      </c>
      <c r="BK7" s="11">
        <f t="shared" si="23"/>
        <v>12.7</v>
      </c>
      <c r="BL7" s="11">
        <f t="shared" si="24"/>
        <v>13.9</v>
      </c>
      <c r="BM7" s="11">
        <f t="shared" si="25"/>
        <v>50.1</v>
      </c>
      <c r="BN7" s="11">
        <f t="shared" si="26"/>
        <v>50.1</v>
      </c>
      <c r="BO7" s="11">
        <f t="shared" si="27"/>
        <v>3.6</v>
      </c>
      <c r="BP7" s="11">
        <f t="shared" si="28"/>
        <v>4.32</v>
      </c>
      <c r="BQ7" s="11">
        <f t="shared" si="29"/>
        <v>15.42</v>
      </c>
      <c r="BR7" s="11">
        <f t="shared" si="30"/>
        <v>65.52</v>
      </c>
      <c r="BS7" s="18">
        <v>1.6</v>
      </c>
      <c r="BT7" s="18">
        <v>0.8</v>
      </c>
      <c r="BU7" s="18">
        <v>1.5</v>
      </c>
      <c r="BV7" s="18">
        <v>1.45</v>
      </c>
      <c r="BW7" s="18">
        <v>0</v>
      </c>
      <c r="BX7" s="18">
        <v>14.2</v>
      </c>
      <c r="BY7" s="18">
        <v>9.1999999999999993</v>
      </c>
      <c r="BZ7" s="18">
        <v>8.8000000000000007</v>
      </c>
      <c r="CA7" s="18">
        <v>13.93</v>
      </c>
      <c r="CB7" s="18">
        <v>2</v>
      </c>
      <c r="CC7" s="18">
        <v>9.5</v>
      </c>
      <c r="CD7" s="18">
        <v>6.3</v>
      </c>
      <c r="CE7" s="18">
        <v>8.1999999999999993</v>
      </c>
      <c r="CF7" s="18">
        <v>9.86</v>
      </c>
      <c r="CG7" s="18">
        <v>0</v>
      </c>
      <c r="CH7" s="23"/>
      <c r="CI7" s="34">
        <f t="shared" si="31"/>
        <v>1.5</v>
      </c>
      <c r="CJ7" s="34">
        <f t="shared" si="32"/>
        <v>1.45</v>
      </c>
      <c r="CK7" s="36">
        <f t="shared" si="33"/>
        <v>5.3500000000000005</v>
      </c>
      <c r="CL7" s="36">
        <f t="shared" si="34"/>
        <v>8.8000000000000007</v>
      </c>
      <c r="CM7" s="36">
        <f t="shared" si="35"/>
        <v>13.93</v>
      </c>
      <c r="CN7" s="36">
        <f t="shared" si="36"/>
        <v>44.13</v>
      </c>
      <c r="CO7" s="36">
        <f t="shared" si="37"/>
        <v>44.13</v>
      </c>
      <c r="CP7" s="36">
        <f t="shared" si="38"/>
        <v>8.1999999999999993</v>
      </c>
      <c r="CQ7" s="36">
        <f t="shared" si="39"/>
        <v>9.86</v>
      </c>
      <c r="CR7" s="36">
        <f t="shared" si="40"/>
        <v>33.86</v>
      </c>
      <c r="CS7" s="36">
        <f t="shared" si="41"/>
        <v>77.990000000000009</v>
      </c>
      <c r="CT7" s="47">
        <f t="shared" si="42"/>
        <v>2.5200000000000031</v>
      </c>
      <c r="CU7" s="15"/>
      <c r="CV7" s="15"/>
      <c r="CW7" s="15"/>
      <c r="CX7" s="15"/>
      <c r="CY7" s="15"/>
      <c r="CZ7" s="15"/>
      <c r="DA7" s="15"/>
      <c r="DB7" s="15"/>
      <c r="DC7" s="15"/>
      <c r="DD7" s="15"/>
      <c r="DE7" s="15"/>
      <c r="DF7" s="15"/>
      <c r="DG7" s="15"/>
      <c r="DH7" s="15"/>
      <c r="DI7" s="15"/>
      <c r="DJ7" s="15"/>
      <c r="DK7" s="15"/>
      <c r="DL7" s="15"/>
      <c r="DM7" s="15"/>
      <c r="DN7" s="15"/>
      <c r="DO7" s="36" t="str">
        <f t="shared" si="43"/>
        <v/>
      </c>
      <c r="DP7" s="36" t="str">
        <f t="shared" si="44"/>
        <v/>
      </c>
      <c r="DQ7" s="36" t="str">
        <f t="shared" si="45"/>
        <v/>
      </c>
      <c r="DR7" s="36" t="str">
        <f t="shared" si="46"/>
        <v/>
      </c>
      <c r="DS7" s="36" t="str">
        <f t="shared" si="47"/>
        <v/>
      </c>
      <c r="DT7" s="36" t="str">
        <f t="shared" si="48"/>
        <v/>
      </c>
      <c r="DU7" s="36" t="str">
        <f t="shared" si="49"/>
        <v/>
      </c>
      <c r="DV7" s="36" t="str">
        <f t="shared" si="50"/>
        <v/>
      </c>
      <c r="DW7" s="36" t="str">
        <f t="shared" si="51"/>
        <v/>
      </c>
      <c r="DX7" s="36" t="str">
        <f t="shared" si="52"/>
        <v/>
      </c>
      <c r="DY7" s="36" t="str">
        <f t="shared" si="53"/>
        <v/>
      </c>
      <c r="DZ7" s="36" t="str">
        <f t="shared" si="54"/>
        <v/>
      </c>
      <c r="EA7" s="36" t="str">
        <f t="shared" si="55"/>
        <v/>
      </c>
      <c r="EB7" s="36" t="str">
        <f t="shared" si="56"/>
        <v/>
      </c>
      <c r="EC7" s="16"/>
      <c r="ED7" s="16"/>
      <c r="EE7" s="16"/>
      <c r="EF7" s="16"/>
      <c r="EG7" s="16"/>
      <c r="EH7" s="16"/>
      <c r="EI7" s="16"/>
      <c r="EJ7" s="16"/>
      <c r="EK7" s="16"/>
      <c r="EL7" s="16"/>
      <c r="EM7" s="16"/>
      <c r="EN7" s="16"/>
      <c r="EO7" s="16"/>
      <c r="EP7" s="16"/>
      <c r="EQ7" s="16"/>
      <c r="ER7" s="16"/>
      <c r="ES7" s="16"/>
      <c r="ET7" s="16"/>
      <c r="EU7" s="16"/>
      <c r="EV7" s="16"/>
      <c r="EW7" s="11" t="str">
        <f t="shared" si="57"/>
        <v/>
      </c>
      <c r="EX7" s="11" t="str">
        <f t="shared" si="58"/>
        <v/>
      </c>
      <c r="EY7" s="11" t="str">
        <f t="shared" si="59"/>
        <v/>
      </c>
      <c r="EZ7" s="11" t="str">
        <f t="shared" si="60"/>
        <v/>
      </c>
      <c r="FA7" s="11" t="str">
        <f t="shared" si="61"/>
        <v/>
      </c>
      <c r="FB7" s="11" t="str">
        <f t="shared" si="62"/>
        <v/>
      </c>
      <c r="FC7" s="11" t="str">
        <f t="shared" si="63"/>
        <v/>
      </c>
      <c r="FD7" s="11" t="str">
        <f t="shared" si="64"/>
        <v/>
      </c>
      <c r="FE7" s="11" t="str">
        <f t="shared" si="65"/>
        <v/>
      </c>
      <c r="FF7" s="11" t="str">
        <f t="shared" si="66"/>
        <v/>
      </c>
      <c r="FG7" s="11" t="str">
        <f t="shared" si="67"/>
        <v/>
      </c>
      <c r="FH7" s="11" t="str">
        <f t="shared" si="68"/>
        <v/>
      </c>
      <c r="FI7" s="11" t="str">
        <f t="shared" si="69"/>
        <v/>
      </c>
      <c r="FJ7" s="11" t="str">
        <f t="shared" si="70"/>
        <v/>
      </c>
      <c r="FK7" s="15"/>
      <c r="FL7" s="15"/>
      <c r="FM7" s="15"/>
      <c r="FN7" s="15"/>
      <c r="FO7" s="15"/>
      <c r="FP7" s="15"/>
      <c r="FQ7" s="15"/>
      <c r="FR7" s="15"/>
      <c r="FS7" s="15"/>
      <c r="FT7" s="15"/>
      <c r="FU7" s="15"/>
      <c r="FV7" s="15"/>
      <c r="FW7" s="15"/>
      <c r="FX7" s="15"/>
      <c r="FY7" s="15"/>
      <c r="FZ7" s="15"/>
      <c r="GA7" s="15"/>
      <c r="GB7" s="15"/>
      <c r="GC7" s="15"/>
      <c r="GD7" s="15"/>
      <c r="GE7" s="36" t="str">
        <f t="shared" si="71"/>
        <v/>
      </c>
      <c r="GF7" s="36" t="str">
        <f t="shared" si="72"/>
        <v/>
      </c>
      <c r="GG7" s="36" t="str">
        <f t="shared" si="73"/>
        <v/>
      </c>
      <c r="GH7" s="36" t="str">
        <f t="shared" si="74"/>
        <v/>
      </c>
      <c r="GI7" s="36" t="str">
        <f t="shared" si="75"/>
        <v/>
      </c>
      <c r="GJ7" s="36" t="str">
        <f t="shared" si="76"/>
        <v/>
      </c>
      <c r="GK7" s="36" t="str">
        <f t="shared" si="77"/>
        <v/>
      </c>
      <c r="GL7" s="36" t="str">
        <f t="shared" si="78"/>
        <v/>
      </c>
      <c r="GM7" s="36" t="str">
        <f t="shared" si="79"/>
        <v/>
      </c>
      <c r="GN7" s="36" t="str">
        <f t="shared" si="80"/>
        <v/>
      </c>
      <c r="GO7" s="36" t="str">
        <f t="shared" si="81"/>
        <v/>
      </c>
      <c r="GP7" s="36" t="str">
        <f t="shared" si="82"/>
        <v/>
      </c>
      <c r="GQ7" s="36" t="str">
        <f t="shared" si="83"/>
        <v/>
      </c>
      <c r="GR7" s="36" t="str">
        <f t="shared" si="84"/>
        <v/>
      </c>
      <c r="GS7" s="16">
        <v>15.1</v>
      </c>
      <c r="GT7" s="16">
        <v>9.4</v>
      </c>
      <c r="GU7" s="16">
        <v>2.6</v>
      </c>
      <c r="GV7" s="16">
        <v>14.29</v>
      </c>
      <c r="GW7" s="16">
        <v>0</v>
      </c>
      <c r="GX7" s="16">
        <v>14.8</v>
      </c>
      <c r="GY7" s="16">
        <v>9.6999999999999993</v>
      </c>
      <c r="GZ7" s="16">
        <v>11</v>
      </c>
      <c r="HA7" s="16">
        <v>14.03</v>
      </c>
      <c r="HB7" s="16">
        <v>0</v>
      </c>
      <c r="HC7" s="16"/>
      <c r="HD7" s="16"/>
      <c r="HE7" s="16"/>
      <c r="HF7" s="16"/>
      <c r="HG7" s="16"/>
      <c r="HH7" s="16"/>
      <c r="HI7" s="16"/>
      <c r="HJ7" s="16"/>
      <c r="HK7" s="16"/>
      <c r="HL7" s="16"/>
      <c r="HM7" s="11">
        <f t="shared" si="85"/>
        <v>2.6</v>
      </c>
      <c r="HN7" s="11">
        <f t="shared" si="86"/>
        <v>14.29</v>
      </c>
      <c r="HO7" s="11">
        <f t="shared" si="87"/>
        <v>41.39</v>
      </c>
      <c r="HP7" s="11">
        <f t="shared" si="88"/>
        <v>11</v>
      </c>
      <c r="HQ7" s="11">
        <f t="shared" si="89"/>
        <v>14.03</v>
      </c>
      <c r="HR7" s="11">
        <f t="shared" si="90"/>
        <v>49.53</v>
      </c>
      <c r="HS7" s="11">
        <f t="shared" si="91"/>
        <v>49.53</v>
      </c>
      <c r="HT7" s="11" t="str">
        <f t="shared" si="92"/>
        <v/>
      </c>
      <c r="HU7" s="11" t="str">
        <f t="shared" si="93"/>
        <v/>
      </c>
      <c r="HV7" s="11" t="str">
        <f t="shared" si="94"/>
        <v/>
      </c>
      <c r="HW7" s="11" t="str">
        <f t="shared" si="95"/>
        <v/>
      </c>
      <c r="HX7" s="11" t="str">
        <f t="shared" si="96"/>
        <v/>
      </c>
      <c r="HY7" s="11" t="str">
        <f t="shared" si="97"/>
        <v/>
      </c>
      <c r="HZ7" s="11">
        <f t="shared" si="98"/>
        <v>49.53</v>
      </c>
      <c r="IA7" s="15"/>
      <c r="IB7" s="15"/>
      <c r="IC7" s="15"/>
      <c r="ID7" s="15"/>
      <c r="IE7" s="15"/>
      <c r="IF7" s="15"/>
      <c r="IG7" s="15"/>
      <c r="IH7" s="15"/>
      <c r="II7" s="15"/>
      <c r="IJ7" s="15"/>
      <c r="IK7" s="15"/>
      <c r="IL7" s="15"/>
      <c r="IM7" s="15"/>
      <c r="IN7" s="15"/>
      <c r="IO7" s="15"/>
      <c r="IP7" s="15"/>
      <c r="IQ7" s="15"/>
      <c r="IR7" s="15"/>
      <c r="IS7" s="15"/>
      <c r="IT7" s="15"/>
      <c r="IU7" s="36" t="str">
        <f t="shared" si="99"/>
        <v/>
      </c>
      <c r="IV7" s="36" t="str">
        <f t="shared" si="100"/>
        <v/>
      </c>
      <c r="IW7" s="36" t="str">
        <f t="shared" si="101"/>
        <v/>
      </c>
      <c r="IX7" s="36" t="str">
        <f t="shared" si="102"/>
        <v/>
      </c>
      <c r="IY7" s="36" t="str">
        <f t="shared" si="103"/>
        <v/>
      </c>
      <c r="IZ7" s="36" t="str">
        <f t="shared" si="104"/>
        <v/>
      </c>
      <c r="JA7" s="36" t="str">
        <f t="shared" si="105"/>
        <v/>
      </c>
      <c r="JB7" s="36" t="str">
        <f t="shared" si="106"/>
        <v/>
      </c>
      <c r="JC7" s="36" t="str">
        <f t="shared" si="107"/>
        <v/>
      </c>
      <c r="JD7" s="36" t="str">
        <f t="shared" si="108"/>
        <v/>
      </c>
      <c r="JE7" s="36" t="str">
        <f t="shared" si="109"/>
        <v/>
      </c>
      <c r="JF7" s="36" t="str">
        <f t="shared" si="110"/>
        <v/>
      </c>
      <c r="JG7" s="36" t="str">
        <f t="shared" si="111"/>
        <v/>
      </c>
      <c r="JH7" s="36" t="str">
        <f t="shared" si="112"/>
        <v/>
      </c>
      <c r="JI7" s="16"/>
      <c r="JJ7" s="16"/>
      <c r="JK7" s="16"/>
      <c r="JL7" s="16"/>
      <c r="JM7" s="16"/>
      <c r="JN7" s="16"/>
      <c r="JO7" s="16"/>
      <c r="JP7" s="16"/>
      <c r="JQ7" s="16"/>
      <c r="JR7" s="16"/>
      <c r="JS7" s="16"/>
      <c r="JT7" s="16"/>
      <c r="JU7" s="16"/>
      <c r="JV7" s="16"/>
      <c r="JW7" s="16"/>
      <c r="JX7" s="16"/>
      <c r="JY7" s="16"/>
      <c r="JZ7" s="16"/>
      <c r="KA7" s="16"/>
      <c r="KB7" s="16"/>
      <c r="KC7" s="11" t="str">
        <f t="shared" si="113"/>
        <v/>
      </c>
      <c r="KD7" s="11" t="str">
        <f t="shared" si="114"/>
        <v/>
      </c>
      <c r="KE7" s="11" t="str">
        <f t="shared" si="115"/>
        <v/>
      </c>
      <c r="KF7" s="11" t="str">
        <f t="shared" si="116"/>
        <v/>
      </c>
      <c r="KG7" s="11" t="str">
        <f t="shared" si="117"/>
        <v/>
      </c>
      <c r="KH7" s="11" t="str">
        <f t="shared" si="118"/>
        <v/>
      </c>
      <c r="KI7" s="11" t="str">
        <f t="shared" si="119"/>
        <v/>
      </c>
      <c r="KJ7" s="11" t="str">
        <f t="shared" si="120"/>
        <v/>
      </c>
      <c r="KK7" s="11" t="str">
        <f t="shared" si="121"/>
        <v/>
      </c>
      <c r="KL7" s="11" t="str">
        <f t="shared" si="122"/>
        <v/>
      </c>
      <c r="KM7" s="11" t="str">
        <f t="shared" si="123"/>
        <v/>
      </c>
      <c r="KN7" s="11" t="str">
        <f t="shared" si="124"/>
        <v/>
      </c>
      <c r="KO7" s="11" t="str">
        <f t="shared" si="125"/>
        <v/>
      </c>
      <c r="KP7" s="11" t="str">
        <f t="shared" si="126"/>
        <v/>
      </c>
      <c r="KQ7" s="15"/>
      <c r="KR7" s="15"/>
      <c r="KS7" s="15"/>
      <c r="KT7" s="15"/>
      <c r="KU7" s="15"/>
      <c r="KV7" s="15"/>
      <c r="KW7" s="15"/>
      <c r="KX7" s="15"/>
      <c r="KY7" s="15"/>
      <c r="KZ7" s="15"/>
      <c r="LA7" s="15"/>
      <c r="LB7" s="15"/>
      <c r="LC7" s="15"/>
      <c r="LD7" s="15"/>
      <c r="LE7" s="15"/>
      <c r="LF7" s="15"/>
      <c r="LG7" s="15"/>
      <c r="LH7" s="15"/>
      <c r="LI7" s="15"/>
      <c r="LJ7" s="15"/>
      <c r="LK7" s="36" t="str">
        <f t="shared" si="127"/>
        <v/>
      </c>
      <c r="LL7" s="36" t="str">
        <f t="shared" si="128"/>
        <v/>
      </c>
      <c r="LM7" s="36" t="str">
        <f t="shared" si="129"/>
        <v/>
      </c>
      <c r="LN7" s="36" t="str">
        <f t="shared" si="130"/>
        <v/>
      </c>
      <c r="LO7" s="36" t="str">
        <f t="shared" si="131"/>
        <v/>
      </c>
      <c r="LP7" s="36" t="str">
        <f t="shared" si="132"/>
        <v/>
      </c>
      <c r="LQ7" s="36" t="str">
        <f t="shared" si="133"/>
        <v/>
      </c>
      <c r="LR7" s="36" t="str">
        <f t="shared" si="134"/>
        <v/>
      </c>
      <c r="LS7" s="36" t="str">
        <f t="shared" si="135"/>
        <v/>
      </c>
      <c r="LT7" s="36" t="str">
        <f t="shared" si="136"/>
        <v/>
      </c>
      <c r="LU7" s="36" t="str">
        <f t="shared" si="137"/>
        <v/>
      </c>
      <c r="LV7" s="36" t="str">
        <f t="shared" si="138"/>
        <v/>
      </c>
      <c r="LW7" s="36" t="str">
        <f t="shared" si="139"/>
        <v/>
      </c>
      <c r="LX7" s="36" t="str">
        <f t="shared" si="140"/>
        <v/>
      </c>
      <c r="LY7" s="16"/>
      <c r="LZ7" s="16"/>
      <c r="MA7" s="16"/>
      <c r="MB7" s="16"/>
      <c r="MC7" s="16"/>
      <c r="MD7" s="16"/>
      <c r="ME7" s="16"/>
      <c r="MF7" s="16"/>
      <c r="MG7" s="16"/>
      <c r="MH7" s="16"/>
      <c r="MI7" s="16"/>
      <c r="MJ7" s="16"/>
      <c r="MK7" s="16"/>
      <c r="ML7" s="16"/>
      <c r="MM7" s="16"/>
      <c r="MN7" s="16"/>
      <c r="MO7" s="16"/>
      <c r="MP7" s="16"/>
      <c r="MQ7" s="16"/>
      <c r="MR7" s="16"/>
      <c r="MS7" s="11" t="str">
        <f t="shared" si="141"/>
        <v/>
      </c>
      <c r="MT7" s="11" t="str">
        <f t="shared" si="142"/>
        <v/>
      </c>
      <c r="MU7" s="11" t="str">
        <f t="shared" si="143"/>
        <v/>
      </c>
      <c r="MV7" s="11" t="str">
        <f t="shared" si="144"/>
        <v/>
      </c>
      <c r="MW7" s="11" t="str">
        <f t="shared" si="145"/>
        <v/>
      </c>
      <c r="MX7" s="11" t="str">
        <f t="shared" si="146"/>
        <v/>
      </c>
      <c r="MY7" s="11" t="str">
        <f t="shared" si="147"/>
        <v/>
      </c>
      <c r="MZ7" s="11" t="str">
        <f t="shared" si="148"/>
        <v/>
      </c>
      <c r="NA7" s="11" t="str">
        <f t="shared" si="149"/>
        <v/>
      </c>
      <c r="NB7" s="11" t="str">
        <f t="shared" si="150"/>
        <v/>
      </c>
      <c r="NC7" s="11" t="str">
        <f t="shared" si="151"/>
        <v/>
      </c>
      <c r="ND7" s="11" t="str">
        <f t="shared" si="152"/>
        <v/>
      </c>
      <c r="NE7" s="11" t="str">
        <f t="shared" si="153"/>
        <v/>
      </c>
      <c r="NF7" s="11" t="str">
        <f t="shared" si="154"/>
        <v/>
      </c>
      <c r="NG7" s="15"/>
      <c r="NH7" s="15"/>
      <c r="NI7" s="15"/>
      <c r="NJ7" s="15"/>
      <c r="NK7" s="15"/>
      <c r="NL7" s="15"/>
      <c r="NM7" s="15"/>
      <c r="NN7" s="15"/>
      <c r="NO7" s="15"/>
      <c r="NP7" s="15"/>
      <c r="NQ7" s="15"/>
      <c r="NR7" s="15"/>
      <c r="NS7" s="15"/>
      <c r="NT7" s="15"/>
      <c r="NU7" s="15"/>
      <c r="NV7" s="15"/>
      <c r="NW7" s="15"/>
      <c r="NX7" s="15"/>
      <c r="NY7" s="15"/>
      <c r="NZ7" s="15"/>
      <c r="OA7" s="36" t="str">
        <f t="shared" si="155"/>
        <v/>
      </c>
      <c r="OB7" s="36" t="str">
        <f t="shared" si="156"/>
        <v/>
      </c>
      <c r="OC7" s="36" t="str">
        <f t="shared" si="157"/>
        <v/>
      </c>
      <c r="OD7" s="36" t="str">
        <f t="shared" si="158"/>
        <v/>
      </c>
      <c r="OE7" s="36" t="str">
        <f t="shared" si="159"/>
        <v/>
      </c>
      <c r="OF7" s="36" t="str">
        <f t="shared" si="160"/>
        <v/>
      </c>
      <c r="OG7" s="36" t="str">
        <f t="shared" si="161"/>
        <v/>
      </c>
      <c r="OH7" s="36" t="str">
        <f t="shared" si="162"/>
        <v/>
      </c>
      <c r="OI7" s="36" t="str">
        <f t="shared" si="163"/>
        <v/>
      </c>
      <c r="OJ7" s="36" t="str">
        <f t="shared" si="164"/>
        <v/>
      </c>
      <c r="OK7" s="36" t="str">
        <f t="shared" si="165"/>
        <v/>
      </c>
      <c r="OL7" s="36" t="str">
        <f t="shared" si="166"/>
        <v/>
      </c>
      <c r="OM7" s="36" t="str">
        <f t="shared" si="167"/>
        <v/>
      </c>
      <c r="ON7" s="36" t="str">
        <f t="shared" si="168"/>
        <v/>
      </c>
      <c r="OO7" s="16"/>
      <c r="OP7" s="16"/>
      <c r="OQ7" s="16"/>
      <c r="OR7" s="16"/>
      <c r="OS7" s="16"/>
      <c r="OT7" s="16"/>
      <c r="OU7" s="16"/>
      <c r="OV7" s="16"/>
      <c r="OW7" s="16"/>
      <c r="OX7" s="16"/>
      <c r="OY7" s="16"/>
      <c r="OZ7" s="16"/>
      <c r="PA7" s="16"/>
      <c r="PB7" s="16"/>
      <c r="PC7" s="16"/>
      <c r="PD7" s="16"/>
      <c r="PE7" s="16"/>
      <c r="PF7" s="16"/>
      <c r="PG7" s="16"/>
      <c r="PH7" s="16"/>
      <c r="PI7" s="11" t="str">
        <f t="shared" si="169"/>
        <v/>
      </c>
      <c r="PJ7" s="11" t="str">
        <f t="shared" si="170"/>
        <v/>
      </c>
      <c r="PK7" s="11" t="str">
        <f t="shared" si="171"/>
        <v/>
      </c>
      <c r="PL7" s="11" t="str">
        <f t="shared" si="172"/>
        <v/>
      </c>
      <c r="PM7" s="11" t="str">
        <f t="shared" si="173"/>
        <v/>
      </c>
      <c r="PN7" s="11" t="str">
        <f t="shared" si="174"/>
        <v/>
      </c>
      <c r="PO7" s="11" t="str">
        <f t="shared" si="175"/>
        <v/>
      </c>
      <c r="PP7" s="11" t="str">
        <f t="shared" si="176"/>
        <v/>
      </c>
      <c r="PQ7" s="11" t="str">
        <f t="shared" si="177"/>
        <v/>
      </c>
      <c r="PR7" s="11" t="str">
        <f t="shared" si="178"/>
        <v/>
      </c>
      <c r="PS7" s="11" t="str">
        <f t="shared" si="179"/>
        <v/>
      </c>
      <c r="PT7" s="11" t="str">
        <f t="shared" si="180"/>
        <v/>
      </c>
      <c r="PU7" s="11" t="str">
        <f t="shared" si="181"/>
        <v/>
      </c>
      <c r="PV7" s="11" t="str">
        <f t="shared" si="182"/>
        <v/>
      </c>
      <c r="PW7" s="15"/>
      <c r="PX7" s="15"/>
      <c r="PY7" s="15"/>
      <c r="PZ7" s="15"/>
      <c r="QA7" s="15"/>
      <c r="QB7" s="15"/>
      <c r="QC7" s="15"/>
      <c r="QD7" s="15"/>
      <c r="QE7" s="15"/>
      <c r="QF7" s="15"/>
      <c r="QG7" s="15"/>
      <c r="QH7" s="15"/>
      <c r="QI7" s="15"/>
      <c r="QJ7" s="15"/>
      <c r="QK7" s="15"/>
      <c r="QL7" s="15"/>
      <c r="QM7" s="15"/>
      <c r="QN7" s="15"/>
      <c r="QO7" s="15"/>
      <c r="QP7" s="15"/>
      <c r="QQ7" s="36" t="str">
        <f t="shared" si="183"/>
        <v/>
      </c>
      <c r="QR7" s="36" t="str">
        <f t="shared" si="184"/>
        <v/>
      </c>
      <c r="QS7" s="36" t="str">
        <f t="shared" si="185"/>
        <v/>
      </c>
      <c r="QT7" s="36" t="str">
        <f t="shared" si="186"/>
        <v/>
      </c>
      <c r="QU7" s="36" t="str">
        <f t="shared" si="187"/>
        <v/>
      </c>
      <c r="QV7" s="36" t="str">
        <f t="shared" si="188"/>
        <v/>
      </c>
      <c r="QW7" s="36" t="str">
        <f t="shared" si="189"/>
        <v/>
      </c>
      <c r="QX7" s="36" t="str">
        <f t="shared" si="190"/>
        <v/>
      </c>
      <c r="QY7" s="36" t="str">
        <f t="shared" si="191"/>
        <v/>
      </c>
      <c r="QZ7" s="36" t="str">
        <f t="shared" si="192"/>
        <v/>
      </c>
      <c r="RA7" s="36" t="str">
        <f t="shared" si="193"/>
        <v/>
      </c>
      <c r="RB7" s="36" t="str">
        <f t="shared" si="194"/>
        <v/>
      </c>
      <c r="RC7" s="36" t="str">
        <f t="shared" si="195"/>
        <v/>
      </c>
      <c r="RD7" s="36" t="str">
        <f t="shared" si="196"/>
        <v/>
      </c>
      <c r="RE7" s="16"/>
      <c r="RF7" s="16"/>
      <c r="RG7" s="16"/>
      <c r="RH7" s="16"/>
      <c r="RI7" s="16"/>
      <c r="RJ7" s="16"/>
      <c r="RK7" s="16"/>
      <c r="RL7" s="16"/>
      <c r="RM7" s="16"/>
      <c r="RN7" s="16"/>
      <c r="RO7" s="16"/>
      <c r="RP7" s="16"/>
      <c r="RQ7" s="16"/>
      <c r="RR7" s="16"/>
      <c r="RS7" s="16"/>
      <c r="RT7" s="16"/>
      <c r="RU7" s="16"/>
      <c r="RV7" s="16"/>
      <c r="RW7" s="16"/>
      <c r="RX7" s="16"/>
      <c r="RY7" s="11" t="str">
        <f t="shared" si="197"/>
        <v/>
      </c>
      <c r="RZ7" s="11" t="str">
        <f t="shared" si="198"/>
        <v/>
      </c>
      <c r="SA7" s="11" t="str">
        <f t="shared" si="199"/>
        <v/>
      </c>
      <c r="SB7" s="11" t="str">
        <f t="shared" si="200"/>
        <v/>
      </c>
      <c r="SC7" s="11" t="str">
        <f t="shared" si="201"/>
        <v/>
      </c>
      <c r="SD7" s="11" t="str">
        <f t="shared" si="202"/>
        <v/>
      </c>
      <c r="SE7" s="11" t="str">
        <f t="shared" si="203"/>
        <v/>
      </c>
      <c r="SF7" s="11" t="str">
        <f t="shared" si="204"/>
        <v/>
      </c>
      <c r="SG7" s="11" t="str">
        <f t="shared" si="205"/>
        <v/>
      </c>
      <c r="SH7" s="11" t="str">
        <f t="shared" si="206"/>
        <v/>
      </c>
      <c r="SI7" s="11" t="str">
        <f t="shared" si="207"/>
        <v/>
      </c>
      <c r="SJ7" s="11" t="str">
        <f t="shared" si="208"/>
        <v/>
      </c>
      <c r="SK7" s="11" t="str">
        <f t="shared" si="209"/>
        <v/>
      </c>
      <c r="SL7" s="11" t="str">
        <f t="shared" si="210"/>
        <v/>
      </c>
      <c r="SM7" s="15"/>
      <c r="SN7" s="15"/>
      <c r="SO7" s="15"/>
      <c r="SP7" s="15"/>
      <c r="SQ7" s="15"/>
      <c r="SR7" s="15"/>
      <c r="SS7" s="15"/>
      <c r="ST7" s="15"/>
      <c r="SU7" s="15"/>
      <c r="SV7" s="15"/>
      <c r="SW7" s="15"/>
      <c r="SX7" s="15"/>
      <c r="SY7" s="15"/>
      <c r="SZ7" s="15"/>
      <c r="TA7" s="15"/>
      <c r="TB7" s="15"/>
      <c r="TC7" s="15"/>
      <c r="TD7" s="15"/>
      <c r="TE7" s="15"/>
      <c r="TF7" s="15"/>
      <c r="TG7" s="36" t="str">
        <f t="shared" si="211"/>
        <v/>
      </c>
      <c r="TH7" s="36" t="str">
        <f t="shared" si="212"/>
        <v/>
      </c>
      <c r="TI7" s="36" t="str">
        <f t="shared" si="213"/>
        <v/>
      </c>
      <c r="TJ7" s="36" t="str">
        <f t="shared" si="214"/>
        <v/>
      </c>
      <c r="TK7" s="36" t="str">
        <f t="shared" si="215"/>
        <v/>
      </c>
      <c r="TL7" s="36" t="str">
        <f t="shared" si="216"/>
        <v/>
      </c>
      <c r="TM7" s="36" t="str">
        <f t="shared" si="217"/>
        <v/>
      </c>
      <c r="TN7" s="36" t="str">
        <f t="shared" si="218"/>
        <v/>
      </c>
      <c r="TO7" s="36" t="str">
        <f t="shared" si="219"/>
        <v/>
      </c>
      <c r="TP7" s="36" t="str">
        <f t="shared" si="220"/>
        <v/>
      </c>
      <c r="TQ7" s="36" t="str">
        <f t="shared" si="221"/>
        <v/>
      </c>
      <c r="TR7" s="36" t="str">
        <f t="shared" si="222"/>
        <v/>
      </c>
      <c r="TS7" s="36" t="str">
        <f t="shared" si="223"/>
        <v/>
      </c>
      <c r="TT7" s="36" t="str">
        <f t="shared" si="224"/>
        <v/>
      </c>
      <c r="TU7" s="16"/>
      <c r="TV7" s="16"/>
      <c r="TW7" s="16"/>
      <c r="TX7" s="16"/>
      <c r="TY7" s="16"/>
      <c r="TZ7" s="16"/>
      <c r="UA7" s="16"/>
      <c r="UB7" s="16"/>
      <c r="UC7" s="16"/>
      <c r="UD7" s="16"/>
      <c r="UE7" s="16"/>
      <c r="UF7" s="16"/>
      <c r="UG7" s="16"/>
      <c r="UH7" s="16"/>
      <c r="UI7" s="16"/>
      <c r="UJ7" s="16"/>
      <c r="UK7" s="16"/>
      <c r="UL7" s="16"/>
      <c r="UM7" s="16"/>
      <c r="UN7" s="16"/>
      <c r="UO7" s="11" t="str">
        <f t="shared" si="225"/>
        <v/>
      </c>
      <c r="UP7" s="11" t="str">
        <f t="shared" si="226"/>
        <v/>
      </c>
      <c r="UQ7" s="11" t="str">
        <f t="shared" si="227"/>
        <v/>
      </c>
      <c r="UR7" s="11" t="str">
        <f t="shared" si="228"/>
        <v/>
      </c>
      <c r="US7" s="11" t="str">
        <f t="shared" si="229"/>
        <v/>
      </c>
      <c r="UT7" s="11" t="str">
        <f t="shared" si="230"/>
        <v/>
      </c>
      <c r="UU7" s="11" t="str">
        <f t="shared" si="231"/>
        <v/>
      </c>
      <c r="UV7" s="11" t="str">
        <f t="shared" si="232"/>
        <v/>
      </c>
      <c r="UW7" s="11" t="str">
        <f t="shared" si="233"/>
        <v/>
      </c>
      <c r="UX7" s="11" t="str">
        <f t="shared" si="234"/>
        <v/>
      </c>
      <c r="UY7" s="11" t="str">
        <f t="shared" si="235"/>
        <v/>
      </c>
      <c r="UZ7" s="11" t="str">
        <f t="shared" si="236"/>
        <v/>
      </c>
      <c r="VA7" s="11" t="str">
        <f t="shared" si="237"/>
        <v/>
      </c>
      <c r="VB7" s="11" t="str">
        <f t="shared" si="238"/>
        <v/>
      </c>
      <c r="VC7" s="15"/>
      <c r="VD7" s="15"/>
      <c r="VE7" s="15"/>
      <c r="VF7" s="15"/>
      <c r="VG7" s="15"/>
      <c r="VH7" s="15"/>
      <c r="VI7" s="15"/>
      <c r="VJ7" s="15"/>
      <c r="VK7" s="15"/>
      <c r="VL7" s="15"/>
      <c r="VM7" s="15"/>
      <c r="VN7" s="15"/>
      <c r="VO7" s="15"/>
      <c r="VP7" s="15"/>
      <c r="VQ7" s="15"/>
      <c r="VR7" s="15"/>
      <c r="VS7" s="15"/>
      <c r="VT7" s="15"/>
      <c r="VU7" s="15"/>
      <c r="VV7" s="15"/>
      <c r="VW7" s="36" t="str">
        <f t="shared" si="239"/>
        <v/>
      </c>
      <c r="VX7" s="36" t="str">
        <f t="shared" si="240"/>
        <v/>
      </c>
      <c r="VY7" s="36" t="str">
        <f t="shared" si="241"/>
        <v/>
      </c>
      <c r="VZ7" s="36" t="str">
        <f t="shared" si="242"/>
        <v/>
      </c>
      <c r="WA7" s="36" t="str">
        <f t="shared" si="243"/>
        <v/>
      </c>
      <c r="WB7" s="36" t="str">
        <f t="shared" si="244"/>
        <v/>
      </c>
      <c r="WC7" s="36" t="str">
        <f t="shared" si="245"/>
        <v/>
      </c>
      <c r="WD7" s="36" t="str">
        <f t="shared" si="246"/>
        <v/>
      </c>
      <c r="WE7" s="36" t="str">
        <f t="shared" si="247"/>
        <v/>
      </c>
      <c r="WF7" s="36" t="str">
        <f t="shared" si="248"/>
        <v/>
      </c>
      <c r="WG7" s="36" t="str">
        <f t="shared" si="249"/>
        <v/>
      </c>
      <c r="WH7" s="36" t="str">
        <f t="shared" si="250"/>
        <v/>
      </c>
      <c r="WI7" s="36" t="str">
        <f t="shared" si="251"/>
        <v/>
      </c>
      <c r="WJ7" s="36" t="str">
        <f t="shared" si="252"/>
        <v/>
      </c>
    </row>
    <row r="8" spans="1:608" x14ac:dyDescent="0.2">
      <c r="A8" s="4" t="str" cm="1">
        <f t="array" ref="A8">IF(AND(H8&lt;&gt;"",H8&lt;&gt;"No DD",I8&lt;&gt;"P"),SUMPRODUCT((H$4:H$14&lt;&gt;"")*(H$4:H$14&lt;&gt;"No DD")*(I$4:I$14&lt;&gt;"P")*(E$4:E$14&gt;E8))+1,IF(H8="No DD",SUMPRODUCT((H$4:H$14="No DD")*(I$4:I$14&lt;&gt;"P")*(E$4:E$14&gt;E8))+1+SUMPRODUCT((H$4:H$14&lt;&gt;"")*(I$4:I$14&lt;&gt;"P")*(H$4:H$14&lt;&gt;"No DD")),""))</f>
        <v/>
      </c>
      <c r="B8" s="5" t="s">
        <v>214</v>
      </c>
      <c r="C8" s="4" t="s">
        <v>6</v>
      </c>
      <c r="D8" s="4">
        <v>2008</v>
      </c>
      <c r="E8" s="9">
        <f t="shared" si="0"/>
        <v>96.950009695004852</v>
      </c>
      <c r="F8" s="3" t="str">
        <f t="shared" si="1"/>
        <v/>
      </c>
      <c r="G8" s="3" t="str">
        <f t="shared" si="2"/>
        <v/>
      </c>
      <c r="H8" s="32" t="str">
        <f t="shared" si="3"/>
        <v/>
      </c>
      <c r="I8" s="3" t="str">
        <f>IF(COUNTIFS('Senior-W'!B:B,B8,'Senior-W'!A:A,"&lt;9",'Senior-W'!H:H,"&lt;&gt;"&amp;"No DD"),"P","")</f>
        <v/>
      </c>
      <c r="J8" s="8">
        <f t="shared" si="4"/>
        <v>48.58</v>
      </c>
      <c r="K8" s="8" t="str">
        <f t="shared" si="5"/>
        <v>2025 Nationals</v>
      </c>
      <c r="L8" s="8">
        <f>IFERROR(LARGE((AI8,AL8,AP8,BJ8,BM8,BQ8,CK8,CN8,CR8),2),0)</f>
        <v>48.37</v>
      </c>
      <c r="M8" s="8" t="str">
        <f t="shared" si="6"/>
        <v>2025 3rd Domestic Trial</v>
      </c>
      <c r="N8" s="8">
        <f t="shared" si="7"/>
        <v>0</v>
      </c>
      <c r="O8" s="11" t="str">
        <f>IF(N8=0,"",IF(N8=CT8,"("&amp;CT$2&amp;")",IF(N8=#REF!,"("&amp;#REF!&amp;")")))</f>
        <v/>
      </c>
      <c r="P8" s="8" t="str">
        <f t="shared" si="8"/>
        <v/>
      </c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23"/>
      <c r="AG8" s="34" t="str">
        <f t="shared" si="9"/>
        <v/>
      </c>
      <c r="AH8" s="34" t="str">
        <f t="shared" si="10"/>
        <v/>
      </c>
      <c r="AI8" s="36" t="str">
        <f t="shared" si="11"/>
        <v/>
      </c>
      <c r="AJ8" s="36" t="str">
        <f t="shared" si="12"/>
        <v/>
      </c>
      <c r="AK8" s="36" t="str">
        <f t="shared" si="13"/>
        <v/>
      </c>
      <c r="AL8" s="36" t="str">
        <f t="shared" si="14"/>
        <v/>
      </c>
      <c r="AM8" s="36" t="str">
        <f t="shared" si="15"/>
        <v/>
      </c>
      <c r="AN8" s="36" t="str">
        <f t="shared" si="16"/>
        <v/>
      </c>
      <c r="AO8" s="36" t="str">
        <f t="shared" si="17"/>
        <v/>
      </c>
      <c r="AP8" s="36" t="str">
        <f t="shared" si="18"/>
        <v/>
      </c>
      <c r="AQ8" s="36" t="str">
        <f t="shared" si="19"/>
        <v/>
      </c>
      <c r="AR8" s="22">
        <v>12</v>
      </c>
      <c r="AS8" s="22">
        <v>9</v>
      </c>
      <c r="AT8" s="22">
        <v>12.7</v>
      </c>
      <c r="AU8" s="22">
        <v>13.71</v>
      </c>
      <c r="AV8" s="22">
        <v>0</v>
      </c>
      <c r="AW8" s="22">
        <v>13</v>
      </c>
      <c r="AX8" s="22">
        <v>9.4</v>
      </c>
      <c r="AY8" s="22">
        <v>12.5</v>
      </c>
      <c r="AZ8" s="22">
        <v>13.68</v>
      </c>
      <c r="BA8" s="22">
        <v>0</v>
      </c>
      <c r="BB8" s="22">
        <v>13.5</v>
      </c>
      <c r="BC8" s="22">
        <v>8.6999999999999993</v>
      </c>
      <c r="BD8" s="22">
        <v>12.7</v>
      </c>
      <c r="BE8" s="22">
        <v>13.31</v>
      </c>
      <c r="BF8" s="22">
        <v>0</v>
      </c>
      <c r="BG8" s="24"/>
      <c r="BH8" s="35">
        <f t="shared" si="20"/>
        <v>12.7</v>
      </c>
      <c r="BI8" s="35">
        <f t="shared" si="21"/>
        <v>13.71</v>
      </c>
      <c r="BJ8" s="11">
        <f t="shared" si="22"/>
        <v>47.410000000000004</v>
      </c>
      <c r="BK8" s="11">
        <f t="shared" si="23"/>
        <v>12.5</v>
      </c>
      <c r="BL8" s="11">
        <f t="shared" si="24"/>
        <v>13.68</v>
      </c>
      <c r="BM8" s="11">
        <f t="shared" si="25"/>
        <v>48.58</v>
      </c>
      <c r="BN8" s="11">
        <f t="shared" si="26"/>
        <v>48.58</v>
      </c>
      <c r="BO8" s="11">
        <f t="shared" si="27"/>
        <v>12.7</v>
      </c>
      <c r="BP8" s="11">
        <f t="shared" si="28"/>
        <v>13.31</v>
      </c>
      <c r="BQ8" s="11">
        <f t="shared" si="29"/>
        <v>48.21</v>
      </c>
      <c r="BR8" s="11">
        <f t="shared" si="30"/>
        <v>96.789999999999992</v>
      </c>
      <c r="BS8" s="18">
        <v>14.1</v>
      </c>
      <c r="BT8" s="18">
        <v>9.1</v>
      </c>
      <c r="BU8" s="18">
        <v>11.5</v>
      </c>
      <c r="BV8" s="18">
        <v>13.52</v>
      </c>
      <c r="BW8" s="18">
        <v>0</v>
      </c>
      <c r="BX8" s="18">
        <v>13.2</v>
      </c>
      <c r="BY8" s="18">
        <v>9</v>
      </c>
      <c r="BZ8" s="18">
        <v>12.3</v>
      </c>
      <c r="CA8" s="18">
        <v>13.87</v>
      </c>
      <c r="CB8" s="18">
        <v>0</v>
      </c>
      <c r="CC8" s="18">
        <v>12.9</v>
      </c>
      <c r="CD8" s="18">
        <v>8.6999999999999993</v>
      </c>
      <c r="CE8" s="18">
        <v>12.3</v>
      </c>
      <c r="CF8" s="18">
        <v>13.47</v>
      </c>
      <c r="CG8" s="18">
        <v>0</v>
      </c>
      <c r="CH8" s="23"/>
      <c r="CI8" s="34">
        <f t="shared" si="31"/>
        <v>11.5</v>
      </c>
      <c r="CJ8" s="34">
        <f t="shared" si="32"/>
        <v>13.52</v>
      </c>
      <c r="CK8" s="36">
        <f t="shared" si="33"/>
        <v>48.22</v>
      </c>
      <c r="CL8" s="36">
        <f t="shared" si="34"/>
        <v>12.3</v>
      </c>
      <c r="CM8" s="36">
        <f t="shared" si="35"/>
        <v>13.87</v>
      </c>
      <c r="CN8" s="36">
        <f t="shared" si="36"/>
        <v>48.37</v>
      </c>
      <c r="CO8" s="36">
        <f t="shared" si="37"/>
        <v>48.37</v>
      </c>
      <c r="CP8" s="36">
        <f t="shared" si="38"/>
        <v>12.3</v>
      </c>
      <c r="CQ8" s="36">
        <f t="shared" si="39"/>
        <v>13.47</v>
      </c>
      <c r="CR8" s="36">
        <f t="shared" si="40"/>
        <v>47.370000000000005</v>
      </c>
      <c r="CS8" s="36">
        <f t="shared" si="41"/>
        <v>95.740000000000009</v>
      </c>
      <c r="CT8" s="47" t="str">
        <f t="shared" si="42"/>
        <v/>
      </c>
      <c r="CU8" s="15"/>
      <c r="CV8" s="15"/>
      <c r="CW8" s="15"/>
      <c r="CX8" s="15"/>
      <c r="CY8" s="15"/>
      <c r="CZ8" s="15"/>
      <c r="DA8" s="15"/>
      <c r="DB8" s="15"/>
      <c r="DC8" s="15"/>
      <c r="DD8" s="15"/>
      <c r="DE8" s="15"/>
      <c r="DF8" s="15"/>
      <c r="DG8" s="15"/>
      <c r="DH8" s="15"/>
      <c r="DI8" s="15"/>
      <c r="DJ8" s="15"/>
      <c r="DK8" s="15"/>
      <c r="DL8" s="15"/>
      <c r="DM8" s="15"/>
      <c r="DN8" s="15"/>
      <c r="DO8" s="36" t="str">
        <f t="shared" si="43"/>
        <v/>
      </c>
      <c r="DP8" s="36" t="str">
        <f t="shared" si="44"/>
        <v/>
      </c>
      <c r="DQ8" s="36" t="str">
        <f t="shared" si="45"/>
        <v/>
      </c>
      <c r="DR8" s="36" t="str">
        <f t="shared" si="46"/>
        <v/>
      </c>
      <c r="DS8" s="36" t="str">
        <f t="shared" si="47"/>
        <v/>
      </c>
      <c r="DT8" s="36" t="str">
        <f t="shared" si="48"/>
        <v/>
      </c>
      <c r="DU8" s="36" t="str">
        <f t="shared" si="49"/>
        <v/>
      </c>
      <c r="DV8" s="36" t="str">
        <f t="shared" si="50"/>
        <v/>
      </c>
      <c r="DW8" s="36" t="str">
        <f t="shared" si="51"/>
        <v/>
      </c>
      <c r="DX8" s="36" t="str">
        <f t="shared" si="52"/>
        <v/>
      </c>
      <c r="DY8" s="36" t="str">
        <f t="shared" si="53"/>
        <v/>
      </c>
      <c r="DZ8" s="36" t="str">
        <f t="shared" si="54"/>
        <v/>
      </c>
      <c r="EA8" s="36" t="str">
        <f t="shared" si="55"/>
        <v/>
      </c>
      <c r="EB8" s="36" t="str">
        <f t="shared" si="56"/>
        <v/>
      </c>
      <c r="EC8" s="16"/>
      <c r="ED8" s="16"/>
      <c r="EE8" s="16"/>
      <c r="EF8" s="16"/>
      <c r="EG8" s="16"/>
      <c r="EH8" s="16"/>
      <c r="EI8" s="16"/>
      <c r="EJ8" s="16"/>
      <c r="EK8" s="16"/>
      <c r="EL8" s="16"/>
      <c r="EM8" s="16"/>
      <c r="EN8" s="16"/>
      <c r="EO8" s="16"/>
      <c r="EP8" s="16"/>
      <c r="EQ8" s="16"/>
      <c r="ER8" s="16"/>
      <c r="ES8" s="16"/>
      <c r="ET8" s="16"/>
      <c r="EU8" s="16"/>
      <c r="EV8" s="16"/>
      <c r="EW8" s="11" t="str">
        <f t="shared" si="57"/>
        <v/>
      </c>
      <c r="EX8" s="11" t="str">
        <f t="shared" si="58"/>
        <v/>
      </c>
      <c r="EY8" s="11" t="str">
        <f t="shared" si="59"/>
        <v/>
      </c>
      <c r="EZ8" s="11" t="str">
        <f t="shared" si="60"/>
        <v/>
      </c>
      <c r="FA8" s="11" t="str">
        <f t="shared" si="61"/>
        <v/>
      </c>
      <c r="FB8" s="11" t="str">
        <f t="shared" si="62"/>
        <v/>
      </c>
      <c r="FC8" s="11" t="str">
        <f t="shared" si="63"/>
        <v/>
      </c>
      <c r="FD8" s="11" t="str">
        <f t="shared" si="64"/>
        <v/>
      </c>
      <c r="FE8" s="11" t="str">
        <f t="shared" si="65"/>
        <v/>
      </c>
      <c r="FF8" s="11" t="str">
        <f t="shared" si="66"/>
        <v/>
      </c>
      <c r="FG8" s="11" t="str">
        <f t="shared" si="67"/>
        <v/>
      </c>
      <c r="FH8" s="11" t="str">
        <f t="shared" si="68"/>
        <v/>
      </c>
      <c r="FI8" s="11" t="str">
        <f t="shared" si="69"/>
        <v/>
      </c>
      <c r="FJ8" s="11" t="str">
        <f t="shared" si="70"/>
        <v/>
      </c>
      <c r="FK8" s="15"/>
      <c r="FL8" s="15"/>
      <c r="FM8" s="15"/>
      <c r="FN8" s="15"/>
      <c r="FO8" s="15"/>
      <c r="FP8" s="15"/>
      <c r="FQ8" s="15"/>
      <c r="FR8" s="15"/>
      <c r="FS8" s="15"/>
      <c r="FT8" s="15"/>
      <c r="FU8" s="15"/>
      <c r="FV8" s="15"/>
      <c r="FW8" s="15"/>
      <c r="FX8" s="15"/>
      <c r="FY8" s="15"/>
      <c r="FZ8" s="15"/>
      <c r="GA8" s="15"/>
      <c r="GB8" s="15"/>
      <c r="GC8" s="15"/>
      <c r="GD8" s="15"/>
      <c r="GE8" s="36" t="str">
        <f t="shared" si="71"/>
        <v/>
      </c>
      <c r="GF8" s="36" t="str">
        <f t="shared" si="72"/>
        <v/>
      </c>
      <c r="GG8" s="36" t="str">
        <f t="shared" si="73"/>
        <v/>
      </c>
      <c r="GH8" s="36" t="str">
        <f t="shared" si="74"/>
        <v/>
      </c>
      <c r="GI8" s="36" t="str">
        <f t="shared" si="75"/>
        <v/>
      </c>
      <c r="GJ8" s="36" t="str">
        <f t="shared" si="76"/>
        <v/>
      </c>
      <c r="GK8" s="36" t="str">
        <f t="shared" si="77"/>
        <v/>
      </c>
      <c r="GL8" s="36" t="str">
        <f t="shared" si="78"/>
        <v/>
      </c>
      <c r="GM8" s="36" t="str">
        <f t="shared" si="79"/>
        <v/>
      </c>
      <c r="GN8" s="36" t="str">
        <f t="shared" si="80"/>
        <v/>
      </c>
      <c r="GO8" s="36" t="str">
        <f t="shared" si="81"/>
        <v/>
      </c>
      <c r="GP8" s="36" t="str">
        <f t="shared" si="82"/>
        <v/>
      </c>
      <c r="GQ8" s="36" t="str">
        <f t="shared" si="83"/>
        <v/>
      </c>
      <c r="GR8" s="36" t="str">
        <f t="shared" si="84"/>
        <v/>
      </c>
      <c r="GS8" s="16"/>
      <c r="GT8" s="16"/>
      <c r="GU8" s="16"/>
      <c r="GV8" s="16"/>
      <c r="GW8" s="16"/>
      <c r="GX8" s="16"/>
      <c r="GY8" s="16"/>
      <c r="GZ8" s="16"/>
      <c r="HA8" s="16"/>
      <c r="HB8" s="16"/>
      <c r="HC8" s="16"/>
      <c r="HD8" s="16"/>
      <c r="HE8" s="16"/>
      <c r="HF8" s="16"/>
      <c r="HG8" s="16"/>
      <c r="HH8" s="16"/>
      <c r="HI8" s="16"/>
      <c r="HJ8" s="16"/>
      <c r="HK8" s="16"/>
      <c r="HL8" s="16"/>
      <c r="HM8" s="11" t="str">
        <f t="shared" si="85"/>
        <v/>
      </c>
      <c r="HN8" s="11" t="str">
        <f t="shared" si="86"/>
        <v/>
      </c>
      <c r="HO8" s="11" t="str">
        <f t="shared" si="87"/>
        <v/>
      </c>
      <c r="HP8" s="11" t="str">
        <f t="shared" si="88"/>
        <v/>
      </c>
      <c r="HQ8" s="11" t="str">
        <f t="shared" si="89"/>
        <v/>
      </c>
      <c r="HR8" s="11" t="str">
        <f t="shared" si="90"/>
        <v/>
      </c>
      <c r="HS8" s="11" t="str">
        <f t="shared" si="91"/>
        <v/>
      </c>
      <c r="HT8" s="11" t="str">
        <f t="shared" si="92"/>
        <v/>
      </c>
      <c r="HU8" s="11" t="str">
        <f t="shared" si="93"/>
        <v/>
      </c>
      <c r="HV8" s="11" t="str">
        <f t="shared" si="94"/>
        <v/>
      </c>
      <c r="HW8" s="11" t="str">
        <f t="shared" si="95"/>
        <v/>
      </c>
      <c r="HX8" s="11" t="str">
        <f t="shared" si="96"/>
        <v/>
      </c>
      <c r="HY8" s="11" t="str">
        <f t="shared" si="97"/>
        <v/>
      </c>
      <c r="HZ8" s="11" t="str">
        <f t="shared" si="98"/>
        <v/>
      </c>
      <c r="IA8" s="15"/>
      <c r="IB8" s="15"/>
      <c r="IC8" s="15"/>
      <c r="ID8" s="15"/>
      <c r="IE8" s="15"/>
      <c r="IF8" s="15"/>
      <c r="IG8" s="15"/>
      <c r="IH8" s="15"/>
      <c r="II8" s="15"/>
      <c r="IJ8" s="15"/>
      <c r="IK8" s="15"/>
      <c r="IL8" s="15"/>
      <c r="IM8" s="15"/>
      <c r="IN8" s="15"/>
      <c r="IO8" s="15"/>
      <c r="IP8" s="15"/>
      <c r="IQ8" s="15"/>
      <c r="IR8" s="15"/>
      <c r="IS8" s="15"/>
      <c r="IT8" s="15"/>
      <c r="IU8" s="36" t="str">
        <f t="shared" si="99"/>
        <v/>
      </c>
      <c r="IV8" s="36" t="str">
        <f t="shared" si="100"/>
        <v/>
      </c>
      <c r="IW8" s="36" t="str">
        <f t="shared" si="101"/>
        <v/>
      </c>
      <c r="IX8" s="36" t="str">
        <f t="shared" si="102"/>
        <v/>
      </c>
      <c r="IY8" s="36" t="str">
        <f t="shared" si="103"/>
        <v/>
      </c>
      <c r="IZ8" s="36" t="str">
        <f t="shared" si="104"/>
        <v/>
      </c>
      <c r="JA8" s="36" t="str">
        <f t="shared" si="105"/>
        <v/>
      </c>
      <c r="JB8" s="36" t="str">
        <f t="shared" si="106"/>
        <v/>
      </c>
      <c r="JC8" s="36" t="str">
        <f t="shared" si="107"/>
        <v/>
      </c>
      <c r="JD8" s="36" t="str">
        <f t="shared" si="108"/>
        <v/>
      </c>
      <c r="JE8" s="36" t="str">
        <f t="shared" si="109"/>
        <v/>
      </c>
      <c r="JF8" s="36" t="str">
        <f t="shared" si="110"/>
        <v/>
      </c>
      <c r="JG8" s="36" t="str">
        <f t="shared" si="111"/>
        <v/>
      </c>
      <c r="JH8" s="36" t="str">
        <f t="shared" si="112"/>
        <v/>
      </c>
      <c r="JI8" s="16"/>
      <c r="JJ8" s="16"/>
      <c r="JK8" s="16"/>
      <c r="JL8" s="16"/>
      <c r="JM8" s="16"/>
      <c r="JN8" s="16"/>
      <c r="JO8" s="16"/>
      <c r="JP8" s="16"/>
      <c r="JQ8" s="16"/>
      <c r="JR8" s="16"/>
      <c r="JS8" s="16"/>
      <c r="JT8" s="16"/>
      <c r="JU8" s="16"/>
      <c r="JV8" s="16"/>
      <c r="JW8" s="16"/>
      <c r="JX8" s="16"/>
      <c r="JY8" s="16"/>
      <c r="JZ8" s="16"/>
      <c r="KA8" s="16"/>
      <c r="KB8" s="16"/>
      <c r="KC8" s="11" t="str">
        <f t="shared" si="113"/>
        <v/>
      </c>
      <c r="KD8" s="11" t="str">
        <f t="shared" si="114"/>
        <v/>
      </c>
      <c r="KE8" s="11" t="str">
        <f t="shared" si="115"/>
        <v/>
      </c>
      <c r="KF8" s="11" t="str">
        <f t="shared" si="116"/>
        <v/>
      </c>
      <c r="KG8" s="11" t="str">
        <f t="shared" si="117"/>
        <v/>
      </c>
      <c r="KH8" s="11" t="str">
        <f t="shared" si="118"/>
        <v/>
      </c>
      <c r="KI8" s="11" t="str">
        <f t="shared" si="119"/>
        <v/>
      </c>
      <c r="KJ8" s="11" t="str">
        <f t="shared" si="120"/>
        <v/>
      </c>
      <c r="KK8" s="11" t="str">
        <f t="shared" si="121"/>
        <v/>
      </c>
      <c r="KL8" s="11" t="str">
        <f t="shared" si="122"/>
        <v/>
      </c>
      <c r="KM8" s="11" t="str">
        <f t="shared" si="123"/>
        <v/>
      </c>
      <c r="KN8" s="11" t="str">
        <f t="shared" si="124"/>
        <v/>
      </c>
      <c r="KO8" s="11" t="str">
        <f t="shared" si="125"/>
        <v/>
      </c>
      <c r="KP8" s="11" t="str">
        <f t="shared" si="126"/>
        <v/>
      </c>
      <c r="KQ8" s="15"/>
      <c r="KR8" s="15"/>
      <c r="KS8" s="15"/>
      <c r="KT8" s="15"/>
      <c r="KU8" s="15"/>
      <c r="KV8" s="15"/>
      <c r="KW8" s="15"/>
      <c r="KX8" s="15"/>
      <c r="KY8" s="15"/>
      <c r="KZ8" s="15"/>
      <c r="LA8" s="15"/>
      <c r="LB8" s="15"/>
      <c r="LC8" s="15"/>
      <c r="LD8" s="15"/>
      <c r="LE8" s="15"/>
      <c r="LF8" s="15"/>
      <c r="LG8" s="15"/>
      <c r="LH8" s="15"/>
      <c r="LI8" s="15"/>
      <c r="LJ8" s="15"/>
      <c r="LK8" s="36" t="str">
        <f t="shared" si="127"/>
        <v/>
      </c>
      <c r="LL8" s="36" t="str">
        <f t="shared" si="128"/>
        <v/>
      </c>
      <c r="LM8" s="36" t="str">
        <f t="shared" si="129"/>
        <v/>
      </c>
      <c r="LN8" s="36" t="str">
        <f t="shared" si="130"/>
        <v/>
      </c>
      <c r="LO8" s="36" t="str">
        <f t="shared" si="131"/>
        <v/>
      </c>
      <c r="LP8" s="36" t="str">
        <f t="shared" si="132"/>
        <v/>
      </c>
      <c r="LQ8" s="36" t="str">
        <f t="shared" si="133"/>
        <v/>
      </c>
      <c r="LR8" s="36" t="str">
        <f t="shared" si="134"/>
        <v/>
      </c>
      <c r="LS8" s="36" t="str">
        <f t="shared" si="135"/>
        <v/>
      </c>
      <c r="LT8" s="36" t="str">
        <f t="shared" si="136"/>
        <v/>
      </c>
      <c r="LU8" s="36" t="str">
        <f t="shared" si="137"/>
        <v/>
      </c>
      <c r="LV8" s="36" t="str">
        <f t="shared" si="138"/>
        <v/>
      </c>
      <c r="LW8" s="36" t="str">
        <f t="shared" si="139"/>
        <v/>
      </c>
      <c r="LX8" s="36" t="str">
        <f t="shared" si="140"/>
        <v/>
      </c>
      <c r="LY8" s="16"/>
      <c r="LZ8" s="16"/>
      <c r="MA8" s="16"/>
      <c r="MB8" s="16"/>
      <c r="MC8" s="16"/>
      <c r="MD8" s="16"/>
      <c r="ME8" s="16"/>
      <c r="MF8" s="16"/>
      <c r="MG8" s="16"/>
      <c r="MH8" s="16"/>
      <c r="MI8" s="16"/>
      <c r="MJ8" s="16"/>
      <c r="MK8" s="16"/>
      <c r="ML8" s="16"/>
      <c r="MM8" s="16"/>
      <c r="MN8" s="16"/>
      <c r="MO8" s="16"/>
      <c r="MP8" s="16"/>
      <c r="MQ8" s="16"/>
      <c r="MR8" s="16"/>
      <c r="MS8" s="11" t="str">
        <f t="shared" si="141"/>
        <v/>
      </c>
      <c r="MT8" s="11" t="str">
        <f t="shared" si="142"/>
        <v/>
      </c>
      <c r="MU8" s="11" t="str">
        <f t="shared" si="143"/>
        <v/>
      </c>
      <c r="MV8" s="11" t="str">
        <f t="shared" si="144"/>
        <v/>
      </c>
      <c r="MW8" s="11" t="str">
        <f t="shared" si="145"/>
        <v/>
      </c>
      <c r="MX8" s="11" t="str">
        <f t="shared" si="146"/>
        <v/>
      </c>
      <c r="MY8" s="11" t="str">
        <f t="shared" si="147"/>
        <v/>
      </c>
      <c r="MZ8" s="11" t="str">
        <f t="shared" si="148"/>
        <v/>
      </c>
      <c r="NA8" s="11" t="str">
        <f t="shared" si="149"/>
        <v/>
      </c>
      <c r="NB8" s="11" t="str">
        <f t="shared" si="150"/>
        <v/>
      </c>
      <c r="NC8" s="11" t="str">
        <f t="shared" si="151"/>
        <v/>
      </c>
      <c r="ND8" s="11" t="str">
        <f t="shared" si="152"/>
        <v/>
      </c>
      <c r="NE8" s="11" t="str">
        <f t="shared" si="153"/>
        <v/>
      </c>
      <c r="NF8" s="11" t="str">
        <f t="shared" si="154"/>
        <v/>
      </c>
      <c r="NG8" s="15"/>
      <c r="NH8" s="15"/>
      <c r="NI8" s="15"/>
      <c r="NJ8" s="15"/>
      <c r="NK8" s="15"/>
      <c r="NL8" s="15"/>
      <c r="NM8" s="15"/>
      <c r="NN8" s="15"/>
      <c r="NO8" s="15"/>
      <c r="NP8" s="15"/>
      <c r="NQ8" s="15"/>
      <c r="NR8" s="15"/>
      <c r="NS8" s="15"/>
      <c r="NT8" s="15"/>
      <c r="NU8" s="15"/>
      <c r="NV8" s="15"/>
      <c r="NW8" s="15"/>
      <c r="NX8" s="15"/>
      <c r="NY8" s="15"/>
      <c r="NZ8" s="15"/>
      <c r="OA8" s="36" t="str">
        <f t="shared" si="155"/>
        <v/>
      </c>
      <c r="OB8" s="36" t="str">
        <f t="shared" si="156"/>
        <v/>
      </c>
      <c r="OC8" s="36" t="str">
        <f t="shared" si="157"/>
        <v/>
      </c>
      <c r="OD8" s="36" t="str">
        <f t="shared" si="158"/>
        <v/>
      </c>
      <c r="OE8" s="36" t="str">
        <f t="shared" si="159"/>
        <v/>
      </c>
      <c r="OF8" s="36" t="str">
        <f t="shared" si="160"/>
        <v/>
      </c>
      <c r="OG8" s="36" t="str">
        <f t="shared" si="161"/>
        <v/>
      </c>
      <c r="OH8" s="36" t="str">
        <f t="shared" si="162"/>
        <v/>
      </c>
      <c r="OI8" s="36" t="str">
        <f t="shared" si="163"/>
        <v/>
      </c>
      <c r="OJ8" s="36" t="str">
        <f t="shared" si="164"/>
        <v/>
      </c>
      <c r="OK8" s="36" t="str">
        <f t="shared" si="165"/>
        <v/>
      </c>
      <c r="OL8" s="36" t="str">
        <f t="shared" si="166"/>
        <v/>
      </c>
      <c r="OM8" s="36" t="str">
        <f t="shared" si="167"/>
        <v/>
      </c>
      <c r="ON8" s="36" t="str">
        <f t="shared" si="168"/>
        <v/>
      </c>
      <c r="OO8" s="16"/>
      <c r="OP8" s="16"/>
      <c r="OQ8" s="16"/>
      <c r="OR8" s="16"/>
      <c r="OS8" s="16"/>
      <c r="OT8" s="16"/>
      <c r="OU8" s="16"/>
      <c r="OV8" s="16"/>
      <c r="OW8" s="16"/>
      <c r="OX8" s="16"/>
      <c r="OY8" s="16"/>
      <c r="OZ8" s="16"/>
      <c r="PA8" s="16"/>
      <c r="PB8" s="16"/>
      <c r="PC8" s="16"/>
      <c r="PD8" s="16"/>
      <c r="PE8" s="16"/>
      <c r="PF8" s="16"/>
      <c r="PG8" s="16"/>
      <c r="PH8" s="16"/>
      <c r="PI8" s="11" t="str">
        <f t="shared" si="169"/>
        <v/>
      </c>
      <c r="PJ8" s="11" t="str">
        <f t="shared" si="170"/>
        <v/>
      </c>
      <c r="PK8" s="11" t="str">
        <f t="shared" si="171"/>
        <v/>
      </c>
      <c r="PL8" s="11" t="str">
        <f t="shared" si="172"/>
        <v/>
      </c>
      <c r="PM8" s="11" t="str">
        <f t="shared" si="173"/>
        <v/>
      </c>
      <c r="PN8" s="11" t="str">
        <f t="shared" si="174"/>
        <v/>
      </c>
      <c r="PO8" s="11" t="str">
        <f t="shared" si="175"/>
        <v/>
      </c>
      <c r="PP8" s="11" t="str">
        <f t="shared" si="176"/>
        <v/>
      </c>
      <c r="PQ8" s="11" t="str">
        <f t="shared" si="177"/>
        <v/>
      </c>
      <c r="PR8" s="11" t="str">
        <f t="shared" si="178"/>
        <v/>
      </c>
      <c r="PS8" s="11" t="str">
        <f t="shared" si="179"/>
        <v/>
      </c>
      <c r="PT8" s="11" t="str">
        <f t="shared" si="180"/>
        <v/>
      </c>
      <c r="PU8" s="11" t="str">
        <f t="shared" si="181"/>
        <v/>
      </c>
      <c r="PV8" s="11" t="str">
        <f t="shared" si="182"/>
        <v/>
      </c>
      <c r="PW8" s="15"/>
      <c r="PX8" s="15"/>
      <c r="PY8" s="15"/>
      <c r="PZ8" s="15"/>
      <c r="QA8" s="15"/>
      <c r="QB8" s="15"/>
      <c r="QC8" s="15"/>
      <c r="QD8" s="15"/>
      <c r="QE8" s="15"/>
      <c r="QF8" s="15"/>
      <c r="QG8" s="15"/>
      <c r="QH8" s="15"/>
      <c r="QI8" s="15"/>
      <c r="QJ8" s="15"/>
      <c r="QK8" s="15"/>
      <c r="QL8" s="15"/>
      <c r="QM8" s="15"/>
      <c r="QN8" s="15"/>
      <c r="QO8" s="15"/>
      <c r="QP8" s="15"/>
      <c r="QQ8" s="36" t="str">
        <f t="shared" si="183"/>
        <v/>
      </c>
      <c r="QR8" s="36" t="str">
        <f t="shared" si="184"/>
        <v/>
      </c>
      <c r="QS8" s="36" t="str">
        <f t="shared" si="185"/>
        <v/>
      </c>
      <c r="QT8" s="36" t="str">
        <f t="shared" si="186"/>
        <v/>
      </c>
      <c r="QU8" s="36" t="str">
        <f t="shared" si="187"/>
        <v/>
      </c>
      <c r="QV8" s="36" t="str">
        <f t="shared" si="188"/>
        <v/>
      </c>
      <c r="QW8" s="36" t="str">
        <f t="shared" si="189"/>
        <v/>
      </c>
      <c r="QX8" s="36" t="str">
        <f t="shared" si="190"/>
        <v/>
      </c>
      <c r="QY8" s="36" t="str">
        <f t="shared" si="191"/>
        <v/>
      </c>
      <c r="QZ8" s="36" t="str">
        <f t="shared" si="192"/>
        <v/>
      </c>
      <c r="RA8" s="36" t="str">
        <f t="shared" si="193"/>
        <v/>
      </c>
      <c r="RB8" s="36" t="str">
        <f t="shared" si="194"/>
        <v/>
      </c>
      <c r="RC8" s="36" t="str">
        <f t="shared" si="195"/>
        <v/>
      </c>
      <c r="RD8" s="36" t="str">
        <f t="shared" si="196"/>
        <v/>
      </c>
      <c r="RE8" s="16"/>
      <c r="RF8" s="16"/>
      <c r="RG8" s="16"/>
      <c r="RH8" s="16"/>
      <c r="RI8" s="16"/>
      <c r="RJ8" s="16"/>
      <c r="RK8" s="16"/>
      <c r="RL8" s="16"/>
      <c r="RM8" s="16"/>
      <c r="RN8" s="16"/>
      <c r="RO8" s="16"/>
      <c r="RP8" s="16"/>
      <c r="RQ8" s="16"/>
      <c r="RR8" s="16"/>
      <c r="RS8" s="16"/>
      <c r="RT8" s="16"/>
      <c r="RU8" s="16"/>
      <c r="RV8" s="16"/>
      <c r="RW8" s="16"/>
      <c r="RX8" s="16"/>
      <c r="RY8" s="11" t="str">
        <f t="shared" si="197"/>
        <v/>
      </c>
      <c r="RZ8" s="11" t="str">
        <f t="shared" si="198"/>
        <v/>
      </c>
      <c r="SA8" s="11" t="str">
        <f t="shared" si="199"/>
        <v/>
      </c>
      <c r="SB8" s="11" t="str">
        <f t="shared" si="200"/>
        <v/>
      </c>
      <c r="SC8" s="11" t="str">
        <f t="shared" si="201"/>
        <v/>
      </c>
      <c r="SD8" s="11" t="str">
        <f t="shared" si="202"/>
        <v/>
      </c>
      <c r="SE8" s="11" t="str">
        <f t="shared" si="203"/>
        <v/>
      </c>
      <c r="SF8" s="11" t="str">
        <f t="shared" si="204"/>
        <v/>
      </c>
      <c r="SG8" s="11" t="str">
        <f t="shared" si="205"/>
        <v/>
      </c>
      <c r="SH8" s="11" t="str">
        <f t="shared" si="206"/>
        <v/>
      </c>
      <c r="SI8" s="11" t="str">
        <f t="shared" si="207"/>
        <v/>
      </c>
      <c r="SJ8" s="11" t="str">
        <f t="shared" si="208"/>
        <v/>
      </c>
      <c r="SK8" s="11" t="str">
        <f t="shared" si="209"/>
        <v/>
      </c>
      <c r="SL8" s="11" t="str">
        <f t="shared" si="210"/>
        <v/>
      </c>
      <c r="SM8" s="15"/>
      <c r="SN8" s="15"/>
      <c r="SO8" s="15"/>
      <c r="SP8" s="15"/>
      <c r="SQ8" s="15"/>
      <c r="SR8" s="15"/>
      <c r="SS8" s="15"/>
      <c r="ST8" s="15"/>
      <c r="SU8" s="15"/>
      <c r="SV8" s="15"/>
      <c r="SW8" s="15"/>
      <c r="SX8" s="15"/>
      <c r="SY8" s="15"/>
      <c r="SZ8" s="15"/>
      <c r="TA8" s="15"/>
      <c r="TB8" s="15"/>
      <c r="TC8" s="15"/>
      <c r="TD8" s="15"/>
      <c r="TE8" s="15"/>
      <c r="TF8" s="15"/>
      <c r="TG8" s="36" t="str">
        <f t="shared" si="211"/>
        <v/>
      </c>
      <c r="TH8" s="36" t="str">
        <f t="shared" si="212"/>
        <v/>
      </c>
      <c r="TI8" s="36" t="str">
        <f t="shared" si="213"/>
        <v/>
      </c>
      <c r="TJ8" s="36" t="str">
        <f t="shared" si="214"/>
        <v/>
      </c>
      <c r="TK8" s="36" t="str">
        <f t="shared" si="215"/>
        <v/>
      </c>
      <c r="TL8" s="36" t="str">
        <f t="shared" si="216"/>
        <v/>
      </c>
      <c r="TM8" s="36" t="str">
        <f t="shared" si="217"/>
        <v/>
      </c>
      <c r="TN8" s="36" t="str">
        <f t="shared" si="218"/>
        <v/>
      </c>
      <c r="TO8" s="36" t="str">
        <f t="shared" si="219"/>
        <v/>
      </c>
      <c r="TP8" s="36" t="str">
        <f t="shared" si="220"/>
        <v/>
      </c>
      <c r="TQ8" s="36" t="str">
        <f t="shared" si="221"/>
        <v/>
      </c>
      <c r="TR8" s="36" t="str">
        <f t="shared" si="222"/>
        <v/>
      </c>
      <c r="TS8" s="36" t="str">
        <f t="shared" si="223"/>
        <v/>
      </c>
      <c r="TT8" s="36" t="str">
        <f t="shared" si="224"/>
        <v/>
      </c>
      <c r="TU8" s="16"/>
      <c r="TV8" s="16"/>
      <c r="TW8" s="16"/>
      <c r="TX8" s="16"/>
      <c r="TY8" s="16"/>
      <c r="TZ8" s="16"/>
      <c r="UA8" s="16"/>
      <c r="UB8" s="16"/>
      <c r="UC8" s="16"/>
      <c r="UD8" s="16"/>
      <c r="UE8" s="16"/>
      <c r="UF8" s="16"/>
      <c r="UG8" s="16"/>
      <c r="UH8" s="16"/>
      <c r="UI8" s="16"/>
      <c r="UJ8" s="16"/>
      <c r="UK8" s="16"/>
      <c r="UL8" s="16"/>
      <c r="UM8" s="16"/>
      <c r="UN8" s="16"/>
      <c r="UO8" s="11" t="str">
        <f t="shared" si="225"/>
        <v/>
      </c>
      <c r="UP8" s="11" t="str">
        <f t="shared" si="226"/>
        <v/>
      </c>
      <c r="UQ8" s="11" t="str">
        <f t="shared" si="227"/>
        <v/>
      </c>
      <c r="UR8" s="11" t="str">
        <f t="shared" si="228"/>
        <v/>
      </c>
      <c r="US8" s="11" t="str">
        <f t="shared" si="229"/>
        <v/>
      </c>
      <c r="UT8" s="11" t="str">
        <f t="shared" si="230"/>
        <v/>
      </c>
      <c r="UU8" s="11" t="str">
        <f t="shared" si="231"/>
        <v/>
      </c>
      <c r="UV8" s="11" t="str">
        <f t="shared" si="232"/>
        <v/>
      </c>
      <c r="UW8" s="11" t="str">
        <f t="shared" si="233"/>
        <v/>
      </c>
      <c r="UX8" s="11" t="str">
        <f t="shared" si="234"/>
        <v/>
      </c>
      <c r="UY8" s="11" t="str">
        <f t="shared" si="235"/>
        <v/>
      </c>
      <c r="UZ8" s="11" t="str">
        <f t="shared" si="236"/>
        <v/>
      </c>
      <c r="VA8" s="11" t="str">
        <f t="shared" si="237"/>
        <v/>
      </c>
      <c r="VB8" s="11" t="str">
        <f t="shared" si="238"/>
        <v/>
      </c>
      <c r="VC8" s="15"/>
      <c r="VD8" s="15"/>
      <c r="VE8" s="15"/>
      <c r="VF8" s="15"/>
      <c r="VG8" s="15"/>
      <c r="VH8" s="15"/>
      <c r="VI8" s="15"/>
      <c r="VJ8" s="15"/>
      <c r="VK8" s="15"/>
      <c r="VL8" s="15"/>
      <c r="VM8" s="15"/>
      <c r="VN8" s="15"/>
      <c r="VO8" s="15"/>
      <c r="VP8" s="15"/>
      <c r="VQ8" s="15"/>
      <c r="VR8" s="15"/>
      <c r="VS8" s="15"/>
      <c r="VT8" s="15"/>
      <c r="VU8" s="15"/>
      <c r="VV8" s="15"/>
      <c r="VW8" s="36" t="str">
        <f t="shared" si="239"/>
        <v/>
      </c>
      <c r="VX8" s="36" t="str">
        <f t="shared" si="240"/>
        <v/>
      </c>
      <c r="VY8" s="36" t="str">
        <f t="shared" si="241"/>
        <v/>
      </c>
      <c r="VZ8" s="36" t="str">
        <f t="shared" si="242"/>
        <v/>
      </c>
      <c r="WA8" s="36" t="str">
        <f t="shared" si="243"/>
        <v/>
      </c>
      <c r="WB8" s="36" t="str">
        <f t="shared" si="244"/>
        <v/>
      </c>
      <c r="WC8" s="36" t="str">
        <f t="shared" si="245"/>
        <v/>
      </c>
      <c r="WD8" s="36" t="str">
        <f t="shared" si="246"/>
        <v/>
      </c>
      <c r="WE8" s="36" t="str">
        <f t="shared" si="247"/>
        <v/>
      </c>
      <c r="WF8" s="36" t="str">
        <f t="shared" si="248"/>
        <v/>
      </c>
      <c r="WG8" s="36" t="str">
        <f t="shared" si="249"/>
        <v/>
      </c>
      <c r="WH8" s="36" t="str">
        <f t="shared" si="250"/>
        <v/>
      </c>
      <c r="WI8" s="36" t="str">
        <f t="shared" si="251"/>
        <v/>
      </c>
      <c r="WJ8" s="36" t="str">
        <f t="shared" si="252"/>
        <v/>
      </c>
    </row>
    <row r="9" spans="1:608" x14ac:dyDescent="0.2">
      <c r="A9" s="4" t="str" cm="1">
        <f t="array" ref="A9">IF(AND(H9&lt;&gt;"",H9&lt;&gt;"No DD",I9&lt;&gt;"P"),SUMPRODUCT((H$4:H$14&lt;&gt;"")*(H$4:H$14&lt;&gt;"No DD")*(I$4:I$14&lt;&gt;"P")*(E$4:E$14&gt;E9))+1,IF(H9="No DD",SUMPRODUCT((H$4:H$14="No DD")*(I$4:I$14&lt;&gt;"P")*(E$4:E$14&gt;E9))+1+SUMPRODUCT((H$4:H$14&lt;&gt;"")*(I$4:I$14&lt;&gt;"P")*(H$4:H$14&lt;&gt;"No DD")),""))</f>
        <v/>
      </c>
      <c r="B9" s="5" t="s">
        <v>216</v>
      </c>
      <c r="C9" s="4" t="s">
        <v>6</v>
      </c>
      <c r="D9" s="4">
        <v>2009</v>
      </c>
      <c r="E9" s="9">
        <f t="shared" si="0"/>
        <v>96.750009675004875</v>
      </c>
      <c r="F9" s="3" t="str">
        <f t="shared" si="1"/>
        <v/>
      </c>
      <c r="G9" s="3" t="str">
        <f t="shared" si="2"/>
        <v/>
      </c>
      <c r="H9" s="32" t="str">
        <f t="shared" si="3"/>
        <v/>
      </c>
      <c r="I9" s="3" t="str">
        <f>IF(COUNTIFS('Senior-W'!B:B,B9,'Senior-W'!A:A,"&lt;9",'Senior-W'!H:H,"&lt;&gt;"&amp;"No DD"),"P","")</f>
        <v/>
      </c>
      <c r="J9" s="8">
        <f t="shared" si="4"/>
        <v>48.73</v>
      </c>
      <c r="K9" s="8" t="str">
        <f t="shared" si="5"/>
        <v>2025 Nationals</v>
      </c>
      <c r="L9" s="8">
        <f>IFERROR(LARGE((AI9,AL9,AP9,BJ9,BM9,BQ9,CK9,CN9,CR9),2),0)</f>
        <v>48.019999999999996</v>
      </c>
      <c r="M9" s="8" t="str">
        <f t="shared" si="6"/>
        <v>2025 Nationals</v>
      </c>
      <c r="N9" s="8">
        <f t="shared" si="7"/>
        <v>0</v>
      </c>
      <c r="O9" s="11" t="str">
        <f>IF(N9=0,"",IF(N9=CT9,"("&amp;CT$2&amp;")",IF(N9=#REF!,"("&amp;#REF!&amp;")")))</f>
        <v/>
      </c>
      <c r="P9" s="8" t="str">
        <f t="shared" si="8"/>
        <v/>
      </c>
      <c r="Q9" s="18">
        <v>15.6</v>
      </c>
      <c r="R9" s="18">
        <v>9.6</v>
      </c>
      <c r="S9" s="18">
        <v>0</v>
      </c>
      <c r="T9" s="18">
        <v>14.33</v>
      </c>
      <c r="U9" s="18">
        <v>0</v>
      </c>
      <c r="V9" s="18">
        <v>11.4</v>
      </c>
      <c r="W9" s="18">
        <v>8.8000000000000007</v>
      </c>
      <c r="X9" s="18">
        <v>8.4</v>
      </c>
      <c r="Y9" s="18">
        <v>12.65</v>
      </c>
      <c r="Z9" s="18">
        <v>0</v>
      </c>
      <c r="AA9" s="18">
        <v>12.7</v>
      </c>
      <c r="AB9" s="18">
        <v>9.6999999999999993</v>
      </c>
      <c r="AC9" s="18">
        <v>11</v>
      </c>
      <c r="AD9" s="18">
        <v>14.06</v>
      </c>
      <c r="AE9" s="18">
        <v>0</v>
      </c>
      <c r="AF9" s="23"/>
      <c r="AG9" s="34" t="str">
        <f t="shared" si="9"/>
        <v/>
      </c>
      <c r="AH9" s="34">
        <f t="shared" si="10"/>
        <v>14.33</v>
      </c>
      <c r="AI9" s="36">
        <f t="shared" si="11"/>
        <v>39.53</v>
      </c>
      <c r="AJ9" s="36">
        <f t="shared" si="12"/>
        <v>8.4</v>
      </c>
      <c r="AK9" s="36">
        <f t="shared" si="13"/>
        <v>12.65</v>
      </c>
      <c r="AL9" s="36">
        <f t="shared" si="14"/>
        <v>41.25</v>
      </c>
      <c r="AM9" s="36">
        <f t="shared" si="15"/>
        <v>41.25</v>
      </c>
      <c r="AN9" s="36">
        <f t="shared" si="16"/>
        <v>11</v>
      </c>
      <c r="AO9" s="36">
        <f t="shared" si="17"/>
        <v>14.06</v>
      </c>
      <c r="AP9" s="36">
        <f t="shared" si="18"/>
        <v>47.46</v>
      </c>
      <c r="AQ9" s="36">
        <f t="shared" si="19"/>
        <v>88.710000000000008</v>
      </c>
      <c r="AR9" s="22">
        <v>17.5</v>
      </c>
      <c r="AS9" s="22">
        <v>9.8000000000000007</v>
      </c>
      <c r="AT9" s="22">
        <v>0</v>
      </c>
      <c r="AU9" s="22">
        <v>14.97</v>
      </c>
      <c r="AV9" s="22">
        <v>0</v>
      </c>
      <c r="AW9" s="22">
        <v>13.5</v>
      </c>
      <c r="AX9" s="22">
        <v>9.1999999999999993</v>
      </c>
      <c r="AY9" s="22">
        <v>10.8</v>
      </c>
      <c r="AZ9" s="22">
        <v>14.52</v>
      </c>
      <c r="BA9" s="22">
        <v>0</v>
      </c>
      <c r="BB9" s="22">
        <v>13.5</v>
      </c>
      <c r="BC9" s="22">
        <v>9.1999999999999993</v>
      </c>
      <c r="BD9" s="22">
        <v>11.7</v>
      </c>
      <c r="BE9" s="22">
        <v>14.33</v>
      </c>
      <c r="BF9" s="22">
        <v>0</v>
      </c>
      <c r="BG9" s="24"/>
      <c r="BH9" s="35" t="str">
        <f t="shared" si="20"/>
        <v/>
      </c>
      <c r="BI9" s="35">
        <f t="shared" si="21"/>
        <v>14.97</v>
      </c>
      <c r="BJ9" s="11">
        <f t="shared" si="22"/>
        <v>42.27</v>
      </c>
      <c r="BK9" s="11">
        <f t="shared" si="23"/>
        <v>10.8</v>
      </c>
      <c r="BL9" s="11">
        <f t="shared" si="24"/>
        <v>14.52</v>
      </c>
      <c r="BM9" s="11">
        <f t="shared" si="25"/>
        <v>48.019999999999996</v>
      </c>
      <c r="BN9" s="11">
        <f t="shared" si="26"/>
        <v>48.019999999999996</v>
      </c>
      <c r="BO9" s="11">
        <f t="shared" si="27"/>
        <v>11.7</v>
      </c>
      <c r="BP9" s="11">
        <f t="shared" si="28"/>
        <v>14.33</v>
      </c>
      <c r="BQ9" s="11">
        <f t="shared" si="29"/>
        <v>48.73</v>
      </c>
      <c r="BR9" s="11">
        <f t="shared" si="30"/>
        <v>96.75</v>
      </c>
      <c r="BS9" s="18">
        <v>15.2</v>
      </c>
      <c r="BT9" s="18">
        <v>9.6</v>
      </c>
      <c r="BU9" s="18">
        <v>0</v>
      </c>
      <c r="BV9" s="18">
        <v>14.98</v>
      </c>
      <c r="BW9" s="18">
        <v>0</v>
      </c>
      <c r="BX9" s="18">
        <v>10.4</v>
      </c>
      <c r="BY9" s="18">
        <v>9.4</v>
      </c>
      <c r="BZ9" s="18">
        <v>8.6999999999999993</v>
      </c>
      <c r="CA9" s="18">
        <v>14.56</v>
      </c>
      <c r="CB9" s="18">
        <v>0.5</v>
      </c>
      <c r="CC9" s="18">
        <v>12.3</v>
      </c>
      <c r="CD9" s="18">
        <v>8.8000000000000007</v>
      </c>
      <c r="CE9" s="18">
        <v>9</v>
      </c>
      <c r="CF9" s="18">
        <v>14.31</v>
      </c>
      <c r="CG9" s="18">
        <v>0.2</v>
      </c>
      <c r="CH9" s="23"/>
      <c r="CI9" s="34" t="str">
        <f t="shared" si="31"/>
        <v/>
      </c>
      <c r="CJ9" s="34">
        <f t="shared" si="32"/>
        <v>14.98</v>
      </c>
      <c r="CK9" s="36">
        <f t="shared" si="33"/>
        <v>39.78</v>
      </c>
      <c r="CL9" s="36">
        <f t="shared" si="34"/>
        <v>8.6999999999999993</v>
      </c>
      <c r="CM9" s="36">
        <f t="shared" si="35"/>
        <v>14.56</v>
      </c>
      <c r="CN9" s="36">
        <f t="shared" si="36"/>
        <v>42.56</v>
      </c>
      <c r="CO9" s="36">
        <f t="shared" si="37"/>
        <v>42.56</v>
      </c>
      <c r="CP9" s="36">
        <f t="shared" si="38"/>
        <v>9</v>
      </c>
      <c r="CQ9" s="36">
        <f t="shared" si="39"/>
        <v>14.31</v>
      </c>
      <c r="CR9" s="36">
        <f t="shared" si="40"/>
        <v>44.21</v>
      </c>
      <c r="CS9" s="36">
        <f t="shared" si="41"/>
        <v>86.77000000000001</v>
      </c>
      <c r="CT9" s="47" t="str">
        <f t="shared" si="42"/>
        <v/>
      </c>
      <c r="CU9" s="15"/>
      <c r="CV9" s="15"/>
      <c r="CW9" s="15"/>
      <c r="CX9" s="15"/>
      <c r="CY9" s="15"/>
      <c r="CZ9" s="15"/>
      <c r="DA9" s="15"/>
      <c r="DB9" s="15"/>
      <c r="DC9" s="15"/>
      <c r="DD9" s="15"/>
      <c r="DE9" s="15"/>
      <c r="DF9" s="15"/>
      <c r="DG9" s="15"/>
      <c r="DH9" s="15"/>
      <c r="DI9" s="15"/>
      <c r="DJ9" s="15"/>
      <c r="DK9" s="15"/>
      <c r="DL9" s="15"/>
      <c r="DM9" s="15"/>
      <c r="DN9" s="15"/>
      <c r="DO9" s="36" t="str">
        <f t="shared" si="43"/>
        <v/>
      </c>
      <c r="DP9" s="36" t="str">
        <f t="shared" si="44"/>
        <v/>
      </c>
      <c r="DQ9" s="36" t="str">
        <f t="shared" si="45"/>
        <v/>
      </c>
      <c r="DR9" s="36" t="str">
        <f t="shared" si="46"/>
        <v/>
      </c>
      <c r="DS9" s="36" t="str">
        <f t="shared" si="47"/>
        <v/>
      </c>
      <c r="DT9" s="36" t="str">
        <f t="shared" si="48"/>
        <v/>
      </c>
      <c r="DU9" s="36" t="str">
        <f t="shared" si="49"/>
        <v/>
      </c>
      <c r="DV9" s="36" t="str">
        <f t="shared" si="50"/>
        <v/>
      </c>
      <c r="DW9" s="36" t="str">
        <f t="shared" si="51"/>
        <v/>
      </c>
      <c r="DX9" s="36" t="str">
        <f t="shared" si="52"/>
        <v/>
      </c>
      <c r="DY9" s="36" t="str">
        <f t="shared" si="53"/>
        <v/>
      </c>
      <c r="DZ9" s="36" t="str">
        <f t="shared" si="54"/>
        <v/>
      </c>
      <c r="EA9" s="36" t="str">
        <f t="shared" si="55"/>
        <v/>
      </c>
      <c r="EB9" s="36" t="str">
        <f t="shared" si="56"/>
        <v/>
      </c>
      <c r="EC9" s="16"/>
      <c r="ED9" s="16"/>
      <c r="EE9" s="16"/>
      <c r="EF9" s="16"/>
      <c r="EG9" s="16"/>
      <c r="EH9" s="16"/>
      <c r="EI9" s="16"/>
      <c r="EJ9" s="16"/>
      <c r="EK9" s="16"/>
      <c r="EL9" s="16"/>
      <c r="EM9" s="16"/>
      <c r="EN9" s="16"/>
      <c r="EO9" s="16"/>
      <c r="EP9" s="16"/>
      <c r="EQ9" s="16"/>
      <c r="ER9" s="16"/>
      <c r="ES9" s="16"/>
      <c r="ET9" s="16"/>
      <c r="EU9" s="16"/>
      <c r="EV9" s="16"/>
      <c r="EW9" s="11" t="str">
        <f t="shared" si="57"/>
        <v/>
      </c>
      <c r="EX9" s="11" t="str">
        <f t="shared" si="58"/>
        <v/>
      </c>
      <c r="EY9" s="11" t="str">
        <f t="shared" si="59"/>
        <v/>
      </c>
      <c r="EZ9" s="11" t="str">
        <f t="shared" si="60"/>
        <v/>
      </c>
      <c r="FA9" s="11" t="str">
        <f t="shared" si="61"/>
        <v/>
      </c>
      <c r="FB9" s="11" t="str">
        <f t="shared" si="62"/>
        <v/>
      </c>
      <c r="FC9" s="11" t="str">
        <f t="shared" si="63"/>
        <v/>
      </c>
      <c r="FD9" s="11" t="str">
        <f t="shared" si="64"/>
        <v/>
      </c>
      <c r="FE9" s="11" t="str">
        <f t="shared" si="65"/>
        <v/>
      </c>
      <c r="FF9" s="11" t="str">
        <f t="shared" si="66"/>
        <v/>
      </c>
      <c r="FG9" s="11" t="str">
        <f t="shared" si="67"/>
        <v/>
      </c>
      <c r="FH9" s="11" t="str">
        <f t="shared" si="68"/>
        <v/>
      </c>
      <c r="FI9" s="11" t="str">
        <f t="shared" si="69"/>
        <v/>
      </c>
      <c r="FJ9" s="11" t="str">
        <f t="shared" si="70"/>
        <v/>
      </c>
      <c r="FK9" s="15"/>
      <c r="FL9" s="15"/>
      <c r="FM9" s="15"/>
      <c r="FN9" s="15"/>
      <c r="FO9" s="15"/>
      <c r="FP9" s="15"/>
      <c r="FQ9" s="15"/>
      <c r="FR9" s="15"/>
      <c r="FS9" s="15"/>
      <c r="FT9" s="15"/>
      <c r="FU9" s="15"/>
      <c r="FV9" s="15"/>
      <c r="FW9" s="15"/>
      <c r="FX9" s="15"/>
      <c r="FY9" s="15"/>
      <c r="FZ9" s="15"/>
      <c r="GA9" s="15"/>
      <c r="GB9" s="15"/>
      <c r="GC9" s="15"/>
      <c r="GD9" s="15"/>
      <c r="GE9" s="36" t="str">
        <f t="shared" si="71"/>
        <v/>
      </c>
      <c r="GF9" s="36" t="str">
        <f t="shared" si="72"/>
        <v/>
      </c>
      <c r="GG9" s="36" t="str">
        <f t="shared" si="73"/>
        <v/>
      </c>
      <c r="GH9" s="36" t="str">
        <f t="shared" si="74"/>
        <v/>
      </c>
      <c r="GI9" s="36" t="str">
        <f t="shared" si="75"/>
        <v/>
      </c>
      <c r="GJ9" s="36" t="str">
        <f t="shared" si="76"/>
        <v/>
      </c>
      <c r="GK9" s="36" t="str">
        <f t="shared" si="77"/>
        <v/>
      </c>
      <c r="GL9" s="36" t="str">
        <f t="shared" si="78"/>
        <v/>
      </c>
      <c r="GM9" s="36" t="str">
        <f t="shared" si="79"/>
        <v/>
      </c>
      <c r="GN9" s="36" t="str">
        <f t="shared" si="80"/>
        <v/>
      </c>
      <c r="GO9" s="36" t="str">
        <f t="shared" si="81"/>
        <v/>
      </c>
      <c r="GP9" s="36" t="str">
        <f t="shared" si="82"/>
        <v/>
      </c>
      <c r="GQ9" s="36" t="str">
        <f t="shared" si="83"/>
        <v/>
      </c>
      <c r="GR9" s="36" t="str">
        <f t="shared" si="84"/>
        <v/>
      </c>
      <c r="GS9" s="16">
        <v>15.2</v>
      </c>
      <c r="GT9" s="16">
        <v>9.6</v>
      </c>
      <c r="GU9" s="16">
        <v>0</v>
      </c>
      <c r="GV9" s="16">
        <v>15.04</v>
      </c>
      <c r="GW9" s="16">
        <v>0</v>
      </c>
      <c r="GX9" s="16">
        <v>3.8</v>
      </c>
      <c r="GY9" s="16">
        <v>2.7</v>
      </c>
      <c r="GZ9" s="16">
        <v>3.9</v>
      </c>
      <c r="HA9" s="16">
        <v>4.54</v>
      </c>
      <c r="HB9" s="16">
        <v>0</v>
      </c>
      <c r="HC9" s="16"/>
      <c r="HD9" s="16"/>
      <c r="HE9" s="16"/>
      <c r="HF9" s="16"/>
      <c r="HG9" s="16"/>
      <c r="HH9" s="16"/>
      <c r="HI9" s="16"/>
      <c r="HJ9" s="16"/>
      <c r="HK9" s="16"/>
      <c r="HL9" s="16"/>
      <c r="HM9" s="11" t="str">
        <f t="shared" si="85"/>
        <v/>
      </c>
      <c r="HN9" s="11">
        <f t="shared" si="86"/>
        <v>15.04</v>
      </c>
      <c r="HO9" s="11">
        <f t="shared" si="87"/>
        <v>39.839999999999996</v>
      </c>
      <c r="HP9" s="11">
        <f t="shared" si="88"/>
        <v>3.9</v>
      </c>
      <c r="HQ9" s="11">
        <f t="shared" si="89"/>
        <v>4.54</v>
      </c>
      <c r="HR9" s="11">
        <f t="shared" si="90"/>
        <v>14.940000000000001</v>
      </c>
      <c r="HS9" s="11">
        <f t="shared" si="91"/>
        <v>39.839999999999996</v>
      </c>
      <c r="HT9" s="11" t="str">
        <f t="shared" si="92"/>
        <v/>
      </c>
      <c r="HU9" s="11" t="str">
        <f t="shared" si="93"/>
        <v/>
      </c>
      <c r="HV9" s="11" t="str">
        <f t="shared" si="94"/>
        <v/>
      </c>
      <c r="HW9" s="11" t="str">
        <f t="shared" si="95"/>
        <v/>
      </c>
      <c r="HX9" s="11" t="str">
        <f t="shared" si="96"/>
        <v/>
      </c>
      <c r="HY9" s="11" t="str">
        <f t="shared" si="97"/>
        <v/>
      </c>
      <c r="HZ9" s="11">
        <f t="shared" si="98"/>
        <v>39.839999999999996</v>
      </c>
      <c r="IA9" s="15"/>
      <c r="IB9" s="15"/>
      <c r="IC9" s="15"/>
      <c r="ID9" s="15"/>
      <c r="IE9" s="15"/>
      <c r="IF9" s="15"/>
      <c r="IG9" s="15"/>
      <c r="IH9" s="15"/>
      <c r="II9" s="15"/>
      <c r="IJ9" s="15"/>
      <c r="IK9" s="15"/>
      <c r="IL9" s="15"/>
      <c r="IM9" s="15"/>
      <c r="IN9" s="15"/>
      <c r="IO9" s="15"/>
      <c r="IP9" s="15"/>
      <c r="IQ9" s="15"/>
      <c r="IR9" s="15"/>
      <c r="IS9" s="15"/>
      <c r="IT9" s="15"/>
      <c r="IU9" s="36" t="str">
        <f t="shared" si="99"/>
        <v/>
      </c>
      <c r="IV9" s="36" t="str">
        <f t="shared" si="100"/>
        <v/>
      </c>
      <c r="IW9" s="36" t="str">
        <f t="shared" si="101"/>
        <v/>
      </c>
      <c r="IX9" s="36" t="str">
        <f t="shared" si="102"/>
        <v/>
      </c>
      <c r="IY9" s="36" t="str">
        <f t="shared" si="103"/>
        <v/>
      </c>
      <c r="IZ9" s="36" t="str">
        <f t="shared" si="104"/>
        <v/>
      </c>
      <c r="JA9" s="36" t="str">
        <f t="shared" si="105"/>
        <v/>
      </c>
      <c r="JB9" s="36" t="str">
        <f t="shared" si="106"/>
        <v/>
      </c>
      <c r="JC9" s="36" t="str">
        <f t="shared" si="107"/>
        <v/>
      </c>
      <c r="JD9" s="36" t="str">
        <f t="shared" si="108"/>
        <v/>
      </c>
      <c r="JE9" s="36" t="str">
        <f t="shared" si="109"/>
        <v/>
      </c>
      <c r="JF9" s="36" t="str">
        <f t="shared" si="110"/>
        <v/>
      </c>
      <c r="JG9" s="36" t="str">
        <f t="shared" si="111"/>
        <v/>
      </c>
      <c r="JH9" s="36" t="str">
        <f t="shared" si="112"/>
        <v/>
      </c>
      <c r="JI9" s="16"/>
      <c r="JJ9" s="16"/>
      <c r="JK9" s="16"/>
      <c r="JL9" s="16"/>
      <c r="JM9" s="16"/>
      <c r="JN9" s="16"/>
      <c r="JO9" s="16"/>
      <c r="JP9" s="16"/>
      <c r="JQ9" s="16"/>
      <c r="JR9" s="16"/>
      <c r="JS9" s="16"/>
      <c r="JT9" s="16"/>
      <c r="JU9" s="16"/>
      <c r="JV9" s="16"/>
      <c r="JW9" s="16"/>
      <c r="JX9" s="16"/>
      <c r="JY9" s="16"/>
      <c r="JZ9" s="16"/>
      <c r="KA9" s="16"/>
      <c r="KB9" s="16"/>
      <c r="KC9" s="11" t="str">
        <f t="shared" si="113"/>
        <v/>
      </c>
      <c r="KD9" s="11" t="str">
        <f t="shared" si="114"/>
        <v/>
      </c>
      <c r="KE9" s="11" t="str">
        <f t="shared" si="115"/>
        <v/>
      </c>
      <c r="KF9" s="11" t="str">
        <f t="shared" si="116"/>
        <v/>
      </c>
      <c r="KG9" s="11" t="str">
        <f t="shared" si="117"/>
        <v/>
      </c>
      <c r="KH9" s="11" t="str">
        <f t="shared" si="118"/>
        <v/>
      </c>
      <c r="KI9" s="11" t="str">
        <f t="shared" si="119"/>
        <v/>
      </c>
      <c r="KJ9" s="11" t="str">
        <f t="shared" si="120"/>
        <v/>
      </c>
      <c r="KK9" s="11" t="str">
        <f t="shared" si="121"/>
        <v/>
      </c>
      <c r="KL9" s="11" t="str">
        <f t="shared" si="122"/>
        <v/>
      </c>
      <c r="KM9" s="11" t="str">
        <f t="shared" si="123"/>
        <v/>
      </c>
      <c r="KN9" s="11" t="str">
        <f t="shared" si="124"/>
        <v/>
      </c>
      <c r="KO9" s="11" t="str">
        <f t="shared" si="125"/>
        <v/>
      </c>
      <c r="KP9" s="11" t="str">
        <f t="shared" si="126"/>
        <v/>
      </c>
      <c r="KQ9" s="15"/>
      <c r="KR9" s="15"/>
      <c r="KS9" s="15"/>
      <c r="KT9" s="15"/>
      <c r="KU9" s="15"/>
      <c r="KV9" s="15"/>
      <c r="KW9" s="15"/>
      <c r="KX9" s="15"/>
      <c r="KY9" s="15"/>
      <c r="KZ9" s="15"/>
      <c r="LA9" s="15"/>
      <c r="LB9" s="15"/>
      <c r="LC9" s="15"/>
      <c r="LD9" s="15"/>
      <c r="LE9" s="15"/>
      <c r="LF9" s="15"/>
      <c r="LG9" s="15"/>
      <c r="LH9" s="15"/>
      <c r="LI9" s="15"/>
      <c r="LJ9" s="15"/>
      <c r="LK9" s="36" t="str">
        <f t="shared" si="127"/>
        <v/>
      </c>
      <c r="LL9" s="36" t="str">
        <f t="shared" si="128"/>
        <v/>
      </c>
      <c r="LM9" s="36" t="str">
        <f t="shared" si="129"/>
        <v/>
      </c>
      <c r="LN9" s="36" t="str">
        <f t="shared" si="130"/>
        <v/>
      </c>
      <c r="LO9" s="36" t="str">
        <f t="shared" si="131"/>
        <v/>
      </c>
      <c r="LP9" s="36" t="str">
        <f t="shared" si="132"/>
        <v/>
      </c>
      <c r="LQ9" s="36" t="str">
        <f t="shared" si="133"/>
        <v/>
      </c>
      <c r="LR9" s="36" t="str">
        <f t="shared" si="134"/>
        <v/>
      </c>
      <c r="LS9" s="36" t="str">
        <f t="shared" si="135"/>
        <v/>
      </c>
      <c r="LT9" s="36" t="str">
        <f t="shared" si="136"/>
        <v/>
      </c>
      <c r="LU9" s="36" t="str">
        <f t="shared" si="137"/>
        <v/>
      </c>
      <c r="LV9" s="36" t="str">
        <f t="shared" si="138"/>
        <v/>
      </c>
      <c r="LW9" s="36" t="str">
        <f t="shared" si="139"/>
        <v/>
      </c>
      <c r="LX9" s="36" t="str">
        <f t="shared" si="140"/>
        <v/>
      </c>
      <c r="LY9" s="16"/>
      <c r="LZ9" s="16"/>
      <c r="MA9" s="16"/>
      <c r="MB9" s="16"/>
      <c r="MC9" s="16"/>
      <c r="MD9" s="16"/>
      <c r="ME9" s="16"/>
      <c r="MF9" s="16"/>
      <c r="MG9" s="16"/>
      <c r="MH9" s="16"/>
      <c r="MI9" s="16"/>
      <c r="MJ9" s="16"/>
      <c r="MK9" s="16"/>
      <c r="ML9" s="16"/>
      <c r="MM9" s="16"/>
      <c r="MN9" s="16"/>
      <c r="MO9" s="16"/>
      <c r="MP9" s="16"/>
      <c r="MQ9" s="16"/>
      <c r="MR9" s="16"/>
      <c r="MS9" s="11" t="str">
        <f t="shared" si="141"/>
        <v/>
      </c>
      <c r="MT9" s="11" t="str">
        <f t="shared" si="142"/>
        <v/>
      </c>
      <c r="MU9" s="11" t="str">
        <f t="shared" si="143"/>
        <v/>
      </c>
      <c r="MV9" s="11" t="str">
        <f t="shared" si="144"/>
        <v/>
      </c>
      <c r="MW9" s="11" t="str">
        <f t="shared" si="145"/>
        <v/>
      </c>
      <c r="MX9" s="11" t="str">
        <f t="shared" si="146"/>
        <v/>
      </c>
      <c r="MY9" s="11" t="str">
        <f t="shared" si="147"/>
        <v/>
      </c>
      <c r="MZ9" s="11" t="str">
        <f t="shared" si="148"/>
        <v/>
      </c>
      <c r="NA9" s="11" t="str">
        <f t="shared" si="149"/>
        <v/>
      </c>
      <c r="NB9" s="11" t="str">
        <f t="shared" si="150"/>
        <v/>
      </c>
      <c r="NC9" s="11" t="str">
        <f t="shared" si="151"/>
        <v/>
      </c>
      <c r="ND9" s="11" t="str">
        <f t="shared" si="152"/>
        <v/>
      </c>
      <c r="NE9" s="11" t="str">
        <f t="shared" si="153"/>
        <v/>
      </c>
      <c r="NF9" s="11" t="str">
        <f t="shared" si="154"/>
        <v/>
      </c>
      <c r="NG9" s="15"/>
      <c r="NH9" s="15"/>
      <c r="NI9" s="15"/>
      <c r="NJ9" s="15"/>
      <c r="NK9" s="15"/>
      <c r="NL9" s="15"/>
      <c r="NM9" s="15"/>
      <c r="NN9" s="15"/>
      <c r="NO9" s="15"/>
      <c r="NP9" s="15"/>
      <c r="NQ9" s="15"/>
      <c r="NR9" s="15"/>
      <c r="NS9" s="15"/>
      <c r="NT9" s="15"/>
      <c r="NU9" s="15"/>
      <c r="NV9" s="15"/>
      <c r="NW9" s="15"/>
      <c r="NX9" s="15"/>
      <c r="NY9" s="15"/>
      <c r="NZ9" s="15"/>
      <c r="OA9" s="36" t="str">
        <f t="shared" si="155"/>
        <v/>
      </c>
      <c r="OB9" s="36" t="str">
        <f t="shared" si="156"/>
        <v/>
      </c>
      <c r="OC9" s="36" t="str">
        <f t="shared" si="157"/>
        <v/>
      </c>
      <c r="OD9" s="36" t="str">
        <f t="shared" si="158"/>
        <v/>
      </c>
      <c r="OE9" s="36" t="str">
        <f t="shared" si="159"/>
        <v/>
      </c>
      <c r="OF9" s="36" t="str">
        <f t="shared" si="160"/>
        <v/>
      </c>
      <c r="OG9" s="36" t="str">
        <f t="shared" si="161"/>
        <v/>
      </c>
      <c r="OH9" s="36" t="str">
        <f t="shared" si="162"/>
        <v/>
      </c>
      <c r="OI9" s="36" t="str">
        <f t="shared" si="163"/>
        <v/>
      </c>
      <c r="OJ9" s="36" t="str">
        <f t="shared" si="164"/>
        <v/>
      </c>
      <c r="OK9" s="36" t="str">
        <f t="shared" si="165"/>
        <v/>
      </c>
      <c r="OL9" s="36" t="str">
        <f t="shared" si="166"/>
        <v/>
      </c>
      <c r="OM9" s="36" t="str">
        <f t="shared" si="167"/>
        <v/>
      </c>
      <c r="ON9" s="36" t="str">
        <f t="shared" si="168"/>
        <v/>
      </c>
      <c r="OO9" s="16"/>
      <c r="OP9" s="16"/>
      <c r="OQ9" s="16"/>
      <c r="OR9" s="16"/>
      <c r="OS9" s="16"/>
      <c r="OT9" s="16"/>
      <c r="OU9" s="16"/>
      <c r="OV9" s="16"/>
      <c r="OW9" s="16"/>
      <c r="OX9" s="16"/>
      <c r="OY9" s="16"/>
      <c r="OZ9" s="16"/>
      <c r="PA9" s="16"/>
      <c r="PB9" s="16"/>
      <c r="PC9" s="16"/>
      <c r="PD9" s="16"/>
      <c r="PE9" s="16"/>
      <c r="PF9" s="16"/>
      <c r="PG9" s="16"/>
      <c r="PH9" s="16"/>
      <c r="PI9" s="11" t="str">
        <f t="shared" si="169"/>
        <v/>
      </c>
      <c r="PJ9" s="11" t="str">
        <f t="shared" si="170"/>
        <v/>
      </c>
      <c r="PK9" s="11" t="str">
        <f t="shared" si="171"/>
        <v/>
      </c>
      <c r="PL9" s="11" t="str">
        <f t="shared" si="172"/>
        <v/>
      </c>
      <c r="PM9" s="11" t="str">
        <f t="shared" si="173"/>
        <v/>
      </c>
      <c r="PN9" s="11" t="str">
        <f t="shared" si="174"/>
        <v/>
      </c>
      <c r="PO9" s="11" t="str">
        <f t="shared" si="175"/>
        <v/>
      </c>
      <c r="PP9" s="11" t="str">
        <f t="shared" si="176"/>
        <v/>
      </c>
      <c r="PQ9" s="11" t="str">
        <f t="shared" si="177"/>
        <v/>
      </c>
      <c r="PR9" s="11" t="str">
        <f t="shared" si="178"/>
        <v/>
      </c>
      <c r="PS9" s="11" t="str">
        <f t="shared" si="179"/>
        <v/>
      </c>
      <c r="PT9" s="11" t="str">
        <f t="shared" si="180"/>
        <v/>
      </c>
      <c r="PU9" s="11" t="str">
        <f t="shared" si="181"/>
        <v/>
      </c>
      <c r="PV9" s="11" t="str">
        <f t="shared" si="182"/>
        <v/>
      </c>
      <c r="PW9" s="15"/>
      <c r="PX9" s="15"/>
      <c r="PY9" s="15"/>
      <c r="PZ9" s="15"/>
      <c r="QA9" s="15"/>
      <c r="QB9" s="15"/>
      <c r="QC9" s="15"/>
      <c r="QD9" s="15"/>
      <c r="QE9" s="15"/>
      <c r="QF9" s="15"/>
      <c r="QG9" s="15"/>
      <c r="QH9" s="15"/>
      <c r="QI9" s="15"/>
      <c r="QJ9" s="15"/>
      <c r="QK9" s="15"/>
      <c r="QL9" s="15"/>
      <c r="QM9" s="15"/>
      <c r="QN9" s="15"/>
      <c r="QO9" s="15"/>
      <c r="QP9" s="15"/>
      <c r="QQ9" s="36" t="str">
        <f t="shared" si="183"/>
        <v/>
      </c>
      <c r="QR9" s="36" t="str">
        <f t="shared" si="184"/>
        <v/>
      </c>
      <c r="QS9" s="36" t="str">
        <f t="shared" si="185"/>
        <v/>
      </c>
      <c r="QT9" s="36" t="str">
        <f t="shared" si="186"/>
        <v/>
      </c>
      <c r="QU9" s="36" t="str">
        <f t="shared" si="187"/>
        <v/>
      </c>
      <c r="QV9" s="36" t="str">
        <f t="shared" si="188"/>
        <v/>
      </c>
      <c r="QW9" s="36" t="str">
        <f t="shared" si="189"/>
        <v/>
      </c>
      <c r="QX9" s="36" t="str">
        <f t="shared" si="190"/>
        <v/>
      </c>
      <c r="QY9" s="36" t="str">
        <f t="shared" si="191"/>
        <v/>
      </c>
      <c r="QZ9" s="36" t="str">
        <f t="shared" si="192"/>
        <v/>
      </c>
      <c r="RA9" s="36" t="str">
        <f t="shared" si="193"/>
        <v/>
      </c>
      <c r="RB9" s="36" t="str">
        <f t="shared" si="194"/>
        <v/>
      </c>
      <c r="RC9" s="36" t="str">
        <f t="shared" si="195"/>
        <v/>
      </c>
      <c r="RD9" s="36" t="str">
        <f t="shared" si="196"/>
        <v/>
      </c>
      <c r="RE9" s="16"/>
      <c r="RF9" s="16"/>
      <c r="RG9" s="16"/>
      <c r="RH9" s="16"/>
      <c r="RI9" s="16"/>
      <c r="RJ9" s="16"/>
      <c r="RK9" s="16"/>
      <c r="RL9" s="16"/>
      <c r="RM9" s="16"/>
      <c r="RN9" s="16"/>
      <c r="RO9" s="16"/>
      <c r="RP9" s="16"/>
      <c r="RQ9" s="16"/>
      <c r="RR9" s="16"/>
      <c r="RS9" s="16"/>
      <c r="RT9" s="16"/>
      <c r="RU9" s="16"/>
      <c r="RV9" s="16"/>
      <c r="RW9" s="16"/>
      <c r="RX9" s="16"/>
      <c r="RY9" s="11" t="str">
        <f t="shared" si="197"/>
        <v/>
      </c>
      <c r="RZ9" s="11" t="str">
        <f t="shared" si="198"/>
        <v/>
      </c>
      <c r="SA9" s="11" t="str">
        <f t="shared" si="199"/>
        <v/>
      </c>
      <c r="SB9" s="11" t="str">
        <f t="shared" si="200"/>
        <v/>
      </c>
      <c r="SC9" s="11" t="str">
        <f t="shared" si="201"/>
        <v/>
      </c>
      <c r="SD9" s="11" t="str">
        <f t="shared" si="202"/>
        <v/>
      </c>
      <c r="SE9" s="11" t="str">
        <f t="shared" si="203"/>
        <v/>
      </c>
      <c r="SF9" s="11" t="str">
        <f t="shared" si="204"/>
        <v/>
      </c>
      <c r="SG9" s="11" t="str">
        <f t="shared" si="205"/>
        <v/>
      </c>
      <c r="SH9" s="11" t="str">
        <f t="shared" si="206"/>
        <v/>
      </c>
      <c r="SI9" s="11" t="str">
        <f t="shared" si="207"/>
        <v/>
      </c>
      <c r="SJ9" s="11" t="str">
        <f t="shared" si="208"/>
        <v/>
      </c>
      <c r="SK9" s="11" t="str">
        <f t="shared" si="209"/>
        <v/>
      </c>
      <c r="SL9" s="11" t="str">
        <f t="shared" si="210"/>
        <v/>
      </c>
      <c r="SM9" s="15"/>
      <c r="SN9" s="15"/>
      <c r="SO9" s="15"/>
      <c r="SP9" s="15"/>
      <c r="SQ9" s="15"/>
      <c r="SR9" s="15"/>
      <c r="SS9" s="15"/>
      <c r="ST9" s="15"/>
      <c r="SU9" s="15"/>
      <c r="SV9" s="15"/>
      <c r="SW9" s="15"/>
      <c r="SX9" s="15"/>
      <c r="SY9" s="15"/>
      <c r="SZ9" s="15"/>
      <c r="TA9" s="15"/>
      <c r="TB9" s="15"/>
      <c r="TC9" s="15"/>
      <c r="TD9" s="15"/>
      <c r="TE9" s="15"/>
      <c r="TF9" s="15"/>
      <c r="TG9" s="36" t="str">
        <f t="shared" si="211"/>
        <v/>
      </c>
      <c r="TH9" s="36" t="str">
        <f t="shared" si="212"/>
        <v/>
      </c>
      <c r="TI9" s="36" t="str">
        <f t="shared" si="213"/>
        <v/>
      </c>
      <c r="TJ9" s="36" t="str">
        <f t="shared" si="214"/>
        <v/>
      </c>
      <c r="TK9" s="36" t="str">
        <f t="shared" si="215"/>
        <v/>
      </c>
      <c r="TL9" s="36" t="str">
        <f t="shared" si="216"/>
        <v/>
      </c>
      <c r="TM9" s="36" t="str">
        <f t="shared" si="217"/>
        <v/>
      </c>
      <c r="TN9" s="36" t="str">
        <f t="shared" si="218"/>
        <v/>
      </c>
      <c r="TO9" s="36" t="str">
        <f t="shared" si="219"/>
        <v/>
      </c>
      <c r="TP9" s="36" t="str">
        <f t="shared" si="220"/>
        <v/>
      </c>
      <c r="TQ9" s="36" t="str">
        <f t="shared" si="221"/>
        <v/>
      </c>
      <c r="TR9" s="36" t="str">
        <f t="shared" si="222"/>
        <v/>
      </c>
      <c r="TS9" s="36" t="str">
        <f t="shared" si="223"/>
        <v/>
      </c>
      <c r="TT9" s="36" t="str">
        <f t="shared" si="224"/>
        <v/>
      </c>
      <c r="TU9" s="16"/>
      <c r="TV9" s="16"/>
      <c r="TW9" s="16"/>
      <c r="TX9" s="16"/>
      <c r="TY9" s="16"/>
      <c r="TZ9" s="16"/>
      <c r="UA9" s="16"/>
      <c r="UB9" s="16"/>
      <c r="UC9" s="16"/>
      <c r="UD9" s="16"/>
      <c r="UE9" s="16"/>
      <c r="UF9" s="16"/>
      <c r="UG9" s="16"/>
      <c r="UH9" s="16"/>
      <c r="UI9" s="16"/>
      <c r="UJ9" s="16"/>
      <c r="UK9" s="16"/>
      <c r="UL9" s="16"/>
      <c r="UM9" s="16"/>
      <c r="UN9" s="16"/>
      <c r="UO9" s="11" t="str">
        <f t="shared" si="225"/>
        <v/>
      </c>
      <c r="UP9" s="11" t="str">
        <f t="shared" si="226"/>
        <v/>
      </c>
      <c r="UQ9" s="11" t="str">
        <f t="shared" si="227"/>
        <v/>
      </c>
      <c r="UR9" s="11" t="str">
        <f t="shared" si="228"/>
        <v/>
      </c>
      <c r="US9" s="11" t="str">
        <f t="shared" si="229"/>
        <v/>
      </c>
      <c r="UT9" s="11" t="str">
        <f t="shared" si="230"/>
        <v/>
      </c>
      <c r="UU9" s="11" t="str">
        <f t="shared" si="231"/>
        <v/>
      </c>
      <c r="UV9" s="11" t="str">
        <f t="shared" si="232"/>
        <v/>
      </c>
      <c r="UW9" s="11" t="str">
        <f t="shared" si="233"/>
        <v/>
      </c>
      <c r="UX9" s="11" t="str">
        <f t="shared" si="234"/>
        <v/>
      </c>
      <c r="UY9" s="11" t="str">
        <f t="shared" si="235"/>
        <v/>
      </c>
      <c r="UZ9" s="11" t="str">
        <f t="shared" si="236"/>
        <v/>
      </c>
      <c r="VA9" s="11" t="str">
        <f t="shared" si="237"/>
        <v/>
      </c>
      <c r="VB9" s="11" t="str">
        <f t="shared" si="238"/>
        <v/>
      </c>
      <c r="VC9" s="15"/>
      <c r="VD9" s="15"/>
      <c r="VE9" s="15"/>
      <c r="VF9" s="15"/>
      <c r="VG9" s="15"/>
      <c r="VH9" s="15"/>
      <c r="VI9" s="15"/>
      <c r="VJ9" s="15"/>
      <c r="VK9" s="15"/>
      <c r="VL9" s="15"/>
      <c r="VM9" s="15"/>
      <c r="VN9" s="15"/>
      <c r="VO9" s="15"/>
      <c r="VP9" s="15"/>
      <c r="VQ9" s="15"/>
      <c r="VR9" s="15"/>
      <c r="VS9" s="15"/>
      <c r="VT9" s="15"/>
      <c r="VU9" s="15"/>
      <c r="VV9" s="15"/>
      <c r="VW9" s="36" t="str">
        <f t="shared" si="239"/>
        <v/>
      </c>
      <c r="VX9" s="36" t="str">
        <f t="shared" si="240"/>
        <v/>
      </c>
      <c r="VY9" s="36" t="str">
        <f t="shared" si="241"/>
        <v/>
      </c>
      <c r="VZ9" s="36" t="str">
        <f t="shared" si="242"/>
        <v/>
      </c>
      <c r="WA9" s="36" t="str">
        <f t="shared" si="243"/>
        <v/>
      </c>
      <c r="WB9" s="36" t="str">
        <f t="shared" si="244"/>
        <v/>
      </c>
      <c r="WC9" s="36" t="str">
        <f t="shared" si="245"/>
        <v/>
      </c>
      <c r="WD9" s="36" t="str">
        <f t="shared" si="246"/>
        <v/>
      </c>
      <c r="WE9" s="36" t="str">
        <f t="shared" si="247"/>
        <v/>
      </c>
      <c r="WF9" s="36" t="str">
        <f t="shared" si="248"/>
        <v/>
      </c>
      <c r="WG9" s="36" t="str">
        <f t="shared" si="249"/>
        <v/>
      </c>
      <c r="WH9" s="36" t="str">
        <f t="shared" si="250"/>
        <v/>
      </c>
      <c r="WI9" s="36" t="str">
        <f t="shared" si="251"/>
        <v/>
      </c>
      <c r="WJ9" s="36" t="str">
        <f t="shared" si="252"/>
        <v/>
      </c>
    </row>
    <row r="10" spans="1:608" x14ac:dyDescent="0.2">
      <c r="A10" s="4" t="str" cm="1">
        <f t="array" ref="A10">IF(AND(H10&lt;&gt;"",H10&lt;&gt;"No DD",I10&lt;&gt;"P"),SUMPRODUCT((H$4:H$14&lt;&gt;"")*(H$4:H$14&lt;&gt;"No DD")*(I$4:I$14&lt;&gt;"P")*(E$4:E$14&gt;E10))+1,IF(H10="No DD",SUMPRODUCT((H$4:H$14="No DD")*(I$4:I$14&lt;&gt;"P")*(E$4:E$14&gt;E10))+1+SUMPRODUCT((H$4:H$14&lt;&gt;"")*(I$4:I$14&lt;&gt;"P")*(H$4:H$14&lt;&gt;"No DD")),""))</f>
        <v/>
      </c>
      <c r="B10" s="5" t="s">
        <v>215</v>
      </c>
      <c r="C10" s="4" t="s">
        <v>6</v>
      </c>
      <c r="D10" s="4">
        <v>2009</v>
      </c>
      <c r="E10" s="9">
        <f t="shared" si="0"/>
        <v>95.620009562004796</v>
      </c>
      <c r="F10" s="3" t="str">
        <f t="shared" si="1"/>
        <v/>
      </c>
      <c r="G10" s="3" t="str">
        <f t="shared" si="2"/>
        <v/>
      </c>
      <c r="H10" s="32" t="str">
        <f t="shared" si="3"/>
        <v/>
      </c>
      <c r="I10" s="3" t="str">
        <f>IF(COUNTIFS('Senior-W'!B:B,B10,'Senior-W'!A:A,"&lt;9",'Senior-W'!H:H,"&lt;&gt;"&amp;"No DD"),"P","")</f>
        <v/>
      </c>
      <c r="J10" s="8">
        <f t="shared" si="4"/>
        <v>47.830000000000005</v>
      </c>
      <c r="K10" s="8" t="str">
        <f t="shared" si="5"/>
        <v>2025 Elite Canada</v>
      </c>
      <c r="L10" s="8">
        <f>IFERROR(LARGE((AI10,AL10,AP10,BJ10,BM10,BQ10,CK10,CN10,CR10),2),0)</f>
        <v>47.790000000000006</v>
      </c>
      <c r="M10" s="8" t="str">
        <f t="shared" si="6"/>
        <v>2025 Nationals</v>
      </c>
      <c r="N10" s="8">
        <f t="shared" si="7"/>
        <v>0</v>
      </c>
      <c r="O10" s="11" t="str">
        <f>IF(N10=0,"",IF(N10=CT10,"("&amp;CT$2&amp;")",IF(N10=#REF!,"("&amp;#REF!&amp;")")))</f>
        <v/>
      </c>
      <c r="P10" s="8" t="str">
        <f t="shared" si="8"/>
        <v/>
      </c>
      <c r="Q10" s="18">
        <v>17.600000000000001</v>
      </c>
      <c r="R10" s="18">
        <v>9.8000000000000007</v>
      </c>
      <c r="S10" s="18">
        <v>0</v>
      </c>
      <c r="T10" s="18">
        <v>13.73</v>
      </c>
      <c r="U10" s="18">
        <v>0</v>
      </c>
      <c r="V10" s="18">
        <v>12.8</v>
      </c>
      <c r="W10" s="18">
        <v>9.4</v>
      </c>
      <c r="X10" s="18">
        <v>12</v>
      </c>
      <c r="Y10" s="18">
        <v>13.63</v>
      </c>
      <c r="Z10" s="18">
        <v>0</v>
      </c>
      <c r="AA10" s="18">
        <v>12.5</v>
      </c>
      <c r="AB10" s="18">
        <v>9.3000000000000007</v>
      </c>
      <c r="AC10" s="18">
        <v>11.2</v>
      </c>
      <c r="AD10" s="18">
        <v>13.45</v>
      </c>
      <c r="AE10" s="18">
        <v>0</v>
      </c>
      <c r="AF10" s="23"/>
      <c r="AG10" s="34" t="str">
        <f t="shared" si="9"/>
        <v/>
      </c>
      <c r="AH10" s="34">
        <f t="shared" si="10"/>
        <v>13.73</v>
      </c>
      <c r="AI10" s="36">
        <f t="shared" si="11"/>
        <v>41.13</v>
      </c>
      <c r="AJ10" s="36">
        <f t="shared" si="12"/>
        <v>12</v>
      </c>
      <c r="AK10" s="36">
        <f t="shared" si="13"/>
        <v>13.63</v>
      </c>
      <c r="AL10" s="36">
        <f t="shared" si="14"/>
        <v>47.830000000000005</v>
      </c>
      <c r="AM10" s="36">
        <f t="shared" si="15"/>
        <v>47.830000000000005</v>
      </c>
      <c r="AN10" s="36">
        <f t="shared" si="16"/>
        <v>11.2</v>
      </c>
      <c r="AO10" s="36">
        <f t="shared" si="17"/>
        <v>13.45</v>
      </c>
      <c r="AP10" s="36">
        <f t="shared" si="18"/>
        <v>46.45</v>
      </c>
      <c r="AQ10" s="36">
        <f t="shared" si="19"/>
        <v>94.28</v>
      </c>
      <c r="AR10" s="22">
        <v>17.899999999999999</v>
      </c>
      <c r="AS10" s="22">
        <v>9.9</v>
      </c>
      <c r="AT10" s="22">
        <v>0</v>
      </c>
      <c r="AU10" s="22">
        <v>14.26</v>
      </c>
      <c r="AV10" s="22">
        <v>0</v>
      </c>
      <c r="AW10" s="22">
        <v>12.9</v>
      </c>
      <c r="AX10" s="22">
        <v>8.9</v>
      </c>
      <c r="AY10" s="22">
        <v>11.5</v>
      </c>
      <c r="AZ10" s="22">
        <v>13.62</v>
      </c>
      <c r="BA10" s="22">
        <v>0</v>
      </c>
      <c r="BB10" s="22">
        <v>13.9</v>
      </c>
      <c r="BC10" s="22">
        <v>8.6999999999999993</v>
      </c>
      <c r="BD10" s="22">
        <v>11.6</v>
      </c>
      <c r="BE10" s="22">
        <v>13.59</v>
      </c>
      <c r="BF10" s="22">
        <v>0</v>
      </c>
      <c r="BG10" s="24"/>
      <c r="BH10" s="35" t="str">
        <f t="shared" si="20"/>
        <v/>
      </c>
      <c r="BI10" s="35">
        <f t="shared" si="21"/>
        <v>14.26</v>
      </c>
      <c r="BJ10" s="11">
        <f t="shared" si="22"/>
        <v>42.059999999999995</v>
      </c>
      <c r="BK10" s="11">
        <f t="shared" si="23"/>
        <v>11.5</v>
      </c>
      <c r="BL10" s="11">
        <f t="shared" si="24"/>
        <v>13.62</v>
      </c>
      <c r="BM10" s="11">
        <f t="shared" si="25"/>
        <v>46.919999999999995</v>
      </c>
      <c r="BN10" s="11">
        <f t="shared" si="26"/>
        <v>46.919999999999995</v>
      </c>
      <c r="BO10" s="11">
        <f t="shared" si="27"/>
        <v>11.6</v>
      </c>
      <c r="BP10" s="11">
        <f t="shared" si="28"/>
        <v>13.59</v>
      </c>
      <c r="BQ10" s="11">
        <f t="shared" si="29"/>
        <v>47.790000000000006</v>
      </c>
      <c r="BR10" s="11">
        <f t="shared" si="30"/>
        <v>94.710000000000008</v>
      </c>
      <c r="BS10" s="18">
        <v>16.3</v>
      </c>
      <c r="BT10" s="18">
        <v>9.6999999999999993</v>
      </c>
      <c r="BU10" s="18">
        <v>0</v>
      </c>
      <c r="BV10" s="18">
        <v>14.13</v>
      </c>
      <c r="BW10" s="18">
        <v>2</v>
      </c>
      <c r="BX10" s="18">
        <v>12.5</v>
      </c>
      <c r="BY10" s="18">
        <v>9.1999999999999993</v>
      </c>
      <c r="BZ10" s="18">
        <v>12.4</v>
      </c>
      <c r="CA10" s="18">
        <v>13.68</v>
      </c>
      <c r="CB10" s="18">
        <v>0</v>
      </c>
      <c r="CC10" s="18">
        <v>12.4</v>
      </c>
      <c r="CD10" s="18">
        <v>7.8</v>
      </c>
      <c r="CE10" s="18">
        <v>10.3</v>
      </c>
      <c r="CF10" s="18">
        <v>1.36</v>
      </c>
      <c r="CG10" s="18">
        <v>0</v>
      </c>
      <c r="CH10" s="23"/>
      <c r="CI10" s="34" t="str">
        <f t="shared" si="31"/>
        <v/>
      </c>
      <c r="CJ10" s="34">
        <f t="shared" si="32"/>
        <v>14.13</v>
      </c>
      <c r="CK10" s="36">
        <f t="shared" si="33"/>
        <v>38.130000000000003</v>
      </c>
      <c r="CL10" s="36">
        <f t="shared" si="34"/>
        <v>12.4</v>
      </c>
      <c r="CM10" s="36">
        <f t="shared" si="35"/>
        <v>13.68</v>
      </c>
      <c r="CN10" s="36">
        <f t="shared" si="36"/>
        <v>47.78</v>
      </c>
      <c r="CO10" s="36">
        <f t="shared" si="37"/>
        <v>47.78</v>
      </c>
      <c r="CP10" s="36">
        <f t="shared" si="38"/>
        <v>10.3</v>
      </c>
      <c r="CQ10" s="36">
        <f t="shared" si="39"/>
        <v>1.36</v>
      </c>
      <c r="CR10" s="36">
        <f t="shared" si="40"/>
        <v>31.86</v>
      </c>
      <c r="CS10" s="36">
        <f t="shared" si="41"/>
        <v>79.64</v>
      </c>
      <c r="CT10" s="47" t="str">
        <f t="shared" si="42"/>
        <v/>
      </c>
      <c r="CU10" s="15"/>
      <c r="CV10" s="15"/>
      <c r="CW10" s="15"/>
      <c r="CX10" s="15"/>
      <c r="CY10" s="15"/>
      <c r="CZ10" s="15"/>
      <c r="DA10" s="15"/>
      <c r="DB10" s="15"/>
      <c r="DC10" s="15"/>
      <c r="DD10" s="15"/>
      <c r="DE10" s="15"/>
      <c r="DF10" s="15"/>
      <c r="DG10" s="15"/>
      <c r="DH10" s="15"/>
      <c r="DI10" s="15"/>
      <c r="DJ10" s="15"/>
      <c r="DK10" s="15"/>
      <c r="DL10" s="15"/>
      <c r="DM10" s="15"/>
      <c r="DN10" s="15"/>
      <c r="DO10" s="36" t="str">
        <f t="shared" si="43"/>
        <v/>
      </c>
      <c r="DP10" s="36" t="str">
        <f t="shared" si="44"/>
        <v/>
      </c>
      <c r="DQ10" s="36" t="str">
        <f t="shared" si="45"/>
        <v/>
      </c>
      <c r="DR10" s="36" t="str">
        <f t="shared" si="46"/>
        <v/>
      </c>
      <c r="DS10" s="36" t="str">
        <f t="shared" si="47"/>
        <v/>
      </c>
      <c r="DT10" s="36" t="str">
        <f t="shared" si="48"/>
        <v/>
      </c>
      <c r="DU10" s="36" t="str">
        <f t="shared" si="49"/>
        <v/>
      </c>
      <c r="DV10" s="36" t="str">
        <f t="shared" si="50"/>
        <v/>
      </c>
      <c r="DW10" s="36" t="str">
        <f t="shared" si="51"/>
        <v/>
      </c>
      <c r="DX10" s="36" t="str">
        <f t="shared" si="52"/>
        <v/>
      </c>
      <c r="DY10" s="36" t="str">
        <f t="shared" si="53"/>
        <v/>
      </c>
      <c r="DZ10" s="36" t="str">
        <f t="shared" si="54"/>
        <v/>
      </c>
      <c r="EA10" s="36" t="str">
        <f t="shared" si="55"/>
        <v/>
      </c>
      <c r="EB10" s="36" t="str">
        <f t="shared" si="56"/>
        <v/>
      </c>
      <c r="EC10" s="16"/>
      <c r="ED10" s="16"/>
      <c r="EE10" s="16"/>
      <c r="EF10" s="16"/>
      <c r="EG10" s="16"/>
      <c r="EH10" s="16"/>
      <c r="EI10" s="16"/>
      <c r="EJ10" s="16"/>
      <c r="EK10" s="16"/>
      <c r="EL10" s="16"/>
      <c r="EM10" s="16"/>
      <c r="EN10" s="16"/>
      <c r="EO10" s="16"/>
      <c r="EP10" s="16"/>
      <c r="EQ10" s="16"/>
      <c r="ER10" s="16"/>
      <c r="ES10" s="16"/>
      <c r="ET10" s="16"/>
      <c r="EU10" s="16"/>
      <c r="EV10" s="16"/>
      <c r="EW10" s="11" t="str">
        <f t="shared" si="57"/>
        <v/>
      </c>
      <c r="EX10" s="11" t="str">
        <f t="shared" si="58"/>
        <v/>
      </c>
      <c r="EY10" s="11" t="str">
        <f t="shared" si="59"/>
        <v/>
      </c>
      <c r="EZ10" s="11" t="str">
        <f t="shared" si="60"/>
        <v/>
      </c>
      <c r="FA10" s="11" t="str">
        <f t="shared" si="61"/>
        <v/>
      </c>
      <c r="FB10" s="11" t="str">
        <f t="shared" si="62"/>
        <v/>
      </c>
      <c r="FC10" s="11" t="str">
        <f t="shared" si="63"/>
        <v/>
      </c>
      <c r="FD10" s="11" t="str">
        <f t="shared" si="64"/>
        <v/>
      </c>
      <c r="FE10" s="11" t="str">
        <f t="shared" si="65"/>
        <v/>
      </c>
      <c r="FF10" s="11" t="str">
        <f t="shared" si="66"/>
        <v/>
      </c>
      <c r="FG10" s="11" t="str">
        <f t="shared" si="67"/>
        <v/>
      </c>
      <c r="FH10" s="11" t="str">
        <f t="shared" si="68"/>
        <v/>
      </c>
      <c r="FI10" s="11" t="str">
        <f t="shared" si="69"/>
        <v/>
      </c>
      <c r="FJ10" s="11" t="str">
        <f t="shared" si="70"/>
        <v/>
      </c>
      <c r="FK10" s="15"/>
      <c r="FL10" s="15"/>
      <c r="FM10" s="15"/>
      <c r="FN10" s="15"/>
      <c r="FO10" s="15"/>
      <c r="FP10" s="15"/>
      <c r="FQ10" s="15"/>
      <c r="FR10" s="15"/>
      <c r="FS10" s="15"/>
      <c r="FT10" s="15"/>
      <c r="FU10" s="15"/>
      <c r="FV10" s="15"/>
      <c r="FW10" s="15"/>
      <c r="FX10" s="15"/>
      <c r="FY10" s="15"/>
      <c r="FZ10" s="15"/>
      <c r="GA10" s="15"/>
      <c r="GB10" s="15"/>
      <c r="GC10" s="15"/>
      <c r="GD10" s="15"/>
      <c r="GE10" s="36" t="str">
        <f t="shared" si="71"/>
        <v/>
      </c>
      <c r="GF10" s="36" t="str">
        <f t="shared" si="72"/>
        <v/>
      </c>
      <c r="GG10" s="36" t="str">
        <f t="shared" si="73"/>
        <v/>
      </c>
      <c r="GH10" s="36" t="str">
        <f t="shared" si="74"/>
        <v/>
      </c>
      <c r="GI10" s="36" t="str">
        <f t="shared" si="75"/>
        <v/>
      </c>
      <c r="GJ10" s="36" t="str">
        <f t="shared" si="76"/>
        <v/>
      </c>
      <c r="GK10" s="36" t="str">
        <f t="shared" si="77"/>
        <v/>
      </c>
      <c r="GL10" s="36" t="str">
        <f t="shared" si="78"/>
        <v/>
      </c>
      <c r="GM10" s="36" t="str">
        <f t="shared" si="79"/>
        <v/>
      </c>
      <c r="GN10" s="36" t="str">
        <f t="shared" si="80"/>
        <v/>
      </c>
      <c r="GO10" s="36" t="str">
        <f t="shared" si="81"/>
        <v/>
      </c>
      <c r="GP10" s="36" t="str">
        <f t="shared" si="82"/>
        <v/>
      </c>
      <c r="GQ10" s="36" t="str">
        <f t="shared" si="83"/>
        <v/>
      </c>
      <c r="GR10" s="36" t="str">
        <f t="shared" si="84"/>
        <v/>
      </c>
      <c r="GS10" s="16">
        <v>16.3</v>
      </c>
      <c r="GT10" s="16">
        <v>9.5</v>
      </c>
      <c r="GU10" s="16">
        <v>0</v>
      </c>
      <c r="GV10" s="16">
        <v>14.47</v>
      </c>
      <c r="GW10" s="16">
        <v>0</v>
      </c>
      <c r="GX10" s="16">
        <v>8.6999999999999993</v>
      </c>
      <c r="GY10" s="16">
        <v>5.2</v>
      </c>
      <c r="GZ10" s="16">
        <v>6.6</v>
      </c>
      <c r="HA10" s="16">
        <v>8.51</v>
      </c>
      <c r="HB10" s="16">
        <v>0</v>
      </c>
      <c r="HC10" s="16"/>
      <c r="HD10" s="16"/>
      <c r="HE10" s="16"/>
      <c r="HF10" s="16"/>
      <c r="HG10" s="16"/>
      <c r="HH10" s="16"/>
      <c r="HI10" s="16"/>
      <c r="HJ10" s="16"/>
      <c r="HK10" s="16"/>
      <c r="HL10" s="16"/>
      <c r="HM10" s="11" t="str">
        <f t="shared" si="85"/>
        <v/>
      </c>
      <c r="HN10" s="11">
        <f t="shared" si="86"/>
        <v>14.47</v>
      </c>
      <c r="HO10" s="11">
        <f t="shared" si="87"/>
        <v>40.270000000000003</v>
      </c>
      <c r="HP10" s="11">
        <f t="shared" si="88"/>
        <v>6.6</v>
      </c>
      <c r="HQ10" s="11">
        <f t="shared" si="89"/>
        <v>8.51</v>
      </c>
      <c r="HR10" s="11">
        <f t="shared" si="90"/>
        <v>29.009999999999998</v>
      </c>
      <c r="HS10" s="11">
        <f t="shared" si="91"/>
        <v>40.270000000000003</v>
      </c>
      <c r="HT10" s="11" t="str">
        <f t="shared" si="92"/>
        <v/>
      </c>
      <c r="HU10" s="11" t="str">
        <f t="shared" si="93"/>
        <v/>
      </c>
      <c r="HV10" s="11" t="str">
        <f t="shared" si="94"/>
        <v/>
      </c>
      <c r="HW10" s="11" t="str">
        <f t="shared" si="95"/>
        <v/>
      </c>
      <c r="HX10" s="11" t="str">
        <f t="shared" si="96"/>
        <v/>
      </c>
      <c r="HY10" s="11" t="str">
        <f t="shared" si="97"/>
        <v/>
      </c>
      <c r="HZ10" s="11">
        <f t="shared" si="98"/>
        <v>40.270000000000003</v>
      </c>
      <c r="IA10" s="15"/>
      <c r="IB10" s="15"/>
      <c r="IC10" s="15"/>
      <c r="ID10" s="15"/>
      <c r="IE10" s="15"/>
      <c r="IF10" s="15"/>
      <c r="IG10" s="15"/>
      <c r="IH10" s="15"/>
      <c r="II10" s="15"/>
      <c r="IJ10" s="15"/>
      <c r="IK10" s="15"/>
      <c r="IL10" s="15"/>
      <c r="IM10" s="15"/>
      <c r="IN10" s="15"/>
      <c r="IO10" s="15"/>
      <c r="IP10" s="15"/>
      <c r="IQ10" s="15"/>
      <c r="IR10" s="15"/>
      <c r="IS10" s="15"/>
      <c r="IT10" s="15"/>
      <c r="IU10" s="36" t="str">
        <f t="shared" si="99"/>
        <v/>
      </c>
      <c r="IV10" s="36" t="str">
        <f t="shared" si="100"/>
        <v/>
      </c>
      <c r="IW10" s="36" t="str">
        <f t="shared" si="101"/>
        <v/>
      </c>
      <c r="IX10" s="36" t="str">
        <f t="shared" si="102"/>
        <v/>
      </c>
      <c r="IY10" s="36" t="str">
        <f t="shared" si="103"/>
        <v/>
      </c>
      <c r="IZ10" s="36" t="str">
        <f t="shared" si="104"/>
        <v/>
      </c>
      <c r="JA10" s="36" t="str">
        <f t="shared" si="105"/>
        <v/>
      </c>
      <c r="JB10" s="36" t="str">
        <f t="shared" si="106"/>
        <v/>
      </c>
      <c r="JC10" s="36" t="str">
        <f t="shared" si="107"/>
        <v/>
      </c>
      <c r="JD10" s="36" t="str">
        <f t="shared" si="108"/>
        <v/>
      </c>
      <c r="JE10" s="36" t="str">
        <f t="shared" si="109"/>
        <v/>
      </c>
      <c r="JF10" s="36" t="str">
        <f t="shared" si="110"/>
        <v/>
      </c>
      <c r="JG10" s="36" t="str">
        <f t="shared" si="111"/>
        <v/>
      </c>
      <c r="JH10" s="36" t="str">
        <f t="shared" si="112"/>
        <v/>
      </c>
      <c r="JI10" s="16"/>
      <c r="JJ10" s="16"/>
      <c r="JK10" s="16"/>
      <c r="JL10" s="16"/>
      <c r="JM10" s="16"/>
      <c r="JN10" s="16"/>
      <c r="JO10" s="16"/>
      <c r="JP10" s="16"/>
      <c r="JQ10" s="16"/>
      <c r="JR10" s="16"/>
      <c r="JS10" s="16"/>
      <c r="JT10" s="16"/>
      <c r="JU10" s="16"/>
      <c r="JV10" s="16"/>
      <c r="JW10" s="16"/>
      <c r="JX10" s="16"/>
      <c r="JY10" s="16"/>
      <c r="JZ10" s="16"/>
      <c r="KA10" s="16"/>
      <c r="KB10" s="16"/>
      <c r="KC10" s="11" t="str">
        <f t="shared" si="113"/>
        <v/>
      </c>
      <c r="KD10" s="11" t="str">
        <f t="shared" si="114"/>
        <v/>
      </c>
      <c r="KE10" s="11" t="str">
        <f t="shared" si="115"/>
        <v/>
      </c>
      <c r="KF10" s="11" t="str">
        <f t="shared" si="116"/>
        <v/>
      </c>
      <c r="KG10" s="11" t="str">
        <f t="shared" si="117"/>
        <v/>
      </c>
      <c r="KH10" s="11" t="str">
        <f t="shared" si="118"/>
        <v/>
      </c>
      <c r="KI10" s="11" t="str">
        <f t="shared" si="119"/>
        <v/>
      </c>
      <c r="KJ10" s="11" t="str">
        <f t="shared" si="120"/>
        <v/>
      </c>
      <c r="KK10" s="11" t="str">
        <f t="shared" si="121"/>
        <v/>
      </c>
      <c r="KL10" s="11" t="str">
        <f t="shared" si="122"/>
        <v/>
      </c>
      <c r="KM10" s="11" t="str">
        <f t="shared" si="123"/>
        <v/>
      </c>
      <c r="KN10" s="11" t="str">
        <f t="shared" si="124"/>
        <v/>
      </c>
      <c r="KO10" s="11" t="str">
        <f t="shared" si="125"/>
        <v/>
      </c>
      <c r="KP10" s="11" t="str">
        <f t="shared" si="126"/>
        <v/>
      </c>
      <c r="KQ10" s="15"/>
      <c r="KR10" s="15"/>
      <c r="KS10" s="15"/>
      <c r="KT10" s="15"/>
      <c r="KU10" s="15"/>
      <c r="KV10" s="15"/>
      <c r="KW10" s="15"/>
      <c r="KX10" s="15"/>
      <c r="KY10" s="15"/>
      <c r="KZ10" s="15"/>
      <c r="LA10" s="15"/>
      <c r="LB10" s="15"/>
      <c r="LC10" s="15"/>
      <c r="LD10" s="15"/>
      <c r="LE10" s="15"/>
      <c r="LF10" s="15"/>
      <c r="LG10" s="15"/>
      <c r="LH10" s="15"/>
      <c r="LI10" s="15"/>
      <c r="LJ10" s="15"/>
      <c r="LK10" s="36" t="str">
        <f t="shared" si="127"/>
        <v/>
      </c>
      <c r="LL10" s="36" t="str">
        <f t="shared" si="128"/>
        <v/>
      </c>
      <c r="LM10" s="36" t="str">
        <f t="shared" si="129"/>
        <v/>
      </c>
      <c r="LN10" s="36" t="str">
        <f t="shared" si="130"/>
        <v/>
      </c>
      <c r="LO10" s="36" t="str">
        <f t="shared" si="131"/>
        <v/>
      </c>
      <c r="LP10" s="36" t="str">
        <f t="shared" si="132"/>
        <v/>
      </c>
      <c r="LQ10" s="36" t="str">
        <f t="shared" si="133"/>
        <v/>
      </c>
      <c r="LR10" s="36" t="str">
        <f t="shared" si="134"/>
        <v/>
      </c>
      <c r="LS10" s="36" t="str">
        <f t="shared" si="135"/>
        <v/>
      </c>
      <c r="LT10" s="36" t="str">
        <f t="shared" si="136"/>
        <v/>
      </c>
      <c r="LU10" s="36" t="str">
        <f t="shared" si="137"/>
        <v/>
      </c>
      <c r="LV10" s="36" t="str">
        <f t="shared" si="138"/>
        <v/>
      </c>
      <c r="LW10" s="36" t="str">
        <f t="shared" si="139"/>
        <v/>
      </c>
      <c r="LX10" s="36" t="str">
        <f t="shared" si="140"/>
        <v/>
      </c>
      <c r="LY10" s="16"/>
      <c r="LZ10" s="16"/>
      <c r="MA10" s="16"/>
      <c r="MB10" s="16"/>
      <c r="MC10" s="16"/>
      <c r="MD10" s="16"/>
      <c r="ME10" s="16"/>
      <c r="MF10" s="16"/>
      <c r="MG10" s="16"/>
      <c r="MH10" s="16"/>
      <c r="MI10" s="16"/>
      <c r="MJ10" s="16"/>
      <c r="MK10" s="16"/>
      <c r="ML10" s="16"/>
      <c r="MM10" s="16"/>
      <c r="MN10" s="16"/>
      <c r="MO10" s="16"/>
      <c r="MP10" s="16"/>
      <c r="MQ10" s="16"/>
      <c r="MR10" s="16"/>
      <c r="MS10" s="11" t="str">
        <f t="shared" si="141"/>
        <v/>
      </c>
      <c r="MT10" s="11" t="str">
        <f t="shared" si="142"/>
        <v/>
      </c>
      <c r="MU10" s="11" t="str">
        <f t="shared" si="143"/>
        <v/>
      </c>
      <c r="MV10" s="11" t="str">
        <f t="shared" si="144"/>
        <v/>
      </c>
      <c r="MW10" s="11" t="str">
        <f t="shared" si="145"/>
        <v/>
      </c>
      <c r="MX10" s="11" t="str">
        <f t="shared" si="146"/>
        <v/>
      </c>
      <c r="MY10" s="11" t="str">
        <f t="shared" si="147"/>
        <v/>
      </c>
      <c r="MZ10" s="11" t="str">
        <f t="shared" si="148"/>
        <v/>
      </c>
      <c r="NA10" s="11" t="str">
        <f t="shared" si="149"/>
        <v/>
      </c>
      <c r="NB10" s="11" t="str">
        <f t="shared" si="150"/>
        <v/>
      </c>
      <c r="NC10" s="11" t="str">
        <f t="shared" si="151"/>
        <v/>
      </c>
      <c r="ND10" s="11" t="str">
        <f t="shared" si="152"/>
        <v/>
      </c>
      <c r="NE10" s="11" t="str">
        <f t="shared" si="153"/>
        <v/>
      </c>
      <c r="NF10" s="11" t="str">
        <f t="shared" si="154"/>
        <v/>
      </c>
      <c r="NG10" s="15"/>
      <c r="NH10" s="15"/>
      <c r="NI10" s="15"/>
      <c r="NJ10" s="15"/>
      <c r="NK10" s="15"/>
      <c r="NL10" s="15"/>
      <c r="NM10" s="15"/>
      <c r="NN10" s="15"/>
      <c r="NO10" s="15"/>
      <c r="NP10" s="15"/>
      <c r="NQ10" s="15"/>
      <c r="NR10" s="15"/>
      <c r="NS10" s="15"/>
      <c r="NT10" s="15"/>
      <c r="NU10" s="15"/>
      <c r="NV10" s="15"/>
      <c r="NW10" s="15"/>
      <c r="NX10" s="15"/>
      <c r="NY10" s="15"/>
      <c r="NZ10" s="15"/>
      <c r="OA10" s="36" t="str">
        <f t="shared" si="155"/>
        <v/>
      </c>
      <c r="OB10" s="36" t="str">
        <f t="shared" si="156"/>
        <v/>
      </c>
      <c r="OC10" s="36" t="str">
        <f t="shared" si="157"/>
        <v/>
      </c>
      <c r="OD10" s="36" t="str">
        <f t="shared" si="158"/>
        <v/>
      </c>
      <c r="OE10" s="36" t="str">
        <f t="shared" si="159"/>
        <v/>
      </c>
      <c r="OF10" s="36" t="str">
        <f t="shared" si="160"/>
        <v/>
      </c>
      <c r="OG10" s="36" t="str">
        <f t="shared" si="161"/>
        <v/>
      </c>
      <c r="OH10" s="36" t="str">
        <f t="shared" si="162"/>
        <v/>
      </c>
      <c r="OI10" s="36" t="str">
        <f t="shared" si="163"/>
        <v/>
      </c>
      <c r="OJ10" s="36" t="str">
        <f t="shared" si="164"/>
        <v/>
      </c>
      <c r="OK10" s="36" t="str">
        <f t="shared" si="165"/>
        <v/>
      </c>
      <c r="OL10" s="36" t="str">
        <f t="shared" si="166"/>
        <v/>
      </c>
      <c r="OM10" s="36" t="str">
        <f t="shared" si="167"/>
        <v/>
      </c>
      <c r="ON10" s="36" t="str">
        <f t="shared" si="168"/>
        <v/>
      </c>
      <c r="OO10" s="16"/>
      <c r="OP10" s="16"/>
      <c r="OQ10" s="16"/>
      <c r="OR10" s="16"/>
      <c r="OS10" s="16"/>
      <c r="OT10" s="16"/>
      <c r="OU10" s="16"/>
      <c r="OV10" s="16"/>
      <c r="OW10" s="16"/>
      <c r="OX10" s="16"/>
      <c r="OY10" s="16"/>
      <c r="OZ10" s="16"/>
      <c r="PA10" s="16"/>
      <c r="PB10" s="16"/>
      <c r="PC10" s="16"/>
      <c r="PD10" s="16"/>
      <c r="PE10" s="16"/>
      <c r="PF10" s="16"/>
      <c r="PG10" s="16"/>
      <c r="PH10" s="16"/>
      <c r="PI10" s="11" t="str">
        <f t="shared" si="169"/>
        <v/>
      </c>
      <c r="PJ10" s="11" t="str">
        <f t="shared" si="170"/>
        <v/>
      </c>
      <c r="PK10" s="11" t="str">
        <f t="shared" si="171"/>
        <v/>
      </c>
      <c r="PL10" s="11" t="str">
        <f t="shared" si="172"/>
        <v/>
      </c>
      <c r="PM10" s="11" t="str">
        <f t="shared" si="173"/>
        <v/>
      </c>
      <c r="PN10" s="11" t="str">
        <f t="shared" si="174"/>
        <v/>
      </c>
      <c r="PO10" s="11" t="str">
        <f t="shared" si="175"/>
        <v/>
      </c>
      <c r="PP10" s="11" t="str">
        <f t="shared" si="176"/>
        <v/>
      </c>
      <c r="PQ10" s="11" t="str">
        <f t="shared" si="177"/>
        <v/>
      </c>
      <c r="PR10" s="11" t="str">
        <f t="shared" si="178"/>
        <v/>
      </c>
      <c r="PS10" s="11" t="str">
        <f t="shared" si="179"/>
        <v/>
      </c>
      <c r="PT10" s="11" t="str">
        <f t="shared" si="180"/>
        <v/>
      </c>
      <c r="PU10" s="11" t="str">
        <f t="shared" si="181"/>
        <v/>
      </c>
      <c r="PV10" s="11" t="str">
        <f t="shared" si="182"/>
        <v/>
      </c>
      <c r="PW10" s="15"/>
      <c r="PX10" s="15"/>
      <c r="PY10" s="15"/>
      <c r="PZ10" s="15"/>
      <c r="QA10" s="15"/>
      <c r="QB10" s="15"/>
      <c r="QC10" s="15"/>
      <c r="QD10" s="15"/>
      <c r="QE10" s="15"/>
      <c r="QF10" s="15"/>
      <c r="QG10" s="15"/>
      <c r="QH10" s="15"/>
      <c r="QI10" s="15"/>
      <c r="QJ10" s="15"/>
      <c r="QK10" s="15"/>
      <c r="QL10" s="15"/>
      <c r="QM10" s="15"/>
      <c r="QN10" s="15"/>
      <c r="QO10" s="15"/>
      <c r="QP10" s="15"/>
      <c r="QQ10" s="36" t="str">
        <f t="shared" si="183"/>
        <v/>
      </c>
      <c r="QR10" s="36" t="str">
        <f t="shared" si="184"/>
        <v/>
      </c>
      <c r="QS10" s="36" t="str">
        <f t="shared" si="185"/>
        <v/>
      </c>
      <c r="QT10" s="36" t="str">
        <f t="shared" si="186"/>
        <v/>
      </c>
      <c r="QU10" s="36" t="str">
        <f t="shared" si="187"/>
        <v/>
      </c>
      <c r="QV10" s="36" t="str">
        <f t="shared" si="188"/>
        <v/>
      </c>
      <c r="QW10" s="36" t="str">
        <f t="shared" si="189"/>
        <v/>
      </c>
      <c r="QX10" s="36" t="str">
        <f t="shared" si="190"/>
        <v/>
      </c>
      <c r="QY10" s="36" t="str">
        <f t="shared" si="191"/>
        <v/>
      </c>
      <c r="QZ10" s="36" t="str">
        <f t="shared" si="192"/>
        <v/>
      </c>
      <c r="RA10" s="36" t="str">
        <f t="shared" si="193"/>
        <v/>
      </c>
      <c r="RB10" s="36" t="str">
        <f t="shared" si="194"/>
        <v/>
      </c>
      <c r="RC10" s="36" t="str">
        <f t="shared" si="195"/>
        <v/>
      </c>
      <c r="RD10" s="36" t="str">
        <f t="shared" si="196"/>
        <v/>
      </c>
      <c r="RE10" s="16"/>
      <c r="RF10" s="16"/>
      <c r="RG10" s="16"/>
      <c r="RH10" s="16"/>
      <c r="RI10" s="16"/>
      <c r="RJ10" s="16"/>
      <c r="RK10" s="16"/>
      <c r="RL10" s="16"/>
      <c r="RM10" s="16"/>
      <c r="RN10" s="16"/>
      <c r="RO10" s="16"/>
      <c r="RP10" s="16"/>
      <c r="RQ10" s="16"/>
      <c r="RR10" s="16"/>
      <c r="RS10" s="16"/>
      <c r="RT10" s="16"/>
      <c r="RU10" s="16"/>
      <c r="RV10" s="16"/>
      <c r="RW10" s="16"/>
      <c r="RX10" s="16"/>
      <c r="RY10" s="11" t="str">
        <f t="shared" si="197"/>
        <v/>
      </c>
      <c r="RZ10" s="11" t="str">
        <f t="shared" si="198"/>
        <v/>
      </c>
      <c r="SA10" s="11" t="str">
        <f t="shared" si="199"/>
        <v/>
      </c>
      <c r="SB10" s="11" t="str">
        <f t="shared" si="200"/>
        <v/>
      </c>
      <c r="SC10" s="11" t="str">
        <f t="shared" si="201"/>
        <v/>
      </c>
      <c r="SD10" s="11" t="str">
        <f t="shared" si="202"/>
        <v/>
      </c>
      <c r="SE10" s="11" t="str">
        <f t="shared" si="203"/>
        <v/>
      </c>
      <c r="SF10" s="11" t="str">
        <f t="shared" si="204"/>
        <v/>
      </c>
      <c r="SG10" s="11" t="str">
        <f t="shared" si="205"/>
        <v/>
      </c>
      <c r="SH10" s="11" t="str">
        <f t="shared" si="206"/>
        <v/>
      </c>
      <c r="SI10" s="11" t="str">
        <f t="shared" si="207"/>
        <v/>
      </c>
      <c r="SJ10" s="11" t="str">
        <f t="shared" si="208"/>
        <v/>
      </c>
      <c r="SK10" s="11" t="str">
        <f t="shared" si="209"/>
        <v/>
      </c>
      <c r="SL10" s="11" t="str">
        <f t="shared" si="210"/>
        <v/>
      </c>
      <c r="SM10" s="15"/>
      <c r="SN10" s="15"/>
      <c r="SO10" s="15"/>
      <c r="SP10" s="15"/>
      <c r="SQ10" s="15"/>
      <c r="SR10" s="15"/>
      <c r="SS10" s="15"/>
      <c r="ST10" s="15"/>
      <c r="SU10" s="15"/>
      <c r="SV10" s="15"/>
      <c r="SW10" s="15"/>
      <c r="SX10" s="15"/>
      <c r="SY10" s="15"/>
      <c r="SZ10" s="15"/>
      <c r="TA10" s="15"/>
      <c r="TB10" s="15"/>
      <c r="TC10" s="15"/>
      <c r="TD10" s="15"/>
      <c r="TE10" s="15"/>
      <c r="TF10" s="15"/>
      <c r="TG10" s="36" t="str">
        <f t="shared" si="211"/>
        <v/>
      </c>
      <c r="TH10" s="36" t="str">
        <f t="shared" si="212"/>
        <v/>
      </c>
      <c r="TI10" s="36" t="str">
        <f t="shared" si="213"/>
        <v/>
      </c>
      <c r="TJ10" s="36" t="str">
        <f t="shared" si="214"/>
        <v/>
      </c>
      <c r="TK10" s="36" t="str">
        <f t="shared" si="215"/>
        <v/>
      </c>
      <c r="TL10" s="36" t="str">
        <f t="shared" si="216"/>
        <v/>
      </c>
      <c r="TM10" s="36" t="str">
        <f t="shared" si="217"/>
        <v/>
      </c>
      <c r="TN10" s="36" t="str">
        <f t="shared" si="218"/>
        <v/>
      </c>
      <c r="TO10" s="36" t="str">
        <f t="shared" si="219"/>
        <v/>
      </c>
      <c r="TP10" s="36" t="str">
        <f t="shared" si="220"/>
        <v/>
      </c>
      <c r="TQ10" s="36" t="str">
        <f t="shared" si="221"/>
        <v/>
      </c>
      <c r="TR10" s="36" t="str">
        <f t="shared" si="222"/>
        <v/>
      </c>
      <c r="TS10" s="36" t="str">
        <f t="shared" si="223"/>
        <v/>
      </c>
      <c r="TT10" s="36" t="str">
        <f t="shared" si="224"/>
        <v/>
      </c>
      <c r="TU10" s="16"/>
      <c r="TV10" s="16"/>
      <c r="TW10" s="16"/>
      <c r="TX10" s="16"/>
      <c r="TY10" s="16"/>
      <c r="TZ10" s="16"/>
      <c r="UA10" s="16"/>
      <c r="UB10" s="16"/>
      <c r="UC10" s="16"/>
      <c r="UD10" s="16"/>
      <c r="UE10" s="16"/>
      <c r="UF10" s="16"/>
      <c r="UG10" s="16"/>
      <c r="UH10" s="16"/>
      <c r="UI10" s="16"/>
      <c r="UJ10" s="16"/>
      <c r="UK10" s="16"/>
      <c r="UL10" s="16"/>
      <c r="UM10" s="16"/>
      <c r="UN10" s="16"/>
      <c r="UO10" s="11" t="str">
        <f t="shared" si="225"/>
        <v/>
      </c>
      <c r="UP10" s="11" t="str">
        <f t="shared" si="226"/>
        <v/>
      </c>
      <c r="UQ10" s="11" t="str">
        <f t="shared" si="227"/>
        <v/>
      </c>
      <c r="UR10" s="11" t="str">
        <f t="shared" si="228"/>
        <v/>
      </c>
      <c r="US10" s="11" t="str">
        <f t="shared" si="229"/>
        <v/>
      </c>
      <c r="UT10" s="11" t="str">
        <f t="shared" si="230"/>
        <v/>
      </c>
      <c r="UU10" s="11" t="str">
        <f t="shared" si="231"/>
        <v/>
      </c>
      <c r="UV10" s="11" t="str">
        <f t="shared" si="232"/>
        <v/>
      </c>
      <c r="UW10" s="11" t="str">
        <f t="shared" si="233"/>
        <v/>
      </c>
      <c r="UX10" s="11" t="str">
        <f t="shared" si="234"/>
        <v/>
      </c>
      <c r="UY10" s="11" t="str">
        <f t="shared" si="235"/>
        <v/>
      </c>
      <c r="UZ10" s="11" t="str">
        <f t="shared" si="236"/>
        <v/>
      </c>
      <c r="VA10" s="11" t="str">
        <f t="shared" si="237"/>
        <v/>
      </c>
      <c r="VB10" s="11" t="str">
        <f t="shared" si="238"/>
        <v/>
      </c>
      <c r="VC10" s="15"/>
      <c r="VD10" s="15"/>
      <c r="VE10" s="15"/>
      <c r="VF10" s="15"/>
      <c r="VG10" s="15"/>
      <c r="VH10" s="15"/>
      <c r="VI10" s="15"/>
      <c r="VJ10" s="15"/>
      <c r="VK10" s="15"/>
      <c r="VL10" s="15"/>
      <c r="VM10" s="15"/>
      <c r="VN10" s="15"/>
      <c r="VO10" s="15"/>
      <c r="VP10" s="15"/>
      <c r="VQ10" s="15"/>
      <c r="VR10" s="15"/>
      <c r="VS10" s="15"/>
      <c r="VT10" s="15"/>
      <c r="VU10" s="15"/>
      <c r="VV10" s="15"/>
      <c r="VW10" s="36" t="str">
        <f t="shared" si="239"/>
        <v/>
      </c>
      <c r="VX10" s="36" t="str">
        <f t="shared" si="240"/>
        <v/>
      </c>
      <c r="VY10" s="36" t="str">
        <f t="shared" si="241"/>
        <v/>
      </c>
      <c r="VZ10" s="36" t="str">
        <f t="shared" si="242"/>
        <v/>
      </c>
      <c r="WA10" s="36" t="str">
        <f t="shared" si="243"/>
        <v/>
      </c>
      <c r="WB10" s="36" t="str">
        <f t="shared" si="244"/>
        <v/>
      </c>
      <c r="WC10" s="36" t="str">
        <f t="shared" si="245"/>
        <v/>
      </c>
      <c r="WD10" s="36" t="str">
        <f t="shared" si="246"/>
        <v/>
      </c>
      <c r="WE10" s="36" t="str">
        <f t="shared" si="247"/>
        <v/>
      </c>
      <c r="WF10" s="36" t="str">
        <f t="shared" si="248"/>
        <v/>
      </c>
      <c r="WG10" s="36" t="str">
        <f t="shared" si="249"/>
        <v/>
      </c>
      <c r="WH10" s="36" t="str">
        <f t="shared" si="250"/>
        <v/>
      </c>
      <c r="WI10" s="36" t="str">
        <f t="shared" si="251"/>
        <v/>
      </c>
      <c r="WJ10" s="36" t="str">
        <f t="shared" si="252"/>
        <v/>
      </c>
    </row>
    <row r="11" spans="1:608" x14ac:dyDescent="0.2">
      <c r="A11" s="4" t="str" cm="1">
        <f t="array" ref="A11">IF(AND(H11&lt;&gt;"",H11&lt;&gt;"No DD",I11&lt;&gt;"P"),SUMPRODUCT((H$4:H$14&lt;&gt;"")*(H$4:H$14&lt;&gt;"No DD")*(I$4:I$14&lt;&gt;"P")*(E$4:E$14&gt;E11))+1,IF(H11="No DD",SUMPRODUCT((H$4:H$14="No DD")*(I$4:I$14&lt;&gt;"P")*(E$4:E$14&gt;E11))+1+SUMPRODUCT((H$4:H$14&lt;&gt;"")*(I$4:I$14&lt;&gt;"P")*(H$4:H$14&lt;&gt;"No DD")),""))</f>
        <v/>
      </c>
      <c r="B11" s="5" t="s">
        <v>217</v>
      </c>
      <c r="C11" s="4" t="s">
        <v>3</v>
      </c>
      <c r="D11" s="4">
        <v>2009</v>
      </c>
      <c r="E11" s="9">
        <f t="shared" si="0"/>
        <v>93.810009381004761</v>
      </c>
      <c r="F11" s="3" t="str">
        <f t="shared" si="1"/>
        <v/>
      </c>
      <c r="G11" s="3" t="str">
        <f t="shared" si="2"/>
        <v/>
      </c>
      <c r="H11" s="32" t="str">
        <f t="shared" si="3"/>
        <v/>
      </c>
      <c r="I11" s="3" t="str">
        <f>IF(COUNTIFS('Senior-W'!B:B,B11,'Senior-W'!A:A,"&lt;9",'Senior-W'!H:H,"&lt;&gt;"&amp;"No DD"),"P","")</f>
        <v/>
      </c>
      <c r="J11" s="8">
        <f t="shared" si="4"/>
        <v>47.669999999999995</v>
      </c>
      <c r="K11" s="8" t="str">
        <f t="shared" si="5"/>
        <v>2025 Nationals</v>
      </c>
      <c r="L11" s="8">
        <f>IFERROR(LARGE((AI11,AL11,AP11,BJ11,BM11,BQ11,CK11,CN11,CR11),2),0)</f>
        <v>46.14</v>
      </c>
      <c r="M11" s="8" t="str">
        <f t="shared" si="6"/>
        <v>2025 Nationals</v>
      </c>
      <c r="N11" s="8">
        <f t="shared" si="7"/>
        <v>0</v>
      </c>
      <c r="O11" s="11" t="str">
        <f>IF(N11=0,"",IF(N11=CT11,"("&amp;CT$2&amp;")",IF(N11=#REF!,"("&amp;#REF!&amp;")")))</f>
        <v/>
      </c>
      <c r="P11" s="8" t="str">
        <f t="shared" si="8"/>
        <v/>
      </c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23"/>
      <c r="AG11" s="34" t="str">
        <f t="shared" si="9"/>
        <v/>
      </c>
      <c r="AH11" s="34" t="str">
        <f t="shared" si="10"/>
        <v/>
      </c>
      <c r="AI11" s="36" t="str">
        <f t="shared" si="11"/>
        <v/>
      </c>
      <c r="AJ11" s="36" t="str">
        <f t="shared" si="12"/>
        <v/>
      </c>
      <c r="AK11" s="36" t="str">
        <f t="shared" si="13"/>
        <v/>
      </c>
      <c r="AL11" s="36" t="str">
        <f t="shared" si="14"/>
        <v/>
      </c>
      <c r="AM11" s="36" t="str">
        <f t="shared" si="15"/>
        <v/>
      </c>
      <c r="AN11" s="36" t="str">
        <f t="shared" si="16"/>
        <v/>
      </c>
      <c r="AO11" s="36" t="str">
        <f t="shared" si="17"/>
        <v/>
      </c>
      <c r="AP11" s="36" t="str">
        <f t="shared" si="18"/>
        <v/>
      </c>
      <c r="AQ11" s="36" t="str">
        <f t="shared" si="19"/>
        <v/>
      </c>
      <c r="AR11" s="22">
        <v>16.8</v>
      </c>
      <c r="AS11" s="22">
        <v>9.3000000000000007</v>
      </c>
      <c r="AT11" s="22">
        <v>0</v>
      </c>
      <c r="AU11" s="22">
        <v>14.37</v>
      </c>
      <c r="AV11" s="22">
        <v>0</v>
      </c>
      <c r="AW11" s="22">
        <v>13.3</v>
      </c>
      <c r="AX11" s="22">
        <v>9.1999999999999993</v>
      </c>
      <c r="AY11" s="22">
        <v>9.1999999999999993</v>
      </c>
      <c r="AZ11" s="22">
        <v>14.44</v>
      </c>
      <c r="BA11" s="22">
        <v>0</v>
      </c>
      <c r="BB11" s="22">
        <v>14.9</v>
      </c>
      <c r="BC11" s="22">
        <v>9.1999999999999993</v>
      </c>
      <c r="BD11" s="22">
        <v>9.1999999999999993</v>
      </c>
      <c r="BE11" s="22">
        <v>14.37</v>
      </c>
      <c r="BF11" s="22">
        <v>0</v>
      </c>
      <c r="BG11" s="24"/>
      <c r="BH11" s="35" t="str">
        <f t="shared" si="20"/>
        <v/>
      </c>
      <c r="BI11" s="35">
        <f t="shared" si="21"/>
        <v>14.37</v>
      </c>
      <c r="BJ11" s="11">
        <f t="shared" si="22"/>
        <v>40.47</v>
      </c>
      <c r="BK11" s="11">
        <f t="shared" si="23"/>
        <v>9.1999999999999993</v>
      </c>
      <c r="BL11" s="11">
        <f t="shared" si="24"/>
        <v>14.44</v>
      </c>
      <c r="BM11" s="11">
        <f t="shared" si="25"/>
        <v>46.14</v>
      </c>
      <c r="BN11" s="11">
        <f t="shared" si="26"/>
        <v>46.14</v>
      </c>
      <c r="BO11" s="11">
        <f t="shared" si="27"/>
        <v>9.1999999999999993</v>
      </c>
      <c r="BP11" s="11">
        <f t="shared" si="28"/>
        <v>14.37</v>
      </c>
      <c r="BQ11" s="11">
        <f t="shared" si="29"/>
        <v>47.669999999999995</v>
      </c>
      <c r="BR11" s="11">
        <f t="shared" si="30"/>
        <v>93.81</v>
      </c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23"/>
      <c r="CI11" s="34" t="str">
        <f t="shared" si="31"/>
        <v/>
      </c>
      <c r="CJ11" s="34" t="str">
        <f t="shared" si="32"/>
        <v/>
      </c>
      <c r="CK11" s="36" t="str">
        <f t="shared" si="33"/>
        <v/>
      </c>
      <c r="CL11" s="36" t="str">
        <f t="shared" si="34"/>
        <v/>
      </c>
      <c r="CM11" s="36" t="str">
        <f t="shared" si="35"/>
        <v/>
      </c>
      <c r="CN11" s="36" t="str">
        <f t="shared" si="36"/>
        <v/>
      </c>
      <c r="CO11" s="36" t="str">
        <f t="shared" si="37"/>
        <v/>
      </c>
      <c r="CP11" s="36" t="str">
        <f t="shared" si="38"/>
        <v/>
      </c>
      <c r="CQ11" s="36" t="str">
        <f t="shared" si="39"/>
        <v/>
      </c>
      <c r="CR11" s="36" t="str">
        <f t="shared" si="40"/>
        <v/>
      </c>
      <c r="CS11" s="36" t="str">
        <f t="shared" si="41"/>
        <v/>
      </c>
      <c r="CT11" s="47" t="str">
        <f t="shared" si="42"/>
        <v/>
      </c>
      <c r="CU11" s="15"/>
      <c r="CV11" s="15"/>
      <c r="CW11" s="15"/>
      <c r="CX11" s="15"/>
      <c r="CY11" s="15"/>
      <c r="CZ11" s="15"/>
      <c r="DA11" s="15"/>
      <c r="DB11" s="15"/>
      <c r="DC11" s="15"/>
      <c r="DD11" s="15"/>
      <c r="DE11" s="15"/>
      <c r="DF11" s="15"/>
      <c r="DG11" s="15"/>
      <c r="DH11" s="15"/>
      <c r="DI11" s="15"/>
      <c r="DJ11" s="15"/>
      <c r="DK11" s="15"/>
      <c r="DL11" s="15"/>
      <c r="DM11" s="15"/>
      <c r="DN11" s="15"/>
      <c r="DO11" s="36" t="str">
        <f t="shared" si="43"/>
        <v/>
      </c>
      <c r="DP11" s="36" t="str">
        <f t="shared" si="44"/>
        <v/>
      </c>
      <c r="DQ11" s="36" t="str">
        <f t="shared" si="45"/>
        <v/>
      </c>
      <c r="DR11" s="36" t="str">
        <f t="shared" si="46"/>
        <v/>
      </c>
      <c r="DS11" s="36" t="str">
        <f t="shared" si="47"/>
        <v/>
      </c>
      <c r="DT11" s="36" t="str">
        <f t="shared" si="48"/>
        <v/>
      </c>
      <c r="DU11" s="36" t="str">
        <f t="shared" si="49"/>
        <v/>
      </c>
      <c r="DV11" s="36" t="str">
        <f t="shared" si="50"/>
        <v/>
      </c>
      <c r="DW11" s="36" t="str">
        <f t="shared" si="51"/>
        <v/>
      </c>
      <c r="DX11" s="36" t="str">
        <f t="shared" si="52"/>
        <v/>
      </c>
      <c r="DY11" s="36" t="str">
        <f t="shared" si="53"/>
        <v/>
      </c>
      <c r="DZ11" s="36" t="str">
        <f t="shared" si="54"/>
        <v/>
      </c>
      <c r="EA11" s="36" t="str">
        <f t="shared" si="55"/>
        <v/>
      </c>
      <c r="EB11" s="36" t="str">
        <f t="shared" si="56"/>
        <v/>
      </c>
      <c r="EC11" s="16"/>
      <c r="ED11" s="16"/>
      <c r="EE11" s="16"/>
      <c r="EF11" s="16"/>
      <c r="EG11" s="16"/>
      <c r="EH11" s="16"/>
      <c r="EI11" s="16"/>
      <c r="EJ11" s="16"/>
      <c r="EK11" s="16"/>
      <c r="EL11" s="16"/>
      <c r="EM11" s="16"/>
      <c r="EN11" s="16"/>
      <c r="EO11" s="16"/>
      <c r="EP11" s="16"/>
      <c r="EQ11" s="16"/>
      <c r="ER11" s="16"/>
      <c r="ES11" s="16"/>
      <c r="ET11" s="16"/>
      <c r="EU11" s="16"/>
      <c r="EV11" s="16"/>
      <c r="EW11" s="11" t="str">
        <f t="shared" si="57"/>
        <v/>
      </c>
      <c r="EX11" s="11" t="str">
        <f t="shared" si="58"/>
        <v/>
      </c>
      <c r="EY11" s="11" t="str">
        <f t="shared" si="59"/>
        <v/>
      </c>
      <c r="EZ11" s="11" t="str">
        <f t="shared" si="60"/>
        <v/>
      </c>
      <c r="FA11" s="11" t="str">
        <f t="shared" si="61"/>
        <v/>
      </c>
      <c r="FB11" s="11" t="str">
        <f t="shared" si="62"/>
        <v/>
      </c>
      <c r="FC11" s="11" t="str">
        <f t="shared" si="63"/>
        <v/>
      </c>
      <c r="FD11" s="11" t="str">
        <f t="shared" si="64"/>
        <v/>
      </c>
      <c r="FE11" s="11" t="str">
        <f t="shared" si="65"/>
        <v/>
      </c>
      <c r="FF11" s="11" t="str">
        <f t="shared" si="66"/>
        <v/>
      </c>
      <c r="FG11" s="11" t="str">
        <f t="shared" si="67"/>
        <v/>
      </c>
      <c r="FH11" s="11" t="str">
        <f t="shared" si="68"/>
        <v/>
      </c>
      <c r="FI11" s="11" t="str">
        <f t="shared" si="69"/>
        <v/>
      </c>
      <c r="FJ11" s="11" t="str">
        <f t="shared" si="70"/>
        <v/>
      </c>
      <c r="FK11" s="15"/>
      <c r="FL11" s="15"/>
      <c r="FM11" s="15"/>
      <c r="FN11" s="15"/>
      <c r="FO11" s="15"/>
      <c r="FP11" s="15"/>
      <c r="FQ11" s="15"/>
      <c r="FR11" s="15"/>
      <c r="FS11" s="15"/>
      <c r="FT11" s="15"/>
      <c r="FU11" s="15"/>
      <c r="FV11" s="15"/>
      <c r="FW11" s="15"/>
      <c r="FX11" s="15"/>
      <c r="FY11" s="15"/>
      <c r="FZ11" s="15"/>
      <c r="GA11" s="15"/>
      <c r="GB11" s="15"/>
      <c r="GC11" s="15"/>
      <c r="GD11" s="15"/>
      <c r="GE11" s="36" t="str">
        <f t="shared" si="71"/>
        <v/>
      </c>
      <c r="GF11" s="36" t="str">
        <f t="shared" si="72"/>
        <v/>
      </c>
      <c r="GG11" s="36" t="str">
        <f t="shared" si="73"/>
        <v/>
      </c>
      <c r="GH11" s="36" t="str">
        <f t="shared" si="74"/>
        <v/>
      </c>
      <c r="GI11" s="36" t="str">
        <f t="shared" si="75"/>
        <v/>
      </c>
      <c r="GJ11" s="36" t="str">
        <f t="shared" si="76"/>
        <v/>
      </c>
      <c r="GK11" s="36" t="str">
        <f t="shared" si="77"/>
        <v/>
      </c>
      <c r="GL11" s="36" t="str">
        <f t="shared" si="78"/>
        <v/>
      </c>
      <c r="GM11" s="36" t="str">
        <f t="shared" si="79"/>
        <v/>
      </c>
      <c r="GN11" s="36" t="str">
        <f t="shared" si="80"/>
        <v/>
      </c>
      <c r="GO11" s="36" t="str">
        <f t="shared" si="81"/>
        <v/>
      </c>
      <c r="GP11" s="36" t="str">
        <f t="shared" si="82"/>
        <v/>
      </c>
      <c r="GQ11" s="36" t="str">
        <f t="shared" si="83"/>
        <v/>
      </c>
      <c r="GR11" s="36" t="str">
        <f t="shared" si="84"/>
        <v/>
      </c>
      <c r="GS11" s="16"/>
      <c r="GT11" s="16"/>
      <c r="GU11" s="16"/>
      <c r="GV11" s="16"/>
      <c r="GW11" s="16"/>
      <c r="GX11" s="16"/>
      <c r="GY11" s="16"/>
      <c r="GZ11" s="16"/>
      <c r="HA11" s="16"/>
      <c r="HB11" s="16"/>
      <c r="HC11" s="16"/>
      <c r="HD11" s="16"/>
      <c r="HE11" s="16"/>
      <c r="HF11" s="16"/>
      <c r="HG11" s="16"/>
      <c r="HH11" s="16"/>
      <c r="HI11" s="16"/>
      <c r="HJ11" s="16"/>
      <c r="HK11" s="16"/>
      <c r="HL11" s="16"/>
      <c r="HM11" s="11" t="str">
        <f t="shared" si="85"/>
        <v/>
      </c>
      <c r="HN11" s="11" t="str">
        <f t="shared" si="86"/>
        <v/>
      </c>
      <c r="HO11" s="11" t="str">
        <f t="shared" si="87"/>
        <v/>
      </c>
      <c r="HP11" s="11" t="str">
        <f t="shared" si="88"/>
        <v/>
      </c>
      <c r="HQ11" s="11" t="str">
        <f t="shared" si="89"/>
        <v/>
      </c>
      <c r="HR11" s="11" t="str">
        <f t="shared" si="90"/>
        <v/>
      </c>
      <c r="HS11" s="11" t="str">
        <f t="shared" si="91"/>
        <v/>
      </c>
      <c r="HT11" s="11" t="str">
        <f t="shared" si="92"/>
        <v/>
      </c>
      <c r="HU11" s="11" t="str">
        <f t="shared" si="93"/>
        <v/>
      </c>
      <c r="HV11" s="11" t="str">
        <f t="shared" si="94"/>
        <v/>
      </c>
      <c r="HW11" s="11" t="str">
        <f t="shared" si="95"/>
        <v/>
      </c>
      <c r="HX11" s="11" t="str">
        <f t="shared" si="96"/>
        <v/>
      </c>
      <c r="HY11" s="11" t="str">
        <f t="shared" si="97"/>
        <v/>
      </c>
      <c r="HZ11" s="11" t="str">
        <f t="shared" si="98"/>
        <v/>
      </c>
      <c r="IA11" s="15"/>
      <c r="IB11" s="15"/>
      <c r="IC11" s="15"/>
      <c r="ID11" s="15"/>
      <c r="IE11" s="15"/>
      <c r="IF11" s="15"/>
      <c r="IG11" s="15"/>
      <c r="IH11" s="15"/>
      <c r="II11" s="15"/>
      <c r="IJ11" s="15"/>
      <c r="IK11" s="15"/>
      <c r="IL11" s="15"/>
      <c r="IM11" s="15"/>
      <c r="IN11" s="15"/>
      <c r="IO11" s="15"/>
      <c r="IP11" s="15"/>
      <c r="IQ11" s="15"/>
      <c r="IR11" s="15"/>
      <c r="IS11" s="15"/>
      <c r="IT11" s="15"/>
      <c r="IU11" s="36" t="str">
        <f t="shared" si="99"/>
        <v/>
      </c>
      <c r="IV11" s="36" t="str">
        <f t="shared" si="100"/>
        <v/>
      </c>
      <c r="IW11" s="36" t="str">
        <f t="shared" si="101"/>
        <v/>
      </c>
      <c r="IX11" s="36" t="str">
        <f t="shared" si="102"/>
        <v/>
      </c>
      <c r="IY11" s="36" t="str">
        <f t="shared" si="103"/>
        <v/>
      </c>
      <c r="IZ11" s="36" t="str">
        <f t="shared" si="104"/>
        <v/>
      </c>
      <c r="JA11" s="36" t="str">
        <f t="shared" si="105"/>
        <v/>
      </c>
      <c r="JB11" s="36" t="str">
        <f t="shared" si="106"/>
        <v/>
      </c>
      <c r="JC11" s="36" t="str">
        <f t="shared" si="107"/>
        <v/>
      </c>
      <c r="JD11" s="36" t="str">
        <f t="shared" si="108"/>
        <v/>
      </c>
      <c r="JE11" s="36" t="str">
        <f t="shared" si="109"/>
        <v/>
      </c>
      <c r="JF11" s="36" t="str">
        <f t="shared" si="110"/>
        <v/>
      </c>
      <c r="JG11" s="36" t="str">
        <f t="shared" si="111"/>
        <v/>
      </c>
      <c r="JH11" s="36" t="str">
        <f t="shared" si="112"/>
        <v/>
      </c>
      <c r="JI11" s="16"/>
      <c r="JJ11" s="16"/>
      <c r="JK11" s="16"/>
      <c r="JL11" s="16"/>
      <c r="JM11" s="16"/>
      <c r="JN11" s="16"/>
      <c r="JO11" s="16"/>
      <c r="JP11" s="16"/>
      <c r="JQ11" s="16"/>
      <c r="JR11" s="16"/>
      <c r="JS11" s="16"/>
      <c r="JT11" s="16"/>
      <c r="JU11" s="16"/>
      <c r="JV11" s="16"/>
      <c r="JW11" s="16"/>
      <c r="JX11" s="16"/>
      <c r="JY11" s="16"/>
      <c r="JZ11" s="16"/>
      <c r="KA11" s="16"/>
      <c r="KB11" s="16"/>
      <c r="KC11" s="11" t="str">
        <f t="shared" si="113"/>
        <v/>
      </c>
      <c r="KD11" s="11" t="str">
        <f t="shared" si="114"/>
        <v/>
      </c>
      <c r="KE11" s="11" t="str">
        <f t="shared" si="115"/>
        <v/>
      </c>
      <c r="KF11" s="11" t="str">
        <f t="shared" si="116"/>
        <v/>
      </c>
      <c r="KG11" s="11" t="str">
        <f t="shared" si="117"/>
        <v/>
      </c>
      <c r="KH11" s="11" t="str">
        <f t="shared" si="118"/>
        <v/>
      </c>
      <c r="KI11" s="11" t="str">
        <f t="shared" si="119"/>
        <v/>
      </c>
      <c r="KJ11" s="11" t="str">
        <f t="shared" si="120"/>
        <v/>
      </c>
      <c r="KK11" s="11" t="str">
        <f t="shared" si="121"/>
        <v/>
      </c>
      <c r="KL11" s="11" t="str">
        <f t="shared" si="122"/>
        <v/>
      </c>
      <c r="KM11" s="11" t="str">
        <f t="shared" si="123"/>
        <v/>
      </c>
      <c r="KN11" s="11" t="str">
        <f t="shared" si="124"/>
        <v/>
      </c>
      <c r="KO11" s="11" t="str">
        <f t="shared" si="125"/>
        <v/>
      </c>
      <c r="KP11" s="11" t="str">
        <f t="shared" si="126"/>
        <v/>
      </c>
      <c r="KQ11" s="15"/>
      <c r="KR11" s="15"/>
      <c r="KS11" s="15"/>
      <c r="KT11" s="15"/>
      <c r="KU11" s="15"/>
      <c r="KV11" s="15"/>
      <c r="KW11" s="15"/>
      <c r="KX11" s="15"/>
      <c r="KY11" s="15"/>
      <c r="KZ11" s="15"/>
      <c r="LA11" s="15"/>
      <c r="LB11" s="15"/>
      <c r="LC11" s="15"/>
      <c r="LD11" s="15"/>
      <c r="LE11" s="15"/>
      <c r="LF11" s="15"/>
      <c r="LG11" s="15"/>
      <c r="LH11" s="15"/>
      <c r="LI11" s="15"/>
      <c r="LJ11" s="15"/>
      <c r="LK11" s="36" t="str">
        <f t="shared" si="127"/>
        <v/>
      </c>
      <c r="LL11" s="36" t="str">
        <f t="shared" si="128"/>
        <v/>
      </c>
      <c r="LM11" s="36" t="str">
        <f t="shared" si="129"/>
        <v/>
      </c>
      <c r="LN11" s="36" t="str">
        <f t="shared" si="130"/>
        <v/>
      </c>
      <c r="LO11" s="36" t="str">
        <f t="shared" si="131"/>
        <v/>
      </c>
      <c r="LP11" s="36" t="str">
        <f t="shared" si="132"/>
        <v/>
      </c>
      <c r="LQ11" s="36" t="str">
        <f t="shared" si="133"/>
        <v/>
      </c>
      <c r="LR11" s="36" t="str">
        <f t="shared" si="134"/>
        <v/>
      </c>
      <c r="LS11" s="36" t="str">
        <f t="shared" si="135"/>
        <v/>
      </c>
      <c r="LT11" s="36" t="str">
        <f t="shared" si="136"/>
        <v/>
      </c>
      <c r="LU11" s="36" t="str">
        <f t="shared" si="137"/>
        <v/>
      </c>
      <c r="LV11" s="36" t="str">
        <f t="shared" si="138"/>
        <v/>
      </c>
      <c r="LW11" s="36" t="str">
        <f t="shared" si="139"/>
        <v/>
      </c>
      <c r="LX11" s="36" t="str">
        <f t="shared" si="140"/>
        <v/>
      </c>
      <c r="LY11" s="16"/>
      <c r="LZ11" s="16"/>
      <c r="MA11" s="16"/>
      <c r="MB11" s="16"/>
      <c r="MC11" s="16"/>
      <c r="MD11" s="16"/>
      <c r="ME11" s="16"/>
      <c r="MF11" s="16"/>
      <c r="MG11" s="16"/>
      <c r="MH11" s="16"/>
      <c r="MI11" s="16"/>
      <c r="MJ11" s="16"/>
      <c r="MK11" s="16"/>
      <c r="ML11" s="16"/>
      <c r="MM11" s="16"/>
      <c r="MN11" s="16"/>
      <c r="MO11" s="16"/>
      <c r="MP11" s="16"/>
      <c r="MQ11" s="16"/>
      <c r="MR11" s="16"/>
      <c r="MS11" s="11" t="str">
        <f t="shared" si="141"/>
        <v/>
      </c>
      <c r="MT11" s="11" t="str">
        <f t="shared" si="142"/>
        <v/>
      </c>
      <c r="MU11" s="11" t="str">
        <f t="shared" si="143"/>
        <v/>
      </c>
      <c r="MV11" s="11" t="str">
        <f t="shared" si="144"/>
        <v/>
      </c>
      <c r="MW11" s="11" t="str">
        <f t="shared" si="145"/>
        <v/>
      </c>
      <c r="MX11" s="11" t="str">
        <f t="shared" si="146"/>
        <v/>
      </c>
      <c r="MY11" s="11" t="str">
        <f t="shared" si="147"/>
        <v/>
      </c>
      <c r="MZ11" s="11" t="str">
        <f t="shared" si="148"/>
        <v/>
      </c>
      <c r="NA11" s="11" t="str">
        <f t="shared" si="149"/>
        <v/>
      </c>
      <c r="NB11" s="11" t="str">
        <f t="shared" si="150"/>
        <v/>
      </c>
      <c r="NC11" s="11" t="str">
        <f t="shared" si="151"/>
        <v/>
      </c>
      <c r="ND11" s="11" t="str">
        <f t="shared" si="152"/>
        <v/>
      </c>
      <c r="NE11" s="11" t="str">
        <f t="shared" si="153"/>
        <v/>
      </c>
      <c r="NF11" s="11" t="str">
        <f t="shared" si="154"/>
        <v/>
      </c>
      <c r="NG11" s="15"/>
      <c r="NH11" s="15"/>
      <c r="NI11" s="15"/>
      <c r="NJ11" s="15"/>
      <c r="NK11" s="15"/>
      <c r="NL11" s="15"/>
      <c r="NM11" s="15"/>
      <c r="NN11" s="15"/>
      <c r="NO11" s="15"/>
      <c r="NP11" s="15"/>
      <c r="NQ11" s="15"/>
      <c r="NR11" s="15"/>
      <c r="NS11" s="15"/>
      <c r="NT11" s="15"/>
      <c r="NU11" s="15"/>
      <c r="NV11" s="15"/>
      <c r="NW11" s="15"/>
      <c r="NX11" s="15"/>
      <c r="NY11" s="15"/>
      <c r="NZ11" s="15"/>
      <c r="OA11" s="36" t="str">
        <f t="shared" si="155"/>
        <v/>
      </c>
      <c r="OB11" s="36" t="str">
        <f t="shared" si="156"/>
        <v/>
      </c>
      <c r="OC11" s="36" t="str">
        <f t="shared" si="157"/>
        <v/>
      </c>
      <c r="OD11" s="36" t="str">
        <f t="shared" si="158"/>
        <v/>
      </c>
      <c r="OE11" s="36" t="str">
        <f t="shared" si="159"/>
        <v/>
      </c>
      <c r="OF11" s="36" t="str">
        <f t="shared" si="160"/>
        <v/>
      </c>
      <c r="OG11" s="36" t="str">
        <f t="shared" si="161"/>
        <v/>
      </c>
      <c r="OH11" s="36" t="str">
        <f t="shared" si="162"/>
        <v/>
      </c>
      <c r="OI11" s="36" t="str">
        <f t="shared" si="163"/>
        <v/>
      </c>
      <c r="OJ11" s="36" t="str">
        <f t="shared" si="164"/>
        <v/>
      </c>
      <c r="OK11" s="36" t="str">
        <f t="shared" si="165"/>
        <v/>
      </c>
      <c r="OL11" s="36" t="str">
        <f t="shared" si="166"/>
        <v/>
      </c>
      <c r="OM11" s="36" t="str">
        <f t="shared" si="167"/>
        <v/>
      </c>
      <c r="ON11" s="36" t="str">
        <f t="shared" si="168"/>
        <v/>
      </c>
      <c r="OO11" s="16"/>
      <c r="OP11" s="16"/>
      <c r="OQ11" s="16"/>
      <c r="OR11" s="16"/>
      <c r="OS11" s="16"/>
      <c r="OT11" s="16"/>
      <c r="OU11" s="16"/>
      <c r="OV11" s="16"/>
      <c r="OW11" s="16"/>
      <c r="OX11" s="16"/>
      <c r="OY11" s="16"/>
      <c r="OZ11" s="16"/>
      <c r="PA11" s="16"/>
      <c r="PB11" s="16"/>
      <c r="PC11" s="16"/>
      <c r="PD11" s="16"/>
      <c r="PE11" s="16"/>
      <c r="PF11" s="16"/>
      <c r="PG11" s="16"/>
      <c r="PH11" s="16"/>
      <c r="PI11" s="11" t="str">
        <f t="shared" si="169"/>
        <v/>
      </c>
      <c r="PJ11" s="11" t="str">
        <f t="shared" si="170"/>
        <v/>
      </c>
      <c r="PK11" s="11" t="str">
        <f t="shared" si="171"/>
        <v/>
      </c>
      <c r="PL11" s="11" t="str">
        <f t="shared" si="172"/>
        <v/>
      </c>
      <c r="PM11" s="11" t="str">
        <f t="shared" si="173"/>
        <v/>
      </c>
      <c r="PN11" s="11" t="str">
        <f t="shared" si="174"/>
        <v/>
      </c>
      <c r="PO11" s="11" t="str">
        <f t="shared" si="175"/>
        <v/>
      </c>
      <c r="PP11" s="11" t="str">
        <f t="shared" si="176"/>
        <v/>
      </c>
      <c r="PQ11" s="11" t="str">
        <f t="shared" si="177"/>
        <v/>
      </c>
      <c r="PR11" s="11" t="str">
        <f t="shared" si="178"/>
        <v/>
      </c>
      <c r="PS11" s="11" t="str">
        <f t="shared" si="179"/>
        <v/>
      </c>
      <c r="PT11" s="11" t="str">
        <f t="shared" si="180"/>
        <v/>
      </c>
      <c r="PU11" s="11" t="str">
        <f t="shared" si="181"/>
        <v/>
      </c>
      <c r="PV11" s="11" t="str">
        <f t="shared" si="182"/>
        <v/>
      </c>
      <c r="PW11" s="15"/>
      <c r="PX11" s="15"/>
      <c r="PY11" s="15"/>
      <c r="PZ11" s="15"/>
      <c r="QA11" s="15"/>
      <c r="QB11" s="15"/>
      <c r="QC11" s="15"/>
      <c r="QD11" s="15"/>
      <c r="QE11" s="15"/>
      <c r="QF11" s="15"/>
      <c r="QG11" s="15"/>
      <c r="QH11" s="15"/>
      <c r="QI11" s="15"/>
      <c r="QJ11" s="15"/>
      <c r="QK11" s="15"/>
      <c r="QL11" s="15"/>
      <c r="QM11" s="15"/>
      <c r="QN11" s="15"/>
      <c r="QO11" s="15"/>
      <c r="QP11" s="15"/>
      <c r="QQ11" s="36" t="str">
        <f t="shared" si="183"/>
        <v/>
      </c>
      <c r="QR11" s="36" t="str">
        <f t="shared" si="184"/>
        <v/>
      </c>
      <c r="QS11" s="36" t="str">
        <f t="shared" si="185"/>
        <v/>
      </c>
      <c r="QT11" s="36" t="str">
        <f t="shared" si="186"/>
        <v/>
      </c>
      <c r="QU11" s="36" t="str">
        <f t="shared" si="187"/>
        <v/>
      </c>
      <c r="QV11" s="36" t="str">
        <f t="shared" si="188"/>
        <v/>
      </c>
      <c r="QW11" s="36" t="str">
        <f t="shared" si="189"/>
        <v/>
      </c>
      <c r="QX11" s="36" t="str">
        <f t="shared" si="190"/>
        <v/>
      </c>
      <c r="QY11" s="36" t="str">
        <f t="shared" si="191"/>
        <v/>
      </c>
      <c r="QZ11" s="36" t="str">
        <f t="shared" si="192"/>
        <v/>
      </c>
      <c r="RA11" s="36" t="str">
        <f t="shared" si="193"/>
        <v/>
      </c>
      <c r="RB11" s="36" t="str">
        <f t="shared" si="194"/>
        <v/>
      </c>
      <c r="RC11" s="36" t="str">
        <f t="shared" si="195"/>
        <v/>
      </c>
      <c r="RD11" s="36" t="str">
        <f t="shared" si="196"/>
        <v/>
      </c>
      <c r="RE11" s="16"/>
      <c r="RF11" s="16"/>
      <c r="RG11" s="16"/>
      <c r="RH11" s="16"/>
      <c r="RI11" s="16"/>
      <c r="RJ11" s="16"/>
      <c r="RK11" s="16"/>
      <c r="RL11" s="16"/>
      <c r="RM11" s="16"/>
      <c r="RN11" s="16"/>
      <c r="RO11" s="16"/>
      <c r="RP11" s="16"/>
      <c r="RQ11" s="16"/>
      <c r="RR11" s="16"/>
      <c r="RS11" s="16"/>
      <c r="RT11" s="16"/>
      <c r="RU11" s="16"/>
      <c r="RV11" s="16"/>
      <c r="RW11" s="16"/>
      <c r="RX11" s="16"/>
      <c r="RY11" s="11" t="str">
        <f t="shared" si="197"/>
        <v/>
      </c>
      <c r="RZ11" s="11" t="str">
        <f t="shared" si="198"/>
        <v/>
      </c>
      <c r="SA11" s="11" t="str">
        <f t="shared" si="199"/>
        <v/>
      </c>
      <c r="SB11" s="11" t="str">
        <f t="shared" si="200"/>
        <v/>
      </c>
      <c r="SC11" s="11" t="str">
        <f t="shared" si="201"/>
        <v/>
      </c>
      <c r="SD11" s="11" t="str">
        <f t="shared" si="202"/>
        <v/>
      </c>
      <c r="SE11" s="11" t="str">
        <f t="shared" si="203"/>
        <v/>
      </c>
      <c r="SF11" s="11" t="str">
        <f t="shared" si="204"/>
        <v/>
      </c>
      <c r="SG11" s="11" t="str">
        <f t="shared" si="205"/>
        <v/>
      </c>
      <c r="SH11" s="11" t="str">
        <f t="shared" si="206"/>
        <v/>
      </c>
      <c r="SI11" s="11" t="str">
        <f t="shared" si="207"/>
        <v/>
      </c>
      <c r="SJ11" s="11" t="str">
        <f t="shared" si="208"/>
        <v/>
      </c>
      <c r="SK11" s="11" t="str">
        <f t="shared" si="209"/>
        <v/>
      </c>
      <c r="SL11" s="11" t="str">
        <f t="shared" si="210"/>
        <v/>
      </c>
      <c r="SM11" s="15"/>
      <c r="SN11" s="15"/>
      <c r="SO11" s="15"/>
      <c r="SP11" s="15"/>
      <c r="SQ11" s="15"/>
      <c r="SR11" s="15"/>
      <c r="SS11" s="15"/>
      <c r="ST11" s="15"/>
      <c r="SU11" s="15"/>
      <c r="SV11" s="15"/>
      <c r="SW11" s="15"/>
      <c r="SX11" s="15"/>
      <c r="SY11" s="15"/>
      <c r="SZ11" s="15"/>
      <c r="TA11" s="15"/>
      <c r="TB11" s="15"/>
      <c r="TC11" s="15"/>
      <c r="TD11" s="15"/>
      <c r="TE11" s="15"/>
      <c r="TF11" s="15"/>
      <c r="TG11" s="36" t="str">
        <f t="shared" si="211"/>
        <v/>
      </c>
      <c r="TH11" s="36" t="str">
        <f t="shared" si="212"/>
        <v/>
      </c>
      <c r="TI11" s="36" t="str">
        <f t="shared" si="213"/>
        <v/>
      </c>
      <c r="TJ11" s="36" t="str">
        <f t="shared" si="214"/>
        <v/>
      </c>
      <c r="TK11" s="36" t="str">
        <f t="shared" si="215"/>
        <v/>
      </c>
      <c r="TL11" s="36" t="str">
        <f t="shared" si="216"/>
        <v/>
      </c>
      <c r="TM11" s="36" t="str">
        <f t="shared" si="217"/>
        <v/>
      </c>
      <c r="TN11" s="36" t="str">
        <f t="shared" si="218"/>
        <v/>
      </c>
      <c r="TO11" s="36" t="str">
        <f t="shared" si="219"/>
        <v/>
      </c>
      <c r="TP11" s="36" t="str">
        <f t="shared" si="220"/>
        <v/>
      </c>
      <c r="TQ11" s="36" t="str">
        <f t="shared" si="221"/>
        <v/>
      </c>
      <c r="TR11" s="36" t="str">
        <f t="shared" si="222"/>
        <v/>
      </c>
      <c r="TS11" s="36" t="str">
        <f t="shared" si="223"/>
        <v/>
      </c>
      <c r="TT11" s="36" t="str">
        <f t="shared" si="224"/>
        <v/>
      </c>
      <c r="TU11" s="16"/>
      <c r="TV11" s="16"/>
      <c r="TW11" s="16"/>
      <c r="TX11" s="16"/>
      <c r="TY11" s="16"/>
      <c r="TZ11" s="16"/>
      <c r="UA11" s="16"/>
      <c r="UB11" s="16"/>
      <c r="UC11" s="16"/>
      <c r="UD11" s="16"/>
      <c r="UE11" s="16"/>
      <c r="UF11" s="16"/>
      <c r="UG11" s="16"/>
      <c r="UH11" s="16"/>
      <c r="UI11" s="16"/>
      <c r="UJ11" s="16"/>
      <c r="UK11" s="16"/>
      <c r="UL11" s="16"/>
      <c r="UM11" s="16"/>
      <c r="UN11" s="16"/>
      <c r="UO11" s="11" t="str">
        <f t="shared" si="225"/>
        <v/>
      </c>
      <c r="UP11" s="11" t="str">
        <f t="shared" si="226"/>
        <v/>
      </c>
      <c r="UQ11" s="11" t="str">
        <f t="shared" si="227"/>
        <v/>
      </c>
      <c r="UR11" s="11" t="str">
        <f t="shared" si="228"/>
        <v/>
      </c>
      <c r="US11" s="11" t="str">
        <f t="shared" si="229"/>
        <v/>
      </c>
      <c r="UT11" s="11" t="str">
        <f t="shared" si="230"/>
        <v/>
      </c>
      <c r="UU11" s="11" t="str">
        <f t="shared" si="231"/>
        <v/>
      </c>
      <c r="UV11" s="11" t="str">
        <f t="shared" si="232"/>
        <v/>
      </c>
      <c r="UW11" s="11" t="str">
        <f t="shared" si="233"/>
        <v/>
      </c>
      <c r="UX11" s="11" t="str">
        <f t="shared" si="234"/>
        <v/>
      </c>
      <c r="UY11" s="11" t="str">
        <f t="shared" si="235"/>
        <v/>
      </c>
      <c r="UZ11" s="11" t="str">
        <f t="shared" si="236"/>
        <v/>
      </c>
      <c r="VA11" s="11" t="str">
        <f t="shared" si="237"/>
        <v/>
      </c>
      <c r="VB11" s="11" t="str">
        <f t="shared" si="238"/>
        <v/>
      </c>
      <c r="VC11" s="15"/>
      <c r="VD11" s="15"/>
      <c r="VE11" s="15"/>
      <c r="VF11" s="15"/>
      <c r="VG11" s="15"/>
      <c r="VH11" s="15"/>
      <c r="VI11" s="15"/>
      <c r="VJ11" s="15"/>
      <c r="VK11" s="15"/>
      <c r="VL11" s="15"/>
      <c r="VM11" s="15"/>
      <c r="VN11" s="15"/>
      <c r="VO11" s="15"/>
      <c r="VP11" s="15"/>
      <c r="VQ11" s="15"/>
      <c r="VR11" s="15"/>
      <c r="VS11" s="15"/>
      <c r="VT11" s="15"/>
      <c r="VU11" s="15"/>
      <c r="VV11" s="15"/>
      <c r="VW11" s="36" t="str">
        <f t="shared" si="239"/>
        <v/>
      </c>
      <c r="VX11" s="36" t="str">
        <f t="shared" si="240"/>
        <v/>
      </c>
      <c r="VY11" s="36" t="str">
        <f t="shared" si="241"/>
        <v/>
      </c>
      <c r="VZ11" s="36" t="str">
        <f t="shared" si="242"/>
        <v/>
      </c>
      <c r="WA11" s="36" t="str">
        <f t="shared" si="243"/>
        <v/>
      </c>
      <c r="WB11" s="36" t="str">
        <f t="shared" si="244"/>
        <v/>
      </c>
      <c r="WC11" s="36" t="str">
        <f t="shared" si="245"/>
        <v/>
      </c>
      <c r="WD11" s="36" t="str">
        <f t="shared" si="246"/>
        <v/>
      </c>
      <c r="WE11" s="36" t="str">
        <f t="shared" si="247"/>
        <v/>
      </c>
      <c r="WF11" s="36" t="str">
        <f t="shared" si="248"/>
        <v/>
      </c>
      <c r="WG11" s="36" t="str">
        <f t="shared" si="249"/>
        <v/>
      </c>
      <c r="WH11" s="36" t="str">
        <f t="shared" si="250"/>
        <v/>
      </c>
      <c r="WI11" s="36" t="str">
        <f t="shared" si="251"/>
        <v/>
      </c>
      <c r="WJ11" s="36" t="str">
        <f t="shared" si="252"/>
        <v/>
      </c>
    </row>
    <row r="12" spans="1:608" x14ac:dyDescent="0.2">
      <c r="A12" s="4" t="str" cm="1">
        <f t="array" ref="A12">IF(AND(H12&lt;&gt;"",H12&lt;&gt;"No DD",I12&lt;&gt;"P"),SUMPRODUCT((H$4:H$14&lt;&gt;"")*(H$4:H$14&lt;&gt;"No DD")*(I$4:I$14&lt;&gt;"P")*(E$4:E$14&gt;E12))+1,IF(H12="No DD",SUMPRODUCT((H$4:H$14="No DD")*(I$4:I$14&lt;&gt;"P")*(E$4:E$14&gt;E12))+1+SUMPRODUCT((H$4:H$14&lt;&gt;"")*(I$4:I$14&lt;&gt;"P")*(H$4:H$14&lt;&gt;"No DD")),""))</f>
        <v/>
      </c>
      <c r="B12" s="5" t="s">
        <v>219</v>
      </c>
      <c r="C12" s="4" t="s">
        <v>3</v>
      </c>
      <c r="D12" s="4">
        <v>2009</v>
      </c>
      <c r="E12" s="9">
        <f t="shared" si="0"/>
        <v>90.200009020004586</v>
      </c>
      <c r="F12" s="3" t="str">
        <f t="shared" si="1"/>
        <v/>
      </c>
      <c r="G12" s="3" t="str">
        <f t="shared" si="2"/>
        <v/>
      </c>
      <c r="H12" s="32" t="str">
        <f t="shared" si="3"/>
        <v/>
      </c>
      <c r="I12" s="3" t="str">
        <f>IF(COUNTIFS('Senior-W'!B:B,B12,'Senior-W'!A:A,"&lt;9",'Senior-W'!H:H,"&lt;&gt;"&amp;"No DD"),"P","")</f>
        <v/>
      </c>
      <c r="J12" s="8">
        <f t="shared" si="4"/>
        <v>46.029999999999994</v>
      </c>
      <c r="K12" s="8" t="str">
        <f t="shared" si="5"/>
        <v>2025 Elite Canada</v>
      </c>
      <c r="L12" s="8">
        <f>IFERROR(LARGE((AI12,AL12,AP12,BJ12,BM12,BQ12,CK12,CN12,CR12),2),0)</f>
        <v>44.169999999999995</v>
      </c>
      <c r="M12" s="8" t="str">
        <f t="shared" si="6"/>
        <v>2025 Elite Canada</v>
      </c>
      <c r="N12" s="8">
        <f t="shared" si="7"/>
        <v>0</v>
      </c>
      <c r="O12" s="11" t="str">
        <f>IF(N12=0,"",IF(N12=CT12,"("&amp;CT$2&amp;")",IF(N12=#REF!,"("&amp;#REF!&amp;")")))</f>
        <v/>
      </c>
      <c r="P12" s="8" t="str">
        <f t="shared" si="8"/>
        <v/>
      </c>
      <c r="Q12" s="18">
        <v>16.600000000000001</v>
      </c>
      <c r="R12" s="18">
        <v>9.5</v>
      </c>
      <c r="S12" s="18">
        <v>0</v>
      </c>
      <c r="T12" s="18">
        <v>13.25</v>
      </c>
      <c r="U12" s="18">
        <v>0</v>
      </c>
      <c r="V12" s="18">
        <v>13.5</v>
      </c>
      <c r="W12" s="18">
        <v>8.6999999999999993</v>
      </c>
      <c r="X12" s="18">
        <v>9</v>
      </c>
      <c r="Y12" s="18">
        <v>13.17</v>
      </c>
      <c r="Z12" s="18">
        <v>0.2</v>
      </c>
      <c r="AA12" s="18">
        <v>15.3</v>
      </c>
      <c r="AB12" s="18">
        <v>9</v>
      </c>
      <c r="AC12" s="18">
        <v>9</v>
      </c>
      <c r="AD12" s="18">
        <v>12.93</v>
      </c>
      <c r="AE12" s="18">
        <v>0.2</v>
      </c>
      <c r="AF12" s="23"/>
      <c r="AG12" s="34" t="str">
        <f t="shared" si="9"/>
        <v/>
      </c>
      <c r="AH12" s="34">
        <f t="shared" si="10"/>
        <v>13.25</v>
      </c>
      <c r="AI12" s="36">
        <f t="shared" si="11"/>
        <v>39.35</v>
      </c>
      <c r="AJ12" s="36">
        <f t="shared" si="12"/>
        <v>9</v>
      </c>
      <c r="AK12" s="36">
        <f t="shared" si="13"/>
        <v>13.17</v>
      </c>
      <c r="AL12" s="36">
        <f t="shared" si="14"/>
        <v>44.169999999999995</v>
      </c>
      <c r="AM12" s="36">
        <f t="shared" si="15"/>
        <v>44.169999999999995</v>
      </c>
      <c r="AN12" s="36">
        <f t="shared" si="16"/>
        <v>9</v>
      </c>
      <c r="AO12" s="36">
        <f t="shared" si="17"/>
        <v>12.93</v>
      </c>
      <c r="AP12" s="36">
        <f t="shared" si="18"/>
        <v>46.029999999999994</v>
      </c>
      <c r="AQ12" s="36">
        <f t="shared" si="19"/>
        <v>90.199999999999989</v>
      </c>
      <c r="AR12" s="22">
        <v>16.8</v>
      </c>
      <c r="AS12" s="22">
        <v>9.3000000000000007</v>
      </c>
      <c r="AT12" s="22">
        <v>0</v>
      </c>
      <c r="AU12" s="22">
        <v>13.19</v>
      </c>
      <c r="AV12" s="22">
        <v>0</v>
      </c>
      <c r="AW12" s="22">
        <v>4.0999999999999996</v>
      </c>
      <c r="AX12" s="22">
        <v>2.6</v>
      </c>
      <c r="AY12" s="22">
        <v>3.4</v>
      </c>
      <c r="AZ12" s="22">
        <v>4.03</v>
      </c>
      <c r="BA12" s="22">
        <v>0</v>
      </c>
      <c r="BB12" s="22">
        <v>11.8</v>
      </c>
      <c r="BC12" s="22">
        <v>9.1999999999999993</v>
      </c>
      <c r="BD12" s="22">
        <v>9.3000000000000007</v>
      </c>
      <c r="BE12" s="22">
        <v>12.66</v>
      </c>
      <c r="BF12" s="22">
        <v>0</v>
      </c>
      <c r="BG12" s="24"/>
      <c r="BH12" s="35" t="str">
        <f t="shared" si="20"/>
        <v/>
      </c>
      <c r="BI12" s="35">
        <f t="shared" si="21"/>
        <v>13.19</v>
      </c>
      <c r="BJ12" s="11">
        <f t="shared" si="22"/>
        <v>39.29</v>
      </c>
      <c r="BK12" s="11">
        <f t="shared" si="23"/>
        <v>3.4</v>
      </c>
      <c r="BL12" s="11">
        <f t="shared" si="24"/>
        <v>4.03</v>
      </c>
      <c r="BM12" s="11">
        <f t="shared" si="25"/>
        <v>14.129999999999999</v>
      </c>
      <c r="BN12" s="11">
        <f t="shared" si="26"/>
        <v>39.29</v>
      </c>
      <c r="BO12" s="11">
        <f t="shared" si="27"/>
        <v>9.3000000000000007</v>
      </c>
      <c r="BP12" s="11">
        <f t="shared" si="28"/>
        <v>12.66</v>
      </c>
      <c r="BQ12" s="11">
        <f t="shared" si="29"/>
        <v>42.96</v>
      </c>
      <c r="BR12" s="11">
        <f t="shared" si="30"/>
        <v>82.25</v>
      </c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23"/>
      <c r="CI12" s="34" t="str">
        <f t="shared" si="31"/>
        <v/>
      </c>
      <c r="CJ12" s="34" t="str">
        <f t="shared" si="32"/>
        <v/>
      </c>
      <c r="CK12" s="36" t="str">
        <f t="shared" si="33"/>
        <v/>
      </c>
      <c r="CL12" s="36" t="str">
        <f t="shared" si="34"/>
        <v/>
      </c>
      <c r="CM12" s="36" t="str">
        <f t="shared" si="35"/>
        <v/>
      </c>
      <c r="CN12" s="36" t="str">
        <f t="shared" si="36"/>
        <v/>
      </c>
      <c r="CO12" s="36" t="str">
        <f t="shared" si="37"/>
        <v/>
      </c>
      <c r="CP12" s="36" t="str">
        <f t="shared" si="38"/>
        <v/>
      </c>
      <c r="CQ12" s="36" t="str">
        <f t="shared" si="39"/>
        <v/>
      </c>
      <c r="CR12" s="36" t="str">
        <f t="shared" si="40"/>
        <v/>
      </c>
      <c r="CS12" s="36" t="str">
        <f t="shared" si="41"/>
        <v/>
      </c>
      <c r="CT12" s="47" t="str">
        <f t="shared" si="42"/>
        <v/>
      </c>
      <c r="CU12" s="15"/>
      <c r="CV12" s="15"/>
      <c r="CW12" s="15"/>
      <c r="CX12" s="15"/>
      <c r="CY12" s="15"/>
      <c r="CZ12" s="15"/>
      <c r="DA12" s="15"/>
      <c r="DB12" s="15"/>
      <c r="DC12" s="15"/>
      <c r="DD12" s="15"/>
      <c r="DE12" s="15"/>
      <c r="DF12" s="15"/>
      <c r="DG12" s="15"/>
      <c r="DH12" s="15"/>
      <c r="DI12" s="15"/>
      <c r="DJ12" s="15"/>
      <c r="DK12" s="15"/>
      <c r="DL12" s="15"/>
      <c r="DM12" s="15"/>
      <c r="DN12" s="15"/>
      <c r="DO12" s="36" t="str">
        <f t="shared" si="43"/>
        <v/>
      </c>
      <c r="DP12" s="36" t="str">
        <f t="shared" si="44"/>
        <v/>
      </c>
      <c r="DQ12" s="36" t="str">
        <f t="shared" si="45"/>
        <v/>
      </c>
      <c r="DR12" s="36" t="str">
        <f t="shared" si="46"/>
        <v/>
      </c>
      <c r="DS12" s="36" t="str">
        <f t="shared" si="47"/>
        <v/>
      </c>
      <c r="DT12" s="36" t="str">
        <f t="shared" si="48"/>
        <v/>
      </c>
      <c r="DU12" s="36" t="str">
        <f t="shared" si="49"/>
        <v/>
      </c>
      <c r="DV12" s="36" t="str">
        <f t="shared" si="50"/>
        <v/>
      </c>
      <c r="DW12" s="36" t="str">
        <f t="shared" si="51"/>
        <v/>
      </c>
      <c r="DX12" s="36" t="str">
        <f t="shared" si="52"/>
        <v/>
      </c>
      <c r="DY12" s="36" t="str">
        <f t="shared" si="53"/>
        <v/>
      </c>
      <c r="DZ12" s="36" t="str">
        <f t="shared" si="54"/>
        <v/>
      </c>
      <c r="EA12" s="36" t="str">
        <f t="shared" si="55"/>
        <v/>
      </c>
      <c r="EB12" s="36" t="str">
        <f t="shared" si="56"/>
        <v/>
      </c>
      <c r="EC12" s="16"/>
      <c r="ED12" s="16"/>
      <c r="EE12" s="16"/>
      <c r="EF12" s="16"/>
      <c r="EG12" s="16"/>
      <c r="EH12" s="16"/>
      <c r="EI12" s="16"/>
      <c r="EJ12" s="16"/>
      <c r="EK12" s="16"/>
      <c r="EL12" s="16"/>
      <c r="EM12" s="16"/>
      <c r="EN12" s="16"/>
      <c r="EO12" s="16"/>
      <c r="EP12" s="16"/>
      <c r="EQ12" s="16"/>
      <c r="ER12" s="16"/>
      <c r="ES12" s="16"/>
      <c r="ET12" s="16"/>
      <c r="EU12" s="16"/>
      <c r="EV12" s="16"/>
      <c r="EW12" s="11" t="str">
        <f t="shared" si="57"/>
        <v/>
      </c>
      <c r="EX12" s="11" t="str">
        <f t="shared" si="58"/>
        <v/>
      </c>
      <c r="EY12" s="11" t="str">
        <f t="shared" si="59"/>
        <v/>
      </c>
      <c r="EZ12" s="11" t="str">
        <f t="shared" si="60"/>
        <v/>
      </c>
      <c r="FA12" s="11" t="str">
        <f t="shared" si="61"/>
        <v/>
      </c>
      <c r="FB12" s="11" t="str">
        <f t="shared" si="62"/>
        <v/>
      </c>
      <c r="FC12" s="11" t="str">
        <f t="shared" si="63"/>
        <v/>
      </c>
      <c r="FD12" s="11" t="str">
        <f t="shared" si="64"/>
        <v/>
      </c>
      <c r="FE12" s="11" t="str">
        <f t="shared" si="65"/>
        <v/>
      </c>
      <c r="FF12" s="11" t="str">
        <f t="shared" si="66"/>
        <v/>
      </c>
      <c r="FG12" s="11" t="str">
        <f t="shared" si="67"/>
        <v/>
      </c>
      <c r="FH12" s="11" t="str">
        <f t="shared" si="68"/>
        <v/>
      </c>
      <c r="FI12" s="11" t="str">
        <f t="shared" si="69"/>
        <v/>
      </c>
      <c r="FJ12" s="11" t="str">
        <f t="shared" si="70"/>
        <v/>
      </c>
      <c r="FK12" s="15"/>
      <c r="FL12" s="15"/>
      <c r="FM12" s="15"/>
      <c r="FN12" s="15"/>
      <c r="FO12" s="15"/>
      <c r="FP12" s="15"/>
      <c r="FQ12" s="15"/>
      <c r="FR12" s="15"/>
      <c r="FS12" s="15"/>
      <c r="FT12" s="15"/>
      <c r="FU12" s="15"/>
      <c r="FV12" s="15"/>
      <c r="FW12" s="15"/>
      <c r="FX12" s="15"/>
      <c r="FY12" s="15"/>
      <c r="FZ12" s="15"/>
      <c r="GA12" s="15"/>
      <c r="GB12" s="15"/>
      <c r="GC12" s="15"/>
      <c r="GD12" s="15"/>
      <c r="GE12" s="36" t="str">
        <f t="shared" si="71"/>
        <v/>
      </c>
      <c r="GF12" s="36" t="str">
        <f t="shared" si="72"/>
        <v/>
      </c>
      <c r="GG12" s="36" t="str">
        <f t="shared" si="73"/>
        <v/>
      </c>
      <c r="GH12" s="36" t="str">
        <f t="shared" si="74"/>
        <v/>
      </c>
      <c r="GI12" s="36" t="str">
        <f t="shared" si="75"/>
        <v/>
      </c>
      <c r="GJ12" s="36" t="str">
        <f t="shared" si="76"/>
        <v/>
      </c>
      <c r="GK12" s="36" t="str">
        <f t="shared" si="77"/>
        <v/>
      </c>
      <c r="GL12" s="36" t="str">
        <f t="shared" si="78"/>
        <v/>
      </c>
      <c r="GM12" s="36" t="str">
        <f t="shared" si="79"/>
        <v/>
      </c>
      <c r="GN12" s="36" t="str">
        <f t="shared" si="80"/>
        <v/>
      </c>
      <c r="GO12" s="36" t="str">
        <f t="shared" si="81"/>
        <v/>
      </c>
      <c r="GP12" s="36" t="str">
        <f t="shared" si="82"/>
        <v/>
      </c>
      <c r="GQ12" s="36" t="str">
        <f t="shared" si="83"/>
        <v/>
      </c>
      <c r="GR12" s="36" t="str">
        <f t="shared" si="84"/>
        <v/>
      </c>
      <c r="GS12" s="16"/>
      <c r="GT12" s="16"/>
      <c r="GU12" s="16"/>
      <c r="GV12" s="16"/>
      <c r="GW12" s="16"/>
      <c r="GX12" s="16"/>
      <c r="GY12" s="16"/>
      <c r="GZ12" s="16"/>
      <c r="HA12" s="16"/>
      <c r="HB12" s="16"/>
      <c r="HC12" s="16"/>
      <c r="HD12" s="16"/>
      <c r="HE12" s="16"/>
      <c r="HF12" s="16"/>
      <c r="HG12" s="16"/>
      <c r="HH12" s="16"/>
      <c r="HI12" s="16"/>
      <c r="HJ12" s="16"/>
      <c r="HK12" s="16"/>
      <c r="HL12" s="16"/>
      <c r="HM12" s="11" t="str">
        <f t="shared" si="85"/>
        <v/>
      </c>
      <c r="HN12" s="11" t="str">
        <f t="shared" si="86"/>
        <v/>
      </c>
      <c r="HO12" s="11" t="str">
        <f t="shared" si="87"/>
        <v/>
      </c>
      <c r="HP12" s="11" t="str">
        <f t="shared" si="88"/>
        <v/>
      </c>
      <c r="HQ12" s="11" t="str">
        <f t="shared" si="89"/>
        <v/>
      </c>
      <c r="HR12" s="11" t="str">
        <f t="shared" si="90"/>
        <v/>
      </c>
      <c r="HS12" s="11" t="str">
        <f t="shared" si="91"/>
        <v/>
      </c>
      <c r="HT12" s="11" t="str">
        <f t="shared" si="92"/>
        <v/>
      </c>
      <c r="HU12" s="11" t="str">
        <f t="shared" si="93"/>
        <v/>
      </c>
      <c r="HV12" s="11" t="str">
        <f t="shared" si="94"/>
        <v/>
      </c>
      <c r="HW12" s="11" t="str">
        <f t="shared" si="95"/>
        <v/>
      </c>
      <c r="HX12" s="11" t="str">
        <f t="shared" si="96"/>
        <v/>
      </c>
      <c r="HY12" s="11" t="str">
        <f t="shared" si="97"/>
        <v/>
      </c>
      <c r="HZ12" s="11" t="str">
        <f t="shared" si="98"/>
        <v/>
      </c>
      <c r="IA12" s="15"/>
      <c r="IB12" s="15"/>
      <c r="IC12" s="15"/>
      <c r="ID12" s="15"/>
      <c r="IE12" s="15"/>
      <c r="IF12" s="15"/>
      <c r="IG12" s="15"/>
      <c r="IH12" s="15"/>
      <c r="II12" s="15"/>
      <c r="IJ12" s="15"/>
      <c r="IK12" s="15"/>
      <c r="IL12" s="15"/>
      <c r="IM12" s="15"/>
      <c r="IN12" s="15"/>
      <c r="IO12" s="15"/>
      <c r="IP12" s="15"/>
      <c r="IQ12" s="15"/>
      <c r="IR12" s="15"/>
      <c r="IS12" s="15"/>
      <c r="IT12" s="15"/>
      <c r="IU12" s="36" t="str">
        <f t="shared" si="99"/>
        <v/>
      </c>
      <c r="IV12" s="36" t="str">
        <f t="shared" si="100"/>
        <v/>
      </c>
      <c r="IW12" s="36" t="str">
        <f t="shared" si="101"/>
        <v/>
      </c>
      <c r="IX12" s="36" t="str">
        <f t="shared" si="102"/>
        <v/>
      </c>
      <c r="IY12" s="36" t="str">
        <f t="shared" si="103"/>
        <v/>
      </c>
      <c r="IZ12" s="36" t="str">
        <f t="shared" si="104"/>
        <v/>
      </c>
      <c r="JA12" s="36" t="str">
        <f t="shared" si="105"/>
        <v/>
      </c>
      <c r="JB12" s="36" t="str">
        <f t="shared" si="106"/>
        <v/>
      </c>
      <c r="JC12" s="36" t="str">
        <f t="shared" si="107"/>
        <v/>
      </c>
      <c r="JD12" s="36" t="str">
        <f t="shared" si="108"/>
        <v/>
      </c>
      <c r="JE12" s="36" t="str">
        <f t="shared" si="109"/>
        <v/>
      </c>
      <c r="JF12" s="36" t="str">
        <f t="shared" si="110"/>
        <v/>
      </c>
      <c r="JG12" s="36" t="str">
        <f t="shared" si="111"/>
        <v/>
      </c>
      <c r="JH12" s="36" t="str">
        <f t="shared" si="112"/>
        <v/>
      </c>
      <c r="JI12" s="16"/>
      <c r="JJ12" s="16"/>
      <c r="JK12" s="16"/>
      <c r="JL12" s="16"/>
      <c r="JM12" s="16"/>
      <c r="JN12" s="16"/>
      <c r="JO12" s="16"/>
      <c r="JP12" s="16"/>
      <c r="JQ12" s="16"/>
      <c r="JR12" s="16"/>
      <c r="JS12" s="16"/>
      <c r="JT12" s="16"/>
      <c r="JU12" s="16"/>
      <c r="JV12" s="16"/>
      <c r="JW12" s="16"/>
      <c r="JX12" s="16"/>
      <c r="JY12" s="16"/>
      <c r="JZ12" s="16"/>
      <c r="KA12" s="16"/>
      <c r="KB12" s="16"/>
      <c r="KC12" s="11" t="str">
        <f t="shared" si="113"/>
        <v/>
      </c>
      <c r="KD12" s="11" t="str">
        <f t="shared" si="114"/>
        <v/>
      </c>
      <c r="KE12" s="11" t="str">
        <f t="shared" si="115"/>
        <v/>
      </c>
      <c r="KF12" s="11" t="str">
        <f t="shared" si="116"/>
        <v/>
      </c>
      <c r="KG12" s="11" t="str">
        <f t="shared" si="117"/>
        <v/>
      </c>
      <c r="KH12" s="11" t="str">
        <f t="shared" si="118"/>
        <v/>
      </c>
      <c r="KI12" s="11" t="str">
        <f t="shared" si="119"/>
        <v/>
      </c>
      <c r="KJ12" s="11" t="str">
        <f t="shared" si="120"/>
        <v/>
      </c>
      <c r="KK12" s="11" t="str">
        <f t="shared" si="121"/>
        <v/>
      </c>
      <c r="KL12" s="11" t="str">
        <f t="shared" si="122"/>
        <v/>
      </c>
      <c r="KM12" s="11" t="str">
        <f t="shared" si="123"/>
        <v/>
      </c>
      <c r="KN12" s="11" t="str">
        <f t="shared" si="124"/>
        <v/>
      </c>
      <c r="KO12" s="11" t="str">
        <f t="shared" si="125"/>
        <v/>
      </c>
      <c r="KP12" s="11" t="str">
        <f t="shared" si="126"/>
        <v/>
      </c>
      <c r="KQ12" s="15"/>
      <c r="KR12" s="15"/>
      <c r="KS12" s="15"/>
      <c r="KT12" s="15"/>
      <c r="KU12" s="15"/>
      <c r="KV12" s="15"/>
      <c r="KW12" s="15"/>
      <c r="KX12" s="15"/>
      <c r="KY12" s="15"/>
      <c r="KZ12" s="15"/>
      <c r="LA12" s="15"/>
      <c r="LB12" s="15"/>
      <c r="LC12" s="15"/>
      <c r="LD12" s="15"/>
      <c r="LE12" s="15"/>
      <c r="LF12" s="15"/>
      <c r="LG12" s="15"/>
      <c r="LH12" s="15"/>
      <c r="LI12" s="15"/>
      <c r="LJ12" s="15"/>
      <c r="LK12" s="36" t="str">
        <f t="shared" si="127"/>
        <v/>
      </c>
      <c r="LL12" s="36" t="str">
        <f t="shared" si="128"/>
        <v/>
      </c>
      <c r="LM12" s="36" t="str">
        <f t="shared" si="129"/>
        <v/>
      </c>
      <c r="LN12" s="36" t="str">
        <f t="shared" si="130"/>
        <v/>
      </c>
      <c r="LO12" s="36" t="str">
        <f t="shared" si="131"/>
        <v/>
      </c>
      <c r="LP12" s="36" t="str">
        <f t="shared" si="132"/>
        <v/>
      </c>
      <c r="LQ12" s="36" t="str">
        <f t="shared" si="133"/>
        <v/>
      </c>
      <c r="LR12" s="36" t="str">
        <f t="shared" si="134"/>
        <v/>
      </c>
      <c r="LS12" s="36" t="str">
        <f t="shared" si="135"/>
        <v/>
      </c>
      <c r="LT12" s="36" t="str">
        <f t="shared" si="136"/>
        <v/>
      </c>
      <c r="LU12" s="36" t="str">
        <f t="shared" si="137"/>
        <v/>
      </c>
      <c r="LV12" s="36" t="str">
        <f t="shared" si="138"/>
        <v/>
      </c>
      <c r="LW12" s="36" t="str">
        <f t="shared" si="139"/>
        <v/>
      </c>
      <c r="LX12" s="36" t="str">
        <f t="shared" si="140"/>
        <v/>
      </c>
      <c r="LY12" s="16"/>
      <c r="LZ12" s="16"/>
      <c r="MA12" s="16"/>
      <c r="MB12" s="16"/>
      <c r="MC12" s="16"/>
      <c r="MD12" s="16"/>
      <c r="ME12" s="16"/>
      <c r="MF12" s="16"/>
      <c r="MG12" s="16"/>
      <c r="MH12" s="16"/>
      <c r="MI12" s="16"/>
      <c r="MJ12" s="16"/>
      <c r="MK12" s="16"/>
      <c r="ML12" s="16"/>
      <c r="MM12" s="16"/>
      <c r="MN12" s="16"/>
      <c r="MO12" s="16"/>
      <c r="MP12" s="16"/>
      <c r="MQ12" s="16"/>
      <c r="MR12" s="16"/>
      <c r="MS12" s="11" t="str">
        <f t="shared" si="141"/>
        <v/>
      </c>
      <c r="MT12" s="11" t="str">
        <f t="shared" si="142"/>
        <v/>
      </c>
      <c r="MU12" s="11" t="str">
        <f t="shared" si="143"/>
        <v/>
      </c>
      <c r="MV12" s="11" t="str">
        <f t="shared" si="144"/>
        <v/>
      </c>
      <c r="MW12" s="11" t="str">
        <f t="shared" si="145"/>
        <v/>
      </c>
      <c r="MX12" s="11" t="str">
        <f t="shared" si="146"/>
        <v/>
      </c>
      <c r="MY12" s="11" t="str">
        <f t="shared" si="147"/>
        <v/>
      </c>
      <c r="MZ12" s="11" t="str">
        <f t="shared" si="148"/>
        <v/>
      </c>
      <c r="NA12" s="11" t="str">
        <f t="shared" si="149"/>
        <v/>
      </c>
      <c r="NB12" s="11" t="str">
        <f t="shared" si="150"/>
        <v/>
      </c>
      <c r="NC12" s="11" t="str">
        <f t="shared" si="151"/>
        <v/>
      </c>
      <c r="ND12" s="11" t="str">
        <f t="shared" si="152"/>
        <v/>
      </c>
      <c r="NE12" s="11" t="str">
        <f t="shared" si="153"/>
        <v/>
      </c>
      <c r="NF12" s="11" t="str">
        <f t="shared" si="154"/>
        <v/>
      </c>
      <c r="NG12" s="15"/>
      <c r="NH12" s="15"/>
      <c r="NI12" s="15"/>
      <c r="NJ12" s="15"/>
      <c r="NK12" s="15"/>
      <c r="NL12" s="15"/>
      <c r="NM12" s="15"/>
      <c r="NN12" s="15"/>
      <c r="NO12" s="15"/>
      <c r="NP12" s="15"/>
      <c r="NQ12" s="15"/>
      <c r="NR12" s="15"/>
      <c r="NS12" s="15"/>
      <c r="NT12" s="15"/>
      <c r="NU12" s="15"/>
      <c r="NV12" s="15"/>
      <c r="NW12" s="15"/>
      <c r="NX12" s="15"/>
      <c r="NY12" s="15"/>
      <c r="NZ12" s="15"/>
      <c r="OA12" s="36" t="str">
        <f t="shared" si="155"/>
        <v/>
      </c>
      <c r="OB12" s="36" t="str">
        <f t="shared" si="156"/>
        <v/>
      </c>
      <c r="OC12" s="36" t="str">
        <f t="shared" si="157"/>
        <v/>
      </c>
      <c r="OD12" s="36" t="str">
        <f t="shared" si="158"/>
        <v/>
      </c>
      <c r="OE12" s="36" t="str">
        <f t="shared" si="159"/>
        <v/>
      </c>
      <c r="OF12" s="36" t="str">
        <f t="shared" si="160"/>
        <v/>
      </c>
      <c r="OG12" s="36" t="str">
        <f t="shared" si="161"/>
        <v/>
      </c>
      <c r="OH12" s="36" t="str">
        <f t="shared" si="162"/>
        <v/>
      </c>
      <c r="OI12" s="36" t="str">
        <f t="shared" si="163"/>
        <v/>
      </c>
      <c r="OJ12" s="36" t="str">
        <f t="shared" si="164"/>
        <v/>
      </c>
      <c r="OK12" s="36" t="str">
        <f t="shared" si="165"/>
        <v/>
      </c>
      <c r="OL12" s="36" t="str">
        <f t="shared" si="166"/>
        <v/>
      </c>
      <c r="OM12" s="36" t="str">
        <f t="shared" si="167"/>
        <v/>
      </c>
      <c r="ON12" s="36" t="str">
        <f t="shared" si="168"/>
        <v/>
      </c>
      <c r="OO12" s="16"/>
      <c r="OP12" s="16"/>
      <c r="OQ12" s="16"/>
      <c r="OR12" s="16"/>
      <c r="OS12" s="16"/>
      <c r="OT12" s="16"/>
      <c r="OU12" s="16"/>
      <c r="OV12" s="16"/>
      <c r="OW12" s="16"/>
      <c r="OX12" s="16"/>
      <c r="OY12" s="16"/>
      <c r="OZ12" s="16"/>
      <c r="PA12" s="16"/>
      <c r="PB12" s="16"/>
      <c r="PC12" s="16"/>
      <c r="PD12" s="16"/>
      <c r="PE12" s="16"/>
      <c r="PF12" s="16"/>
      <c r="PG12" s="16"/>
      <c r="PH12" s="16"/>
      <c r="PI12" s="11" t="str">
        <f t="shared" si="169"/>
        <v/>
      </c>
      <c r="PJ12" s="11" t="str">
        <f t="shared" si="170"/>
        <v/>
      </c>
      <c r="PK12" s="11" t="str">
        <f t="shared" si="171"/>
        <v/>
      </c>
      <c r="PL12" s="11" t="str">
        <f t="shared" si="172"/>
        <v/>
      </c>
      <c r="PM12" s="11" t="str">
        <f t="shared" si="173"/>
        <v/>
      </c>
      <c r="PN12" s="11" t="str">
        <f t="shared" si="174"/>
        <v/>
      </c>
      <c r="PO12" s="11" t="str">
        <f t="shared" si="175"/>
        <v/>
      </c>
      <c r="PP12" s="11" t="str">
        <f t="shared" si="176"/>
        <v/>
      </c>
      <c r="PQ12" s="11" t="str">
        <f t="shared" si="177"/>
        <v/>
      </c>
      <c r="PR12" s="11" t="str">
        <f t="shared" si="178"/>
        <v/>
      </c>
      <c r="PS12" s="11" t="str">
        <f t="shared" si="179"/>
        <v/>
      </c>
      <c r="PT12" s="11" t="str">
        <f t="shared" si="180"/>
        <v/>
      </c>
      <c r="PU12" s="11" t="str">
        <f t="shared" si="181"/>
        <v/>
      </c>
      <c r="PV12" s="11" t="str">
        <f t="shared" si="182"/>
        <v/>
      </c>
      <c r="PW12" s="15"/>
      <c r="PX12" s="15"/>
      <c r="PY12" s="15"/>
      <c r="PZ12" s="15"/>
      <c r="QA12" s="15"/>
      <c r="QB12" s="15"/>
      <c r="QC12" s="15"/>
      <c r="QD12" s="15"/>
      <c r="QE12" s="15"/>
      <c r="QF12" s="15"/>
      <c r="QG12" s="15"/>
      <c r="QH12" s="15"/>
      <c r="QI12" s="15"/>
      <c r="QJ12" s="15"/>
      <c r="QK12" s="15"/>
      <c r="QL12" s="15"/>
      <c r="QM12" s="15"/>
      <c r="QN12" s="15"/>
      <c r="QO12" s="15"/>
      <c r="QP12" s="15"/>
      <c r="QQ12" s="36" t="str">
        <f t="shared" si="183"/>
        <v/>
      </c>
      <c r="QR12" s="36" t="str">
        <f t="shared" si="184"/>
        <v/>
      </c>
      <c r="QS12" s="36" t="str">
        <f t="shared" si="185"/>
        <v/>
      </c>
      <c r="QT12" s="36" t="str">
        <f t="shared" si="186"/>
        <v/>
      </c>
      <c r="QU12" s="36" t="str">
        <f t="shared" si="187"/>
        <v/>
      </c>
      <c r="QV12" s="36" t="str">
        <f t="shared" si="188"/>
        <v/>
      </c>
      <c r="QW12" s="36" t="str">
        <f t="shared" si="189"/>
        <v/>
      </c>
      <c r="QX12" s="36" t="str">
        <f t="shared" si="190"/>
        <v/>
      </c>
      <c r="QY12" s="36" t="str">
        <f t="shared" si="191"/>
        <v/>
      </c>
      <c r="QZ12" s="36" t="str">
        <f t="shared" si="192"/>
        <v/>
      </c>
      <c r="RA12" s="36" t="str">
        <f t="shared" si="193"/>
        <v/>
      </c>
      <c r="RB12" s="36" t="str">
        <f t="shared" si="194"/>
        <v/>
      </c>
      <c r="RC12" s="36" t="str">
        <f t="shared" si="195"/>
        <v/>
      </c>
      <c r="RD12" s="36" t="str">
        <f t="shared" si="196"/>
        <v/>
      </c>
      <c r="RE12" s="16"/>
      <c r="RF12" s="16"/>
      <c r="RG12" s="16"/>
      <c r="RH12" s="16"/>
      <c r="RI12" s="16"/>
      <c r="RJ12" s="16"/>
      <c r="RK12" s="16"/>
      <c r="RL12" s="16"/>
      <c r="RM12" s="16"/>
      <c r="RN12" s="16"/>
      <c r="RO12" s="16"/>
      <c r="RP12" s="16"/>
      <c r="RQ12" s="16"/>
      <c r="RR12" s="16"/>
      <c r="RS12" s="16"/>
      <c r="RT12" s="16"/>
      <c r="RU12" s="16"/>
      <c r="RV12" s="16"/>
      <c r="RW12" s="16"/>
      <c r="RX12" s="16"/>
      <c r="RY12" s="11" t="str">
        <f t="shared" si="197"/>
        <v/>
      </c>
      <c r="RZ12" s="11" t="str">
        <f t="shared" si="198"/>
        <v/>
      </c>
      <c r="SA12" s="11" t="str">
        <f t="shared" si="199"/>
        <v/>
      </c>
      <c r="SB12" s="11" t="str">
        <f t="shared" si="200"/>
        <v/>
      </c>
      <c r="SC12" s="11" t="str">
        <f t="shared" si="201"/>
        <v/>
      </c>
      <c r="SD12" s="11" t="str">
        <f t="shared" si="202"/>
        <v/>
      </c>
      <c r="SE12" s="11" t="str">
        <f t="shared" si="203"/>
        <v/>
      </c>
      <c r="SF12" s="11" t="str">
        <f t="shared" si="204"/>
        <v/>
      </c>
      <c r="SG12" s="11" t="str">
        <f t="shared" si="205"/>
        <v/>
      </c>
      <c r="SH12" s="11" t="str">
        <f t="shared" si="206"/>
        <v/>
      </c>
      <c r="SI12" s="11" t="str">
        <f t="shared" si="207"/>
        <v/>
      </c>
      <c r="SJ12" s="11" t="str">
        <f t="shared" si="208"/>
        <v/>
      </c>
      <c r="SK12" s="11" t="str">
        <f t="shared" si="209"/>
        <v/>
      </c>
      <c r="SL12" s="11" t="str">
        <f t="shared" si="210"/>
        <v/>
      </c>
      <c r="SM12" s="15"/>
      <c r="SN12" s="15"/>
      <c r="SO12" s="15"/>
      <c r="SP12" s="15"/>
      <c r="SQ12" s="15"/>
      <c r="SR12" s="15"/>
      <c r="SS12" s="15"/>
      <c r="ST12" s="15"/>
      <c r="SU12" s="15"/>
      <c r="SV12" s="15"/>
      <c r="SW12" s="15"/>
      <c r="SX12" s="15"/>
      <c r="SY12" s="15"/>
      <c r="SZ12" s="15"/>
      <c r="TA12" s="15"/>
      <c r="TB12" s="15"/>
      <c r="TC12" s="15"/>
      <c r="TD12" s="15"/>
      <c r="TE12" s="15"/>
      <c r="TF12" s="15"/>
      <c r="TG12" s="36" t="str">
        <f t="shared" si="211"/>
        <v/>
      </c>
      <c r="TH12" s="36" t="str">
        <f t="shared" si="212"/>
        <v/>
      </c>
      <c r="TI12" s="36" t="str">
        <f t="shared" si="213"/>
        <v/>
      </c>
      <c r="TJ12" s="36" t="str">
        <f t="shared" si="214"/>
        <v/>
      </c>
      <c r="TK12" s="36" t="str">
        <f t="shared" si="215"/>
        <v/>
      </c>
      <c r="TL12" s="36" t="str">
        <f t="shared" si="216"/>
        <v/>
      </c>
      <c r="TM12" s="36" t="str">
        <f t="shared" si="217"/>
        <v/>
      </c>
      <c r="TN12" s="36" t="str">
        <f t="shared" si="218"/>
        <v/>
      </c>
      <c r="TO12" s="36" t="str">
        <f t="shared" si="219"/>
        <v/>
      </c>
      <c r="TP12" s="36" t="str">
        <f t="shared" si="220"/>
        <v/>
      </c>
      <c r="TQ12" s="36" t="str">
        <f t="shared" si="221"/>
        <v/>
      </c>
      <c r="TR12" s="36" t="str">
        <f t="shared" si="222"/>
        <v/>
      </c>
      <c r="TS12" s="36" t="str">
        <f t="shared" si="223"/>
        <v/>
      </c>
      <c r="TT12" s="36" t="str">
        <f t="shared" si="224"/>
        <v/>
      </c>
      <c r="TU12" s="16"/>
      <c r="TV12" s="16"/>
      <c r="TW12" s="16"/>
      <c r="TX12" s="16"/>
      <c r="TY12" s="16"/>
      <c r="TZ12" s="16"/>
      <c r="UA12" s="16"/>
      <c r="UB12" s="16"/>
      <c r="UC12" s="16"/>
      <c r="UD12" s="16"/>
      <c r="UE12" s="16"/>
      <c r="UF12" s="16"/>
      <c r="UG12" s="16"/>
      <c r="UH12" s="16"/>
      <c r="UI12" s="16"/>
      <c r="UJ12" s="16"/>
      <c r="UK12" s="16"/>
      <c r="UL12" s="16"/>
      <c r="UM12" s="16"/>
      <c r="UN12" s="16"/>
      <c r="UO12" s="11" t="str">
        <f t="shared" si="225"/>
        <v/>
      </c>
      <c r="UP12" s="11" t="str">
        <f t="shared" si="226"/>
        <v/>
      </c>
      <c r="UQ12" s="11" t="str">
        <f t="shared" si="227"/>
        <v/>
      </c>
      <c r="UR12" s="11" t="str">
        <f t="shared" si="228"/>
        <v/>
      </c>
      <c r="US12" s="11" t="str">
        <f t="shared" si="229"/>
        <v/>
      </c>
      <c r="UT12" s="11" t="str">
        <f t="shared" si="230"/>
        <v/>
      </c>
      <c r="UU12" s="11" t="str">
        <f t="shared" si="231"/>
        <v/>
      </c>
      <c r="UV12" s="11" t="str">
        <f t="shared" si="232"/>
        <v/>
      </c>
      <c r="UW12" s="11" t="str">
        <f t="shared" si="233"/>
        <v/>
      </c>
      <c r="UX12" s="11" t="str">
        <f t="shared" si="234"/>
        <v/>
      </c>
      <c r="UY12" s="11" t="str">
        <f t="shared" si="235"/>
        <v/>
      </c>
      <c r="UZ12" s="11" t="str">
        <f t="shared" si="236"/>
        <v/>
      </c>
      <c r="VA12" s="11" t="str">
        <f t="shared" si="237"/>
        <v/>
      </c>
      <c r="VB12" s="11" t="str">
        <f t="shared" si="238"/>
        <v/>
      </c>
      <c r="VC12" s="15"/>
      <c r="VD12" s="15"/>
      <c r="VE12" s="15"/>
      <c r="VF12" s="15"/>
      <c r="VG12" s="15"/>
      <c r="VH12" s="15"/>
      <c r="VI12" s="15"/>
      <c r="VJ12" s="15"/>
      <c r="VK12" s="15"/>
      <c r="VL12" s="15"/>
      <c r="VM12" s="15"/>
      <c r="VN12" s="15"/>
      <c r="VO12" s="15"/>
      <c r="VP12" s="15"/>
      <c r="VQ12" s="15"/>
      <c r="VR12" s="15"/>
      <c r="VS12" s="15"/>
      <c r="VT12" s="15"/>
      <c r="VU12" s="15"/>
      <c r="VV12" s="15"/>
      <c r="VW12" s="36" t="str">
        <f t="shared" si="239"/>
        <v/>
      </c>
      <c r="VX12" s="36" t="str">
        <f t="shared" si="240"/>
        <v/>
      </c>
      <c r="VY12" s="36" t="str">
        <f t="shared" si="241"/>
        <v/>
      </c>
      <c r="VZ12" s="36" t="str">
        <f t="shared" si="242"/>
        <v/>
      </c>
      <c r="WA12" s="36" t="str">
        <f t="shared" si="243"/>
        <v/>
      </c>
      <c r="WB12" s="36" t="str">
        <f t="shared" si="244"/>
        <v/>
      </c>
      <c r="WC12" s="36" t="str">
        <f t="shared" si="245"/>
        <v/>
      </c>
      <c r="WD12" s="36" t="str">
        <f t="shared" si="246"/>
        <v/>
      </c>
      <c r="WE12" s="36" t="str">
        <f t="shared" si="247"/>
        <v/>
      </c>
      <c r="WF12" s="36" t="str">
        <f t="shared" si="248"/>
        <v/>
      </c>
      <c r="WG12" s="36" t="str">
        <f t="shared" si="249"/>
        <v/>
      </c>
      <c r="WH12" s="36" t="str">
        <f t="shared" si="250"/>
        <v/>
      </c>
      <c r="WI12" s="36" t="str">
        <f t="shared" si="251"/>
        <v/>
      </c>
      <c r="WJ12" s="36" t="str">
        <f t="shared" si="252"/>
        <v/>
      </c>
    </row>
    <row r="13" spans="1:608" x14ac:dyDescent="0.2">
      <c r="A13" s="4" t="str" cm="1">
        <f t="array" ref="A13">IF(AND(H13&lt;&gt;"",H13&lt;&gt;"No DD",I13&lt;&gt;"P"),SUMPRODUCT((H$4:H$14&lt;&gt;"")*(H$4:H$14&lt;&gt;"No DD")*(I$4:I$14&lt;&gt;"P")*(E$4:E$14&gt;E13))+1,IF(H13="No DD",SUMPRODUCT((H$4:H$14="No DD")*(I$4:I$14&lt;&gt;"P")*(E$4:E$14&gt;E13))+1+SUMPRODUCT((H$4:H$14&lt;&gt;"")*(I$4:I$14&lt;&gt;"P")*(H$4:H$14&lt;&gt;"No DD")),""))</f>
        <v/>
      </c>
      <c r="B13" s="5" t="s">
        <v>218</v>
      </c>
      <c r="C13" s="4" t="s">
        <v>5</v>
      </c>
      <c r="D13" s="4">
        <v>2009</v>
      </c>
      <c r="E13" s="9">
        <f t="shared" si="0"/>
        <v>87.800008780004575</v>
      </c>
      <c r="F13" s="3" t="str">
        <f t="shared" si="1"/>
        <v/>
      </c>
      <c r="G13" s="3" t="str">
        <f t="shared" si="2"/>
        <v/>
      </c>
      <c r="H13" s="32" t="str">
        <f t="shared" si="3"/>
        <v/>
      </c>
      <c r="I13" s="3" t="str">
        <f>IF(COUNTIFS('Senior-W'!B:B,B13,'Senior-W'!A:A,"&lt;9",'Senior-W'!H:H,"&lt;&gt;"&amp;"No DD"),"P","")</f>
        <v/>
      </c>
      <c r="J13" s="8">
        <f t="shared" si="4"/>
        <v>45.8</v>
      </c>
      <c r="K13" s="8" t="str">
        <f t="shared" si="5"/>
        <v>2025 Nationals</v>
      </c>
      <c r="L13" s="8">
        <f>IFERROR(LARGE((AI13,AL13,AP13,BJ13,BM13,BQ13,CK13,CN13,CR13),2),0)</f>
        <v>42</v>
      </c>
      <c r="M13" s="8" t="str">
        <f t="shared" si="6"/>
        <v>2025 Nationals</v>
      </c>
      <c r="N13" s="8">
        <f t="shared" si="7"/>
        <v>0</v>
      </c>
      <c r="O13" s="11" t="str">
        <f>IF(N13=0,"",IF(N13=CT13,"("&amp;CT$2&amp;")",IF(N13=#REF!,"("&amp;#REF!&amp;")")))</f>
        <v/>
      </c>
      <c r="P13" s="8" t="str">
        <f t="shared" si="8"/>
        <v/>
      </c>
      <c r="Q13" s="18">
        <v>15.1</v>
      </c>
      <c r="R13" s="18">
        <v>9.1999999999999993</v>
      </c>
      <c r="S13" s="18">
        <v>0</v>
      </c>
      <c r="T13" s="18">
        <v>13.34</v>
      </c>
      <c r="U13" s="18">
        <v>0</v>
      </c>
      <c r="V13" s="18">
        <v>11.4</v>
      </c>
      <c r="W13" s="18">
        <v>9.3000000000000007</v>
      </c>
      <c r="X13" s="18">
        <v>8.3000000000000007</v>
      </c>
      <c r="Y13" s="18">
        <v>12.9</v>
      </c>
      <c r="Z13" s="18">
        <v>0.9</v>
      </c>
      <c r="AA13" s="18">
        <v>0</v>
      </c>
      <c r="AB13" s="18">
        <v>0</v>
      </c>
      <c r="AC13" s="18">
        <v>0</v>
      </c>
      <c r="AD13" s="18">
        <v>0</v>
      </c>
      <c r="AE13" s="18">
        <v>0</v>
      </c>
      <c r="AF13" s="23"/>
      <c r="AG13" s="34" t="str">
        <f t="shared" si="9"/>
        <v/>
      </c>
      <c r="AH13" s="34">
        <f t="shared" si="10"/>
        <v>13.34</v>
      </c>
      <c r="AI13" s="36">
        <f t="shared" si="11"/>
        <v>37.64</v>
      </c>
      <c r="AJ13" s="36">
        <f t="shared" si="12"/>
        <v>8.3000000000000007</v>
      </c>
      <c r="AK13" s="36">
        <f t="shared" si="13"/>
        <v>12.9</v>
      </c>
      <c r="AL13" s="36">
        <f t="shared" si="14"/>
        <v>41.000000000000007</v>
      </c>
      <c r="AM13" s="36">
        <f t="shared" si="15"/>
        <v>41.000000000000007</v>
      </c>
      <c r="AN13" s="36" t="str">
        <f t="shared" si="16"/>
        <v/>
      </c>
      <c r="AO13" s="36" t="str">
        <f t="shared" si="17"/>
        <v/>
      </c>
      <c r="AP13" s="36" t="str">
        <f t="shared" si="18"/>
        <v/>
      </c>
      <c r="AQ13" s="36">
        <f t="shared" si="19"/>
        <v>41.000000000000007</v>
      </c>
      <c r="AR13" s="22">
        <v>15.5</v>
      </c>
      <c r="AS13" s="22">
        <v>9.5</v>
      </c>
      <c r="AT13" s="22">
        <v>0</v>
      </c>
      <c r="AU13" s="22">
        <v>13.88</v>
      </c>
      <c r="AV13" s="22">
        <v>0</v>
      </c>
      <c r="AW13" s="22">
        <v>11.5</v>
      </c>
      <c r="AX13" s="22">
        <v>9</v>
      </c>
      <c r="AY13" s="22">
        <v>8.6999999999999993</v>
      </c>
      <c r="AZ13" s="22">
        <v>13.3</v>
      </c>
      <c r="BA13" s="22">
        <v>0.5</v>
      </c>
      <c r="BB13" s="22">
        <v>13.3</v>
      </c>
      <c r="BC13" s="22">
        <v>9.6</v>
      </c>
      <c r="BD13" s="22">
        <v>9.6</v>
      </c>
      <c r="BE13" s="22">
        <v>13.3</v>
      </c>
      <c r="BF13" s="22">
        <v>0</v>
      </c>
      <c r="BG13" s="24"/>
      <c r="BH13" s="35" t="str">
        <f t="shared" si="20"/>
        <v/>
      </c>
      <c r="BI13" s="35">
        <f t="shared" si="21"/>
        <v>13.88</v>
      </c>
      <c r="BJ13" s="11">
        <f t="shared" si="22"/>
        <v>38.880000000000003</v>
      </c>
      <c r="BK13" s="11">
        <f t="shared" si="23"/>
        <v>8.6999999999999993</v>
      </c>
      <c r="BL13" s="11">
        <f t="shared" si="24"/>
        <v>13.3</v>
      </c>
      <c r="BM13" s="11">
        <f t="shared" si="25"/>
        <v>42</v>
      </c>
      <c r="BN13" s="11">
        <f t="shared" si="26"/>
        <v>42</v>
      </c>
      <c r="BO13" s="11">
        <f t="shared" si="27"/>
        <v>9.6</v>
      </c>
      <c r="BP13" s="11">
        <f t="shared" si="28"/>
        <v>13.3</v>
      </c>
      <c r="BQ13" s="11">
        <f t="shared" si="29"/>
        <v>45.8</v>
      </c>
      <c r="BR13" s="11">
        <f t="shared" si="30"/>
        <v>87.8</v>
      </c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  <c r="CF13" s="18"/>
      <c r="CG13" s="18"/>
      <c r="CH13" s="23"/>
      <c r="CI13" s="34" t="str">
        <f t="shared" si="31"/>
        <v/>
      </c>
      <c r="CJ13" s="34" t="str">
        <f t="shared" si="32"/>
        <v/>
      </c>
      <c r="CK13" s="36" t="str">
        <f t="shared" si="33"/>
        <v/>
      </c>
      <c r="CL13" s="36" t="str">
        <f t="shared" si="34"/>
        <v/>
      </c>
      <c r="CM13" s="36" t="str">
        <f t="shared" si="35"/>
        <v/>
      </c>
      <c r="CN13" s="36" t="str">
        <f t="shared" si="36"/>
        <v/>
      </c>
      <c r="CO13" s="36" t="str">
        <f t="shared" si="37"/>
        <v/>
      </c>
      <c r="CP13" s="36" t="str">
        <f t="shared" si="38"/>
        <v/>
      </c>
      <c r="CQ13" s="36" t="str">
        <f t="shared" si="39"/>
        <v/>
      </c>
      <c r="CR13" s="36" t="str">
        <f t="shared" si="40"/>
        <v/>
      </c>
      <c r="CS13" s="36" t="str">
        <f t="shared" si="41"/>
        <v/>
      </c>
      <c r="CT13" s="47" t="str">
        <f t="shared" si="42"/>
        <v/>
      </c>
      <c r="CU13" s="15"/>
      <c r="CV13" s="15"/>
      <c r="CW13" s="15"/>
      <c r="CX13" s="15"/>
      <c r="CY13" s="15"/>
      <c r="CZ13" s="15"/>
      <c r="DA13" s="15"/>
      <c r="DB13" s="15"/>
      <c r="DC13" s="15"/>
      <c r="DD13" s="15"/>
      <c r="DE13" s="15"/>
      <c r="DF13" s="15"/>
      <c r="DG13" s="15"/>
      <c r="DH13" s="15"/>
      <c r="DI13" s="15"/>
      <c r="DJ13" s="15"/>
      <c r="DK13" s="15"/>
      <c r="DL13" s="15"/>
      <c r="DM13" s="15"/>
      <c r="DN13" s="15"/>
      <c r="DO13" s="36" t="str">
        <f t="shared" si="43"/>
        <v/>
      </c>
      <c r="DP13" s="36" t="str">
        <f t="shared" si="44"/>
        <v/>
      </c>
      <c r="DQ13" s="36" t="str">
        <f t="shared" si="45"/>
        <v/>
      </c>
      <c r="DR13" s="36" t="str">
        <f t="shared" si="46"/>
        <v/>
      </c>
      <c r="DS13" s="36" t="str">
        <f t="shared" si="47"/>
        <v/>
      </c>
      <c r="DT13" s="36" t="str">
        <f t="shared" si="48"/>
        <v/>
      </c>
      <c r="DU13" s="36" t="str">
        <f t="shared" si="49"/>
        <v/>
      </c>
      <c r="DV13" s="36" t="str">
        <f t="shared" si="50"/>
        <v/>
      </c>
      <c r="DW13" s="36" t="str">
        <f t="shared" si="51"/>
        <v/>
      </c>
      <c r="DX13" s="36" t="str">
        <f t="shared" si="52"/>
        <v/>
      </c>
      <c r="DY13" s="36" t="str">
        <f t="shared" si="53"/>
        <v/>
      </c>
      <c r="DZ13" s="36" t="str">
        <f t="shared" si="54"/>
        <v/>
      </c>
      <c r="EA13" s="36" t="str">
        <f t="shared" si="55"/>
        <v/>
      </c>
      <c r="EB13" s="36" t="str">
        <f t="shared" si="56"/>
        <v/>
      </c>
      <c r="EC13" s="16"/>
      <c r="ED13" s="16"/>
      <c r="EE13" s="16"/>
      <c r="EF13" s="16"/>
      <c r="EG13" s="16"/>
      <c r="EH13" s="16"/>
      <c r="EI13" s="16"/>
      <c r="EJ13" s="16"/>
      <c r="EK13" s="16"/>
      <c r="EL13" s="16"/>
      <c r="EM13" s="16"/>
      <c r="EN13" s="16"/>
      <c r="EO13" s="16"/>
      <c r="EP13" s="16"/>
      <c r="EQ13" s="16"/>
      <c r="ER13" s="16"/>
      <c r="ES13" s="16"/>
      <c r="ET13" s="16"/>
      <c r="EU13" s="16"/>
      <c r="EV13" s="16"/>
      <c r="EW13" s="11" t="str">
        <f t="shared" si="57"/>
        <v/>
      </c>
      <c r="EX13" s="11" t="str">
        <f t="shared" si="58"/>
        <v/>
      </c>
      <c r="EY13" s="11" t="str">
        <f t="shared" si="59"/>
        <v/>
      </c>
      <c r="EZ13" s="11" t="str">
        <f t="shared" si="60"/>
        <v/>
      </c>
      <c r="FA13" s="11" t="str">
        <f t="shared" si="61"/>
        <v/>
      </c>
      <c r="FB13" s="11" t="str">
        <f t="shared" si="62"/>
        <v/>
      </c>
      <c r="FC13" s="11" t="str">
        <f t="shared" si="63"/>
        <v/>
      </c>
      <c r="FD13" s="11" t="str">
        <f t="shared" si="64"/>
        <v/>
      </c>
      <c r="FE13" s="11" t="str">
        <f t="shared" si="65"/>
        <v/>
      </c>
      <c r="FF13" s="11" t="str">
        <f t="shared" si="66"/>
        <v/>
      </c>
      <c r="FG13" s="11" t="str">
        <f t="shared" si="67"/>
        <v/>
      </c>
      <c r="FH13" s="11" t="str">
        <f t="shared" si="68"/>
        <v/>
      </c>
      <c r="FI13" s="11" t="str">
        <f t="shared" si="69"/>
        <v/>
      </c>
      <c r="FJ13" s="11" t="str">
        <f t="shared" si="70"/>
        <v/>
      </c>
      <c r="FK13" s="15"/>
      <c r="FL13" s="15"/>
      <c r="FM13" s="15"/>
      <c r="FN13" s="15"/>
      <c r="FO13" s="15"/>
      <c r="FP13" s="15"/>
      <c r="FQ13" s="15"/>
      <c r="FR13" s="15"/>
      <c r="FS13" s="15"/>
      <c r="FT13" s="15"/>
      <c r="FU13" s="15"/>
      <c r="FV13" s="15"/>
      <c r="FW13" s="15"/>
      <c r="FX13" s="15"/>
      <c r="FY13" s="15"/>
      <c r="FZ13" s="15"/>
      <c r="GA13" s="15"/>
      <c r="GB13" s="15"/>
      <c r="GC13" s="15"/>
      <c r="GD13" s="15"/>
      <c r="GE13" s="36" t="str">
        <f t="shared" si="71"/>
        <v/>
      </c>
      <c r="GF13" s="36" t="str">
        <f t="shared" si="72"/>
        <v/>
      </c>
      <c r="GG13" s="36" t="str">
        <f t="shared" si="73"/>
        <v/>
      </c>
      <c r="GH13" s="36" t="str">
        <f t="shared" si="74"/>
        <v/>
      </c>
      <c r="GI13" s="36" t="str">
        <f t="shared" si="75"/>
        <v/>
      </c>
      <c r="GJ13" s="36" t="str">
        <f t="shared" si="76"/>
        <v/>
      </c>
      <c r="GK13" s="36" t="str">
        <f t="shared" si="77"/>
        <v/>
      </c>
      <c r="GL13" s="36" t="str">
        <f t="shared" si="78"/>
        <v/>
      </c>
      <c r="GM13" s="36" t="str">
        <f t="shared" si="79"/>
        <v/>
      </c>
      <c r="GN13" s="36" t="str">
        <f t="shared" si="80"/>
        <v/>
      </c>
      <c r="GO13" s="36" t="str">
        <f t="shared" si="81"/>
        <v/>
      </c>
      <c r="GP13" s="36" t="str">
        <f t="shared" si="82"/>
        <v/>
      </c>
      <c r="GQ13" s="36" t="str">
        <f t="shared" si="83"/>
        <v/>
      </c>
      <c r="GR13" s="36" t="str">
        <f t="shared" si="84"/>
        <v/>
      </c>
      <c r="GS13" s="16"/>
      <c r="GT13" s="16"/>
      <c r="GU13" s="16"/>
      <c r="GV13" s="16"/>
      <c r="GW13" s="16"/>
      <c r="GX13" s="16"/>
      <c r="GY13" s="16"/>
      <c r="GZ13" s="16"/>
      <c r="HA13" s="16"/>
      <c r="HB13" s="16"/>
      <c r="HC13" s="16"/>
      <c r="HD13" s="16"/>
      <c r="HE13" s="16"/>
      <c r="HF13" s="16"/>
      <c r="HG13" s="16"/>
      <c r="HH13" s="16"/>
      <c r="HI13" s="16"/>
      <c r="HJ13" s="16"/>
      <c r="HK13" s="16"/>
      <c r="HL13" s="16"/>
      <c r="HM13" s="11" t="str">
        <f t="shared" si="85"/>
        <v/>
      </c>
      <c r="HN13" s="11" t="str">
        <f t="shared" si="86"/>
        <v/>
      </c>
      <c r="HO13" s="11" t="str">
        <f t="shared" si="87"/>
        <v/>
      </c>
      <c r="HP13" s="11" t="str">
        <f t="shared" si="88"/>
        <v/>
      </c>
      <c r="HQ13" s="11" t="str">
        <f t="shared" si="89"/>
        <v/>
      </c>
      <c r="HR13" s="11" t="str">
        <f t="shared" si="90"/>
        <v/>
      </c>
      <c r="HS13" s="11" t="str">
        <f t="shared" si="91"/>
        <v/>
      </c>
      <c r="HT13" s="11" t="str">
        <f t="shared" si="92"/>
        <v/>
      </c>
      <c r="HU13" s="11" t="str">
        <f t="shared" si="93"/>
        <v/>
      </c>
      <c r="HV13" s="11" t="str">
        <f t="shared" si="94"/>
        <v/>
      </c>
      <c r="HW13" s="11" t="str">
        <f t="shared" si="95"/>
        <v/>
      </c>
      <c r="HX13" s="11" t="str">
        <f t="shared" si="96"/>
        <v/>
      </c>
      <c r="HY13" s="11" t="str">
        <f t="shared" si="97"/>
        <v/>
      </c>
      <c r="HZ13" s="11" t="str">
        <f t="shared" si="98"/>
        <v/>
      </c>
      <c r="IA13" s="15"/>
      <c r="IB13" s="15"/>
      <c r="IC13" s="15"/>
      <c r="ID13" s="15"/>
      <c r="IE13" s="15"/>
      <c r="IF13" s="15"/>
      <c r="IG13" s="15"/>
      <c r="IH13" s="15"/>
      <c r="II13" s="15"/>
      <c r="IJ13" s="15"/>
      <c r="IK13" s="15"/>
      <c r="IL13" s="15"/>
      <c r="IM13" s="15"/>
      <c r="IN13" s="15"/>
      <c r="IO13" s="15"/>
      <c r="IP13" s="15"/>
      <c r="IQ13" s="15"/>
      <c r="IR13" s="15"/>
      <c r="IS13" s="15"/>
      <c r="IT13" s="15"/>
      <c r="IU13" s="36" t="str">
        <f t="shared" si="99"/>
        <v/>
      </c>
      <c r="IV13" s="36" t="str">
        <f t="shared" si="100"/>
        <v/>
      </c>
      <c r="IW13" s="36" t="str">
        <f t="shared" si="101"/>
        <v/>
      </c>
      <c r="IX13" s="36" t="str">
        <f t="shared" si="102"/>
        <v/>
      </c>
      <c r="IY13" s="36" t="str">
        <f t="shared" si="103"/>
        <v/>
      </c>
      <c r="IZ13" s="36" t="str">
        <f t="shared" si="104"/>
        <v/>
      </c>
      <c r="JA13" s="36" t="str">
        <f t="shared" si="105"/>
        <v/>
      </c>
      <c r="JB13" s="36" t="str">
        <f t="shared" si="106"/>
        <v/>
      </c>
      <c r="JC13" s="36" t="str">
        <f t="shared" si="107"/>
        <v/>
      </c>
      <c r="JD13" s="36" t="str">
        <f t="shared" si="108"/>
        <v/>
      </c>
      <c r="JE13" s="36" t="str">
        <f t="shared" si="109"/>
        <v/>
      </c>
      <c r="JF13" s="36" t="str">
        <f t="shared" si="110"/>
        <v/>
      </c>
      <c r="JG13" s="36" t="str">
        <f t="shared" si="111"/>
        <v/>
      </c>
      <c r="JH13" s="36" t="str">
        <f t="shared" si="112"/>
        <v/>
      </c>
      <c r="JI13" s="16"/>
      <c r="JJ13" s="16"/>
      <c r="JK13" s="16"/>
      <c r="JL13" s="16"/>
      <c r="JM13" s="16"/>
      <c r="JN13" s="16"/>
      <c r="JO13" s="16"/>
      <c r="JP13" s="16"/>
      <c r="JQ13" s="16"/>
      <c r="JR13" s="16"/>
      <c r="JS13" s="16"/>
      <c r="JT13" s="16"/>
      <c r="JU13" s="16"/>
      <c r="JV13" s="16"/>
      <c r="JW13" s="16"/>
      <c r="JX13" s="16"/>
      <c r="JY13" s="16"/>
      <c r="JZ13" s="16"/>
      <c r="KA13" s="16"/>
      <c r="KB13" s="16"/>
      <c r="KC13" s="11" t="str">
        <f t="shared" si="113"/>
        <v/>
      </c>
      <c r="KD13" s="11" t="str">
        <f t="shared" si="114"/>
        <v/>
      </c>
      <c r="KE13" s="11" t="str">
        <f t="shared" si="115"/>
        <v/>
      </c>
      <c r="KF13" s="11" t="str">
        <f t="shared" si="116"/>
        <v/>
      </c>
      <c r="KG13" s="11" t="str">
        <f t="shared" si="117"/>
        <v/>
      </c>
      <c r="KH13" s="11" t="str">
        <f t="shared" si="118"/>
        <v/>
      </c>
      <c r="KI13" s="11" t="str">
        <f t="shared" si="119"/>
        <v/>
      </c>
      <c r="KJ13" s="11" t="str">
        <f t="shared" si="120"/>
        <v/>
      </c>
      <c r="KK13" s="11" t="str">
        <f t="shared" si="121"/>
        <v/>
      </c>
      <c r="KL13" s="11" t="str">
        <f t="shared" si="122"/>
        <v/>
      </c>
      <c r="KM13" s="11" t="str">
        <f t="shared" si="123"/>
        <v/>
      </c>
      <c r="KN13" s="11" t="str">
        <f t="shared" si="124"/>
        <v/>
      </c>
      <c r="KO13" s="11" t="str">
        <f t="shared" si="125"/>
        <v/>
      </c>
      <c r="KP13" s="11" t="str">
        <f t="shared" si="126"/>
        <v/>
      </c>
      <c r="KQ13" s="15"/>
      <c r="KR13" s="15"/>
      <c r="KS13" s="15"/>
      <c r="KT13" s="15"/>
      <c r="KU13" s="15"/>
      <c r="KV13" s="15"/>
      <c r="KW13" s="15"/>
      <c r="KX13" s="15"/>
      <c r="KY13" s="15"/>
      <c r="KZ13" s="15"/>
      <c r="LA13" s="15"/>
      <c r="LB13" s="15"/>
      <c r="LC13" s="15"/>
      <c r="LD13" s="15"/>
      <c r="LE13" s="15"/>
      <c r="LF13" s="15"/>
      <c r="LG13" s="15"/>
      <c r="LH13" s="15"/>
      <c r="LI13" s="15"/>
      <c r="LJ13" s="15"/>
      <c r="LK13" s="36" t="str">
        <f t="shared" si="127"/>
        <v/>
      </c>
      <c r="LL13" s="36" t="str">
        <f t="shared" si="128"/>
        <v/>
      </c>
      <c r="LM13" s="36" t="str">
        <f t="shared" si="129"/>
        <v/>
      </c>
      <c r="LN13" s="36" t="str">
        <f t="shared" si="130"/>
        <v/>
      </c>
      <c r="LO13" s="36" t="str">
        <f t="shared" si="131"/>
        <v/>
      </c>
      <c r="LP13" s="36" t="str">
        <f t="shared" si="132"/>
        <v/>
      </c>
      <c r="LQ13" s="36" t="str">
        <f t="shared" si="133"/>
        <v/>
      </c>
      <c r="LR13" s="36" t="str">
        <f t="shared" si="134"/>
        <v/>
      </c>
      <c r="LS13" s="36" t="str">
        <f t="shared" si="135"/>
        <v/>
      </c>
      <c r="LT13" s="36" t="str">
        <f t="shared" si="136"/>
        <v/>
      </c>
      <c r="LU13" s="36" t="str">
        <f t="shared" si="137"/>
        <v/>
      </c>
      <c r="LV13" s="36" t="str">
        <f t="shared" si="138"/>
        <v/>
      </c>
      <c r="LW13" s="36" t="str">
        <f t="shared" si="139"/>
        <v/>
      </c>
      <c r="LX13" s="36" t="str">
        <f t="shared" si="140"/>
        <v/>
      </c>
      <c r="LY13" s="16"/>
      <c r="LZ13" s="16"/>
      <c r="MA13" s="16"/>
      <c r="MB13" s="16"/>
      <c r="MC13" s="16"/>
      <c r="MD13" s="16"/>
      <c r="ME13" s="16"/>
      <c r="MF13" s="16"/>
      <c r="MG13" s="16"/>
      <c r="MH13" s="16"/>
      <c r="MI13" s="16"/>
      <c r="MJ13" s="16"/>
      <c r="MK13" s="16"/>
      <c r="ML13" s="16"/>
      <c r="MM13" s="16"/>
      <c r="MN13" s="16"/>
      <c r="MO13" s="16"/>
      <c r="MP13" s="16"/>
      <c r="MQ13" s="16"/>
      <c r="MR13" s="16"/>
      <c r="MS13" s="11" t="str">
        <f t="shared" si="141"/>
        <v/>
      </c>
      <c r="MT13" s="11" t="str">
        <f t="shared" si="142"/>
        <v/>
      </c>
      <c r="MU13" s="11" t="str">
        <f t="shared" si="143"/>
        <v/>
      </c>
      <c r="MV13" s="11" t="str">
        <f t="shared" si="144"/>
        <v/>
      </c>
      <c r="MW13" s="11" t="str">
        <f t="shared" si="145"/>
        <v/>
      </c>
      <c r="MX13" s="11" t="str">
        <f t="shared" si="146"/>
        <v/>
      </c>
      <c r="MY13" s="11" t="str">
        <f t="shared" si="147"/>
        <v/>
      </c>
      <c r="MZ13" s="11" t="str">
        <f t="shared" si="148"/>
        <v/>
      </c>
      <c r="NA13" s="11" t="str">
        <f t="shared" si="149"/>
        <v/>
      </c>
      <c r="NB13" s="11" t="str">
        <f t="shared" si="150"/>
        <v/>
      </c>
      <c r="NC13" s="11" t="str">
        <f t="shared" si="151"/>
        <v/>
      </c>
      <c r="ND13" s="11" t="str">
        <f t="shared" si="152"/>
        <v/>
      </c>
      <c r="NE13" s="11" t="str">
        <f t="shared" si="153"/>
        <v/>
      </c>
      <c r="NF13" s="11" t="str">
        <f t="shared" si="154"/>
        <v/>
      </c>
      <c r="NG13" s="15"/>
      <c r="NH13" s="15"/>
      <c r="NI13" s="15"/>
      <c r="NJ13" s="15"/>
      <c r="NK13" s="15"/>
      <c r="NL13" s="15"/>
      <c r="NM13" s="15"/>
      <c r="NN13" s="15"/>
      <c r="NO13" s="15"/>
      <c r="NP13" s="15"/>
      <c r="NQ13" s="15"/>
      <c r="NR13" s="15"/>
      <c r="NS13" s="15"/>
      <c r="NT13" s="15"/>
      <c r="NU13" s="15"/>
      <c r="NV13" s="15"/>
      <c r="NW13" s="15"/>
      <c r="NX13" s="15"/>
      <c r="NY13" s="15"/>
      <c r="NZ13" s="15"/>
      <c r="OA13" s="36" t="str">
        <f t="shared" si="155"/>
        <v/>
      </c>
      <c r="OB13" s="36" t="str">
        <f t="shared" si="156"/>
        <v/>
      </c>
      <c r="OC13" s="36" t="str">
        <f t="shared" si="157"/>
        <v/>
      </c>
      <c r="OD13" s="36" t="str">
        <f t="shared" si="158"/>
        <v/>
      </c>
      <c r="OE13" s="36" t="str">
        <f t="shared" si="159"/>
        <v/>
      </c>
      <c r="OF13" s="36" t="str">
        <f t="shared" si="160"/>
        <v/>
      </c>
      <c r="OG13" s="36" t="str">
        <f t="shared" si="161"/>
        <v/>
      </c>
      <c r="OH13" s="36" t="str">
        <f t="shared" si="162"/>
        <v/>
      </c>
      <c r="OI13" s="36" t="str">
        <f t="shared" si="163"/>
        <v/>
      </c>
      <c r="OJ13" s="36" t="str">
        <f t="shared" si="164"/>
        <v/>
      </c>
      <c r="OK13" s="36" t="str">
        <f t="shared" si="165"/>
        <v/>
      </c>
      <c r="OL13" s="36" t="str">
        <f t="shared" si="166"/>
        <v/>
      </c>
      <c r="OM13" s="36" t="str">
        <f t="shared" si="167"/>
        <v/>
      </c>
      <c r="ON13" s="36" t="str">
        <f t="shared" si="168"/>
        <v/>
      </c>
      <c r="OO13" s="16"/>
      <c r="OP13" s="16"/>
      <c r="OQ13" s="16"/>
      <c r="OR13" s="16"/>
      <c r="OS13" s="16"/>
      <c r="OT13" s="16"/>
      <c r="OU13" s="16"/>
      <c r="OV13" s="16"/>
      <c r="OW13" s="16"/>
      <c r="OX13" s="16"/>
      <c r="OY13" s="16"/>
      <c r="OZ13" s="16"/>
      <c r="PA13" s="16"/>
      <c r="PB13" s="16"/>
      <c r="PC13" s="16"/>
      <c r="PD13" s="16"/>
      <c r="PE13" s="16"/>
      <c r="PF13" s="16"/>
      <c r="PG13" s="16"/>
      <c r="PH13" s="16"/>
      <c r="PI13" s="11" t="str">
        <f t="shared" si="169"/>
        <v/>
      </c>
      <c r="PJ13" s="11" t="str">
        <f t="shared" si="170"/>
        <v/>
      </c>
      <c r="PK13" s="11" t="str">
        <f t="shared" si="171"/>
        <v/>
      </c>
      <c r="PL13" s="11" t="str">
        <f t="shared" si="172"/>
        <v/>
      </c>
      <c r="PM13" s="11" t="str">
        <f t="shared" si="173"/>
        <v/>
      </c>
      <c r="PN13" s="11" t="str">
        <f t="shared" si="174"/>
        <v/>
      </c>
      <c r="PO13" s="11" t="str">
        <f t="shared" si="175"/>
        <v/>
      </c>
      <c r="PP13" s="11" t="str">
        <f t="shared" si="176"/>
        <v/>
      </c>
      <c r="PQ13" s="11" t="str">
        <f t="shared" si="177"/>
        <v/>
      </c>
      <c r="PR13" s="11" t="str">
        <f t="shared" si="178"/>
        <v/>
      </c>
      <c r="PS13" s="11" t="str">
        <f t="shared" si="179"/>
        <v/>
      </c>
      <c r="PT13" s="11" t="str">
        <f t="shared" si="180"/>
        <v/>
      </c>
      <c r="PU13" s="11" t="str">
        <f t="shared" si="181"/>
        <v/>
      </c>
      <c r="PV13" s="11" t="str">
        <f t="shared" si="182"/>
        <v/>
      </c>
      <c r="PW13" s="15"/>
      <c r="PX13" s="15"/>
      <c r="PY13" s="15"/>
      <c r="PZ13" s="15"/>
      <c r="QA13" s="15"/>
      <c r="QB13" s="15"/>
      <c r="QC13" s="15"/>
      <c r="QD13" s="15"/>
      <c r="QE13" s="15"/>
      <c r="QF13" s="15"/>
      <c r="QG13" s="15"/>
      <c r="QH13" s="15"/>
      <c r="QI13" s="15"/>
      <c r="QJ13" s="15"/>
      <c r="QK13" s="15"/>
      <c r="QL13" s="15"/>
      <c r="QM13" s="15"/>
      <c r="QN13" s="15"/>
      <c r="QO13" s="15"/>
      <c r="QP13" s="15"/>
      <c r="QQ13" s="36" t="str">
        <f t="shared" si="183"/>
        <v/>
      </c>
      <c r="QR13" s="36" t="str">
        <f t="shared" si="184"/>
        <v/>
      </c>
      <c r="QS13" s="36" t="str">
        <f t="shared" si="185"/>
        <v/>
      </c>
      <c r="QT13" s="36" t="str">
        <f t="shared" si="186"/>
        <v/>
      </c>
      <c r="QU13" s="36" t="str">
        <f t="shared" si="187"/>
        <v/>
      </c>
      <c r="QV13" s="36" t="str">
        <f t="shared" si="188"/>
        <v/>
      </c>
      <c r="QW13" s="36" t="str">
        <f t="shared" si="189"/>
        <v/>
      </c>
      <c r="QX13" s="36" t="str">
        <f t="shared" si="190"/>
        <v/>
      </c>
      <c r="QY13" s="36" t="str">
        <f t="shared" si="191"/>
        <v/>
      </c>
      <c r="QZ13" s="36" t="str">
        <f t="shared" si="192"/>
        <v/>
      </c>
      <c r="RA13" s="36" t="str">
        <f t="shared" si="193"/>
        <v/>
      </c>
      <c r="RB13" s="36" t="str">
        <f t="shared" si="194"/>
        <v/>
      </c>
      <c r="RC13" s="36" t="str">
        <f t="shared" si="195"/>
        <v/>
      </c>
      <c r="RD13" s="36" t="str">
        <f t="shared" si="196"/>
        <v/>
      </c>
      <c r="RE13" s="16"/>
      <c r="RF13" s="16"/>
      <c r="RG13" s="16"/>
      <c r="RH13" s="16"/>
      <c r="RI13" s="16"/>
      <c r="RJ13" s="16"/>
      <c r="RK13" s="16"/>
      <c r="RL13" s="16"/>
      <c r="RM13" s="16"/>
      <c r="RN13" s="16"/>
      <c r="RO13" s="16"/>
      <c r="RP13" s="16"/>
      <c r="RQ13" s="16"/>
      <c r="RR13" s="16"/>
      <c r="RS13" s="16"/>
      <c r="RT13" s="16"/>
      <c r="RU13" s="16"/>
      <c r="RV13" s="16"/>
      <c r="RW13" s="16"/>
      <c r="RX13" s="16"/>
      <c r="RY13" s="11" t="str">
        <f t="shared" si="197"/>
        <v/>
      </c>
      <c r="RZ13" s="11" t="str">
        <f t="shared" si="198"/>
        <v/>
      </c>
      <c r="SA13" s="11" t="str">
        <f t="shared" si="199"/>
        <v/>
      </c>
      <c r="SB13" s="11" t="str">
        <f t="shared" si="200"/>
        <v/>
      </c>
      <c r="SC13" s="11" t="str">
        <f t="shared" si="201"/>
        <v/>
      </c>
      <c r="SD13" s="11" t="str">
        <f t="shared" si="202"/>
        <v/>
      </c>
      <c r="SE13" s="11" t="str">
        <f t="shared" si="203"/>
        <v/>
      </c>
      <c r="SF13" s="11" t="str">
        <f t="shared" si="204"/>
        <v/>
      </c>
      <c r="SG13" s="11" t="str">
        <f t="shared" si="205"/>
        <v/>
      </c>
      <c r="SH13" s="11" t="str">
        <f t="shared" si="206"/>
        <v/>
      </c>
      <c r="SI13" s="11" t="str">
        <f t="shared" si="207"/>
        <v/>
      </c>
      <c r="SJ13" s="11" t="str">
        <f t="shared" si="208"/>
        <v/>
      </c>
      <c r="SK13" s="11" t="str">
        <f t="shared" si="209"/>
        <v/>
      </c>
      <c r="SL13" s="11" t="str">
        <f t="shared" si="210"/>
        <v/>
      </c>
      <c r="SM13" s="15"/>
      <c r="SN13" s="15"/>
      <c r="SO13" s="15"/>
      <c r="SP13" s="15"/>
      <c r="SQ13" s="15"/>
      <c r="SR13" s="15"/>
      <c r="SS13" s="15"/>
      <c r="ST13" s="15"/>
      <c r="SU13" s="15"/>
      <c r="SV13" s="15"/>
      <c r="SW13" s="15"/>
      <c r="SX13" s="15"/>
      <c r="SY13" s="15"/>
      <c r="SZ13" s="15"/>
      <c r="TA13" s="15"/>
      <c r="TB13" s="15"/>
      <c r="TC13" s="15"/>
      <c r="TD13" s="15"/>
      <c r="TE13" s="15"/>
      <c r="TF13" s="15"/>
      <c r="TG13" s="36" t="str">
        <f t="shared" si="211"/>
        <v/>
      </c>
      <c r="TH13" s="36" t="str">
        <f t="shared" si="212"/>
        <v/>
      </c>
      <c r="TI13" s="36" t="str">
        <f t="shared" si="213"/>
        <v/>
      </c>
      <c r="TJ13" s="36" t="str">
        <f t="shared" si="214"/>
        <v/>
      </c>
      <c r="TK13" s="36" t="str">
        <f t="shared" si="215"/>
        <v/>
      </c>
      <c r="TL13" s="36" t="str">
        <f t="shared" si="216"/>
        <v/>
      </c>
      <c r="TM13" s="36" t="str">
        <f t="shared" si="217"/>
        <v/>
      </c>
      <c r="TN13" s="36" t="str">
        <f t="shared" si="218"/>
        <v/>
      </c>
      <c r="TO13" s="36" t="str">
        <f t="shared" si="219"/>
        <v/>
      </c>
      <c r="TP13" s="36" t="str">
        <f t="shared" si="220"/>
        <v/>
      </c>
      <c r="TQ13" s="36" t="str">
        <f t="shared" si="221"/>
        <v/>
      </c>
      <c r="TR13" s="36" t="str">
        <f t="shared" si="222"/>
        <v/>
      </c>
      <c r="TS13" s="36" t="str">
        <f t="shared" si="223"/>
        <v/>
      </c>
      <c r="TT13" s="36" t="str">
        <f t="shared" si="224"/>
        <v/>
      </c>
      <c r="TU13" s="16"/>
      <c r="TV13" s="16"/>
      <c r="TW13" s="16"/>
      <c r="TX13" s="16"/>
      <c r="TY13" s="16"/>
      <c r="TZ13" s="16"/>
      <c r="UA13" s="16"/>
      <c r="UB13" s="16"/>
      <c r="UC13" s="16"/>
      <c r="UD13" s="16"/>
      <c r="UE13" s="16"/>
      <c r="UF13" s="16"/>
      <c r="UG13" s="16"/>
      <c r="UH13" s="16"/>
      <c r="UI13" s="16"/>
      <c r="UJ13" s="16"/>
      <c r="UK13" s="16"/>
      <c r="UL13" s="16"/>
      <c r="UM13" s="16"/>
      <c r="UN13" s="16"/>
      <c r="UO13" s="11" t="str">
        <f t="shared" si="225"/>
        <v/>
      </c>
      <c r="UP13" s="11" t="str">
        <f t="shared" si="226"/>
        <v/>
      </c>
      <c r="UQ13" s="11" t="str">
        <f t="shared" si="227"/>
        <v/>
      </c>
      <c r="UR13" s="11" t="str">
        <f t="shared" si="228"/>
        <v/>
      </c>
      <c r="US13" s="11" t="str">
        <f t="shared" si="229"/>
        <v/>
      </c>
      <c r="UT13" s="11" t="str">
        <f t="shared" si="230"/>
        <v/>
      </c>
      <c r="UU13" s="11" t="str">
        <f t="shared" si="231"/>
        <v/>
      </c>
      <c r="UV13" s="11" t="str">
        <f t="shared" si="232"/>
        <v/>
      </c>
      <c r="UW13" s="11" t="str">
        <f t="shared" si="233"/>
        <v/>
      </c>
      <c r="UX13" s="11" t="str">
        <f t="shared" si="234"/>
        <v/>
      </c>
      <c r="UY13" s="11" t="str">
        <f t="shared" si="235"/>
        <v/>
      </c>
      <c r="UZ13" s="11" t="str">
        <f t="shared" si="236"/>
        <v/>
      </c>
      <c r="VA13" s="11" t="str">
        <f t="shared" si="237"/>
        <v/>
      </c>
      <c r="VB13" s="11" t="str">
        <f t="shared" si="238"/>
        <v/>
      </c>
      <c r="VC13" s="15"/>
      <c r="VD13" s="15"/>
      <c r="VE13" s="15"/>
      <c r="VF13" s="15"/>
      <c r="VG13" s="15"/>
      <c r="VH13" s="15"/>
      <c r="VI13" s="15"/>
      <c r="VJ13" s="15"/>
      <c r="VK13" s="15"/>
      <c r="VL13" s="15"/>
      <c r="VM13" s="15"/>
      <c r="VN13" s="15"/>
      <c r="VO13" s="15"/>
      <c r="VP13" s="15"/>
      <c r="VQ13" s="15"/>
      <c r="VR13" s="15"/>
      <c r="VS13" s="15"/>
      <c r="VT13" s="15"/>
      <c r="VU13" s="15"/>
      <c r="VV13" s="15"/>
      <c r="VW13" s="36" t="str">
        <f t="shared" si="239"/>
        <v/>
      </c>
      <c r="VX13" s="36" t="str">
        <f t="shared" si="240"/>
        <v/>
      </c>
      <c r="VY13" s="36" t="str">
        <f t="shared" si="241"/>
        <v/>
      </c>
      <c r="VZ13" s="36" t="str">
        <f t="shared" si="242"/>
        <v/>
      </c>
      <c r="WA13" s="36" t="str">
        <f t="shared" si="243"/>
        <v/>
      </c>
      <c r="WB13" s="36" t="str">
        <f t="shared" si="244"/>
        <v/>
      </c>
      <c r="WC13" s="36" t="str">
        <f t="shared" si="245"/>
        <v/>
      </c>
      <c r="WD13" s="36" t="str">
        <f t="shared" si="246"/>
        <v/>
      </c>
      <c r="WE13" s="36" t="str">
        <f t="shared" si="247"/>
        <v/>
      </c>
      <c r="WF13" s="36" t="str">
        <f t="shared" si="248"/>
        <v/>
      </c>
      <c r="WG13" s="36" t="str">
        <f t="shared" si="249"/>
        <v/>
      </c>
      <c r="WH13" s="36" t="str">
        <f t="shared" si="250"/>
        <v/>
      </c>
      <c r="WI13" s="36" t="str">
        <f t="shared" si="251"/>
        <v/>
      </c>
      <c r="WJ13" s="36" t="str">
        <f t="shared" si="252"/>
        <v/>
      </c>
    </row>
    <row r="14" spans="1:608" x14ac:dyDescent="0.2">
      <c r="B14" s="5"/>
      <c r="D14" s="1"/>
    </row>
    <row r="15" spans="1:608" x14ac:dyDescent="0.2">
      <c r="G15" s="32"/>
      <c r="I15" s="32"/>
    </row>
    <row r="16" spans="1:608" x14ac:dyDescent="0.2">
      <c r="B16" s="19" t="s">
        <v>40</v>
      </c>
      <c r="C16" s="5"/>
      <c r="G16" s="3"/>
      <c r="AJ16" s="37"/>
      <c r="AK16" s="37"/>
      <c r="AL16" s="37"/>
      <c r="AN16" s="28"/>
      <c r="AO16" s="28"/>
      <c r="AQ16" s="38">
        <v>12.7</v>
      </c>
      <c r="BK16" s="37"/>
      <c r="BL16" s="37"/>
      <c r="BM16" s="37"/>
      <c r="BO16" s="28"/>
      <c r="BP16" s="28"/>
      <c r="BR16" s="38">
        <v>12.7</v>
      </c>
      <c r="CL16" s="37"/>
      <c r="CM16" s="37"/>
      <c r="CN16" s="37"/>
      <c r="CP16" s="28"/>
      <c r="CQ16" s="28"/>
      <c r="CS16" s="38">
        <v>12.7</v>
      </c>
      <c r="DO16" s="5"/>
      <c r="DP16" s="5"/>
      <c r="DY16" s="2"/>
      <c r="DZ16" s="2"/>
      <c r="EB16" s="38">
        <v>12.7</v>
      </c>
      <c r="EW16" s="5"/>
      <c r="EX16" s="5"/>
      <c r="FG16" s="2"/>
      <c r="FH16" s="2"/>
      <c r="FJ16" s="38">
        <v>12.7</v>
      </c>
      <c r="GE16" s="5"/>
      <c r="GF16" s="5"/>
      <c r="GO16" s="2"/>
      <c r="GP16" s="2"/>
      <c r="GR16" s="38">
        <v>12.7</v>
      </c>
      <c r="HM16" s="5"/>
      <c r="HN16" s="5"/>
      <c r="HW16" s="2"/>
      <c r="HX16" s="2"/>
      <c r="HZ16" s="38">
        <v>12.7</v>
      </c>
      <c r="IU16" s="5"/>
      <c r="IV16" s="5"/>
      <c r="JE16" s="2"/>
      <c r="JF16" s="2"/>
      <c r="JH16" s="38">
        <v>10.7</v>
      </c>
      <c r="KC16" s="5"/>
      <c r="KD16" s="5"/>
      <c r="KM16" s="2"/>
      <c r="KN16" s="2"/>
      <c r="KP16" s="38">
        <v>10.7</v>
      </c>
      <c r="LK16" s="5"/>
      <c r="LL16" s="5"/>
      <c r="LU16" s="2"/>
      <c r="LV16" s="2"/>
      <c r="LX16" s="38">
        <v>10.7</v>
      </c>
      <c r="MS16" s="5"/>
      <c r="MT16" s="5"/>
      <c r="NC16" s="2"/>
      <c r="ND16" s="2"/>
      <c r="NF16" s="38">
        <v>10.7</v>
      </c>
      <c r="OA16" s="5"/>
      <c r="OB16" s="5"/>
      <c r="OK16" s="2"/>
      <c r="OL16" s="2"/>
      <c r="ON16" s="38">
        <v>10.7</v>
      </c>
      <c r="PI16" s="5"/>
      <c r="PJ16" s="5"/>
      <c r="PS16" s="2"/>
      <c r="PT16" s="2"/>
      <c r="PV16" s="38">
        <v>10.7</v>
      </c>
      <c r="QQ16" s="5"/>
      <c r="QR16" s="5"/>
      <c r="RA16" s="2"/>
      <c r="RB16" s="2"/>
      <c r="RD16" s="38">
        <v>10.7</v>
      </c>
      <c r="RY16" s="5"/>
      <c r="RZ16" s="5"/>
      <c r="SI16" s="2"/>
      <c r="SJ16" s="2"/>
      <c r="SL16" s="38">
        <v>10.7</v>
      </c>
      <c r="TG16" s="5"/>
      <c r="TH16" s="5"/>
      <c r="TQ16" s="2"/>
      <c r="TR16" s="2"/>
      <c r="TT16" s="38">
        <v>10.7</v>
      </c>
      <c r="UO16" s="5"/>
      <c r="UP16" s="5"/>
      <c r="UY16" s="2"/>
      <c r="UZ16" s="2"/>
      <c r="VB16" s="38">
        <v>10.7</v>
      </c>
      <c r="VW16" s="5"/>
      <c r="VX16" s="5"/>
      <c r="WG16" s="2"/>
      <c r="WH16" s="2"/>
      <c r="WJ16" s="38">
        <v>10.7</v>
      </c>
    </row>
    <row r="17" spans="1:608" hidden="1" x14ac:dyDescent="0.2">
      <c r="B17" s="26" t="s">
        <v>39</v>
      </c>
      <c r="C17" s="5"/>
      <c r="P17" s="2"/>
      <c r="AJ17" s="37"/>
      <c r="AK17" s="37"/>
      <c r="AL17" s="37"/>
      <c r="AN17" s="28"/>
      <c r="AO17" s="28"/>
      <c r="AQ17" s="39">
        <v>1000</v>
      </c>
      <c r="BK17" s="37"/>
      <c r="BL17" s="37"/>
      <c r="BM17" s="37"/>
      <c r="BO17" s="28"/>
      <c r="BP17" s="28"/>
      <c r="BR17" s="39">
        <v>1000</v>
      </c>
      <c r="CL17" s="37"/>
      <c r="CM17" s="37"/>
      <c r="CN17" s="37"/>
      <c r="CP17" s="28"/>
      <c r="CQ17" s="28"/>
      <c r="CS17" s="39">
        <v>1000</v>
      </c>
      <c r="DO17" s="5"/>
      <c r="DP17" s="5"/>
      <c r="DY17" s="2"/>
      <c r="DZ17" s="2"/>
      <c r="EB17" s="39">
        <v>1000</v>
      </c>
      <c r="EW17" s="5"/>
      <c r="EX17" s="5"/>
      <c r="FG17" s="2"/>
      <c r="FH17" s="2"/>
      <c r="FJ17" s="39">
        <v>1000</v>
      </c>
      <c r="GE17" s="5"/>
      <c r="GF17" s="5"/>
      <c r="GO17" s="2"/>
      <c r="GP17" s="2"/>
      <c r="GR17" s="39">
        <v>1000</v>
      </c>
      <c r="HM17" s="5"/>
      <c r="HN17" s="5"/>
      <c r="HW17" s="2"/>
      <c r="HX17" s="2"/>
      <c r="HZ17" s="39">
        <v>1000</v>
      </c>
      <c r="IU17" s="5"/>
      <c r="IV17" s="5"/>
      <c r="JE17" s="2"/>
      <c r="JF17" s="2"/>
      <c r="JH17" s="39">
        <v>1000</v>
      </c>
      <c r="KC17" s="5"/>
      <c r="KD17" s="5"/>
      <c r="KM17" s="2"/>
      <c r="KN17" s="2"/>
      <c r="KP17" s="39">
        <v>1000</v>
      </c>
      <c r="LK17" s="5"/>
      <c r="LL17" s="5"/>
      <c r="LU17" s="2"/>
      <c r="LV17" s="2"/>
      <c r="LX17" s="39">
        <v>1000</v>
      </c>
      <c r="MS17" s="5"/>
      <c r="MT17" s="5"/>
      <c r="NC17" s="2"/>
      <c r="ND17" s="2"/>
      <c r="NF17" s="39">
        <v>1000</v>
      </c>
      <c r="OA17" s="5"/>
      <c r="OB17" s="5"/>
      <c r="OK17" s="2"/>
      <c r="OL17" s="2"/>
      <c r="ON17" s="39">
        <v>1000</v>
      </c>
      <c r="PI17" s="5"/>
      <c r="PJ17" s="5"/>
      <c r="PS17" s="2"/>
      <c r="PT17" s="2"/>
      <c r="PV17" s="39">
        <v>1000</v>
      </c>
      <c r="QQ17" s="5"/>
      <c r="QR17" s="5"/>
      <c r="RA17" s="2"/>
      <c r="RB17" s="2"/>
      <c r="RD17" s="39">
        <v>1000</v>
      </c>
      <c r="RY17" s="5"/>
      <c r="RZ17" s="5"/>
      <c r="SI17" s="2"/>
      <c r="SJ17" s="2"/>
      <c r="SL17" s="39">
        <v>1000</v>
      </c>
      <c r="TG17" s="5"/>
      <c r="TH17" s="5"/>
      <c r="TQ17" s="2"/>
      <c r="TR17" s="2"/>
      <c r="TT17" s="39">
        <v>1000</v>
      </c>
      <c r="UO17" s="5"/>
      <c r="UP17" s="5"/>
      <c r="UY17" s="2"/>
      <c r="UZ17" s="2"/>
      <c r="VB17" s="39">
        <v>1000</v>
      </c>
      <c r="VW17" s="5"/>
      <c r="VX17" s="5"/>
      <c r="WG17" s="2"/>
      <c r="WH17" s="2"/>
      <c r="WJ17" s="39">
        <v>1000</v>
      </c>
    </row>
    <row r="18" spans="1:608" hidden="1" x14ac:dyDescent="0.2">
      <c r="A18" s="5"/>
      <c r="B18" s="27" t="s">
        <v>50</v>
      </c>
      <c r="C18" s="5"/>
      <c r="E18" s="2"/>
      <c r="AJ18" s="37"/>
      <c r="AK18" s="37"/>
      <c r="AL18" s="37"/>
      <c r="AM18" s="28"/>
      <c r="AN18" s="28"/>
      <c r="AO18" s="28"/>
      <c r="AP18" s="28"/>
      <c r="AQ18" s="40">
        <v>1000</v>
      </c>
      <c r="BK18" s="37"/>
      <c r="BL18" s="37"/>
      <c r="BM18" s="37"/>
      <c r="BO18" s="28"/>
      <c r="BP18" s="28"/>
      <c r="BR18" s="40">
        <v>1000</v>
      </c>
      <c r="CL18" s="37"/>
      <c r="CM18" s="37"/>
      <c r="CN18" s="37"/>
      <c r="CO18" s="28"/>
      <c r="CP18" s="28"/>
      <c r="CQ18" s="28"/>
      <c r="CR18" s="28"/>
      <c r="CS18" s="40">
        <v>1000</v>
      </c>
      <c r="DO18" s="5"/>
      <c r="DP18" s="5"/>
      <c r="DY18" s="2"/>
      <c r="DZ18" s="2"/>
      <c r="EB18" s="40">
        <v>1000</v>
      </c>
      <c r="EW18" s="5"/>
      <c r="EX18" s="5"/>
      <c r="FG18" s="2"/>
      <c r="FH18" s="2"/>
      <c r="FJ18" s="40">
        <v>1000</v>
      </c>
      <c r="GE18" s="5"/>
      <c r="GF18" s="5"/>
      <c r="GO18" s="2"/>
      <c r="GP18" s="2"/>
      <c r="GR18" s="40">
        <v>1000</v>
      </c>
      <c r="HM18" s="5"/>
      <c r="HN18" s="5"/>
      <c r="HW18" s="2"/>
      <c r="HX18" s="2"/>
      <c r="HZ18" s="40">
        <v>1000</v>
      </c>
      <c r="IU18" s="5"/>
      <c r="IV18" s="5"/>
      <c r="JE18" s="2"/>
      <c r="JF18" s="2"/>
      <c r="JH18" s="40">
        <v>1000</v>
      </c>
      <c r="KC18" s="5"/>
      <c r="KD18" s="5"/>
      <c r="KM18" s="2"/>
      <c r="KN18" s="2"/>
      <c r="KP18" s="40">
        <v>1000</v>
      </c>
      <c r="LK18" s="5"/>
      <c r="LL18" s="5"/>
      <c r="LU18" s="2"/>
      <c r="LV18" s="2"/>
      <c r="LX18" s="40">
        <v>1000</v>
      </c>
      <c r="MS18" s="5"/>
      <c r="MT18" s="5"/>
      <c r="NC18" s="2"/>
      <c r="ND18" s="2"/>
      <c r="NF18" s="40">
        <v>1000</v>
      </c>
      <c r="OA18" s="5"/>
      <c r="OB18" s="5"/>
      <c r="OK18" s="2"/>
      <c r="OL18" s="2"/>
      <c r="ON18" s="40">
        <v>1000</v>
      </c>
      <c r="PI18" s="5"/>
      <c r="PJ18" s="5"/>
      <c r="PS18" s="2"/>
      <c r="PT18" s="2"/>
      <c r="PV18" s="40">
        <v>1000</v>
      </c>
      <c r="QQ18" s="5"/>
      <c r="QR18" s="5"/>
      <c r="RA18" s="2"/>
      <c r="RB18" s="2"/>
      <c r="RD18" s="40">
        <v>1000</v>
      </c>
      <c r="RY18" s="5"/>
      <c r="RZ18" s="5"/>
      <c r="SI18" s="2"/>
      <c r="SJ18" s="2"/>
      <c r="SL18" s="40">
        <v>1000</v>
      </c>
      <c r="TG18" s="5"/>
      <c r="TH18" s="5"/>
      <c r="TQ18" s="2"/>
      <c r="TR18" s="2"/>
      <c r="TT18" s="40">
        <v>1000</v>
      </c>
      <c r="UO18" s="5"/>
      <c r="UP18" s="5"/>
      <c r="UY18" s="2"/>
      <c r="UZ18" s="2"/>
      <c r="VB18" s="40">
        <v>1000</v>
      </c>
      <c r="VW18" s="5"/>
      <c r="VX18" s="5"/>
      <c r="WG18" s="2"/>
      <c r="WH18" s="2"/>
      <c r="WJ18" s="40">
        <v>1000</v>
      </c>
    </row>
    <row r="19" spans="1:608" hidden="1" x14ac:dyDescent="0.2">
      <c r="A19" s="5"/>
      <c r="B19" s="31" t="s">
        <v>57</v>
      </c>
      <c r="C19" s="5"/>
      <c r="E19" s="2"/>
      <c r="AJ19" s="37"/>
      <c r="AK19" s="37"/>
      <c r="AL19" s="37"/>
      <c r="AM19" s="28"/>
      <c r="AN19" s="28"/>
      <c r="AO19" s="28"/>
      <c r="AP19" s="28"/>
      <c r="AQ19" s="41">
        <v>1000</v>
      </c>
      <c r="BK19" s="37"/>
      <c r="BL19" s="37"/>
      <c r="BM19" s="37"/>
      <c r="BO19" s="28"/>
      <c r="BP19" s="28"/>
      <c r="BR19" s="41">
        <v>1000</v>
      </c>
      <c r="CL19" s="37"/>
      <c r="CM19" s="37"/>
      <c r="CN19" s="37"/>
      <c r="CO19" s="28"/>
      <c r="CP19" s="28"/>
      <c r="CQ19" s="28"/>
      <c r="CR19" s="28"/>
      <c r="CS19" s="41">
        <v>1000</v>
      </c>
      <c r="DO19" s="5"/>
      <c r="DP19" s="5"/>
      <c r="DY19" s="2"/>
      <c r="DZ19" s="2"/>
      <c r="EB19" s="41">
        <v>1000</v>
      </c>
      <c r="EW19" s="5"/>
      <c r="EX19" s="5"/>
      <c r="FG19" s="2"/>
      <c r="FH19" s="2"/>
      <c r="FJ19" s="41">
        <v>1000</v>
      </c>
      <c r="GE19" s="5"/>
      <c r="GF19" s="5"/>
      <c r="GO19" s="2"/>
      <c r="GP19" s="2"/>
      <c r="GR19" s="41">
        <v>1000</v>
      </c>
      <c r="HM19" s="5"/>
      <c r="HN19" s="5"/>
      <c r="HW19" s="2"/>
      <c r="HX19" s="2"/>
      <c r="HZ19" s="41">
        <v>1000</v>
      </c>
      <c r="IU19" s="5"/>
      <c r="IV19" s="5"/>
      <c r="JE19" s="2"/>
      <c r="JF19" s="2"/>
      <c r="JH19" s="41">
        <v>1000</v>
      </c>
      <c r="KC19" s="5"/>
      <c r="KD19" s="5"/>
      <c r="KM19" s="2"/>
      <c r="KN19" s="2"/>
      <c r="KP19" s="41">
        <v>1000</v>
      </c>
      <c r="LK19" s="5"/>
      <c r="LL19" s="5"/>
      <c r="LU19" s="2"/>
      <c r="LV19" s="2"/>
      <c r="LX19" s="41">
        <v>1000</v>
      </c>
      <c r="MS19" s="5"/>
      <c r="MT19" s="5"/>
      <c r="NC19" s="2"/>
      <c r="ND19" s="2"/>
      <c r="NF19" s="41">
        <v>1000</v>
      </c>
      <c r="OA19" s="5"/>
      <c r="OB19" s="5"/>
      <c r="OK19" s="2"/>
      <c r="OL19" s="2"/>
      <c r="ON19" s="41">
        <v>1000</v>
      </c>
      <c r="PI19" s="5"/>
      <c r="PJ19" s="5"/>
      <c r="PS19" s="2"/>
      <c r="PT19" s="2"/>
      <c r="PV19" s="41">
        <v>1000</v>
      </c>
      <c r="QQ19" s="5"/>
      <c r="QR19" s="5"/>
      <c r="RA19" s="2"/>
      <c r="RB19" s="2"/>
      <c r="RD19" s="41">
        <v>1000</v>
      </c>
      <c r="RY19" s="5"/>
      <c r="RZ19" s="5"/>
      <c r="SI19" s="2"/>
      <c r="SJ19" s="2"/>
      <c r="SL19" s="41">
        <v>1000</v>
      </c>
      <c r="TG19" s="5"/>
      <c r="TH19" s="5"/>
      <c r="TQ19" s="2"/>
      <c r="TR19" s="2"/>
      <c r="TT19" s="41">
        <v>1000</v>
      </c>
      <c r="UO19" s="5"/>
      <c r="UP19" s="5"/>
      <c r="UY19" s="2"/>
      <c r="UZ19" s="2"/>
      <c r="VB19" s="41">
        <v>1000</v>
      </c>
      <c r="VW19" s="5"/>
      <c r="VX19" s="5"/>
      <c r="WG19" s="2"/>
      <c r="WH19" s="2"/>
      <c r="WJ19" s="41">
        <v>1000</v>
      </c>
    </row>
    <row r="20" spans="1:608" x14ac:dyDescent="0.2">
      <c r="A20" s="5"/>
      <c r="B20" s="30" t="s">
        <v>37</v>
      </c>
      <c r="C20" s="5"/>
      <c r="AJ20" s="37"/>
      <c r="AK20" s="37"/>
      <c r="AL20" s="37"/>
      <c r="AM20" s="28"/>
      <c r="AN20" s="28"/>
      <c r="AO20" s="28"/>
      <c r="AP20" s="28"/>
      <c r="AQ20" s="42">
        <v>50</v>
      </c>
      <c r="BK20" s="37"/>
      <c r="BL20" s="37"/>
      <c r="BM20" s="37"/>
      <c r="BO20" s="28"/>
      <c r="BP20" s="28"/>
      <c r="BR20" s="42">
        <v>50</v>
      </c>
      <c r="CL20" s="37"/>
      <c r="CM20" s="37"/>
      <c r="CN20" s="37"/>
      <c r="CO20" s="28"/>
      <c r="CP20" s="28"/>
      <c r="CQ20" s="28"/>
      <c r="CR20" s="28"/>
      <c r="CS20" s="42">
        <v>50</v>
      </c>
      <c r="DO20" s="5"/>
      <c r="DP20" s="5"/>
      <c r="DY20" s="2"/>
      <c r="DZ20" s="2"/>
      <c r="EB20" s="42">
        <v>50</v>
      </c>
      <c r="EW20" s="5"/>
      <c r="EX20" s="5"/>
      <c r="FG20" s="2"/>
      <c r="FH20" s="2"/>
      <c r="FJ20" s="42">
        <v>50</v>
      </c>
      <c r="GE20" s="5"/>
      <c r="GF20" s="5"/>
      <c r="GO20" s="2"/>
      <c r="GP20" s="2"/>
      <c r="GR20" s="42">
        <v>50</v>
      </c>
      <c r="HM20" s="5"/>
      <c r="HN20" s="5"/>
      <c r="HW20" s="2"/>
      <c r="HX20" s="2"/>
      <c r="HZ20" s="42">
        <v>50</v>
      </c>
      <c r="IU20" s="5"/>
      <c r="IV20" s="5"/>
      <c r="JE20" s="2"/>
      <c r="JF20" s="2"/>
      <c r="JH20" s="42">
        <v>48.9</v>
      </c>
      <c r="KC20" s="5"/>
      <c r="KD20" s="5"/>
      <c r="KM20" s="2"/>
      <c r="KN20" s="2"/>
      <c r="KP20" s="42">
        <v>48.9</v>
      </c>
      <c r="LK20" s="5"/>
      <c r="LL20" s="5"/>
      <c r="LU20" s="2"/>
      <c r="LV20" s="2"/>
      <c r="LX20" s="42">
        <v>48.9</v>
      </c>
      <c r="MS20" s="5"/>
      <c r="MT20" s="5"/>
      <c r="NC20" s="2"/>
      <c r="ND20" s="2"/>
      <c r="NF20" s="42">
        <v>48.9</v>
      </c>
      <c r="OA20" s="5"/>
      <c r="OB20" s="5"/>
      <c r="OK20" s="2"/>
      <c r="OL20" s="2"/>
      <c r="ON20" s="42">
        <v>48.9</v>
      </c>
      <c r="PI20" s="5"/>
      <c r="PJ20" s="5"/>
      <c r="PS20" s="2"/>
      <c r="PT20" s="2"/>
      <c r="PV20" s="42">
        <v>48.9</v>
      </c>
      <c r="QQ20" s="5"/>
      <c r="QR20" s="5"/>
      <c r="RA20" s="2"/>
      <c r="RB20" s="2"/>
      <c r="RD20" s="42">
        <v>48.9</v>
      </c>
      <c r="RY20" s="5"/>
      <c r="RZ20" s="5"/>
      <c r="SI20" s="2"/>
      <c r="SJ20" s="2"/>
      <c r="SL20" s="42">
        <v>48.9</v>
      </c>
      <c r="TG20" s="5"/>
      <c r="TH20" s="5"/>
      <c r="TQ20" s="2"/>
      <c r="TR20" s="2"/>
      <c r="TT20" s="42">
        <v>48.9</v>
      </c>
      <c r="UO20" s="5"/>
      <c r="UP20" s="5"/>
      <c r="UY20" s="2"/>
      <c r="UZ20" s="2"/>
      <c r="VB20" s="42">
        <v>48.9</v>
      </c>
      <c r="VW20" s="5"/>
      <c r="VX20" s="5"/>
      <c r="WG20" s="2"/>
      <c r="WH20" s="2"/>
      <c r="WJ20" s="42">
        <v>48.9</v>
      </c>
    </row>
    <row r="21" spans="1:608" hidden="1" x14ac:dyDescent="0.2">
      <c r="A21" s="5"/>
      <c r="B21" s="20" t="s">
        <v>38</v>
      </c>
      <c r="C21" s="5"/>
      <c r="AJ21" s="37"/>
      <c r="AK21" s="37"/>
      <c r="AL21" s="37"/>
      <c r="AM21" s="28"/>
      <c r="AN21" s="28"/>
      <c r="AO21" s="28"/>
      <c r="AP21" s="28"/>
      <c r="AQ21" s="43">
        <v>1000</v>
      </c>
      <c r="BK21" s="37"/>
      <c r="BL21" s="37"/>
      <c r="BM21" s="37"/>
      <c r="BO21" s="28"/>
      <c r="BP21" s="28"/>
      <c r="BR21" s="43">
        <v>1000</v>
      </c>
      <c r="CL21" s="37"/>
      <c r="CM21" s="37"/>
      <c r="CN21" s="37"/>
      <c r="CO21" s="28"/>
      <c r="CP21" s="28"/>
      <c r="CQ21" s="28"/>
      <c r="CR21" s="28"/>
      <c r="CS21" s="43">
        <v>1000</v>
      </c>
      <c r="DO21" s="5"/>
      <c r="DP21" s="5"/>
      <c r="DY21" s="2"/>
      <c r="DZ21" s="2"/>
      <c r="EB21" s="43">
        <v>1000</v>
      </c>
      <c r="EW21" s="5"/>
      <c r="EX21" s="5"/>
      <c r="FG21" s="2"/>
      <c r="FH21" s="2"/>
      <c r="FJ21" s="43">
        <v>1000</v>
      </c>
      <c r="GE21" s="5"/>
      <c r="GF21" s="5"/>
      <c r="GO21" s="2"/>
      <c r="GP21" s="2"/>
      <c r="GR21" s="43">
        <v>1000</v>
      </c>
      <c r="HM21" s="5"/>
      <c r="HN21" s="5"/>
      <c r="HW21" s="2"/>
      <c r="HX21" s="2"/>
      <c r="HZ21" s="43">
        <v>1000</v>
      </c>
      <c r="IU21" s="5"/>
      <c r="IV21" s="5"/>
      <c r="JE21" s="2"/>
      <c r="JF21" s="2"/>
      <c r="JH21" s="43">
        <v>1000</v>
      </c>
      <c r="KC21" s="5"/>
      <c r="KD21" s="5"/>
      <c r="KM21" s="2"/>
      <c r="KN21" s="2"/>
      <c r="KP21" s="43">
        <v>1000</v>
      </c>
      <c r="LK21" s="5"/>
      <c r="LL21" s="5"/>
      <c r="LU21" s="2"/>
      <c r="LV21" s="2"/>
      <c r="LX21" s="43">
        <v>1000</v>
      </c>
      <c r="MS21" s="5"/>
      <c r="MT21" s="5"/>
      <c r="NC21" s="2"/>
      <c r="ND21" s="2"/>
      <c r="NF21" s="43">
        <v>1000</v>
      </c>
      <c r="OA21" s="5"/>
      <c r="OB21" s="5"/>
      <c r="OK21" s="2"/>
      <c r="OL21" s="2"/>
      <c r="ON21" s="43">
        <v>1000</v>
      </c>
      <c r="PI21" s="5"/>
      <c r="PJ21" s="5"/>
      <c r="PS21" s="2"/>
      <c r="PT21" s="2"/>
      <c r="PV21" s="43">
        <v>1000</v>
      </c>
      <c r="QQ21" s="5"/>
      <c r="QR21" s="5"/>
      <c r="RA21" s="2"/>
      <c r="RB21" s="2"/>
      <c r="RD21" s="43">
        <v>1000</v>
      </c>
      <c r="RY21" s="5"/>
      <c r="RZ21" s="5"/>
      <c r="SI21" s="2"/>
      <c r="SJ21" s="2"/>
      <c r="SL21" s="43">
        <v>1000</v>
      </c>
      <c r="TG21" s="5"/>
      <c r="TH21" s="5"/>
      <c r="TQ21" s="2"/>
      <c r="TR21" s="2"/>
      <c r="TT21" s="43">
        <v>1000</v>
      </c>
      <c r="UO21" s="5"/>
      <c r="UP21" s="5"/>
      <c r="UY21" s="2"/>
      <c r="UZ21" s="2"/>
      <c r="VB21" s="43">
        <v>1000</v>
      </c>
      <c r="VW21" s="5"/>
      <c r="VX21" s="5"/>
      <c r="WG21" s="2"/>
      <c r="WH21" s="2"/>
      <c r="WJ21" s="43">
        <v>1000</v>
      </c>
    </row>
    <row r="22" spans="1:608" hidden="1" x14ac:dyDescent="0.2">
      <c r="A22" s="5"/>
      <c r="B22" s="29" t="s">
        <v>49</v>
      </c>
      <c r="C22" s="5"/>
      <c r="AJ22" s="37"/>
      <c r="AK22" s="37"/>
      <c r="AL22" s="37"/>
      <c r="AM22" s="28"/>
      <c r="AN22" s="28"/>
      <c r="AO22" s="28"/>
      <c r="AP22" s="28"/>
      <c r="AQ22" s="44">
        <v>1000</v>
      </c>
      <c r="BK22" s="37"/>
      <c r="BL22" s="37"/>
      <c r="BM22" s="37"/>
      <c r="BO22" s="28"/>
      <c r="BP22" s="28"/>
      <c r="BR22" s="44">
        <v>1000</v>
      </c>
      <c r="CL22" s="37"/>
      <c r="CM22" s="37"/>
      <c r="CN22" s="37"/>
      <c r="CO22" s="28"/>
      <c r="CP22" s="28"/>
      <c r="CQ22" s="28"/>
      <c r="CR22" s="28"/>
      <c r="CS22" s="44">
        <v>1000</v>
      </c>
      <c r="DO22" s="5"/>
      <c r="DP22" s="5"/>
      <c r="DY22" s="2"/>
      <c r="DZ22" s="2"/>
      <c r="EA22" s="33"/>
      <c r="EB22" s="44">
        <v>1000</v>
      </c>
      <c r="EW22" s="5"/>
      <c r="EX22" s="5"/>
      <c r="FG22" s="2"/>
      <c r="FH22" s="2"/>
      <c r="FI22" s="33"/>
      <c r="FJ22" s="44">
        <v>1000</v>
      </c>
      <c r="GE22" s="5"/>
      <c r="GF22" s="5"/>
      <c r="GO22" s="2"/>
      <c r="GP22" s="2"/>
      <c r="GQ22" s="33"/>
      <c r="GR22" s="44">
        <v>1000</v>
      </c>
      <c r="HM22" s="5"/>
      <c r="HN22" s="5"/>
      <c r="HW22" s="2"/>
      <c r="HX22" s="2"/>
      <c r="HY22" s="33"/>
      <c r="HZ22" s="44">
        <v>1000</v>
      </c>
      <c r="IU22" s="5"/>
      <c r="IV22" s="5"/>
      <c r="JE22" s="2"/>
      <c r="JF22" s="2"/>
      <c r="JG22" s="33"/>
      <c r="JH22" s="44">
        <v>1000</v>
      </c>
      <c r="KC22" s="5"/>
      <c r="KD22" s="5"/>
      <c r="KM22" s="2"/>
      <c r="KN22" s="2"/>
      <c r="KO22" s="33"/>
      <c r="KP22" s="44">
        <v>1000</v>
      </c>
      <c r="LK22" s="5"/>
      <c r="LL22" s="5"/>
      <c r="LU22" s="2"/>
      <c r="LV22" s="2"/>
      <c r="LW22" s="33"/>
      <c r="LX22" s="44">
        <v>1000</v>
      </c>
      <c r="MS22" s="5"/>
      <c r="MT22" s="5"/>
      <c r="NC22" s="2"/>
      <c r="ND22" s="2"/>
      <c r="NE22" s="33"/>
      <c r="NF22" s="44">
        <v>1000</v>
      </c>
      <c r="OA22" s="5"/>
      <c r="OB22" s="5"/>
      <c r="OK22" s="2"/>
      <c r="OL22" s="2"/>
      <c r="OM22" s="33"/>
      <c r="ON22" s="44">
        <v>1000</v>
      </c>
      <c r="PI22" s="5"/>
      <c r="PJ22" s="5"/>
      <c r="PS22" s="2"/>
      <c r="PT22" s="2"/>
      <c r="PU22" s="33"/>
      <c r="PV22" s="44">
        <v>1000</v>
      </c>
      <c r="QQ22" s="5"/>
      <c r="QR22" s="5"/>
      <c r="RA22" s="2"/>
      <c r="RB22" s="2"/>
      <c r="RC22" s="33"/>
      <c r="RD22" s="44">
        <v>1000</v>
      </c>
      <c r="RY22" s="5"/>
      <c r="RZ22" s="5"/>
      <c r="SI22" s="2"/>
      <c r="SJ22" s="2"/>
      <c r="SK22" s="33"/>
      <c r="SL22" s="44">
        <v>1000</v>
      </c>
      <c r="TG22" s="5"/>
      <c r="TH22" s="5"/>
      <c r="TQ22" s="2"/>
      <c r="TR22" s="2"/>
      <c r="TS22" s="33"/>
      <c r="TT22" s="44">
        <v>1000</v>
      </c>
      <c r="UO22" s="5"/>
      <c r="UP22" s="5"/>
      <c r="UY22" s="2"/>
      <c r="UZ22" s="2"/>
      <c r="VA22" s="33"/>
      <c r="VB22" s="44">
        <v>1000</v>
      </c>
      <c r="VW22" s="5"/>
      <c r="VX22" s="5"/>
      <c r="WG22" s="2"/>
      <c r="WH22" s="2"/>
      <c r="WI22" s="33"/>
      <c r="WJ22" s="44">
        <v>1000</v>
      </c>
    </row>
    <row r="23" spans="1:608" hidden="1" x14ac:dyDescent="0.2">
      <c r="A23" s="5"/>
      <c r="B23" s="21" t="s">
        <v>30</v>
      </c>
      <c r="C23" s="5"/>
      <c r="AJ23" s="37"/>
      <c r="AK23" s="37"/>
      <c r="AL23" s="37"/>
      <c r="AM23" s="28"/>
      <c r="AN23" s="37"/>
      <c r="AO23" s="37"/>
      <c r="AP23" s="28"/>
      <c r="AQ23" s="45">
        <v>1000</v>
      </c>
      <c r="BK23" s="37"/>
      <c r="BL23" s="37"/>
      <c r="BM23" s="37"/>
      <c r="BO23" s="37"/>
      <c r="BP23" s="28"/>
      <c r="BR23" s="45">
        <v>1000</v>
      </c>
      <c r="CL23" s="37"/>
      <c r="CM23" s="37"/>
      <c r="CN23" s="37"/>
      <c r="CO23" s="28"/>
      <c r="CP23" s="37"/>
      <c r="CQ23" s="28"/>
      <c r="CR23" s="28"/>
      <c r="CS23" s="45">
        <v>1000</v>
      </c>
      <c r="DO23" s="5"/>
      <c r="DP23" s="5"/>
      <c r="DY23" s="37"/>
      <c r="DZ23" s="2"/>
      <c r="EB23" s="45">
        <v>1000</v>
      </c>
      <c r="EW23" s="5"/>
      <c r="EX23" s="5"/>
      <c r="FG23" s="37"/>
      <c r="FH23" s="2"/>
      <c r="FJ23" s="45">
        <v>1000</v>
      </c>
      <c r="GE23" s="5"/>
      <c r="GF23" s="5"/>
      <c r="GO23" s="2"/>
      <c r="GP23" s="2"/>
      <c r="GR23" s="45">
        <v>1000</v>
      </c>
      <c r="HM23" s="5"/>
      <c r="HN23" s="5"/>
      <c r="HW23" s="37"/>
      <c r="HX23" s="2"/>
      <c r="HZ23" s="45">
        <v>1000</v>
      </c>
      <c r="IU23" s="5"/>
      <c r="IV23" s="5"/>
      <c r="JE23" s="2"/>
      <c r="JF23" s="2"/>
      <c r="JH23" s="45">
        <v>1000</v>
      </c>
      <c r="KC23" s="5"/>
      <c r="KD23" s="5"/>
      <c r="KM23" s="2"/>
      <c r="KN23" s="2"/>
      <c r="KP23" s="45">
        <v>1000</v>
      </c>
      <c r="LK23" s="5"/>
      <c r="LL23" s="5"/>
      <c r="LU23" s="2"/>
      <c r="LV23" s="2"/>
      <c r="LX23" s="45">
        <v>1000</v>
      </c>
      <c r="MS23" s="5"/>
      <c r="MT23" s="5"/>
      <c r="NC23" s="2"/>
      <c r="ND23" s="2"/>
      <c r="NF23" s="45">
        <v>1000</v>
      </c>
      <c r="OA23" s="5"/>
      <c r="OB23" s="5"/>
      <c r="OK23" s="2"/>
      <c r="OL23" s="2"/>
      <c r="ON23" s="45">
        <v>1000</v>
      </c>
      <c r="PI23" s="5"/>
      <c r="PJ23" s="5"/>
      <c r="PS23" s="2"/>
      <c r="PT23" s="2"/>
      <c r="PV23" s="45">
        <v>1000</v>
      </c>
      <c r="QQ23" s="5"/>
      <c r="QR23" s="5"/>
      <c r="RA23" s="2"/>
      <c r="RB23" s="2"/>
      <c r="RD23" s="45">
        <v>1000</v>
      </c>
      <c r="RY23" s="5"/>
      <c r="RZ23" s="5"/>
      <c r="SI23" s="2"/>
      <c r="SJ23" s="2"/>
      <c r="SL23" s="45">
        <v>1000</v>
      </c>
      <c r="TG23" s="5"/>
      <c r="TH23" s="5"/>
      <c r="TQ23" s="2"/>
      <c r="TR23" s="2"/>
      <c r="TT23" s="45">
        <v>1000</v>
      </c>
      <c r="UO23" s="5"/>
      <c r="UP23" s="5"/>
      <c r="UY23" s="2"/>
      <c r="UZ23" s="2"/>
      <c r="VB23" s="45">
        <v>1000</v>
      </c>
      <c r="VW23" s="5"/>
      <c r="VX23" s="5"/>
      <c r="WG23" s="2"/>
      <c r="WH23" s="2"/>
      <c r="WJ23" s="45">
        <v>1000</v>
      </c>
    </row>
    <row r="24" spans="1:608" x14ac:dyDescent="0.2">
      <c r="B24" s="25" t="s">
        <v>43</v>
      </c>
      <c r="C24" s="2"/>
      <c r="AM24" s="28"/>
      <c r="AP24" s="28"/>
      <c r="CO24" s="28"/>
      <c r="CR24" s="28"/>
      <c r="KP24" s="32"/>
      <c r="LX24" s="32"/>
      <c r="NF24" s="32"/>
      <c r="ON24" s="32"/>
      <c r="PV24" s="32"/>
      <c r="RD24" s="32"/>
      <c r="SL24" s="32"/>
      <c r="TT24" s="32"/>
      <c r="VB24" s="32"/>
      <c r="WJ24" s="32"/>
    </row>
    <row r="25" spans="1:608" x14ac:dyDescent="0.2">
      <c r="A25" s="5"/>
      <c r="B25" s="5"/>
      <c r="C25" s="17"/>
      <c r="AI25" s="28"/>
      <c r="AJ25" s="28"/>
      <c r="AK25" s="28"/>
      <c r="AL25" s="28"/>
      <c r="AM25" s="28"/>
      <c r="AP25" s="28"/>
      <c r="CK25" s="28"/>
      <c r="CL25" s="28"/>
      <c r="CM25" s="28"/>
      <c r="CN25" s="28"/>
      <c r="CO25" s="28"/>
      <c r="CR25" s="28"/>
    </row>
    <row r="26" spans="1:608" ht="17" x14ac:dyDescent="0.2">
      <c r="A26" s="5"/>
      <c r="B26" s="5"/>
      <c r="C26" s="17"/>
      <c r="N26" s="10"/>
      <c r="O26" s="10"/>
      <c r="AI26" s="28"/>
      <c r="AJ26" s="28"/>
      <c r="AK26" s="28"/>
      <c r="AL26" s="28"/>
      <c r="AM26" s="28"/>
      <c r="AP26" s="28"/>
      <c r="CK26" s="28"/>
      <c r="CL26" s="28"/>
      <c r="CM26" s="28"/>
      <c r="CN26" s="28"/>
      <c r="CO26" s="28"/>
      <c r="CR26" s="28"/>
    </row>
    <row r="27" spans="1:608" ht="17" x14ac:dyDescent="0.2">
      <c r="A27" s="5"/>
      <c r="B27" s="5"/>
      <c r="C27" s="17"/>
      <c r="N27" s="10"/>
      <c r="AI27" s="28"/>
      <c r="AJ27" s="28"/>
      <c r="AK27" s="28"/>
      <c r="AL27" s="28"/>
      <c r="AM27" s="28"/>
      <c r="AP27" s="28"/>
      <c r="CK27" s="28"/>
      <c r="CL27" s="28"/>
      <c r="CM27" s="28"/>
      <c r="CN27" s="28"/>
      <c r="CO27" s="28"/>
      <c r="CR27" s="28"/>
    </row>
    <row r="28" spans="1:608" ht="17" x14ac:dyDescent="0.2">
      <c r="N28" s="10"/>
      <c r="O28" s="10"/>
      <c r="AI28" s="28"/>
      <c r="AJ28" s="28"/>
      <c r="AK28" s="28"/>
      <c r="AL28" s="28"/>
      <c r="AM28" s="28"/>
      <c r="AP28" s="28"/>
      <c r="CK28" s="28"/>
      <c r="CL28" s="28"/>
      <c r="CM28" s="28"/>
      <c r="CN28" s="28"/>
      <c r="CO28" s="28"/>
      <c r="CR28" s="28"/>
    </row>
    <row r="29" spans="1:608" ht="17" x14ac:dyDescent="0.2">
      <c r="N29" s="10"/>
      <c r="O29" s="10"/>
      <c r="AI29" s="28"/>
      <c r="AJ29" s="28"/>
      <c r="AK29" s="28"/>
      <c r="AL29" s="28"/>
      <c r="AM29" s="28"/>
      <c r="AP29" s="28"/>
      <c r="CK29" s="28"/>
      <c r="CL29" s="28"/>
      <c r="CM29" s="28"/>
      <c r="CN29" s="28"/>
      <c r="CO29" s="28"/>
      <c r="CR29" s="28"/>
    </row>
    <row r="30" spans="1:608" ht="17" x14ac:dyDescent="0.2">
      <c r="N30" s="10"/>
      <c r="O30" s="10"/>
      <c r="AI30" s="28"/>
      <c r="AJ30" s="28"/>
      <c r="AK30" s="28"/>
      <c r="AL30" s="28"/>
      <c r="AM30" s="28"/>
      <c r="AP30" s="28"/>
      <c r="CK30" s="28"/>
      <c r="CL30" s="28"/>
      <c r="CM30" s="28"/>
      <c r="CN30" s="28"/>
      <c r="CO30" s="28"/>
      <c r="CR30" s="28"/>
    </row>
    <row r="31" spans="1:608" ht="17" x14ac:dyDescent="0.2">
      <c r="N31" s="10"/>
      <c r="O31" s="10"/>
      <c r="P31" s="10"/>
    </row>
    <row r="32" spans="1:608" ht="17" x14ac:dyDescent="0.2">
      <c r="N32" s="10"/>
      <c r="O32" s="10"/>
      <c r="P32" s="10"/>
    </row>
    <row r="33" spans="14:16" ht="17" x14ac:dyDescent="0.2">
      <c r="N33" s="10"/>
      <c r="O33" s="10"/>
      <c r="P33" s="10"/>
    </row>
    <row r="34" spans="14:16" ht="17" x14ac:dyDescent="0.2">
      <c r="N34" s="10"/>
      <c r="O34" s="10"/>
      <c r="P34" s="10"/>
    </row>
    <row r="35" spans="14:16" ht="17" x14ac:dyDescent="0.2">
      <c r="N35" s="10"/>
      <c r="O35" s="10"/>
      <c r="P35" s="10"/>
    </row>
    <row r="36" spans="14:16" ht="17" x14ac:dyDescent="0.2">
      <c r="N36" s="10"/>
      <c r="O36" s="10"/>
      <c r="P36" s="10"/>
    </row>
    <row r="37" spans="14:16" ht="17" x14ac:dyDescent="0.2">
      <c r="N37" s="10"/>
      <c r="O37" s="10"/>
      <c r="P37" s="10"/>
    </row>
    <row r="38" spans="14:16" ht="17" x14ac:dyDescent="0.2">
      <c r="N38" s="10"/>
      <c r="O38" s="10"/>
      <c r="P38" s="10"/>
    </row>
    <row r="39" spans="14:16" ht="17" x14ac:dyDescent="0.2">
      <c r="N39" s="10"/>
      <c r="O39" s="10"/>
      <c r="P39" s="10"/>
    </row>
    <row r="40" spans="14:16" ht="17" x14ac:dyDescent="0.2">
      <c r="N40" s="10"/>
      <c r="O40" s="10"/>
      <c r="P40" s="10"/>
    </row>
    <row r="41" spans="14:16" ht="17" x14ac:dyDescent="0.2">
      <c r="N41" s="10"/>
      <c r="O41" s="10"/>
      <c r="P41" s="10"/>
    </row>
    <row r="42" spans="14:16" ht="17" x14ac:dyDescent="0.2">
      <c r="N42" s="10"/>
      <c r="O42" s="10"/>
      <c r="P42" s="10"/>
    </row>
    <row r="43" spans="14:16" ht="17" x14ac:dyDescent="0.2">
      <c r="N43" s="10"/>
      <c r="O43" s="10"/>
      <c r="P43" s="10"/>
    </row>
    <row r="44" spans="14:16" ht="17" x14ac:dyDescent="0.2">
      <c r="N44" s="10"/>
      <c r="O44" s="10"/>
      <c r="P44" s="10"/>
    </row>
    <row r="45" spans="14:16" ht="17" x14ac:dyDescent="0.2">
      <c r="N45" s="10"/>
      <c r="O45" s="10"/>
      <c r="P45" s="10"/>
    </row>
  </sheetData>
  <sheetProtection sheet="1" formatCells="0" formatColumns="0" formatRows="0"/>
  <autoFilter ref="A1:WJ1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sortState xmlns:xlrd2="http://schemas.microsoft.com/office/spreadsheetml/2017/richdata2" ref="A6:WJ13">
      <sortCondition descending="1" ref="F1:F14"/>
    </sortState>
  </autoFilter>
  <mergeCells count="103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AQ1"/>
    <mergeCell ref="AR1:BR1"/>
    <mergeCell ref="G1:G3"/>
    <mergeCell ref="H1:H3"/>
    <mergeCell ref="I1:I3"/>
    <mergeCell ref="J1:J3"/>
    <mergeCell ref="K1:K3"/>
    <mergeCell ref="L1:L3"/>
    <mergeCell ref="VC1:WJ1"/>
    <mergeCell ref="Q2:U2"/>
    <mergeCell ref="V2:Z2"/>
    <mergeCell ref="AA2:AE2"/>
    <mergeCell ref="AR2:AV2"/>
    <mergeCell ref="AW2:BA2"/>
    <mergeCell ref="BB2:BF2"/>
    <mergeCell ref="JI1:KP1"/>
    <mergeCell ref="KQ1:LX1"/>
    <mergeCell ref="LY1:NF1"/>
    <mergeCell ref="NG1:ON1"/>
    <mergeCell ref="OO1:PV1"/>
    <mergeCell ref="PW1:RD1"/>
    <mergeCell ref="BS1:CS1"/>
    <mergeCell ref="CU1:EB1"/>
    <mergeCell ref="EC1:FJ1"/>
    <mergeCell ref="FK1:GR1"/>
    <mergeCell ref="GS1:HZ1"/>
    <mergeCell ref="IA1:JH1"/>
    <mergeCell ref="BS2:BW2"/>
    <mergeCell ref="BX2:CB2"/>
    <mergeCell ref="CC2:CG2"/>
    <mergeCell ref="CU2:CY2"/>
    <mergeCell ref="CZ2:DD2"/>
    <mergeCell ref="DE2:DI2"/>
    <mergeCell ref="RE1:SL1"/>
    <mergeCell ref="SM1:TT1"/>
    <mergeCell ref="TU1:VB1"/>
    <mergeCell ref="FP2:FT2"/>
    <mergeCell ref="FU2:FY2"/>
    <mergeCell ref="FZ2:GD2"/>
    <mergeCell ref="GS2:GW2"/>
    <mergeCell ref="GX2:HB2"/>
    <mergeCell ref="HC2:HG2"/>
    <mergeCell ref="DJ2:DN2"/>
    <mergeCell ref="EC2:EG2"/>
    <mergeCell ref="EH2:EL2"/>
    <mergeCell ref="EM2:EQ2"/>
    <mergeCell ref="ER2:EV2"/>
    <mergeCell ref="FK2:FO2"/>
    <mergeCell ref="JN2:JR2"/>
    <mergeCell ref="JS2:JW2"/>
    <mergeCell ref="JX2:KB2"/>
    <mergeCell ref="KQ2:KU2"/>
    <mergeCell ref="KV2:KZ2"/>
    <mergeCell ref="LA2:LE2"/>
    <mergeCell ref="HH2:HL2"/>
    <mergeCell ref="IA2:IE2"/>
    <mergeCell ref="IF2:IJ2"/>
    <mergeCell ref="IK2:IO2"/>
    <mergeCell ref="IP2:IT2"/>
    <mergeCell ref="JI2:JM2"/>
    <mergeCell ref="NL2:NP2"/>
    <mergeCell ref="NQ2:NU2"/>
    <mergeCell ref="NV2:NZ2"/>
    <mergeCell ref="OO2:OS2"/>
    <mergeCell ref="OT2:OX2"/>
    <mergeCell ref="OY2:PC2"/>
    <mergeCell ref="LF2:LJ2"/>
    <mergeCell ref="LY2:MC2"/>
    <mergeCell ref="MD2:MH2"/>
    <mergeCell ref="MI2:MM2"/>
    <mergeCell ref="MN2:MR2"/>
    <mergeCell ref="NG2:NK2"/>
    <mergeCell ref="RJ2:RN2"/>
    <mergeCell ref="RO2:RS2"/>
    <mergeCell ref="RT2:RX2"/>
    <mergeCell ref="SM2:SQ2"/>
    <mergeCell ref="SR2:SV2"/>
    <mergeCell ref="SW2:TA2"/>
    <mergeCell ref="PD2:PH2"/>
    <mergeCell ref="PW2:QA2"/>
    <mergeCell ref="QB2:QF2"/>
    <mergeCell ref="QG2:QK2"/>
    <mergeCell ref="QL2:QP2"/>
    <mergeCell ref="RE2:RI2"/>
    <mergeCell ref="VH2:VL2"/>
    <mergeCell ref="VM2:VQ2"/>
    <mergeCell ref="VR2:VV2"/>
    <mergeCell ref="TB2:TF2"/>
    <mergeCell ref="TU2:TY2"/>
    <mergeCell ref="TZ2:UD2"/>
    <mergeCell ref="UE2:UI2"/>
    <mergeCell ref="UJ2:UN2"/>
    <mergeCell ref="VC2:VG2"/>
  </mergeCells>
  <conditionalFormatting sqref="H1:H1048576">
    <cfRule type="containsText" dxfId="561" priority="129" operator="containsText" text="No DD">
      <formula>NOT(ISERROR(SEARCH("No DD",H1)))</formula>
    </cfRule>
    <cfRule type="containsText" dxfId="560" priority="130" operator="containsText" text="Merit">
      <formula>NOT(ISERROR(SEARCH("Merit",H1)))</formula>
    </cfRule>
    <cfRule type="containsText" dxfId="559" priority="131" operator="containsText" text="Excellence">
      <formula>NOT(ISERROR(SEARCH("Excellence",H1)))</formula>
    </cfRule>
    <cfRule type="containsText" dxfId="558" priority="132" operator="containsText" text="Worlds Team">
      <formula>NOT(ISERROR(SEARCH("Worlds Team",H1)))</formula>
    </cfRule>
    <cfRule type="containsText" dxfId="557" priority="133" operator="containsText" text="National Team">
      <formula>NOT(ISERROR(SEARCH("National Team",H1)))</formula>
    </cfRule>
  </conditionalFormatting>
  <conditionalFormatting sqref="Q4:AQ13">
    <cfRule type="expression" dxfId="556" priority="128" stopIfTrue="1">
      <formula>IF($AF4&lt;&gt;"",1,0)</formula>
    </cfRule>
  </conditionalFormatting>
  <conditionalFormatting sqref="AR4:BR13">
    <cfRule type="expression" dxfId="555" priority="127" stopIfTrue="1">
      <formula>IF($BG4&lt;&gt;"",1,0)</formula>
    </cfRule>
  </conditionalFormatting>
  <conditionalFormatting sqref="BS4:CS13">
    <cfRule type="expression" dxfId="554" priority="126" stopIfTrue="1">
      <formula>IF($CH4&lt;&gt;"",1,0)</formula>
    </cfRule>
  </conditionalFormatting>
  <conditionalFormatting sqref="BO24:BO1048576 BH1:BH1048576 BK1:BK1048576 BO1:BO22">
    <cfRule type="cellIs" dxfId="553" priority="122" operator="between">
      <formula>$BR$19</formula>
      <formula>1000</formula>
    </cfRule>
    <cfRule type="cellIs" dxfId="552" priority="123" operator="between">
      <formula>$BR$18</formula>
      <formula>$BR$19</formula>
    </cfRule>
    <cfRule type="cellIs" dxfId="551" priority="124" operator="between">
      <formula>$BR$17</formula>
      <formula>$BR$18</formula>
    </cfRule>
    <cfRule type="cellIs" dxfId="550" priority="125" operator="between">
      <formula>$BR$16</formula>
      <formula>$BR$17</formula>
    </cfRule>
  </conditionalFormatting>
  <conditionalFormatting sqref="CP24:CP1048576 CI1:CI1048576 CL1:CL1048576 CP1:CP22">
    <cfRule type="cellIs" dxfId="549" priority="118" operator="between">
      <formula>$CS$19</formula>
      <formula>1000</formula>
    </cfRule>
    <cfRule type="cellIs" dxfId="548" priority="119" operator="between">
      <formula>$CS$18</formula>
      <formula>$CS$19</formula>
    </cfRule>
    <cfRule type="cellIs" dxfId="547" priority="120" operator="between">
      <formula>$CS$17</formula>
      <formula>$CS$18</formula>
    </cfRule>
    <cfRule type="cellIs" dxfId="546" priority="121" operator="between">
      <formula>$CS$16</formula>
      <formula>$CS$17</formula>
    </cfRule>
  </conditionalFormatting>
  <conditionalFormatting sqref="DY24:DY1048576 DO1:DO1048576 DR1:DR1048576 DV1:DV1048576 DY1:DY22">
    <cfRule type="cellIs" dxfId="545" priority="117" operator="between">
      <formula>$EB$16</formula>
      <formula>$EB$17</formula>
    </cfRule>
  </conditionalFormatting>
  <conditionalFormatting sqref="FG24:FG1048576 EW1:EW1048576 EZ1:EZ1048576 FD1:FD1048576 FG1:FG22">
    <cfRule type="cellIs" dxfId="544" priority="116" operator="between">
      <formula>$FJ$16</formula>
      <formula>$FJ$17</formula>
    </cfRule>
  </conditionalFormatting>
  <conditionalFormatting sqref="HW24:HW1048576 HM1:HM1048576 HP1:HP1048576 HT1:HT1048576 HW1:HW22">
    <cfRule type="cellIs" dxfId="543" priority="115" operator="between">
      <formula>$HZ$16</formula>
      <formula>$HZ$17</formula>
    </cfRule>
  </conditionalFormatting>
  <conditionalFormatting sqref="AO23 AG1:AG1048576 AJ1:AJ1048576 AN1:AN1048576">
    <cfRule type="cellIs" dxfId="542" priority="111" operator="between">
      <formula>$AQ$19</formula>
      <formula>1000</formula>
    </cfRule>
    <cfRule type="cellIs" dxfId="541" priority="112" operator="between">
      <formula>$AQ$18</formula>
      <formula>$AQ$19</formula>
    </cfRule>
    <cfRule type="cellIs" dxfId="540" priority="113" operator="between">
      <formula>$AQ$17</formula>
      <formula>$AQ$18</formula>
    </cfRule>
    <cfRule type="cellIs" dxfId="539" priority="114" operator="between">
      <formula>$AQ$16</formula>
      <formula>$AQ$17</formula>
    </cfRule>
  </conditionalFormatting>
  <conditionalFormatting sqref="BO23">
    <cfRule type="cellIs" dxfId="538" priority="107" operator="between">
      <formula>$AQ$19</formula>
      <formula>1000</formula>
    </cfRule>
    <cfRule type="cellIs" dxfId="537" priority="108" operator="between">
      <formula>$AQ$18</formula>
      <formula>$AQ$19</formula>
    </cfRule>
    <cfRule type="cellIs" dxfId="536" priority="109" operator="between">
      <formula>$AQ$17</formula>
      <formula>$AQ$18</formula>
    </cfRule>
    <cfRule type="cellIs" dxfId="535" priority="110" operator="between">
      <formula>$AQ$16</formula>
      <formula>$AQ$17</formula>
    </cfRule>
  </conditionalFormatting>
  <conditionalFormatting sqref="CP23">
    <cfRule type="cellIs" dxfId="534" priority="103" operator="between">
      <formula>$AQ$19</formula>
      <formula>1000</formula>
    </cfRule>
    <cfRule type="cellIs" dxfId="533" priority="104" operator="between">
      <formula>$AQ$18</formula>
      <formula>$AQ$19</formula>
    </cfRule>
    <cfRule type="cellIs" dxfId="532" priority="105" operator="between">
      <formula>$AQ$17</formula>
      <formula>$AQ$18</formula>
    </cfRule>
    <cfRule type="cellIs" dxfId="531" priority="106" operator="between">
      <formula>$AQ$16</formula>
      <formula>$AQ$17</formula>
    </cfRule>
  </conditionalFormatting>
  <conditionalFormatting sqref="DY23">
    <cfRule type="cellIs" dxfId="530" priority="99" operator="between">
      <formula>$AQ$19</formula>
      <formula>1000</formula>
    </cfRule>
    <cfRule type="cellIs" dxfId="529" priority="100" operator="between">
      <formula>$AQ$18</formula>
      <formula>$AQ$19</formula>
    </cfRule>
    <cfRule type="cellIs" dxfId="528" priority="101" operator="between">
      <formula>$AQ$17</formula>
      <formula>$AQ$18</formula>
    </cfRule>
    <cfRule type="cellIs" dxfId="527" priority="102" operator="between">
      <formula>$AQ$16</formula>
      <formula>$AQ$17</formula>
    </cfRule>
  </conditionalFormatting>
  <conditionalFormatting sqref="FG23">
    <cfRule type="cellIs" dxfId="526" priority="95" operator="between">
      <formula>$AQ$19</formula>
      <formula>1000</formula>
    </cfRule>
    <cfRule type="cellIs" dxfId="525" priority="96" operator="between">
      <formula>$AQ$18</formula>
      <formula>$AQ$19</formula>
    </cfRule>
    <cfRule type="cellIs" dxfId="524" priority="97" operator="between">
      <formula>$AQ$17</formula>
      <formula>$AQ$18</formula>
    </cfRule>
    <cfRule type="cellIs" dxfId="523" priority="98" operator="between">
      <formula>$AQ$16</formula>
      <formula>$AQ$17</formula>
    </cfRule>
  </conditionalFormatting>
  <conditionalFormatting sqref="HW23">
    <cfRule type="cellIs" dxfId="522" priority="91" operator="between">
      <formula>$AQ$19</formula>
      <formula>1000</formula>
    </cfRule>
    <cfRule type="cellIs" dxfId="521" priority="92" operator="between">
      <formula>$AQ$18</formula>
      <formula>$AQ$19</formula>
    </cfRule>
    <cfRule type="cellIs" dxfId="520" priority="93" operator="between">
      <formula>$AQ$17</formula>
      <formula>$AQ$18</formula>
    </cfRule>
    <cfRule type="cellIs" dxfId="519" priority="94" operator="between">
      <formula>$AQ$16</formula>
      <formula>$AQ$17</formula>
    </cfRule>
  </conditionalFormatting>
  <conditionalFormatting sqref="K1:K1048576 M1:M1048576">
    <cfRule type="expression" dxfId="518" priority="88" stopIfTrue="1">
      <formula>IF(K1=$BS$1,1,0)</formula>
    </cfRule>
    <cfRule type="expression" dxfId="517" priority="89">
      <formula>IF(K1=$AR$1,1,0)</formula>
    </cfRule>
    <cfRule type="expression" dxfId="516" priority="90">
      <formula>IF(K1=$Q$1,1,0)</formula>
    </cfRule>
  </conditionalFormatting>
  <conditionalFormatting sqref="A4:A1048576">
    <cfRule type="expression" dxfId="515" priority="86">
      <formula>AND(G4&lt;&gt;"",F4="")</formula>
    </cfRule>
    <cfRule type="expression" dxfId="514" priority="87" stopIfTrue="1">
      <formula>IF(A4&gt;4,1,0)</formula>
    </cfRule>
  </conditionalFormatting>
  <conditionalFormatting sqref="CN1:CN1048576 AL1:AL1048576">
    <cfRule type="cellIs" dxfId="513" priority="173374" operator="between">
      <formula>AQ$23</formula>
      <formula>1000</formula>
    </cfRule>
    <cfRule type="cellIs" dxfId="512" priority="173375" operator="between">
      <formula>AQ$22</formula>
      <formula>AQ$23</formula>
    </cfRule>
  </conditionalFormatting>
  <conditionalFormatting sqref="DT1:DT1048576 FB1:FB1048576 GJ1:GJ1048576 HR1:HR1048576 IZ1:IZ1048576 KH1:KH1048576 LP1:LP1048576 MX1:MX1048576 OF1:OF1048576 PN1:PN1048576 QV1:QV1048576 SD1:SD1048576 TL1:TL23 UT1:UT23 WB1:WB23">
    <cfRule type="cellIs" dxfId="511" priority="173386" operator="between">
      <formula>EB$23</formula>
      <formula>1000</formula>
    </cfRule>
    <cfRule type="cellIs" dxfId="510" priority="173387" operator="between">
      <formula>EB$22</formula>
      <formula>EB$23</formula>
    </cfRule>
  </conditionalFormatting>
  <conditionalFormatting sqref="AI1:AI1048576 AL1:AL1048576 AP1:AP1048576">
    <cfRule type="cellIs" dxfId="509" priority="173470" operator="between">
      <formula>$AQ$23</formula>
      <formula>1000</formula>
    </cfRule>
    <cfRule type="cellIs" dxfId="508" priority="173471" operator="between">
      <formula>$AQ$22</formula>
      <formula>$AQ$23</formula>
    </cfRule>
    <cfRule type="cellIs" dxfId="507" priority="173472" operator="between">
      <formula>$AQ$21</formula>
      <formula>$AQ$22</formula>
    </cfRule>
    <cfRule type="cellIs" dxfId="506" priority="173473" operator="between">
      <formula>$AQ$20</formula>
      <formula>$AQ$21</formula>
    </cfRule>
  </conditionalFormatting>
  <conditionalFormatting sqref="BJ1:BJ1048576 BM1:BM1048576 BQ1:BQ1048576">
    <cfRule type="cellIs" dxfId="505" priority="173506" operator="between">
      <formula>$BR$23</formula>
      <formula>1000</formula>
    </cfRule>
    <cfRule type="cellIs" dxfId="504" priority="173507" operator="between">
      <formula>$BR$22</formula>
      <formula>$BR$23</formula>
    </cfRule>
    <cfRule type="cellIs" dxfId="503" priority="173508" operator="between">
      <formula>$BR$21</formula>
      <formula>$BR$22</formula>
    </cfRule>
    <cfRule type="cellIs" dxfId="502" priority="173509" operator="between">
      <formula>$BR$20</formula>
      <formula>$BR$21</formula>
    </cfRule>
  </conditionalFormatting>
  <conditionalFormatting sqref="CK1:CK1048576 CN1:CN1048576 CR1:CR1048576">
    <cfRule type="cellIs" dxfId="501" priority="173542" operator="between">
      <formula>$CS$23</formula>
      <formula>1000</formula>
    </cfRule>
    <cfRule type="cellIs" dxfId="500" priority="173543" operator="between">
      <formula>$CS$22</formula>
      <formula>$CS$23</formula>
    </cfRule>
    <cfRule type="cellIs" dxfId="499" priority="173544" operator="between">
      <formula>$CS$21</formula>
      <formula>$CS$22</formula>
    </cfRule>
    <cfRule type="cellIs" dxfId="498" priority="173545" operator="between">
      <formula>$CS$20</formula>
      <formula>$CS$21</formula>
    </cfRule>
  </conditionalFormatting>
  <conditionalFormatting sqref="MS1:MS1048576 MV1:MV1048576 MZ1:MZ1048576 NC1:NC1048576">
    <cfRule type="cellIs" dxfId="497" priority="173578" operator="between">
      <formula>$NF$16</formula>
      <formula>$NF$17</formula>
    </cfRule>
  </conditionalFormatting>
  <conditionalFormatting sqref="DQ1:DQ1048576 DT1:DT1048576 DX1:DX1048576 EA1:EA1048576">
    <cfRule type="cellIs" dxfId="496" priority="173590" operator="between">
      <formula>$EB$23</formula>
      <formula>1000</formula>
    </cfRule>
    <cfRule type="cellIs" dxfId="495" priority="173591" operator="between">
      <formula>$EB$22</formula>
      <formula>$EB$23</formula>
    </cfRule>
    <cfRule type="cellIs" dxfId="494" priority="173592" operator="between">
      <formula>$EB$21</formula>
      <formula>$EB$22</formula>
    </cfRule>
    <cfRule type="cellIs" dxfId="493" priority="173593" operator="between">
      <formula>$EB$20</formula>
      <formula>$EB$21</formula>
    </cfRule>
  </conditionalFormatting>
  <conditionalFormatting sqref="EY1:EY1048576 FB1:FB1048576 FF1:FF1048576 FI1:FI1048576">
    <cfRule type="cellIs" dxfId="492" priority="173638" operator="between">
      <formula>$FJ$23</formula>
      <formula>1000</formula>
    </cfRule>
    <cfRule type="cellIs" dxfId="491" priority="173639" operator="between">
      <formula>$FJ$22</formula>
      <formula>$FJ$23</formula>
    </cfRule>
    <cfRule type="cellIs" dxfId="490" priority="173640" operator="between">
      <formula>$FJ$21</formula>
      <formula>$FJ$22</formula>
    </cfRule>
    <cfRule type="cellIs" dxfId="489" priority="173641" operator="between">
      <formula>$FJ$20</formula>
      <formula>$FJ$21</formula>
    </cfRule>
  </conditionalFormatting>
  <conditionalFormatting sqref="GE1:GE1048576 GH1:GH1048576 GL1:GL1048576 GO1:GO1048576">
    <cfRule type="cellIs" dxfId="488" priority="173686" stopIfTrue="1" operator="between">
      <formula>$GR$17</formula>
      <formula>1000</formula>
    </cfRule>
    <cfRule type="cellIs" dxfId="487" priority="173687" operator="between">
      <formula>$GR$16</formula>
      <formula>$GR$17</formula>
    </cfRule>
  </conditionalFormatting>
  <conditionalFormatting sqref="GG1:GG1048576 GJ1:GJ1048576 GN1:GN1048576 GQ1:GQ1048576">
    <cfRule type="cellIs" dxfId="486" priority="173710" operator="between">
      <formula>$GR$23</formula>
      <formula>1000</formula>
    </cfRule>
    <cfRule type="cellIs" dxfId="485" priority="173711" operator="between">
      <formula>$GR$22</formula>
      <formula>$GR$23</formula>
    </cfRule>
    <cfRule type="cellIs" dxfId="484" priority="173712" operator="between">
      <formula>$GR$21</formula>
      <formula>$GR$22</formula>
    </cfRule>
    <cfRule type="cellIs" dxfId="483" priority="173713" operator="between">
      <formula>$GR$20</formula>
      <formula>$GR$21</formula>
    </cfRule>
  </conditionalFormatting>
  <conditionalFormatting sqref="HO1:HO1048576 HR1:HR1048576 HV1:HV1048576 HY1:HY1048576">
    <cfRule type="cellIs" dxfId="482" priority="173758" operator="between">
      <formula>$HZ$23</formula>
      <formula>1000</formula>
    </cfRule>
    <cfRule type="cellIs" dxfId="481" priority="173759" operator="between">
      <formula>$HZ$22</formula>
      <formula>$HZ$23</formula>
    </cfRule>
    <cfRule type="cellIs" dxfId="480" priority="173760" operator="between">
      <formula>$HZ$21</formula>
      <formula>$HZ$22</formula>
    </cfRule>
    <cfRule type="cellIs" dxfId="479" priority="173761" operator="between">
      <formula>$HZ$20</formula>
      <formula>$HZ$21</formula>
    </cfRule>
  </conditionalFormatting>
  <conditionalFormatting sqref="IU1:IU1048576 IX1:IX1048576 JB1:JB1048576 JE1:JE1048576">
    <cfRule type="cellIs" dxfId="478" priority="173806" stopIfTrue="1" operator="between">
      <formula>$JH$17</formula>
      <formula>1000</formula>
    </cfRule>
    <cfRule type="cellIs" dxfId="477" priority="173807" operator="between">
      <formula>$JH$16</formula>
      <formula>$JH$17</formula>
    </cfRule>
  </conditionalFormatting>
  <conditionalFormatting sqref="IW1:IW1048576 IZ1:IZ1048576 JD1:JD1048576 JG1:JG1048576">
    <cfRule type="cellIs" dxfId="476" priority="173830" operator="between">
      <formula>$JH$23</formula>
      <formula>1000</formula>
    </cfRule>
    <cfRule type="cellIs" dxfId="475" priority="173831" operator="between">
      <formula>$JH$22</formula>
      <formula>$JH$23</formula>
    </cfRule>
    <cfRule type="cellIs" dxfId="474" priority="173832" operator="between">
      <formula>$JH$21</formula>
      <formula>$JH$22</formula>
    </cfRule>
    <cfRule type="cellIs" dxfId="473" priority="173833" operator="between">
      <formula>$JH$20</formula>
      <formula>$JH$21</formula>
    </cfRule>
  </conditionalFormatting>
  <conditionalFormatting sqref="KC1:KC1048576 KF1:KF1048576 KJ1:KJ1048576 KM1:KM1048576">
    <cfRule type="cellIs" dxfId="472" priority="173878" stopIfTrue="1" operator="between">
      <formula>$KP$17</formula>
      <formula>1000</formula>
    </cfRule>
    <cfRule type="cellIs" dxfId="471" priority="173879" operator="between">
      <formula>$KP$16</formula>
      <formula>$KP$17</formula>
    </cfRule>
  </conditionalFormatting>
  <conditionalFormatting sqref="KE1:KE1048576 KH1:KH1048576 KL1:KL1048576 KO1:KO1048576">
    <cfRule type="cellIs" dxfId="470" priority="173902" operator="between">
      <formula>$KP$23</formula>
      <formula>1000</formula>
    </cfRule>
    <cfRule type="cellIs" dxfId="469" priority="173903" operator="between">
      <formula>$KP$22</formula>
      <formula>$KP$23</formula>
    </cfRule>
    <cfRule type="cellIs" dxfId="468" priority="173904" operator="between">
      <formula>$KP$21</formula>
      <formula>$KP$22</formula>
    </cfRule>
    <cfRule type="cellIs" dxfId="467" priority="173905" operator="between">
      <formula>$KP$20</formula>
      <formula>$KP$21</formula>
    </cfRule>
  </conditionalFormatting>
  <conditionalFormatting sqref="LK1:LK1048576 LN1:LN1048576 LR1:LR1048576 LU1:LU1048576">
    <cfRule type="cellIs" dxfId="466" priority="173950" stopIfTrue="1" operator="between">
      <formula>$LX$17</formula>
      <formula>1000</formula>
    </cfRule>
    <cfRule type="cellIs" dxfId="465" priority="173951" operator="between">
      <formula>$LX$16</formula>
      <formula>$LX$17</formula>
    </cfRule>
  </conditionalFormatting>
  <conditionalFormatting sqref="LM1:LM1048576 LP1:LP1048576 LT1:LT1048576 LW1:LW1048576">
    <cfRule type="cellIs" dxfId="464" priority="173974" operator="between">
      <formula>$LX$23</formula>
      <formula>1000</formula>
    </cfRule>
    <cfRule type="cellIs" dxfId="463" priority="173975" operator="between">
      <formula>$LX$22</formula>
      <formula>$LX$23</formula>
    </cfRule>
    <cfRule type="cellIs" dxfId="462" priority="173976" operator="between">
      <formula>$LX$21</formula>
      <formula>$LX$22</formula>
    </cfRule>
    <cfRule type="cellIs" dxfId="461" priority="173977" operator="between">
      <formula>$LX$20</formula>
      <formula>$LX$21</formula>
    </cfRule>
  </conditionalFormatting>
  <conditionalFormatting sqref="MS1:MS1048576 MV1:MV1048576 MZ1:MZ1048576">
    <cfRule type="cellIs" dxfId="460" priority="174022" operator="between">
      <formula>$NF$17</formula>
      <formula>1000</formula>
    </cfRule>
  </conditionalFormatting>
  <conditionalFormatting sqref="MU1:MU1048576 MX1:MX1048576 NB1:NB1048576 NE1:NE1048576">
    <cfRule type="cellIs" dxfId="459" priority="174031" operator="between">
      <formula>$NF$23</formula>
      <formula>1000</formula>
    </cfRule>
    <cfRule type="cellIs" dxfId="458" priority="174032" operator="between">
      <formula>$NF$22</formula>
      <formula>$NF$23</formula>
    </cfRule>
    <cfRule type="cellIs" dxfId="457" priority="174033" operator="between">
      <formula>$NF$21</formula>
      <formula>$NF$22</formula>
    </cfRule>
    <cfRule type="cellIs" dxfId="456" priority="174034" operator="between">
      <formula>$NF$20</formula>
      <formula>$NF$21</formula>
    </cfRule>
  </conditionalFormatting>
  <conditionalFormatting sqref="OA1:OA1048576 OD1:OD1048576 OH1:OH1048576 OK1:OK1048576">
    <cfRule type="cellIs" dxfId="455" priority="174079" stopIfTrue="1" operator="between">
      <formula>$ON$17</formula>
      <formula>1000</formula>
    </cfRule>
    <cfRule type="cellIs" dxfId="454" priority="174080" operator="between">
      <formula>$ON$16</formula>
      <formula>$ON$17</formula>
    </cfRule>
  </conditionalFormatting>
  <conditionalFormatting sqref="OC1:OC1048576 OF1:OF1048576 OJ1:OJ1048576 OM1:OM1048576">
    <cfRule type="cellIs" dxfId="453" priority="174103" operator="between">
      <formula>$ON$23</formula>
      <formula>1000</formula>
    </cfRule>
    <cfRule type="cellIs" dxfId="452" priority="174104" operator="between">
      <formula>$ON$22</formula>
      <formula>$ON$23</formula>
    </cfRule>
    <cfRule type="cellIs" dxfId="451" priority="174105" operator="between">
      <formula>$ON$21</formula>
      <formula>$ON$22</formula>
    </cfRule>
    <cfRule type="cellIs" dxfId="450" priority="174106" operator="between">
      <formula>$ON$20</formula>
      <formula>$ON$21</formula>
    </cfRule>
  </conditionalFormatting>
  <conditionalFormatting sqref="PI1:PI1048576 PL1:PL1048576 PP1:PP1048576 PS1:PS1048576">
    <cfRule type="cellIs" dxfId="449" priority="174151" stopIfTrue="1" operator="between">
      <formula>$PV$17</formula>
      <formula>1000</formula>
    </cfRule>
    <cfRule type="cellIs" dxfId="448" priority="174152" operator="between">
      <formula>$PV$16</formula>
      <formula>$PV$17</formula>
    </cfRule>
  </conditionalFormatting>
  <conditionalFormatting sqref="PK1:PK1048576 PN1:PN1048576 PR1:PR1048576 PU1:PU1048576">
    <cfRule type="cellIs" dxfId="447" priority="174175" operator="between">
      <formula>$PV$23</formula>
      <formula>1000</formula>
    </cfRule>
    <cfRule type="cellIs" dxfId="446" priority="174176" operator="between">
      <formula>$PV$22</formula>
      <formula>$PV$23</formula>
    </cfRule>
    <cfRule type="cellIs" dxfId="445" priority="174177" operator="between">
      <formula>$PV$21</formula>
      <formula>$PV$22</formula>
    </cfRule>
    <cfRule type="cellIs" dxfId="444" priority="174178" operator="between">
      <formula>$PV$20</formula>
      <formula>$PV$21</formula>
    </cfRule>
  </conditionalFormatting>
  <conditionalFormatting sqref="QQ1:QQ1048576 QT1:QT1048576 QX1:QX1048576 RA1:RA1048576">
    <cfRule type="cellIs" dxfId="443" priority="174223" stopIfTrue="1" operator="between">
      <formula>$RD$17</formula>
      <formula>1000</formula>
    </cfRule>
    <cfRule type="cellIs" dxfId="442" priority="174224" operator="between">
      <formula>$RD$16</formula>
      <formula>$RD$17</formula>
    </cfRule>
  </conditionalFormatting>
  <conditionalFormatting sqref="QS1:QS1048576 QV1:QV1048576 QZ1:QZ1048576 RC1:RC1048576">
    <cfRule type="cellIs" dxfId="441" priority="174247" operator="between">
      <formula>$RD$23</formula>
      <formula>1000</formula>
    </cfRule>
    <cfRule type="cellIs" dxfId="440" priority="174248" operator="between">
      <formula>$RD$22</formula>
      <formula>$RD$23</formula>
    </cfRule>
    <cfRule type="cellIs" dxfId="439" priority="174249" operator="between">
      <formula>$RD$21</formula>
      <formula>$RD$22</formula>
    </cfRule>
    <cfRule type="cellIs" dxfId="438" priority="174250" operator="between">
      <formula>$RD$20</formula>
      <formula>$RD$21</formula>
    </cfRule>
  </conditionalFormatting>
  <conditionalFormatting sqref="RY1:RY1048576 SB1:SB1048576 SF1:SF1048576 SI1:SI1048576 TG1:TG23 TJ1:TJ23 TN1:TN23 TQ1:TQ23 UO1:UO23 UR1:UR23 UV1:UV23 UY1:UY23 VW1:VW23 VZ1:VZ23 WD1:WD23 WG1:WG23">
    <cfRule type="cellIs" dxfId="437" priority="174295" operator="between">
      <formula>$SL$17</formula>
      <formula>1000</formula>
    </cfRule>
    <cfRule type="cellIs" dxfId="436" priority="174296" operator="between">
      <formula>$SL$16</formula>
      <formula>$SL$17</formula>
    </cfRule>
  </conditionalFormatting>
  <conditionalFormatting sqref="SA1:SA1048576 SD1:SD1048576 SH1:SH1048576 SK1:SK1048576 TI1:TI23 TL1:TL23 TP1:TP23 TS1:TS23 UQ1:UQ23 UT1:UT23 UX1:UX23 VA1:VA23 VY1:VY23 WB1:WB23 WF1:WF23 WI1:WI23">
    <cfRule type="cellIs" dxfId="435" priority="174367" operator="between">
      <formula>$SL$23</formula>
      <formula>1000</formula>
    </cfRule>
    <cfRule type="cellIs" dxfId="434" priority="174368" operator="between">
      <formula>$SL$22</formula>
      <formula>$SL$23</formula>
    </cfRule>
    <cfRule type="cellIs" dxfId="433" priority="174369" operator="between">
      <formula>$SL$21</formula>
      <formula>$SL$22</formula>
    </cfRule>
    <cfRule type="cellIs" dxfId="432" priority="174370" operator="between">
      <formula>$SL$20</formula>
      <formula>$SL$21</formula>
    </cfRule>
  </conditionalFormatting>
  <conditionalFormatting sqref="DY1:DY1048576 DO1:DO1048576 DR1:DR1048576 DV1:DV1048576">
    <cfRule type="cellIs" dxfId="431" priority="174511" stopIfTrue="1" operator="between">
      <formula>$EB$17</formula>
      <formula>1000</formula>
    </cfRule>
  </conditionalFormatting>
  <conditionalFormatting sqref="FG1:FG1048576 EW1:EW1048576 EZ1:EZ1048576 FD1:FD1048576">
    <cfRule type="cellIs" dxfId="430" priority="174523" stopIfTrue="1" operator="between">
      <formula>$FJ$17</formula>
      <formula>1000</formula>
    </cfRule>
  </conditionalFormatting>
  <conditionalFormatting sqref="HW1:HW1048576 HM1:HM1048576 HP1:HP1048576 HT1:HT1048576">
    <cfRule type="cellIs" dxfId="429" priority="174535" stopIfTrue="1" operator="between">
      <formula>$HZ$17</formula>
      <formula>1000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2DF87-5D86-BF4E-B14D-2BD1C8D91765}">
  <sheetPr codeName="Sheet5"/>
  <dimension ref="A1:VL41"/>
  <sheetViews>
    <sheetView zoomScaleNormal="100" workbookViewId="0">
      <pane xSplit="3" topLeftCell="G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7" max="7" width="10.83203125" customWidth="1"/>
    <col min="8" max="8" width="13.33203125" bestFit="1" customWidth="1"/>
    <col min="9" max="9" width="19" hidden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6" max="16" width="24.6640625" customWidth="1"/>
    <col min="17" max="17" width="13" customWidth="1"/>
    <col min="18" max="18" width="47" customWidth="1"/>
    <col min="19" max="34" width="10.83203125" hidden="1" customWidth="1"/>
    <col min="35" max="45" width="10.83203125" style="32" customWidth="1"/>
    <col min="46" max="61" width="10.83203125" hidden="1" customWidth="1"/>
    <col min="62" max="72" width="10.83203125" style="32" customWidth="1"/>
    <col min="73" max="74" width="12.83203125" style="32" customWidth="1"/>
    <col min="75" max="94" width="10.83203125" hidden="1" customWidth="1"/>
    <col min="95" max="107" width="10.83203125" customWidth="1"/>
    <col min="108" max="108" width="10.83203125" style="32" customWidth="1"/>
    <col min="109" max="141" width="10.83203125" hidden="1" customWidth="1"/>
    <col min="142" max="142" width="10.83203125" style="32" hidden="1" customWidth="1"/>
    <col min="143" max="175" width="10.83203125" hidden="1" customWidth="1"/>
    <col min="176" max="176" width="10.83203125" style="32" hidden="1" customWidth="1"/>
    <col min="177" max="209" width="10.83203125" hidden="1" customWidth="1"/>
    <col min="210" max="210" width="10.83203125" style="32" hidden="1" customWidth="1"/>
    <col min="211" max="243" width="10.83203125" hidden="1" customWidth="1"/>
    <col min="244" max="244" width="10.83203125" style="32" hidden="1" customWidth="1"/>
    <col min="245" max="509" width="10.83203125" hidden="1" customWidth="1"/>
    <col min="510" max="510" width="11.83203125" hidden="1" customWidth="1"/>
    <col min="511" max="511" width="12.83203125" hidden="1" customWidth="1"/>
    <col min="512" max="543" width="10.83203125" hidden="1" customWidth="1"/>
    <col min="544" max="544" width="11.83203125" hidden="1" customWidth="1"/>
    <col min="545" max="545" width="12.83203125" hidden="1" customWidth="1"/>
    <col min="546" max="577" width="10.83203125" hidden="1" customWidth="1"/>
    <col min="578" max="578" width="11.83203125" hidden="1" customWidth="1"/>
    <col min="579" max="579" width="12.83203125" hidden="1" customWidth="1"/>
    <col min="580" max="584" width="10.83203125" hidden="1" customWidth="1"/>
  </cols>
  <sheetData>
    <row r="1" spans="1:584" x14ac:dyDescent="0.2">
      <c r="A1" s="56" t="s">
        <v>1</v>
      </c>
      <c r="B1" s="56" t="s">
        <v>26</v>
      </c>
      <c r="C1" s="56" t="s">
        <v>0</v>
      </c>
      <c r="D1" s="56" t="s">
        <v>44</v>
      </c>
      <c r="E1" s="56" t="s">
        <v>2</v>
      </c>
      <c r="F1" s="60" t="s">
        <v>188</v>
      </c>
      <c r="G1" s="56" t="s">
        <v>9</v>
      </c>
      <c r="H1" s="56" t="s">
        <v>10</v>
      </c>
      <c r="I1" s="56" t="s">
        <v>61</v>
      </c>
      <c r="J1" s="57" t="s">
        <v>222</v>
      </c>
      <c r="K1" s="58" t="s">
        <v>28</v>
      </c>
      <c r="L1" s="57" t="s">
        <v>236</v>
      </c>
      <c r="M1" s="58" t="s">
        <v>28</v>
      </c>
      <c r="N1" s="57" t="s">
        <v>185</v>
      </c>
      <c r="O1" s="58" t="s">
        <v>28</v>
      </c>
      <c r="P1" s="61" t="s">
        <v>12</v>
      </c>
      <c r="Q1" s="58" t="s">
        <v>29</v>
      </c>
      <c r="R1" s="58" t="s">
        <v>28</v>
      </c>
      <c r="S1" s="52" t="s">
        <v>145</v>
      </c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52"/>
      <c r="AF1" s="52"/>
      <c r="AG1" s="52"/>
      <c r="AH1" s="52"/>
      <c r="AI1" s="52"/>
      <c r="AJ1" s="52"/>
      <c r="AK1" s="52"/>
      <c r="AL1" s="52"/>
      <c r="AM1" s="52"/>
      <c r="AN1" s="52"/>
      <c r="AO1" s="52"/>
      <c r="AP1" s="52"/>
      <c r="AQ1" s="52"/>
      <c r="AR1" s="52"/>
      <c r="AS1" s="52"/>
      <c r="AT1" s="53" t="s">
        <v>161</v>
      </c>
      <c r="AU1" s="53"/>
      <c r="AV1" s="53"/>
      <c r="AW1" s="53"/>
      <c r="AX1" s="53"/>
      <c r="AY1" s="53"/>
      <c r="AZ1" s="53"/>
      <c r="BA1" s="53"/>
      <c r="BB1" s="53"/>
      <c r="BC1" s="53"/>
      <c r="BD1" s="53"/>
      <c r="BE1" s="53"/>
      <c r="BF1" s="53"/>
      <c r="BG1" s="53"/>
      <c r="BH1" s="53"/>
      <c r="BI1" s="53"/>
      <c r="BJ1" s="53"/>
      <c r="BK1" s="53"/>
      <c r="BL1" s="53"/>
      <c r="BM1" s="53"/>
      <c r="BN1" s="53"/>
      <c r="BO1" s="53"/>
      <c r="BP1" s="53"/>
      <c r="BQ1" s="53"/>
      <c r="BR1" s="53"/>
      <c r="BS1" s="53"/>
      <c r="BT1" s="53"/>
      <c r="BU1" s="59" t="s">
        <v>12</v>
      </c>
      <c r="BV1" s="59"/>
      <c r="BW1" s="52" t="s">
        <v>182</v>
      </c>
      <c r="BX1" s="52"/>
      <c r="BY1" s="52"/>
      <c r="BZ1" s="52"/>
      <c r="CA1" s="52"/>
      <c r="CB1" s="52"/>
      <c r="CC1" s="52"/>
      <c r="CD1" s="52"/>
      <c r="CE1" s="52"/>
      <c r="CF1" s="52"/>
      <c r="CG1" s="52"/>
      <c r="CH1" s="52"/>
      <c r="CI1" s="52"/>
      <c r="CJ1" s="52"/>
      <c r="CK1" s="52"/>
      <c r="CL1" s="52"/>
      <c r="CM1" s="52"/>
      <c r="CN1" s="52"/>
      <c r="CO1" s="52"/>
      <c r="CP1" s="52"/>
      <c r="CQ1" s="52"/>
      <c r="CR1" s="52"/>
      <c r="CS1" s="52"/>
      <c r="CT1" s="52"/>
      <c r="CU1" s="52"/>
      <c r="CV1" s="52"/>
      <c r="CW1" s="52"/>
      <c r="CX1" s="52"/>
      <c r="CY1" s="52"/>
      <c r="CZ1" s="52"/>
      <c r="DA1" s="52"/>
      <c r="DB1" s="52"/>
      <c r="DC1" s="52"/>
      <c r="DD1" s="52"/>
      <c r="DE1" s="53"/>
      <c r="DF1" s="53"/>
      <c r="DG1" s="53"/>
      <c r="DH1" s="53"/>
      <c r="DI1" s="53"/>
      <c r="DJ1" s="53"/>
      <c r="DK1" s="53"/>
      <c r="DL1" s="53"/>
      <c r="DM1" s="53"/>
      <c r="DN1" s="53"/>
      <c r="DO1" s="53"/>
      <c r="DP1" s="53"/>
      <c r="DQ1" s="53"/>
      <c r="DR1" s="53"/>
      <c r="DS1" s="53"/>
      <c r="DT1" s="53"/>
      <c r="DU1" s="53"/>
      <c r="DV1" s="53"/>
      <c r="DW1" s="53"/>
      <c r="DX1" s="53"/>
      <c r="DY1" s="53"/>
      <c r="DZ1" s="53"/>
      <c r="EA1" s="53"/>
      <c r="EB1" s="53"/>
      <c r="EC1" s="53"/>
      <c r="ED1" s="53"/>
      <c r="EE1" s="53"/>
      <c r="EF1" s="53"/>
      <c r="EG1" s="53"/>
      <c r="EH1" s="53"/>
      <c r="EI1" s="53"/>
      <c r="EJ1" s="53"/>
      <c r="EK1" s="53"/>
      <c r="EL1" s="53"/>
      <c r="EM1" s="52"/>
      <c r="EN1" s="52"/>
      <c r="EO1" s="52"/>
      <c r="EP1" s="52"/>
      <c r="EQ1" s="52"/>
      <c r="ER1" s="52"/>
      <c r="ES1" s="52"/>
      <c r="ET1" s="52"/>
      <c r="EU1" s="52"/>
      <c r="EV1" s="52"/>
      <c r="EW1" s="52"/>
      <c r="EX1" s="52"/>
      <c r="EY1" s="52"/>
      <c r="EZ1" s="52"/>
      <c r="FA1" s="52"/>
      <c r="FB1" s="52"/>
      <c r="FC1" s="52"/>
      <c r="FD1" s="52"/>
      <c r="FE1" s="52"/>
      <c r="FF1" s="52"/>
      <c r="FG1" s="52"/>
      <c r="FH1" s="52"/>
      <c r="FI1" s="52"/>
      <c r="FJ1" s="52"/>
      <c r="FK1" s="52"/>
      <c r="FL1" s="52"/>
      <c r="FM1" s="52"/>
      <c r="FN1" s="52"/>
      <c r="FO1" s="52"/>
      <c r="FP1" s="52"/>
      <c r="FQ1" s="52"/>
      <c r="FR1" s="52"/>
      <c r="FS1" s="52"/>
      <c r="FT1" s="52"/>
      <c r="FU1" s="53"/>
      <c r="FV1" s="53"/>
      <c r="FW1" s="53"/>
      <c r="FX1" s="53"/>
      <c r="FY1" s="53"/>
      <c r="FZ1" s="53"/>
      <c r="GA1" s="53"/>
      <c r="GB1" s="53"/>
      <c r="GC1" s="53"/>
      <c r="GD1" s="53"/>
      <c r="GE1" s="53"/>
      <c r="GF1" s="53"/>
      <c r="GG1" s="53"/>
      <c r="GH1" s="53"/>
      <c r="GI1" s="53"/>
      <c r="GJ1" s="53"/>
      <c r="GK1" s="53"/>
      <c r="GL1" s="53"/>
      <c r="GM1" s="53"/>
      <c r="GN1" s="53"/>
      <c r="GO1" s="53"/>
      <c r="GP1" s="53"/>
      <c r="GQ1" s="53"/>
      <c r="GR1" s="53"/>
      <c r="GS1" s="53"/>
      <c r="GT1" s="53"/>
      <c r="GU1" s="53"/>
      <c r="GV1" s="53"/>
      <c r="GW1" s="53"/>
      <c r="GX1" s="53"/>
      <c r="GY1" s="53"/>
      <c r="GZ1" s="53"/>
      <c r="HA1" s="53"/>
      <c r="HB1" s="53"/>
      <c r="HC1" s="52"/>
      <c r="HD1" s="52"/>
      <c r="HE1" s="52"/>
      <c r="HF1" s="52"/>
      <c r="HG1" s="52"/>
      <c r="HH1" s="52"/>
      <c r="HI1" s="52"/>
      <c r="HJ1" s="52"/>
      <c r="HK1" s="52"/>
      <c r="HL1" s="52"/>
      <c r="HM1" s="52"/>
      <c r="HN1" s="52"/>
      <c r="HO1" s="52"/>
      <c r="HP1" s="52"/>
      <c r="HQ1" s="52"/>
      <c r="HR1" s="52"/>
      <c r="HS1" s="52"/>
      <c r="HT1" s="52"/>
      <c r="HU1" s="52"/>
      <c r="HV1" s="52"/>
      <c r="HW1" s="52"/>
      <c r="HX1" s="52"/>
      <c r="HY1" s="52"/>
      <c r="HZ1" s="52"/>
      <c r="IA1" s="52"/>
      <c r="IB1" s="52"/>
      <c r="IC1" s="52"/>
      <c r="ID1" s="52"/>
      <c r="IE1" s="52"/>
      <c r="IF1" s="52"/>
      <c r="IG1" s="52"/>
      <c r="IH1" s="52"/>
      <c r="II1" s="52"/>
      <c r="IJ1" s="52"/>
      <c r="IK1" s="53"/>
      <c r="IL1" s="53"/>
      <c r="IM1" s="53"/>
      <c r="IN1" s="53"/>
      <c r="IO1" s="53"/>
      <c r="IP1" s="53"/>
      <c r="IQ1" s="53"/>
      <c r="IR1" s="53"/>
      <c r="IS1" s="53"/>
      <c r="IT1" s="53"/>
      <c r="IU1" s="53"/>
      <c r="IV1" s="53"/>
      <c r="IW1" s="53"/>
      <c r="IX1" s="53"/>
      <c r="IY1" s="53"/>
      <c r="IZ1" s="53"/>
      <c r="JA1" s="53"/>
      <c r="JB1" s="53"/>
      <c r="JC1" s="53"/>
      <c r="JD1" s="53"/>
      <c r="JE1" s="53"/>
      <c r="JF1" s="53"/>
      <c r="JG1" s="53"/>
      <c r="JH1" s="53"/>
      <c r="JI1" s="53"/>
      <c r="JJ1" s="53"/>
      <c r="JK1" s="53"/>
      <c r="JL1" s="53"/>
      <c r="JM1" s="53"/>
      <c r="JN1" s="53"/>
      <c r="JO1" s="53"/>
      <c r="JP1" s="53"/>
      <c r="JQ1" s="53"/>
      <c r="JR1" s="53"/>
      <c r="JS1" s="52"/>
      <c r="JT1" s="52"/>
      <c r="JU1" s="52"/>
      <c r="JV1" s="52"/>
      <c r="JW1" s="52"/>
      <c r="JX1" s="52"/>
      <c r="JY1" s="52"/>
      <c r="JZ1" s="52"/>
      <c r="KA1" s="52"/>
      <c r="KB1" s="52"/>
      <c r="KC1" s="52"/>
      <c r="KD1" s="52"/>
      <c r="KE1" s="52"/>
      <c r="KF1" s="52"/>
      <c r="KG1" s="52"/>
      <c r="KH1" s="52"/>
      <c r="KI1" s="52"/>
      <c r="KJ1" s="52"/>
      <c r="KK1" s="52"/>
      <c r="KL1" s="52"/>
      <c r="KM1" s="52"/>
      <c r="KN1" s="52"/>
      <c r="KO1" s="52"/>
      <c r="KP1" s="52"/>
      <c r="KQ1" s="52"/>
      <c r="KR1" s="52"/>
      <c r="KS1" s="52"/>
      <c r="KT1" s="52"/>
      <c r="KU1" s="52"/>
      <c r="KV1" s="52"/>
      <c r="KW1" s="52"/>
      <c r="KX1" s="52"/>
      <c r="KY1" s="52"/>
      <c r="KZ1" s="52"/>
      <c r="LA1" s="53"/>
      <c r="LB1" s="53"/>
      <c r="LC1" s="53"/>
      <c r="LD1" s="53"/>
      <c r="LE1" s="53"/>
      <c r="LF1" s="53"/>
      <c r="LG1" s="53"/>
      <c r="LH1" s="53"/>
      <c r="LI1" s="53"/>
      <c r="LJ1" s="53"/>
      <c r="LK1" s="53"/>
      <c r="LL1" s="53"/>
      <c r="LM1" s="53"/>
      <c r="LN1" s="53"/>
      <c r="LO1" s="53"/>
      <c r="LP1" s="53"/>
      <c r="LQ1" s="53"/>
      <c r="LR1" s="53"/>
      <c r="LS1" s="53"/>
      <c r="LT1" s="53"/>
      <c r="LU1" s="53"/>
      <c r="LV1" s="53"/>
      <c r="LW1" s="53"/>
      <c r="LX1" s="53"/>
      <c r="LY1" s="53"/>
      <c r="LZ1" s="53"/>
      <c r="MA1" s="53"/>
      <c r="MB1" s="53"/>
      <c r="MC1" s="53"/>
      <c r="MD1" s="53"/>
      <c r="ME1" s="53"/>
      <c r="MF1" s="53"/>
      <c r="MG1" s="53"/>
      <c r="MH1" s="53"/>
      <c r="MI1" s="52"/>
      <c r="MJ1" s="52"/>
      <c r="MK1" s="52"/>
      <c r="ML1" s="52"/>
      <c r="MM1" s="52"/>
      <c r="MN1" s="52"/>
      <c r="MO1" s="52"/>
      <c r="MP1" s="52"/>
      <c r="MQ1" s="52"/>
      <c r="MR1" s="52"/>
      <c r="MS1" s="52"/>
      <c r="MT1" s="52"/>
      <c r="MU1" s="52"/>
      <c r="MV1" s="52"/>
      <c r="MW1" s="52"/>
      <c r="MX1" s="52"/>
      <c r="MY1" s="52"/>
      <c r="MZ1" s="52"/>
      <c r="NA1" s="52"/>
      <c r="NB1" s="52"/>
      <c r="NC1" s="52"/>
      <c r="ND1" s="52"/>
      <c r="NE1" s="52"/>
      <c r="NF1" s="52"/>
      <c r="NG1" s="52"/>
      <c r="NH1" s="52"/>
      <c r="NI1" s="52"/>
      <c r="NJ1" s="52"/>
      <c r="NK1" s="52"/>
      <c r="NL1" s="52"/>
      <c r="NM1" s="52"/>
      <c r="NN1" s="52"/>
      <c r="NO1" s="52"/>
      <c r="NP1" s="52"/>
      <c r="NQ1" s="53"/>
      <c r="NR1" s="53"/>
      <c r="NS1" s="53"/>
      <c r="NT1" s="53"/>
      <c r="NU1" s="53"/>
      <c r="NV1" s="53"/>
      <c r="NW1" s="53"/>
      <c r="NX1" s="53"/>
      <c r="NY1" s="53"/>
      <c r="NZ1" s="53"/>
      <c r="OA1" s="53"/>
      <c r="OB1" s="53"/>
      <c r="OC1" s="53"/>
      <c r="OD1" s="53"/>
      <c r="OE1" s="53"/>
      <c r="OF1" s="53"/>
      <c r="OG1" s="53"/>
      <c r="OH1" s="53"/>
      <c r="OI1" s="53"/>
      <c r="OJ1" s="53"/>
      <c r="OK1" s="53"/>
      <c r="OL1" s="53"/>
      <c r="OM1" s="53"/>
      <c r="ON1" s="53"/>
      <c r="OO1" s="53"/>
      <c r="OP1" s="53"/>
      <c r="OQ1" s="53"/>
      <c r="OR1" s="53"/>
      <c r="OS1" s="53"/>
      <c r="OT1" s="53"/>
      <c r="OU1" s="53"/>
      <c r="OV1" s="53"/>
      <c r="OW1" s="53"/>
      <c r="OX1" s="53"/>
      <c r="OY1" s="52"/>
      <c r="OZ1" s="52"/>
      <c r="PA1" s="52"/>
      <c r="PB1" s="52"/>
      <c r="PC1" s="52"/>
      <c r="PD1" s="52"/>
      <c r="PE1" s="52"/>
      <c r="PF1" s="52"/>
      <c r="PG1" s="52"/>
      <c r="PH1" s="52"/>
      <c r="PI1" s="52"/>
      <c r="PJ1" s="52"/>
      <c r="PK1" s="52"/>
      <c r="PL1" s="52"/>
      <c r="PM1" s="52"/>
      <c r="PN1" s="52"/>
      <c r="PO1" s="52"/>
      <c r="PP1" s="52"/>
      <c r="PQ1" s="52"/>
      <c r="PR1" s="52"/>
      <c r="PS1" s="52"/>
      <c r="PT1" s="52"/>
      <c r="PU1" s="52"/>
      <c r="PV1" s="52"/>
      <c r="PW1" s="52"/>
      <c r="PX1" s="52"/>
      <c r="PY1" s="52"/>
      <c r="PZ1" s="52"/>
      <c r="QA1" s="52"/>
      <c r="QB1" s="52"/>
      <c r="QC1" s="52"/>
      <c r="QD1" s="52"/>
      <c r="QE1" s="52"/>
      <c r="QF1" s="52"/>
      <c r="QG1" s="53"/>
      <c r="QH1" s="53"/>
      <c r="QI1" s="53"/>
      <c r="QJ1" s="53"/>
      <c r="QK1" s="53"/>
      <c r="QL1" s="53"/>
      <c r="QM1" s="53"/>
      <c r="QN1" s="53"/>
      <c r="QO1" s="53"/>
      <c r="QP1" s="53"/>
      <c r="QQ1" s="53"/>
      <c r="QR1" s="53"/>
      <c r="QS1" s="53"/>
      <c r="QT1" s="53"/>
      <c r="QU1" s="53"/>
      <c r="QV1" s="53"/>
      <c r="QW1" s="53"/>
      <c r="QX1" s="53"/>
      <c r="QY1" s="53"/>
      <c r="QZ1" s="53"/>
      <c r="RA1" s="53"/>
      <c r="RB1" s="53"/>
      <c r="RC1" s="53"/>
      <c r="RD1" s="53"/>
      <c r="RE1" s="53"/>
      <c r="RF1" s="53"/>
      <c r="RG1" s="53"/>
      <c r="RH1" s="53"/>
      <c r="RI1" s="53"/>
      <c r="RJ1" s="53"/>
      <c r="RK1" s="53"/>
      <c r="RL1" s="53"/>
      <c r="RM1" s="53"/>
      <c r="RN1" s="53"/>
      <c r="RO1" s="52"/>
      <c r="RP1" s="52"/>
      <c r="RQ1" s="52"/>
      <c r="RR1" s="52"/>
      <c r="RS1" s="52"/>
      <c r="RT1" s="52"/>
      <c r="RU1" s="52"/>
      <c r="RV1" s="52"/>
      <c r="RW1" s="52"/>
      <c r="RX1" s="52"/>
      <c r="RY1" s="52"/>
      <c r="RZ1" s="52"/>
      <c r="SA1" s="52"/>
      <c r="SB1" s="52"/>
      <c r="SC1" s="52"/>
      <c r="SD1" s="52"/>
      <c r="SE1" s="52"/>
      <c r="SF1" s="52"/>
      <c r="SG1" s="52"/>
      <c r="SH1" s="52"/>
      <c r="SI1" s="52"/>
      <c r="SJ1" s="52"/>
      <c r="SK1" s="52"/>
      <c r="SL1" s="52"/>
      <c r="SM1" s="52"/>
      <c r="SN1" s="52"/>
      <c r="SO1" s="52"/>
      <c r="SP1" s="52"/>
      <c r="SQ1" s="52"/>
      <c r="SR1" s="52"/>
      <c r="SS1" s="52"/>
      <c r="ST1" s="52"/>
      <c r="SU1" s="52"/>
      <c r="SV1" s="52"/>
      <c r="SW1" s="53"/>
      <c r="SX1" s="53"/>
      <c r="SY1" s="53"/>
      <c r="SZ1" s="53"/>
      <c r="TA1" s="53"/>
      <c r="TB1" s="53"/>
      <c r="TC1" s="53"/>
      <c r="TD1" s="53"/>
      <c r="TE1" s="53"/>
      <c r="TF1" s="53"/>
      <c r="TG1" s="53"/>
      <c r="TH1" s="53"/>
      <c r="TI1" s="53"/>
      <c r="TJ1" s="53"/>
      <c r="TK1" s="53"/>
      <c r="TL1" s="53"/>
      <c r="TM1" s="53"/>
      <c r="TN1" s="53"/>
      <c r="TO1" s="53"/>
      <c r="TP1" s="53"/>
      <c r="TQ1" s="53"/>
      <c r="TR1" s="53"/>
      <c r="TS1" s="53"/>
      <c r="TT1" s="53"/>
      <c r="TU1" s="53"/>
      <c r="TV1" s="53"/>
      <c r="TW1" s="53"/>
      <c r="TX1" s="53"/>
      <c r="TY1" s="53"/>
      <c r="TZ1" s="53"/>
      <c r="UA1" s="53"/>
      <c r="UB1" s="53"/>
      <c r="UC1" s="53"/>
      <c r="UD1" s="53"/>
      <c r="UE1" s="52"/>
      <c r="UF1" s="52"/>
      <c r="UG1" s="52"/>
      <c r="UH1" s="52"/>
      <c r="UI1" s="52"/>
      <c r="UJ1" s="52"/>
      <c r="UK1" s="52"/>
      <c r="UL1" s="52"/>
      <c r="UM1" s="52"/>
      <c r="UN1" s="52"/>
      <c r="UO1" s="52"/>
      <c r="UP1" s="52"/>
      <c r="UQ1" s="52"/>
      <c r="UR1" s="52"/>
      <c r="US1" s="52"/>
      <c r="UT1" s="52"/>
      <c r="UU1" s="52"/>
      <c r="UV1" s="52"/>
      <c r="UW1" s="52"/>
      <c r="UX1" s="52"/>
      <c r="UY1" s="52"/>
      <c r="UZ1" s="52"/>
      <c r="VA1" s="52"/>
      <c r="VB1" s="52"/>
      <c r="VC1" s="52"/>
      <c r="VD1" s="52"/>
      <c r="VE1" s="52"/>
      <c r="VF1" s="52"/>
      <c r="VG1" s="52"/>
      <c r="VH1" s="52"/>
      <c r="VI1" s="52"/>
      <c r="VJ1" s="52"/>
      <c r="VK1" s="52"/>
      <c r="VL1" s="52"/>
    </row>
    <row r="2" spans="1:584" x14ac:dyDescent="0.2">
      <c r="A2" s="56"/>
      <c r="B2" s="56"/>
      <c r="C2" s="56"/>
      <c r="D2" s="56"/>
      <c r="E2" s="56"/>
      <c r="F2" s="60"/>
      <c r="G2" s="56"/>
      <c r="H2" s="56"/>
      <c r="I2" s="56"/>
      <c r="J2" s="57"/>
      <c r="K2" s="58"/>
      <c r="L2" s="57"/>
      <c r="M2" s="58"/>
      <c r="N2" s="57"/>
      <c r="O2" s="58"/>
      <c r="P2" s="61"/>
      <c r="Q2" s="58"/>
      <c r="R2" s="58"/>
      <c r="S2" s="54" t="s">
        <v>230</v>
      </c>
      <c r="T2" s="54"/>
      <c r="U2" s="54"/>
      <c r="V2" s="54"/>
      <c r="W2" s="54"/>
      <c r="X2" s="54" t="s">
        <v>231</v>
      </c>
      <c r="Y2" s="54"/>
      <c r="Z2" s="54"/>
      <c r="AA2" s="54"/>
      <c r="AB2" s="54"/>
      <c r="AC2" s="54" t="s">
        <v>21</v>
      </c>
      <c r="AD2" s="54"/>
      <c r="AE2" s="54"/>
      <c r="AF2" s="54"/>
      <c r="AG2" s="54"/>
      <c r="AH2" s="14"/>
      <c r="AI2" s="14" t="s">
        <v>233</v>
      </c>
      <c r="AJ2" s="14" t="s">
        <v>232</v>
      </c>
      <c r="AK2" s="14" t="s">
        <v>230</v>
      </c>
      <c r="AL2" s="14" t="s">
        <v>234</v>
      </c>
      <c r="AM2" s="14" t="s">
        <v>235</v>
      </c>
      <c r="AN2" s="14" t="s">
        <v>231</v>
      </c>
      <c r="AO2" s="14" t="s">
        <v>22</v>
      </c>
      <c r="AP2" s="14" t="s">
        <v>70</v>
      </c>
      <c r="AQ2" s="14" t="s">
        <v>71</v>
      </c>
      <c r="AR2" s="14" t="s">
        <v>21</v>
      </c>
      <c r="AS2" s="14" t="s">
        <v>16</v>
      </c>
      <c r="AT2" s="55" t="s">
        <v>230</v>
      </c>
      <c r="AU2" s="55"/>
      <c r="AV2" s="55"/>
      <c r="AW2" s="55"/>
      <c r="AX2" s="55"/>
      <c r="AY2" s="55" t="s">
        <v>231</v>
      </c>
      <c r="AZ2" s="55"/>
      <c r="BA2" s="55"/>
      <c r="BB2" s="55"/>
      <c r="BC2" s="55"/>
      <c r="BD2" s="55" t="s">
        <v>21</v>
      </c>
      <c r="BE2" s="55"/>
      <c r="BF2" s="55"/>
      <c r="BG2" s="55"/>
      <c r="BH2" s="55"/>
      <c r="BI2" s="13"/>
      <c r="BJ2" s="13" t="s">
        <v>233</v>
      </c>
      <c r="BK2" s="13" t="s">
        <v>232</v>
      </c>
      <c r="BL2" s="13" t="s">
        <v>230</v>
      </c>
      <c r="BM2" s="13" t="s">
        <v>234</v>
      </c>
      <c r="BN2" s="13" t="s">
        <v>235</v>
      </c>
      <c r="BO2" s="13" t="s">
        <v>231</v>
      </c>
      <c r="BP2" s="13" t="s">
        <v>22</v>
      </c>
      <c r="BQ2" s="13" t="s">
        <v>70</v>
      </c>
      <c r="BR2" s="13" t="s">
        <v>71</v>
      </c>
      <c r="BS2" s="13" t="s">
        <v>21</v>
      </c>
      <c r="BT2" s="13" t="s">
        <v>16</v>
      </c>
      <c r="BU2" s="46" t="s">
        <v>230</v>
      </c>
      <c r="BV2" s="46" t="s">
        <v>231</v>
      </c>
      <c r="BW2" s="54" t="s">
        <v>230</v>
      </c>
      <c r="BX2" s="54"/>
      <c r="BY2" s="54"/>
      <c r="BZ2" s="54"/>
      <c r="CA2" s="54"/>
      <c r="CB2" s="54" t="s">
        <v>231</v>
      </c>
      <c r="CC2" s="54"/>
      <c r="CD2" s="54"/>
      <c r="CE2" s="54"/>
      <c r="CF2" s="54"/>
      <c r="CG2" s="54" t="s">
        <v>72</v>
      </c>
      <c r="CH2" s="54"/>
      <c r="CI2" s="54"/>
      <c r="CJ2" s="54"/>
      <c r="CK2" s="54"/>
      <c r="CL2" s="54" t="s">
        <v>21</v>
      </c>
      <c r="CM2" s="54"/>
      <c r="CN2" s="54"/>
      <c r="CO2" s="54"/>
      <c r="CP2" s="54"/>
      <c r="CQ2" s="14" t="s">
        <v>233</v>
      </c>
      <c r="CR2" s="14" t="s">
        <v>232</v>
      </c>
      <c r="CS2" s="14" t="s">
        <v>230</v>
      </c>
      <c r="CT2" s="14" t="s">
        <v>234</v>
      </c>
      <c r="CU2" s="14" t="s">
        <v>235</v>
      </c>
      <c r="CV2" s="14" t="s">
        <v>231</v>
      </c>
      <c r="CW2" s="14" t="s">
        <v>22</v>
      </c>
      <c r="CX2" s="14" t="s">
        <v>73</v>
      </c>
      <c r="CY2" s="14" t="s">
        <v>74</v>
      </c>
      <c r="CZ2" s="14" t="s">
        <v>72</v>
      </c>
      <c r="DA2" s="14" t="s">
        <v>70</v>
      </c>
      <c r="DB2" s="14" t="s">
        <v>71</v>
      </c>
      <c r="DC2" s="14" t="s">
        <v>21</v>
      </c>
      <c r="DD2" s="14" t="s">
        <v>16</v>
      </c>
      <c r="DE2" s="55" t="s">
        <v>230</v>
      </c>
      <c r="DF2" s="55"/>
      <c r="DG2" s="55"/>
      <c r="DH2" s="55"/>
      <c r="DI2" s="55"/>
      <c r="DJ2" s="55" t="s">
        <v>231</v>
      </c>
      <c r="DK2" s="55"/>
      <c r="DL2" s="55"/>
      <c r="DM2" s="55"/>
      <c r="DN2" s="55"/>
      <c r="DO2" s="55" t="s">
        <v>72</v>
      </c>
      <c r="DP2" s="55"/>
      <c r="DQ2" s="55"/>
      <c r="DR2" s="55"/>
      <c r="DS2" s="55"/>
      <c r="DT2" s="55" t="s">
        <v>21</v>
      </c>
      <c r="DU2" s="55"/>
      <c r="DV2" s="55"/>
      <c r="DW2" s="55"/>
      <c r="DX2" s="55"/>
      <c r="DY2" s="13" t="s">
        <v>233</v>
      </c>
      <c r="DZ2" s="13" t="s">
        <v>232</v>
      </c>
      <c r="EA2" s="13" t="s">
        <v>230</v>
      </c>
      <c r="EB2" s="13" t="s">
        <v>234</v>
      </c>
      <c r="EC2" s="13" t="s">
        <v>235</v>
      </c>
      <c r="ED2" s="13" t="s">
        <v>231</v>
      </c>
      <c r="EE2" s="13" t="s">
        <v>22</v>
      </c>
      <c r="EF2" s="13" t="s">
        <v>73</v>
      </c>
      <c r="EG2" s="13" t="s">
        <v>74</v>
      </c>
      <c r="EH2" s="13" t="s">
        <v>72</v>
      </c>
      <c r="EI2" s="13" t="s">
        <v>70</v>
      </c>
      <c r="EJ2" s="13" t="s">
        <v>71</v>
      </c>
      <c r="EK2" s="13" t="s">
        <v>21</v>
      </c>
      <c r="EL2" s="13" t="s">
        <v>16</v>
      </c>
      <c r="EM2" s="54" t="s">
        <v>230</v>
      </c>
      <c r="EN2" s="54"/>
      <c r="EO2" s="54"/>
      <c r="EP2" s="54"/>
      <c r="EQ2" s="54"/>
      <c r="ER2" s="54" t="s">
        <v>231</v>
      </c>
      <c r="ES2" s="54"/>
      <c r="ET2" s="54"/>
      <c r="EU2" s="54"/>
      <c r="EV2" s="54"/>
      <c r="EW2" s="54" t="s">
        <v>72</v>
      </c>
      <c r="EX2" s="54"/>
      <c r="EY2" s="54"/>
      <c r="EZ2" s="54"/>
      <c r="FA2" s="54"/>
      <c r="FB2" s="54" t="s">
        <v>21</v>
      </c>
      <c r="FC2" s="54"/>
      <c r="FD2" s="54"/>
      <c r="FE2" s="54"/>
      <c r="FF2" s="54"/>
      <c r="FG2" s="14" t="s">
        <v>233</v>
      </c>
      <c r="FH2" s="14" t="s">
        <v>232</v>
      </c>
      <c r="FI2" s="14" t="s">
        <v>230</v>
      </c>
      <c r="FJ2" s="14" t="s">
        <v>234</v>
      </c>
      <c r="FK2" s="14" t="s">
        <v>235</v>
      </c>
      <c r="FL2" s="14" t="s">
        <v>231</v>
      </c>
      <c r="FM2" s="14" t="s">
        <v>22</v>
      </c>
      <c r="FN2" s="14" t="s">
        <v>73</v>
      </c>
      <c r="FO2" s="14" t="s">
        <v>74</v>
      </c>
      <c r="FP2" s="14" t="s">
        <v>72</v>
      </c>
      <c r="FQ2" s="14" t="s">
        <v>70</v>
      </c>
      <c r="FR2" s="14" t="s">
        <v>71</v>
      </c>
      <c r="FS2" s="14" t="s">
        <v>21</v>
      </c>
      <c r="FT2" s="14" t="s">
        <v>16</v>
      </c>
      <c r="FU2" s="55" t="s">
        <v>230</v>
      </c>
      <c r="FV2" s="55"/>
      <c r="FW2" s="55"/>
      <c r="FX2" s="55"/>
      <c r="FY2" s="55"/>
      <c r="FZ2" s="55" t="s">
        <v>231</v>
      </c>
      <c r="GA2" s="55"/>
      <c r="GB2" s="55"/>
      <c r="GC2" s="55"/>
      <c r="GD2" s="55"/>
      <c r="GE2" s="55" t="s">
        <v>72</v>
      </c>
      <c r="GF2" s="55"/>
      <c r="GG2" s="55"/>
      <c r="GH2" s="55"/>
      <c r="GI2" s="55"/>
      <c r="GJ2" s="55" t="s">
        <v>21</v>
      </c>
      <c r="GK2" s="55"/>
      <c r="GL2" s="55"/>
      <c r="GM2" s="55"/>
      <c r="GN2" s="55"/>
      <c r="GO2" s="13" t="s">
        <v>233</v>
      </c>
      <c r="GP2" s="13" t="s">
        <v>232</v>
      </c>
      <c r="GQ2" s="13" t="s">
        <v>230</v>
      </c>
      <c r="GR2" s="13" t="s">
        <v>234</v>
      </c>
      <c r="GS2" s="13" t="s">
        <v>235</v>
      </c>
      <c r="GT2" s="13" t="s">
        <v>231</v>
      </c>
      <c r="GU2" s="13" t="s">
        <v>22</v>
      </c>
      <c r="GV2" s="13" t="s">
        <v>73</v>
      </c>
      <c r="GW2" s="13" t="s">
        <v>74</v>
      </c>
      <c r="GX2" s="13" t="s">
        <v>72</v>
      </c>
      <c r="GY2" s="13" t="s">
        <v>70</v>
      </c>
      <c r="GZ2" s="13" t="s">
        <v>71</v>
      </c>
      <c r="HA2" s="13" t="s">
        <v>21</v>
      </c>
      <c r="HB2" s="13" t="s">
        <v>16</v>
      </c>
      <c r="HC2" s="54" t="s">
        <v>230</v>
      </c>
      <c r="HD2" s="54"/>
      <c r="HE2" s="54"/>
      <c r="HF2" s="54"/>
      <c r="HG2" s="54"/>
      <c r="HH2" s="54" t="s">
        <v>231</v>
      </c>
      <c r="HI2" s="54"/>
      <c r="HJ2" s="54"/>
      <c r="HK2" s="54"/>
      <c r="HL2" s="54"/>
      <c r="HM2" s="54" t="s">
        <v>72</v>
      </c>
      <c r="HN2" s="54"/>
      <c r="HO2" s="54"/>
      <c r="HP2" s="54"/>
      <c r="HQ2" s="54"/>
      <c r="HR2" s="54" t="s">
        <v>21</v>
      </c>
      <c r="HS2" s="54"/>
      <c r="HT2" s="54"/>
      <c r="HU2" s="54"/>
      <c r="HV2" s="54"/>
      <c r="HW2" s="14" t="s">
        <v>233</v>
      </c>
      <c r="HX2" s="14" t="s">
        <v>232</v>
      </c>
      <c r="HY2" s="14" t="s">
        <v>230</v>
      </c>
      <c r="HZ2" s="14" t="s">
        <v>234</v>
      </c>
      <c r="IA2" s="14" t="s">
        <v>235</v>
      </c>
      <c r="IB2" s="14" t="s">
        <v>231</v>
      </c>
      <c r="IC2" s="14" t="s">
        <v>22</v>
      </c>
      <c r="ID2" s="14" t="s">
        <v>73</v>
      </c>
      <c r="IE2" s="14" t="s">
        <v>74</v>
      </c>
      <c r="IF2" s="14" t="s">
        <v>72</v>
      </c>
      <c r="IG2" s="14" t="s">
        <v>70</v>
      </c>
      <c r="IH2" s="14" t="s">
        <v>71</v>
      </c>
      <c r="II2" s="14" t="s">
        <v>21</v>
      </c>
      <c r="IJ2" s="14" t="s">
        <v>16</v>
      </c>
      <c r="IK2" s="55" t="s">
        <v>230</v>
      </c>
      <c r="IL2" s="55"/>
      <c r="IM2" s="55"/>
      <c r="IN2" s="55"/>
      <c r="IO2" s="55"/>
      <c r="IP2" s="55" t="s">
        <v>231</v>
      </c>
      <c r="IQ2" s="55"/>
      <c r="IR2" s="55"/>
      <c r="IS2" s="55"/>
      <c r="IT2" s="55"/>
      <c r="IU2" s="55" t="s">
        <v>72</v>
      </c>
      <c r="IV2" s="55"/>
      <c r="IW2" s="55"/>
      <c r="IX2" s="55"/>
      <c r="IY2" s="55"/>
      <c r="IZ2" s="55" t="s">
        <v>21</v>
      </c>
      <c r="JA2" s="55"/>
      <c r="JB2" s="55"/>
      <c r="JC2" s="55"/>
      <c r="JD2" s="55"/>
      <c r="JE2" s="13" t="s">
        <v>233</v>
      </c>
      <c r="JF2" s="13" t="s">
        <v>232</v>
      </c>
      <c r="JG2" s="13" t="s">
        <v>230</v>
      </c>
      <c r="JH2" s="13" t="s">
        <v>234</v>
      </c>
      <c r="JI2" s="13" t="s">
        <v>235</v>
      </c>
      <c r="JJ2" s="13" t="s">
        <v>231</v>
      </c>
      <c r="JK2" s="13" t="s">
        <v>22</v>
      </c>
      <c r="JL2" s="13" t="s">
        <v>73</v>
      </c>
      <c r="JM2" s="13" t="s">
        <v>74</v>
      </c>
      <c r="JN2" s="13" t="s">
        <v>72</v>
      </c>
      <c r="JO2" s="13" t="s">
        <v>70</v>
      </c>
      <c r="JP2" s="13" t="s">
        <v>71</v>
      </c>
      <c r="JQ2" s="13" t="s">
        <v>21</v>
      </c>
      <c r="JR2" s="13" t="s">
        <v>16</v>
      </c>
      <c r="JS2" s="54" t="s">
        <v>230</v>
      </c>
      <c r="JT2" s="54"/>
      <c r="JU2" s="54"/>
      <c r="JV2" s="54"/>
      <c r="JW2" s="54"/>
      <c r="JX2" s="54" t="s">
        <v>231</v>
      </c>
      <c r="JY2" s="54"/>
      <c r="JZ2" s="54"/>
      <c r="KA2" s="54"/>
      <c r="KB2" s="54"/>
      <c r="KC2" s="54" t="s">
        <v>72</v>
      </c>
      <c r="KD2" s="54"/>
      <c r="KE2" s="54"/>
      <c r="KF2" s="54"/>
      <c r="KG2" s="54"/>
      <c r="KH2" s="54" t="s">
        <v>21</v>
      </c>
      <c r="KI2" s="54"/>
      <c r="KJ2" s="54"/>
      <c r="KK2" s="54"/>
      <c r="KL2" s="54"/>
      <c r="KM2" s="14" t="s">
        <v>233</v>
      </c>
      <c r="KN2" s="14" t="s">
        <v>232</v>
      </c>
      <c r="KO2" s="14" t="s">
        <v>230</v>
      </c>
      <c r="KP2" s="14" t="s">
        <v>234</v>
      </c>
      <c r="KQ2" s="14" t="s">
        <v>235</v>
      </c>
      <c r="KR2" s="14" t="s">
        <v>231</v>
      </c>
      <c r="KS2" s="14" t="s">
        <v>22</v>
      </c>
      <c r="KT2" s="14" t="s">
        <v>73</v>
      </c>
      <c r="KU2" s="14" t="s">
        <v>74</v>
      </c>
      <c r="KV2" s="14" t="s">
        <v>72</v>
      </c>
      <c r="KW2" s="14" t="s">
        <v>70</v>
      </c>
      <c r="KX2" s="14" t="s">
        <v>71</v>
      </c>
      <c r="KY2" s="14" t="s">
        <v>21</v>
      </c>
      <c r="KZ2" s="14" t="s">
        <v>16</v>
      </c>
      <c r="LA2" s="55" t="s">
        <v>230</v>
      </c>
      <c r="LB2" s="55"/>
      <c r="LC2" s="55"/>
      <c r="LD2" s="55"/>
      <c r="LE2" s="55"/>
      <c r="LF2" s="55" t="s">
        <v>231</v>
      </c>
      <c r="LG2" s="55"/>
      <c r="LH2" s="55"/>
      <c r="LI2" s="55"/>
      <c r="LJ2" s="55"/>
      <c r="LK2" s="55" t="s">
        <v>72</v>
      </c>
      <c r="LL2" s="55"/>
      <c r="LM2" s="55"/>
      <c r="LN2" s="55"/>
      <c r="LO2" s="55"/>
      <c r="LP2" s="55" t="s">
        <v>21</v>
      </c>
      <c r="LQ2" s="55"/>
      <c r="LR2" s="55"/>
      <c r="LS2" s="55"/>
      <c r="LT2" s="55"/>
      <c r="LU2" s="13" t="s">
        <v>233</v>
      </c>
      <c r="LV2" s="13" t="s">
        <v>232</v>
      </c>
      <c r="LW2" s="13" t="s">
        <v>230</v>
      </c>
      <c r="LX2" s="13" t="s">
        <v>234</v>
      </c>
      <c r="LY2" s="13" t="s">
        <v>235</v>
      </c>
      <c r="LZ2" s="13" t="s">
        <v>231</v>
      </c>
      <c r="MA2" s="13" t="s">
        <v>22</v>
      </c>
      <c r="MB2" s="13" t="s">
        <v>73</v>
      </c>
      <c r="MC2" s="13" t="s">
        <v>74</v>
      </c>
      <c r="MD2" s="13" t="s">
        <v>72</v>
      </c>
      <c r="ME2" s="13" t="s">
        <v>70</v>
      </c>
      <c r="MF2" s="13" t="s">
        <v>71</v>
      </c>
      <c r="MG2" s="13" t="s">
        <v>21</v>
      </c>
      <c r="MH2" s="13" t="s">
        <v>16</v>
      </c>
      <c r="MI2" s="54" t="s">
        <v>230</v>
      </c>
      <c r="MJ2" s="54"/>
      <c r="MK2" s="54"/>
      <c r="ML2" s="54"/>
      <c r="MM2" s="54"/>
      <c r="MN2" s="54" t="s">
        <v>231</v>
      </c>
      <c r="MO2" s="54"/>
      <c r="MP2" s="54"/>
      <c r="MQ2" s="54"/>
      <c r="MR2" s="54"/>
      <c r="MS2" s="54" t="s">
        <v>72</v>
      </c>
      <c r="MT2" s="54"/>
      <c r="MU2" s="54"/>
      <c r="MV2" s="54"/>
      <c r="MW2" s="54"/>
      <c r="MX2" s="54" t="s">
        <v>21</v>
      </c>
      <c r="MY2" s="54"/>
      <c r="MZ2" s="54"/>
      <c r="NA2" s="54"/>
      <c r="NB2" s="54"/>
      <c r="NC2" s="14" t="s">
        <v>233</v>
      </c>
      <c r="ND2" s="14" t="s">
        <v>232</v>
      </c>
      <c r="NE2" s="14" t="s">
        <v>230</v>
      </c>
      <c r="NF2" s="14" t="s">
        <v>234</v>
      </c>
      <c r="NG2" s="14" t="s">
        <v>235</v>
      </c>
      <c r="NH2" s="14" t="s">
        <v>231</v>
      </c>
      <c r="NI2" s="14" t="s">
        <v>22</v>
      </c>
      <c r="NJ2" s="14" t="s">
        <v>73</v>
      </c>
      <c r="NK2" s="14" t="s">
        <v>74</v>
      </c>
      <c r="NL2" s="14" t="s">
        <v>72</v>
      </c>
      <c r="NM2" s="14" t="s">
        <v>70</v>
      </c>
      <c r="NN2" s="14" t="s">
        <v>71</v>
      </c>
      <c r="NO2" s="14" t="s">
        <v>21</v>
      </c>
      <c r="NP2" s="14" t="s">
        <v>16</v>
      </c>
      <c r="NQ2" s="55" t="s">
        <v>230</v>
      </c>
      <c r="NR2" s="55"/>
      <c r="NS2" s="55"/>
      <c r="NT2" s="55"/>
      <c r="NU2" s="55"/>
      <c r="NV2" s="55" t="s">
        <v>231</v>
      </c>
      <c r="NW2" s="55"/>
      <c r="NX2" s="55"/>
      <c r="NY2" s="55"/>
      <c r="NZ2" s="55"/>
      <c r="OA2" s="55" t="s">
        <v>72</v>
      </c>
      <c r="OB2" s="55"/>
      <c r="OC2" s="55"/>
      <c r="OD2" s="55"/>
      <c r="OE2" s="55"/>
      <c r="OF2" s="55" t="s">
        <v>21</v>
      </c>
      <c r="OG2" s="55"/>
      <c r="OH2" s="55"/>
      <c r="OI2" s="55"/>
      <c r="OJ2" s="55"/>
      <c r="OK2" s="13" t="s">
        <v>233</v>
      </c>
      <c r="OL2" s="13" t="s">
        <v>232</v>
      </c>
      <c r="OM2" s="13" t="s">
        <v>230</v>
      </c>
      <c r="ON2" s="13" t="s">
        <v>234</v>
      </c>
      <c r="OO2" s="13" t="s">
        <v>235</v>
      </c>
      <c r="OP2" s="13" t="s">
        <v>231</v>
      </c>
      <c r="OQ2" s="13" t="s">
        <v>22</v>
      </c>
      <c r="OR2" s="13" t="s">
        <v>73</v>
      </c>
      <c r="OS2" s="13" t="s">
        <v>74</v>
      </c>
      <c r="OT2" s="13" t="s">
        <v>72</v>
      </c>
      <c r="OU2" s="13" t="s">
        <v>70</v>
      </c>
      <c r="OV2" s="13" t="s">
        <v>71</v>
      </c>
      <c r="OW2" s="13" t="s">
        <v>21</v>
      </c>
      <c r="OX2" s="13" t="s">
        <v>16</v>
      </c>
      <c r="OY2" s="54" t="s">
        <v>230</v>
      </c>
      <c r="OZ2" s="54"/>
      <c r="PA2" s="54"/>
      <c r="PB2" s="54"/>
      <c r="PC2" s="54"/>
      <c r="PD2" s="54" t="s">
        <v>231</v>
      </c>
      <c r="PE2" s="54"/>
      <c r="PF2" s="54"/>
      <c r="PG2" s="54"/>
      <c r="PH2" s="54"/>
      <c r="PI2" s="54" t="s">
        <v>72</v>
      </c>
      <c r="PJ2" s="54"/>
      <c r="PK2" s="54"/>
      <c r="PL2" s="54"/>
      <c r="PM2" s="54"/>
      <c r="PN2" s="54" t="s">
        <v>21</v>
      </c>
      <c r="PO2" s="54"/>
      <c r="PP2" s="54"/>
      <c r="PQ2" s="54"/>
      <c r="PR2" s="54"/>
      <c r="PS2" s="14" t="s">
        <v>233</v>
      </c>
      <c r="PT2" s="14" t="s">
        <v>232</v>
      </c>
      <c r="PU2" s="14" t="s">
        <v>230</v>
      </c>
      <c r="PV2" s="14" t="s">
        <v>234</v>
      </c>
      <c r="PW2" s="14" t="s">
        <v>235</v>
      </c>
      <c r="PX2" s="14" t="s">
        <v>231</v>
      </c>
      <c r="PY2" s="14" t="s">
        <v>22</v>
      </c>
      <c r="PZ2" s="14" t="s">
        <v>73</v>
      </c>
      <c r="QA2" s="14" t="s">
        <v>74</v>
      </c>
      <c r="QB2" s="14" t="s">
        <v>72</v>
      </c>
      <c r="QC2" s="14" t="s">
        <v>70</v>
      </c>
      <c r="QD2" s="14" t="s">
        <v>71</v>
      </c>
      <c r="QE2" s="14" t="s">
        <v>21</v>
      </c>
      <c r="QF2" s="14" t="s">
        <v>16</v>
      </c>
      <c r="QG2" s="55" t="s">
        <v>230</v>
      </c>
      <c r="QH2" s="55"/>
      <c r="QI2" s="55"/>
      <c r="QJ2" s="55"/>
      <c r="QK2" s="55"/>
      <c r="QL2" s="55" t="s">
        <v>231</v>
      </c>
      <c r="QM2" s="55"/>
      <c r="QN2" s="55"/>
      <c r="QO2" s="55"/>
      <c r="QP2" s="55"/>
      <c r="QQ2" s="55" t="s">
        <v>72</v>
      </c>
      <c r="QR2" s="55"/>
      <c r="QS2" s="55"/>
      <c r="QT2" s="55"/>
      <c r="QU2" s="55"/>
      <c r="QV2" s="55" t="s">
        <v>21</v>
      </c>
      <c r="QW2" s="55"/>
      <c r="QX2" s="55"/>
      <c r="QY2" s="55"/>
      <c r="QZ2" s="55"/>
      <c r="RA2" s="13" t="s">
        <v>233</v>
      </c>
      <c r="RB2" s="13" t="s">
        <v>232</v>
      </c>
      <c r="RC2" s="13" t="s">
        <v>230</v>
      </c>
      <c r="RD2" s="13" t="s">
        <v>234</v>
      </c>
      <c r="RE2" s="13" t="s">
        <v>235</v>
      </c>
      <c r="RF2" s="13" t="s">
        <v>231</v>
      </c>
      <c r="RG2" s="13" t="s">
        <v>22</v>
      </c>
      <c r="RH2" s="13" t="s">
        <v>73</v>
      </c>
      <c r="RI2" s="13" t="s">
        <v>74</v>
      </c>
      <c r="RJ2" s="13" t="s">
        <v>72</v>
      </c>
      <c r="RK2" s="13" t="s">
        <v>70</v>
      </c>
      <c r="RL2" s="13" t="s">
        <v>71</v>
      </c>
      <c r="RM2" s="13" t="s">
        <v>21</v>
      </c>
      <c r="RN2" s="13" t="s">
        <v>16</v>
      </c>
      <c r="RO2" s="54" t="s">
        <v>230</v>
      </c>
      <c r="RP2" s="54"/>
      <c r="RQ2" s="54"/>
      <c r="RR2" s="54"/>
      <c r="RS2" s="54"/>
      <c r="RT2" s="54" t="s">
        <v>231</v>
      </c>
      <c r="RU2" s="54"/>
      <c r="RV2" s="54"/>
      <c r="RW2" s="54"/>
      <c r="RX2" s="54"/>
      <c r="RY2" s="54" t="s">
        <v>72</v>
      </c>
      <c r="RZ2" s="54"/>
      <c r="SA2" s="54"/>
      <c r="SB2" s="54"/>
      <c r="SC2" s="54"/>
      <c r="SD2" s="54" t="s">
        <v>21</v>
      </c>
      <c r="SE2" s="54"/>
      <c r="SF2" s="54"/>
      <c r="SG2" s="54"/>
      <c r="SH2" s="54"/>
      <c r="SI2" s="14" t="s">
        <v>233</v>
      </c>
      <c r="SJ2" s="14" t="s">
        <v>232</v>
      </c>
      <c r="SK2" s="14" t="s">
        <v>230</v>
      </c>
      <c r="SL2" s="14" t="s">
        <v>234</v>
      </c>
      <c r="SM2" s="14" t="s">
        <v>235</v>
      </c>
      <c r="SN2" s="14" t="s">
        <v>231</v>
      </c>
      <c r="SO2" s="14" t="s">
        <v>22</v>
      </c>
      <c r="SP2" s="14" t="s">
        <v>73</v>
      </c>
      <c r="SQ2" s="14" t="s">
        <v>74</v>
      </c>
      <c r="SR2" s="14" t="s">
        <v>72</v>
      </c>
      <c r="SS2" s="14" t="s">
        <v>70</v>
      </c>
      <c r="ST2" s="14" t="s">
        <v>71</v>
      </c>
      <c r="SU2" s="14" t="s">
        <v>21</v>
      </c>
      <c r="SV2" s="14" t="s">
        <v>16</v>
      </c>
      <c r="SW2" s="55" t="s">
        <v>230</v>
      </c>
      <c r="SX2" s="55"/>
      <c r="SY2" s="55"/>
      <c r="SZ2" s="55"/>
      <c r="TA2" s="55"/>
      <c r="TB2" s="55" t="s">
        <v>231</v>
      </c>
      <c r="TC2" s="55"/>
      <c r="TD2" s="55"/>
      <c r="TE2" s="55"/>
      <c r="TF2" s="55"/>
      <c r="TG2" s="55" t="s">
        <v>72</v>
      </c>
      <c r="TH2" s="55"/>
      <c r="TI2" s="55"/>
      <c r="TJ2" s="55"/>
      <c r="TK2" s="55"/>
      <c r="TL2" s="55" t="s">
        <v>21</v>
      </c>
      <c r="TM2" s="55"/>
      <c r="TN2" s="55"/>
      <c r="TO2" s="55"/>
      <c r="TP2" s="55"/>
      <c r="TQ2" s="13" t="s">
        <v>233</v>
      </c>
      <c r="TR2" s="13" t="s">
        <v>232</v>
      </c>
      <c r="TS2" s="13" t="s">
        <v>230</v>
      </c>
      <c r="TT2" s="13" t="s">
        <v>234</v>
      </c>
      <c r="TU2" s="13" t="s">
        <v>235</v>
      </c>
      <c r="TV2" s="13" t="s">
        <v>231</v>
      </c>
      <c r="TW2" s="13" t="s">
        <v>22</v>
      </c>
      <c r="TX2" s="13" t="s">
        <v>73</v>
      </c>
      <c r="TY2" s="13" t="s">
        <v>74</v>
      </c>
      <c r="TZ2" s="13" t="s">
        <v>72</v>
      </c>
      <c r="UA2" s="13" t="s">
        <v>70</v>
      </c>
      <c r="UB2" s="13" t="s">
        <v>71</v>
      </c>
      <c r="UC2" s="13" t="s">
        <v>21</v>
      </c>
      <c r="UD2" s="13" t="s">
        <v>16</v>
      </c>
      <c r="UE2" s="54" t="s">
        <v>230</v>
      </c>
      <c r="UF2" s="54"/>
      <c r="UG2" s="54"/>
      <c r="UH2" s="54"/>
      <c r="UI2" s="54"/>
      <c r="UJ2" s="54" t="s">
        <v>231</v>
      </c>
      <c r="UK2" s="54"/>
      <c r="UL2" s="54"/>
      <c r="UM2" s="54"/>
      <c r="UN2" s="54"/>
      <c r="UO2" s="54" t="s">
        <v>72</v>
      </c>
      <c r="UP2" s="54"/>
      <c r="UQ2" s="54"/>
      <c r="UR2" s="54"/>
      <c r="US2" s="54"/>
      <c r="UT2" s="54" t="s">
        <v>21</v>
      </c>
      <c r="UU2" s="54"/>
      <c r="UV2" s="54"/>
      <c r="UW2" s="54"/>
      <c r="UX2" s="54"/>
      <c r="UY2" s="14" t="s">
        <v>233</v>
      </c>
      <c r="UZ2" s="14" t="s">
        <v>232</v>
      </c>
      <c r="VA2" s="14" t="s">
        <v>230</v>
      </c>
      <c r="VB2" s="14" t="s">
        <v>234</v>
      </c>
      <c r="VC2" s="14" t="s">
        <v>235</v>
      </c>
      <c r="VD2" s="14" t="s">
        <v>231</v>
      </c>
      <c r="VE2" s="14" t="s">
        <v>22</v>
      </c>
      <c r="VF2" s="14" t="s">
        <v>73</v>
      </c>
      <c r="VG2" s="14" t="s">
        <v>74</v>
      </c>
      <c r="VH2" s="14" t="s">
        <v>72</v>
      </c>
      <c r="VI2" s="14" t="s">
        <v>70</v>
      </c>
      <c r="VJ2" s="14" t="s">
        <v>71</v>
      </c>
      <c r="VK2" s="14" t="s">
        <v>21</v>
      </c>
      <c r="VL2" s="14" t="s">
        <v>16</v>
      </c>
    </row>
    <row r="3" spans="1:584" x14ac:dyDescent="0.2">
      <c r="A3" s="56"/>
      <c r="B3" s="56"/>
      <c r="C3" s="56"/>
      <c r="D3" s="56"/>
      <c r="E3" s="56"/>
      <c r="F3" s="60"/>
      <c r="G3" s="56"/>
      <c r="H3" s="56"/>
      <c r="I3" s="56"/>
      <c r="J3" s="57"/>
      <c r="K3" s="58"/>
      <c r="L3" s="57"/>
      <c r="M3" s="58"/>
      <c r="N3" s="57"/>
      <c r="O3" s="58"/>
      <c r="P3" s="61"/>
      <c r="Q3" s="58"/>
      <c r="R3" s="58"/>
      <c r="S3" s="14" t="s">
        <v>13</v>
      </c>
      <c r="T3" s="14" t="s">
        <v>14</v>
      </c>
      <c r="U3" s="14" t="s">
        <v>8</v>
      </c>
      <c r="V3" s="14" t="s">
        <v>15</v>
      </c>
      <c r="W3" s="14" t="s">
        <v>27</v>
      </c>
      <c r="X3" s="14" t="s">
        <v>13</v>
      </c>
      <c r="Y3" s="14" t="s">
        <v>14</v>
      </c>
      <c r="Z3" s="14" t="s">
        <v>8</v>
      </c>
      <c r="AA3" s="14" t="s">
        <v>15</v>
      </c>
      <c r="AB3" s="14" t="s">
        <v>27</v>
      </c>
      <c r="AC3" s="14" t="s">
        <v>13</v>
      </c>
      <c r="AD3" s="14" t="s">
        <v>14</v>
      </c>
      <c r="AE3" s="14" t="s">
        <v>8</v>
      </c>
      <c r="AF3" s="14" t="s">
        <v>15</v>
      </c>
      <c r="AG3" s="14" t="s">
        <v>27</v>
      </c>
      <c r="AH3" s="14" t="s">
        <v>41</v>
      </c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3" t="s">
        <v>13</v>
      </c>
      <c r="AU3" s="13" t="s">
        <v>14</v>
      </c>
      <c r="AV3" s="13" t="s">
        <v>8</v>
      </c>
      <c r="AW3" s="13" t="s">
        <v>15</v>
      </c>
      <c r="AX3" s="13" t="s">
        <v>27</v>
      </c>
      <c r="AY3" s="13" t="s">
        <v>13</v>
      </c>
      <c r="AZ3" s="13" t="s">
        <v>14</v>
      </c>
      <c r="BA3" s="13" t="s">
        <v>8</v>
      </c>
      <c r="BB3" s="13" t="s">
        <v>15</v>
      </c>
      <c r="BC3" s="13" t="s">
        <v>27</v>
      </c>
      <c r="BD3" s="13" t="s">
        <v>13</v>
      </c>
      <c r="BE3" s="13" t="s">
        <v>14</v>
      </c>
      <c r="BF3" s="13" t="s">
        <v>8</v>
      </c>
      <c r="BG3" s="13" t="s">
        <v>15</v>
      </c>
      <c r="BH3" s="13" t="s">
        <v>27</v>
      </c>
      <c r="BI3" s="13" t="s">
        <v>41</v>
      </c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46"/>
      <c r="BV3" s="46"/>
      <c r="BW3" s="14" t="s">
        <v>13</v>
      </c>
      <c r="BX3" s="14" t="s">
        <v>14</v>
      </c>
      <c r="BY3" s="14" t="s">
        <v>8</v>
      </c>
      <c r="BZ3" s="14" t="s">
        <v>15</v>
      </c>
      <c r="CA3" s="14" t="s">
        <v>27</v>
      </c>
      <c r="CB3" s="14" t="s">
        <v>13</v>
      </c>
      <c r="CC3" s="14" t="s">
        <v>14</v>
      </c>
      <c r="CD3" s="14" t="s">
        <v>8</v>
      </c>
      <c r="CE3" s="14" t="s">
        <v>15</v>
      </c>
      <c r="CF3" s="14" t="s">
        <v>27</v>
      </c>
      <c r="CG3" s="14" t="s">
        <v>13</v>
      </c>
      <c r="CH3" s="14" t="s">
        <v>14</v>
      </c>
      <c r="CI3" s="14" t="s">
        <v>8</v>
      </c>
      <c r="CJ3" s="14" t="s">
        <v>15</v>
      </c>
      <c r="CK3" s="14" t="s">
        <v>27</v>
      </c>
      <c r="CL3" s="14" t="s">
        <v>13</v>
      </c>
      <c r="CM3" s="14" t="s">
        <v>14</v>
      </c>
      <c r="CN3" s="14" t="s">
        <v>8</v>
      </c>
      <c r="CO3" s="14" t="s">
        <v>15</v>
      </c>
      <c r="CP3" s="14" t="s">
        <v>27</v>
      </c>
      <c r="CQ3" s="6"/>
      <c r="CR3" s="6"/>
      <c r="CS3" s="6"/>
      <c r="CT3" s="6"/>
      <c r="CU3" s="6"/>
      <c r="CV3" s="6"/>
      <c r="CW3" s="6"/>
      <c r="CX3" s="6"/>
      <c r="CY3" s="6"/>
      <c r="CZ3" s="6"/>
      <c r="DA3" s="6"/>
      <c r="DB3" s="6"/>
      <c r="DC3" s="6"/>
      <c r="DD3" s="14"/>
      <c r="DE3" s="13" t="s">
        <v>13</v>
      </c>
      <c r="DF3" s="13" t="s">
        <v>14</v>
      </c>
      <c r="DG3" s="13" t="s">
        <v>8</v>
      </c>
      <c r="DH3" s="13" t="s">
        <v>15</v>
      </c>
      <c r="DI3" s="13" t="s">
        <v>27</v>
      </c>
      <c r="DJ3" s="13" t="s">
        <v>13</v>
      </c>
      <c r="DK3" s="13" t="s">
        <v>14</v>
      </c>
      <c r="DL3" s="13" t="s">
        <v>8</v>
      </c>
      <c r="DM3" s="13" t="s">
        <v>15</v>
      </c>
      <c r="DN3" s="13" t="s">
        <v>27</v>
      </c>
      <c r="DO3" s="13" t="s">
        <v>13</v>
      </c>
      <c r="DP3" s="13" t="s">
        <v>14</v>
      </c>
      <c r="DQ3" s="13" t="s">
        <v>8</v>
      </c>
      <c r="DR3" s="13" t="s">
        <v>15</v>
      </c>
      <c r="DS3" s="13" t="s">
        <v>27</v>
      </c>
      <c r="DT3" s="13" t="s">
        <v>13</v>
      </c>
      <c r="DU3" s="13" t="s">
        <v>14</v>
      </c>
      <c r="DV3" s="13" t="s">
        <v>8</v>
      </c>
      <c r="DW3" s="13" t="s">
        <v>15</v>
      </c>
      <c r="DX3" s="13" t="s">
        <v>27</v>
      </c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13"/>
      <c r="EM3" s="14" t="s">
        <v>13</v>
      </c>
      <c r="EN3" s="14" t="s">
        <v>14</v>
      </c>
      <c r="EO3" s="14" t="s">
        <v>8</v>
      </c>
      <c r="EP3" s="14" t="s">
        <v>15</v>
      </c>
      <c r="EQ3" s="14" t="s">
        <v>27</v>
      </c>
      <c r="ER3" s="14" t="s">
        <v>13</v>
      </c>
      <c r="ES3" s="14" t="s">
        <v>14</v>
      </c>
      <c r="ET3" s="14" t="s">
        <v>8</v>
      </c>
      <c r="EU3" s="14" t="s">
        <v>15</v>
      </c>
      <c r="EV3" s="14" t="s">
        <v>27</v>
      </c>
      <c r="EW3" s="14" t="s">
        <v>13</v>
      </c>
      <c r="EX3" s="14" t="s">
        <v>14</v>
      </c>
      <c r="EY3" s="14" t="s">
        <v>8</v>
      </c>
      <c r="EZ3" s="14" t="s">
        <v>15</v>
      </c>
      <c r="FA3" s="14" t="s">
        <v>27</v>
      </c>
      <c r="FB3" s="14" t="s">
        <v>13</v>
      </c>
      <c r="FC3" s="14" t="s">
        <v>14</v>
      </c>
      <c r="FD3" s="14" t="s">
        <v>8</v>
      </c>
      <c r="FE3" s="14" t="s">
        <v>15</v>
      </c>
      <c r="FF3" s="14" t="s">
        <v>27</v>
      </c>
      <c r="FG3" s="6"/>
      <c r="FH3" s="6"/>
      <c r="FI3" s="6"/>
      <c r="FJ3" s="6"/>
      <c r="FK3" s="6"/>
      <c r="FL3" s="6"/>
      <c r="FM3" s="6"/>
      <c r="FN3" s="6"/>
      <c r="FO3" s="6"/>
      <c r="FP3" s="6"/>
      <c r="FQ3" s="6"/>
      <c r="FR3" s="6"/>
      <c r="FS3" s="6"/>
      <c r="FT3" s="14"/>
      <c r="FU3" s="13" t="s">
        <v>13</v>
      </c>
      <c r="FV3" s="13" t="s">
        <v>14</v>
      </c>
      <c r="FW3" s="13" t="s">
        <v>8</v>
      </c>
      <c r="FX3" s="13" t="s">
        <v>15</v>
      </c>
      <c r="FY3" s="13" t="s">
        <v>27</v>
      </c>
      <c r="FZ3" s="13" t="s">
        <v>13</v>
      </c>
      <c r="GA3" s="13" t="s">
        <v>14</v>
      </c>
      <c r="GB3" s="13" t="s">
        <v>8</v>
      </c>
      <c r="GC3" s="13" t="s">
        <v>15</v>
      </c>
      <c r="GD3" s="13" t="s">
        <v>27</v>
      </c>
      <c r="GE3" s="13" t="s">
        <v>13</v>
      </c>
      <c r="GF3" s="13" t="s">
        <v>14</v>
      </c>
      <c r="GG3" s="13" t="s">
        <v>8</v>
      </c>
      <c r="GH3" s="13" t="s">
        <v>15</v>
      </c>
      <c r="GI3" s="13" t="s">
        <v>27</v>
      </c>
      <c r="GJ3" s="13" t="s">
        <v>13</v>
      </c>
      <c r="GK3" s="13" t="s">
        <v>14</v>
      </c>
      <c r="GL3" s="13" t="s">
        <v>8</v>
      </c>
      <c r="GM3" s="13" t="s">
        <v>15</v>
      </c>
      <c r="GN3" s="13" t="s">
        <v>27</v>
      </c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13"/>
      <c r="HC3" s="14" t="s">
        <v>13</v>
      </c>
      <c r="HD3" s="14" t="s">
        <v>14</v>
      </c>
      <c r="HE3" s="14" t="s">
        <v>8</v>
      </c>
      <c r="HF3" s="14" t="s">
        <v>15</v>
      </c>
      <c r="HG3" s="14" t="s">
        <v>27</v>
      </c>
      <c r="HH3" s="14" t="s">
        <v>13</v>
      </c>
      <c r="HI3" s="14" t="s">
        <v>14</v>
      </c>
      <c r="HJ3" s="14" t="s">
        <v>8</v>
      </c>
      <c r="HK3" s="14" t="s">
        <v>15</v>
      </c>
      <c r="HL3" s="14" t="s">
        <v>27</v>
      </c>
      <c r="HM3" s="14" t="s">
        <v>13</v>
      </c>
      <c r="HN3" s="14" t="s">
        <v>14</v>
      </c>
      <c r="HO3" s="14" t="s">
        <v>8</v>
      </c>
      <c r="HP3" s="14" t="s">
        <v>15</v>
      </c>
      <c r="HQ3" s="14" t="s">
        <v>27</v>
      </c>
      <c r="HR3" s="14" t="s">
        <v>13</v>
      </c>
      <c r="HS3" s="14" t="s">
        <v>14</v>
      </c>
      <c r="HT3" s="14" t="s">
        <v>8</v>
      </c>
      <c r="HU3" s="14" t="s">
        <v>15</v>
      </c>
      <c r="HV3" s="14" t="s">
        <v>27</v>
      </c>
      <c r="HW3" s="6"/>
      <c r="HX3" s="6"/>
      <c r="HY3" s="6"/>
      <c r="HZ3" s="6"/>
      <c r="IA3" s="6"/>
      <c r="IB3" s="6"/>
      <c r="IC3" s="6"/>
      <c r="ID3" s="6"/>
      <c r="IE3" s="6"/>
      <c r="IF3" s="6"/>
      <c r="IG3" s="6"/>
      <c r="IH3" s="6"/>
      <c r="II3" s="6"/>
      <c r="IJ3" s="14"/>
      <c r="IK3" s="13" t="s">
        <v>13</v>
      </c>
      <c r="IL3" s="13" t="s">
        <v>14</v>
      </c>
      <c r="IM3" s="13" t="s">
        <v>8</v>
      </c>
      <c r="IN3" s="13" t="s">
        <v>15</v>
      </c>
      <c r="IO3" s="13" t="s">
        <v>27</v>
      </c>
      <c r="IP3" s="13" t="s">
        <v>13</v>
      </c>
      <c r="IQ3" s="13" t="s">
        <v>14</v>
      </c>
      <c r="IR3" s="13" t="s">
        <v>8</v>
      </c>
      <c r="IS3" s="13" t="s">
        <v>15</v>
      </c>
      <c r="IT3" s="13" t="s">
        <v>27</v>
      </c>
      <c r="IU3" s="13" t="s">
        <v>13</v>
      </c>
      <c r="IV3" s="13" t="s">
        <v>14</v>
      </c>
      <c r="IW3" s="13" t="s">
        <v>8</v>
      </c>
      <c r="IX3" s="13" t="s">
        <v>15</v>
      </c>
      <c r="IY3" s="13" t="s">
        <v>27</v>
      </c>
      <c r="IZ3" s="13" t="s">
        <v>13</v>
      </c>
      <c r="JA3" s="13" t="s">
        <v>14</v>
      </c>
      <c r="JB3" s="13" t="s">
        <v>8</v>
      </c>
      <c r="JC3" s="13" t="s">
        <v>15</v>
      </c>
      <c r="JD3" s="13" t="s">
        <v>27</v>
      </c>
      <c r="JE3" s="7"/>
      <c r="JF3" s="7"/>
      <c r="JG3" s="7"/>
      <c r="JH3" s="7"/>
      <c r="JI3" s="7"/>
      <c r="JJ3" s="7"/>
      <c r="JK3" s="7"/>
      <c r="JL3" s="7"/>
      <c r="JM3" s="7"/>
      <c r="JN3" s="7"/>
      <c r="JO3" s="7"/>
      <c r="JP3" s="7"/>
      <c r="JQ3" s="7"/>
      <c r="JR3" s="7"/>
      <c r="JS3" s="14" t="s">
        <v>13</v>
      </c>
      <c r="JT3" s="14" t="s">
        <v>14</v>
      </c>
      <c r="JU3" s="14" t="s">
        <v>8</v>
      </c>
      <c r="JV3" s="14" t="s">
        <v>15</v>
      </c>
      <c r="JW3" s="14" t="s">
        <v>27</v>
      </c>
      <c r="JX3" s="14" t="s">
        <v>13</v>
      </c>
      <c r="JY3" s="14" t="s">
        <v>14</v>
      </c>
      <c r="JZ3" s="14" t="s">
        <v>8</v>
      </c>
      <c r="KA3" s="14" t="s">
        <v>15</v>
      </c>
      <c r="KB3" s="14" t="s">
        <v>27</v>
      </c>
      <c r="KC3" s="14" t="s">
        <v>13</v>
      </c>
      <c r="KD3" s="14" t="s">
        <v>14</v>
      </c>
      <c r="KE3" s="14" t="s">
        <v>8</v>
      </c>
      <c r="KF3" s="14" t="s">
        <v>15</v>
      </c>
      <c r="KG3" s="14" t="s">
        <v>27</v>
      </c>
      <c r="KH3" s="14" t="s">
        <v>13</v>
      </c>
      <c r="KI3" s="14" t="s">
        <v>14</v>
      </c>
      <c r="KJ3" s="14" t="s">
        <v>8</v>
      </c>
      <c r="KK3" s="14" t="s">
        <v>15</v>
      </c>
      <c r="KL3" s="14" t="s">
        <v>27</v>
      </c>
      <c r="KM3" s="6"/>
      <c r="KN3" s="6"/>
      <c r="KO3" s="6"/>
      <c r="KP3" s="6"/>
      <c r="KQ3" s="6"/>
      <c r="KR3" s="6"/>
      <c r="KS3" s="6"/>
      <c r="KT3" s="6"/>
      <c r="KU3" s="6"/>
      <c r="KV3" s="6"/>
      <c r="KW3" s="6"/>
      <c r="KX3" s="6"/>
      <c r="KY3" s="6"/>
      <c r="KZ3" s="6"/>
      <c r="LA3" s="13" t="s">
        <v>13</v>
      </c>
      <c r="LB3" s="13" t="s">
        <v>14</v>
      </c>
      <c r="LC3" s="13" t="s">
        <v>8</v>
      </c>
      <c r="LD3" s="13" t="s">
        <v>15</v>
      </c>
      <c r="LE3" s="13" t="s">
        <v>27</v>
      </c>
      <c r="LF3" s="13" t="s">
        <v>13</v>
      </c>
      <c r="LG3" s="13" t="s">
        <v>14</v>
      </c>
      <c r="LH3" s="13" t="s">
        <v>8</v>
      </c>
      <c r="LI3" s="13" t="s">
        <v>15</v>
      </c>
      <c r="LJ3" s="13" t="s">
        <v>27</v>
      </c>
      <c r="LK3" s="13" t="s">
        <v>13</v>
      </c>
      <c r="LL3" s="13" t="s">
        <v>14</v>
      </c>
      <c r="LM3" s="13" t="s">
        <v>8</v>
      </c>
      <c r="LN3" s="13" t="s">
        <v>15</v>
      </c>
      <c r="LO3" s="13" t="s">
        <v>27</v>
      </c>
      <c r="LP3" s="13" t="s">
        <v>13</v>
      </c>
      <c r="LQ3" s="13" t="s">
        <v>14</v>
      </c>
      <c r="LR3" s="13" t="s">
        <v>8</v>
      </c>
      <c r="LS3" s="13" t="s">
        <v>15</v>
      </c>
      <c r="LT3" s="13" t="s">
        <v>27</v>
      </c>
      <c r="LU3" s="7"/>
      <c r="LV3" s="7"/>
      <c r="LW3" s="7"/>
      <c r="LX3" s="7"/>
      <c r="LY3" s="7"/>
      <c r="LZ3" s="7"/>
      <c r="MA3" s="7"/>
      <c r="MB3" s="7"/>
      <c r="MC3" s="7"/>
      <c r="MD3" s="7"/>
      <c r="ME3" s="7"/>
      <c r="MF3" s="7"/>
      <c r="MG3" s="7"/>
      <c r="MH3" s="7"/>
      <c r="MI3" s="14" t="s">
        <v>13</v>
      </c>
      <c r="MJ3" s="14" t="s">
        <v>14</v>
      </c>
      <c r="MK3" s="14" t="s">
        <v>8</v>
      </c>
      <c r="ML3" s="14" t="s">
        <v>15</v>
      </c>
      <c r="MM3" s="14" t="s">
        <v>27</v>
      </c>
      <c r="MN3" s="14" t="s">
        <v>13</v>
      </c>
      <c r="MO3" s="14" t="s">
        <v>14</v>
      </c>
      <c r="MP3" s="14" t="s">
        <v>8</v>
      </c>
      <c r="MQ3" s="14" t="s">
        <v>15</v>
      </c>
      <c r="MR3" s="14" t="s">
        <v>27</v>
      </c>
      <c r="MS3" s="14" t="s">
        <v>13</v>
      </c>
      <c r="MT3" s="14" t="s">
        <v>14</v>
      </c>
      <c r="MU3" s="14" t="s">
        <v>8</v>
      </c>
      <c r="MV3" s="14" t="s">
        <v>15</v>
      </c>
      <c r="MW3" s="14" t="s">
        <v>27</v>
      </c>
      <c r="MX3" s="14" t="s">
        <v>13</v>
      </c>
      <c r="MY3" s="14" t="s">
        <v>14</v>
      </c>
      <c r="MZ3" s="14" t="s">
        <v>8</v>
      </c>
      <c r="NA3" s="14" t="s">
        <v>15</v>
      </c>
      <c r="NB3" s="14" t="s">
        <v>27</v>
      </c>
      <c r="NC3" s="6"/>
      <c r="ND3" s="6"/>
      <c r="NE3" s="6"/>
      <c r="NF3" s="6"/>
      <c r="NG3" s="6"/>
      <c r="NH3" s="6"/>
      <c r="NI3" s="6"/>
      <c r="NJ3" s="6"/>
      <c r="NK3" s="6"/>
      <c r="NL3" s="6"/>
      <c r="NM3" s="6"/>
      <c r="NN3" s="6"/>
      <c r="NO3" s="6"/>
      <c r="NP3" s="6"/>
      <c r="NQ3" s="13" t="s">
        <v>13</v>
      </c>
      <c r="NR3" s="13" t="s">
        <v>14</v>
      </c>
      <c r="NS3" s="13" t="s">
        <v>8</v>
      </c>
      <c r="NT3" s="13" t="s">
        <v>15</v>
      </c>
      <c r="NU3" s="13" t="s">
        <v>27</v>
      </c>
      <c r="NV3" s="13" t="s">
        <v>13</v>
      </c>
      <c r="NW3" s="13" t="s">
        <v>14</v>
      </c>
      <c r="NX3" s="13" t="s">
        <v>8</v>
      </c>
      <c r="NY3" s="13" t="s">
        <v>15</v>
      </c>
      <c r="NZ3" s="13" t="s">
        <v>27</v>
      </c>
      <c r="OA3" s="13" t="s">
        <v>13</v>
      </c>
      <c r="OB3" s="13" t="s">
        <v>14</v>
      </c>
      <c r="OC3" s="13" t="s">
        <v>8</v>
      </c>
      <c r="OD3" s="13" t="s">
        <v>15</v>
      </c>
      <c r="OE3" s="13" t="s">
        <v>27</v>
      </c>
      <c r="OF3" s="13" t="s">
        <v>13</v>
      </c>
      <c r="OG3" s="13" t="s">
        <v>14</v>
      </c>
      <c r="OH3" s="13" t="s">
        <v>8</v>
      </c>
      <c r="OI3" s="13" t="s">
        <v>15</v>
      </c>
      <c r="OJ3" s="13" t="s">
        <v>27</v>
      </c>
      <c r="OK3" s="7"/>
      <c r="OL3" s="7"/>
      <c r="OM3" s="7"/>
      <c r="ON3" s="7"/>
      <c r="OO3" s="7"/>
      <c r="OP3" s="7"/>
      <c r="OQ3" s="7"/>
      <c r="OR3" s="7"/>
      <c r="OS3" s="7"/>
      <c r="OT3" s="7"/>
      <c r="OU3" s="7"/>
      <c r="OV3" s="7"/>
      <c r="OW3" s="7"/>
      <c r="OX3" s="7"/>
      <c r="OY3" s="14" t="s">
        <v>13</v>
      </c>
      <c r="OZ3" s="14" t="s">
        <v>14</v>
      </c>
      <c r="PA3" s="14" t="s">
        <v>8</v>
      </c>
      <c r="PB3" s="14" t="s">
        <v>15</v>
      </c>
      <c r="PC3" s="14" t="s">
        <v>27</v>
      </c>
      <c r="PD3" s="14" t="s">
        <v>13</v>
      </c>
      <c r="PE3" s="14" t="s">
        <v>14</v>
      </c>
      <c r="PF3" s="14" t="s">
        <v>8</v>
      </c>
      <c r="PG3" s="14" t="s">
        <v>15</v>
      </c>
      <c r="PH3" s="14" t="s">
        <v>27</v>
      </c>
      <c r="PI3" s="14" t="s">
        <v>13</v>
      </c>
      <c r="PJ3" s="14" t="s">
        <v>14</v>
      </c>
      <c r="PK3" s="14" t="s">
        <v>8</v>
      </c>
      <c r="PL3" s="14" t="s">
        <v>15</v>
      </c>
      <c r="PM3" s="14" t="s">
        <v>27</v>
      </c>
      <c r="PN3" s="14" t="s">
        <v>13</v>
      </c>
      <c r="PO3" s="14" t="s">
        <v>14</v>
      </c>
      <c r="PP3" s="14" t="s">
        <v>8</v>
      </c>
      <c r="PQ3" s="14" t="s">
        <v>15</v>
      </c>
      <c r="PR3" s="14" t="s">
        <v>27</v>
      </c>
      <c r="PS3" s="6"/>
      <c r="PT3" s="6"/>
      <c r="PU3" s="6"/>
      <c r="PV3" s="6"/>
      <c r="PW3" s="6"/>
      <c r="PX3" s="6"/>
      <c r="PY3" s="6"/>
      <c r="PZ3" s="6"/>
      <c r="QA3" s="6"/>
      <c r="QB3" s="6"/>
      <c r="QC3" s="6"/>
      <c r="QD3" s="6"/>
      <c r="QE3" s="6"/>
      <c r="QF3" s="6"/>
      <c r="QG3" s="13" t="s">
        <v>13</v>
      </c>
      <c r="QH3" s="13" t="s">
        <v>14</v>
      </c>
      <c r="QI3" s="13" t="s">
        <v>8</v>
      </c>
      <c r="QJ3" s="13" t="s">
        <v>15</v>
      </c>
      <c r="QK3" s="13" t="s">
        <v>27</v>
      </c>
      <c r="QL3" s="13" t="s">
        <v>13</v>
      </c>
      <c r="QM3" s="13" t="s">
        <v>14</v>
      </c>
      <c r="QN3" s="13" t="s">
        <v>8</v>
      </c>
      <c r="QO3" s="13" t="s">
        <v>15</v>
      </c>
      <c r="QP3" s="13" t="s">
        <v>27</v>
      </c>
      <c r="QQ3" s="13" t="s">
        <v>13</v>
      </c>
      <c r="QR3" s="13" t="s">
        <v>14</v>
      </c>
      <c r="QS3" s="13" t="s">
        <v>8</v>
      </c>
      <c r="QT3" s="13" t="s">
        <v>15</v>
      </c>
      <c r="QU3" s="13" t="s">
        <v>27</v>
      </c>
      <c r="QV3" s="13" t="s">
        <v>13</v>
      </c>
      <c r="QW3" s="13" t="s">
        <v>14</v>
      </c>
      <c r="QX3" s="13" t="s">
        <v>8</v>
      </c>
      <c r="QY3" s="13" t="s">
        <v>15</v>
      </c>
      <c r="QZ3" s="13" t="s">
        <v>27</v>
      </c>
      <c r="RA3" s="7"/>
      <c r="RB3" s="7"/>
      <c r="RC3" s="7"/>
      <c r="RD3" s="7"/>
      <c r="RE3" s="7"/>
      <c r="RF3" s="7"/>
      <c r="RG3" s="7"/>
      <c r="RH3" s="7"/>
      <c r="RI3" s="7"/>
      <c r="RJ3" s="7"/>
      <c r="RK3" s="7"/>
      <c r="RL3" s="7"/>
      <c r="RM3" s="7"/>
      <c r="RN3" s="7"/>
      <c r="RO3" s="14" t="s">
        <v>13</v>
      </c>
      <c r="RP3" s="14" t="s">
        <v>14</v>
      </c>
      <c r="RQ3" s="14" t="s">
        <v>8</v>
      </c>
      <c r="RR3" s="14" t="s">
        <v>15</v>
      </c>
      <c r="RS3" s="14" t="s">
        <v>27</v>
      </c>
      <c r="RT3" s="14" t="s">
        <v>13</v>
      </c>
      <c r="RU3" s="14" t="s">
        <v>14</v>
      </c>
      <c r="RV3" s="14" t="s">
        <v>8</v>
      </c>
      <c r="RW3" s="14" t="s">
        <v>15</v>
      </c>
      <c r="RX3" s="14" t="s">
        <v>27</v>
      </c>
      <c r="RY3" s="14" t="s">
        <v>13</v>
      </c>
      <c r="RZ3" s="14" t="s">
        <v>14</v>
      </c>
      <c r="SA3" s="14" t="s">
        <v>8</v>
      </c>
      <c r="SB3" s="14" t="s">
        <v>15</v>
      </c>
      <c r="SC3" s="14" t="s">
        <v>27</v>
      </c>
      <c r="SD3" s="14" t="s">
        <v>13</v>
      </c>
      <c r="SE3" s="14" t="s">
        <v>14</v>
      </c>
      <c r="SF3" s="14" t="s">
        <v>8</v>
      </c>
      <c r="SG3" s="14" t="s">
        <v>15</v>
      </c>
      <c r="SH3" s="14" t="s">
        <v>27</v>
      </c>
      <c r="SI3" s="6"/>
      <c r="SJ3" s="6"/>
      <c r="SK3" s="6"/>
      <c r="SL3" s="6"/>
      <c r="SM3" s="6"/>
      <c r="SN3" s="6"/>
      <c r="SO3" s="6"/>
      <c r="SP3" s="6"/>
      <c r="SQ3" s="6"/>
      <c r="SR3" s="6"/>
      <c r="SS3" s="6"/>
      <c r="ST3" s="6"/>
      <c r="SU3" s="6"/>
      <c r="SV3" s="6"/>
      <c r="SW3" s="13" t="s">
        <v>13</v>
      </c>
      <c r="SX3" s="13" t="s">
        <v>14</v>
      </c>
      <c r="SY3" s="13" t="s">
        <v>8</v>
      </c>
      <c r="SZ3" s="13" t="s">
        <v>15</v>
      </c>
      <c r="TA3" s="13" t="s">
        <v>27</v>
      </c>
      <c r="TB3" s="13" t="s">
        <v>13</v>
      </c>
      <c r="TC3" s="13" t="s">
        <v>14</v>
      </c>
      <c r="TD3" s="13" t="s">
        <v>8</v>
      </c>
      <c r="TE3" s="13" t="s">
        <v>15</v>
      </c>
      <c r="TF3" s="13" t="s">
        <v>27</v>
      </c>
      <c r="TG3" s="13" t="s">
        <v>13</v>
      </c>
      <c r="TH3" s="13" t="s">
        <v>14</v>
      </c>
      <c r="TI3" s="13" t="s">
        <v>8</v>
      </c>
      <c r="TJ3" s="13" t="s">
        <v>15</v>
      </c>
      <c r="TK3" s="13" t="s">
        <v>27</v>
      </c>
      <c r="TL3" s="13" t="s">
        <v>13</v>
      </c>
      <c r="TM3" s="13" t="s">
        <v>14</v>
      </c>
      <c r="TN3" s="13" t="s">
        <v>8</v>
      </c>
      <c r="TO3" s="13" t="s">
        <v>15</v>
      </c>
      <c r="TP3" s="13" t="s">
        <v>27</v>
      </c>
      <c r="TQ3" s="7"/>
      <c r="TR3" s="7"/>
      <c r="TS3" s="7"/>
      <c r="TT3" s="7"/>
      <c r="TU3" s="7"/>
      <c r="TV3" s="7"/>
      <c r="TW3" s="7"/>
      <c r="TX3" s="7"/>
      <c r="TY3" s="7"/>
      <c r="TZ3" s="7"/>
      <c r="UA3" s="7"/>
      <c r="UB3" s="7"/>
      <c r="UC3" s="7"/>
      <c r="UD3" s="7"/>
      <c r="UE3" s="14" t="s">
        <v>13</v>
      </c>
      <c r="UF3" s="14" t="s">
        <v>14</v>
      </c>
      <c r="UG3" s="14" t="s">
        <v>8</v>
      </c>
      <c r="UH3" s="14" t="s">
        <v>15</v>
      </c>
      <c r="UI3" s="14" t="s">
        <v>27</v>
      </c>
      <c r="UJ3" s="14" t="s">
        <v>13</v>
      </c>
      <c r="UK3" s="14" t="s">
        <v>14</v>
      </c>
      <c r="UL3" s="14" t="s">
        <v>8</v>
      </c>
      <c r="UM3" s="14" t="s">
        <v>15</v>
      </c>
      <c r="UN3" s="14" t="s">
        <v>27</v>
      </c>
      <c r="UO3" s="14" t="s">
        <v>13</v>
      </c>
      <c r="UP3" s="14" t="s">
        <v>14</v>
      </c>
      <c r="UQ3" s="14" t="s">
        <v>8</v>
      </c>
      <c r="UR3" s="14" t="s">
        <v>15</v>
      </c>
      <c r="US3" s="14" t="s">
        <v>27</v>
      </c>
      <c r="UT3" s="14" t="s">
        <v>13</v>
      </c>
      <c r="UU3" s="14" t="s">
        <v>14</v>
      </c>
      <c r="UV3" s="14" t="s">
        <v>8</v>
      </c>
      <c r="UW3" s="14" t="s">
        <v>15</v>
      </c>
      <c r="UX3" s="14" t="s">
        <v>27</v>
      </c>
      <c r="UY3" s="6"/>
      <c r="UZ3" s="6"/>
      <c r="VA3" s="6"/>
      <c r="VB3" s="6"/>
      <c r="VC3" s="6"/>
      <c r="VD3" s="6"/>
      <c r="VE3" s="6"/>
      <c r="VF3" s="6"/>
      <c r="VG3" s="6"/>
      <c r="VH3" s="6"/>
      <c r="VI3" s="6"/>
      <c r="VJ3" s="6"/>
      <c r="VK3" s="6"/>
      <c r="VL3" s="6"/>
    </row>
    <row r="4" spans="1:584" x14ac:dyDescent="0.2">
      <c r="A4" s="4" t="str" cm="1">
        <f t="array" ref="A4">IF(AND(H4&lt;&gt;"",H4&lt;&gt;"No DD"),SUMPRODUCT((H$4:H$10&lt;&gt;"")*(H$4:H$10&lt;&gt;"No DD")*(E$4:E$10&gt;E4))+1,IF(H4="No DD",SUMPRODUCT((H$4:H$10="No DD")*(E$4:E$10&gt;E4))+1+SUMPRODUCT((H$4:H$10&lt;&gt;"")*(H$4:H$10&lt;&gt;"No DD")),""))</f>
        <v/>
      </c>
      <c r="B4" s="5" t="s">
        <v>223</v>
      </c>
      <c r="C4" s="4" t="s">
        <v>3</v>
      </c>
      <c r="D4" s="4">
        <v>2010</v>
      </c>
      <c r="E4" s="9">
        <f t="shared" ref="E4:E9" si="0">J4+L4+N4+P4+(J4+L4+N4)*0.0000001+MAX(J4,L4)*0.0000000000001</f>
        <v>143.96001428200509</v>
      </c>
      <c r="F4" s="3" t="str">
        <f t="shared" ref="F4:F9" si="1">IF(OR(AND(AO4&gt;=AS$16,AL4&gt;=AS$12,AO4&lt;&gt;"",AH4=""),AND(BP4&gt;=BT$16,BM4&gt;=BT$12,BP4&lt;&gt;"",BI4=""),AND(CW4&gt;=DD$16,CT4&gt;=DD$12,CW4&lt;&gt;""),AND(EE4&gt;=EL$16,EB4&gt;=EL$12,EE4&lt;&gt;""),AND(FM4&gt;=FT$16,FJ4&gt;=FT$12,FM4&lt;&gt;""),AND(GU4&gt;=HB$16,GR4&gt;=HB$12,GU4&lt;&gt;""),AND(IC4&gt;=IJ$16,HZ4&gt;=IJ$12,IC4&lt;&gt;""),AND(JK4&gt;=JR$16,JH4&gt;=JR$12,JK4&lt;&gt;""),AND(KS4&gt;=KZ$16,KP4&gt;=KZ$12,KS4&lt;&gt;""),AND(MA4&gt;=MH$16,LX4&gt;=MH$12,MA4&lt;&gt;""),AND(NI4&gt;=NP$16,NF4&gt;=NP$12,NI4&lt;&gt;""),AND(OQ4&gt;=OX$16,ON4&gt;=OX$12,OQ4&lt;&gt;""),AND(PY4&gt;=QF$16,PV4&gt;=QF$12,PY4&lt;&gt;""),AND(RG4&gt;=RN$16,RD4&gt;=RN$12,RG4&lt;&gt;""),AND(SO4&gt;=SV$16,SL4&gt;=SV$12,SO4&lt;&gt;""),AND(TW4&gt;=UD$16,TT4&gt;=UD$12,TW4&lt;&gt;""),AND(VE4&gt;=VL$16,VB4&gt;=VL$12,VE4&lt;&gt;"")),"P","")</f>
        <v/>
      </c>
      <c r="G4" s="3" t="str">
        <f t="shared" ref="G4:G9" si="2">IF(OR(AND(AO4&gt;=AS$16,AO4&lt;&gt;"",AH4=""),AND(BP4&gt;=BT$16,BP4&lt;&gt;"",BI4=""),AND(CW4&gt;=DD$16,CW4&lt;&gt;""),AND(EE4&gt;=EL$16,EE4&lt;&gt;""),AND(FM4&gt;=FT$16,FM4&lt;&gt;""),AND(GU4&gt;=HB$16,GU4&lt;&gt;""),AND(IC4&gt;=IJ$16,IC4&lt;&gt;""),AND(JK4&gt;=JR$16,JK4&lt;&gt;""),AND(KS4&gt;=KZ$16,KS4&lt;&gt;""),AND(MA4&gt;=MH$16,MA4&lt;&gt;""),AND(NI4&gt;=NP$16,NI4&lt;&gt;""),AND(OQ4&gt;=OX$16,OQ4&lt;&gt;""),AND(PY4&gt;=QF$16,PY4&lt;&gt;""),AND(RG4&gt;=RN$16,RG4&lt;&gt;""),AND(SO4&gt;=SV$16,SO4&lt;&gt;""),AND(TW4&gt;=UD$16,TW4&lt;&gt;""),AND(VE4&gt;=VL$16,VE4&lt;&gt;"")),"P","")</f>
        <v/>
      </c>
      <c r="H4" s="32" t="str">
        <f t="shared" ref="H4:H9" si="3">IF(AND(G4="P",F4=""),"No DD",IF(F4="P","National Team",""))</f>
        <v/>
      </c>
      <c r="I4" s="3"/>
      <c r="J4" s="8">
        <f t="shared" ref="J4:J9" si="4">IF(MAX(AK4,BL4)&gt;0,MAX(AK4,BL4),0)</f>
        <v>41.41</v>
      </c>
      <c r="K4" s="8" t="str">
        <f t="shared" ref="K4:K9" si="5">IF(J4="","",IF(J4=BL4,$AT$1,IF(J4=AK4,$S$1,"")))</f>
        <v>2025 3rd Domestic Trial</v>
      </c>
      <c r="L4" s="8">
        <f t="shared" ref="L4:L9" si="6">IF(MAX(AN4,BO4)&gt;0,MAX(AN4,BO4),0)</f>
        <v>50.78</v>
      </c>
      <c r="M4" s="8" t="str">
        <f t="shared" ref="M4:M9" si="7">IF(L4="","",IF(L4=BO4,$AT$1,IF(L4=AN4,$S$1,"")))</f>
        <v>2025 3rd Domestic Trial</v>
      </c>
      <c r="N4" s="8">
        <f t="shared" ref="N4:N9" si="8">IF(L4=AN4,MAX(AR4,BO4,BS4),MAX(AN4,AR4,BS4))</f>
        <v>50.629999999999995</v>
      </c>
      <c r="O4" s="8" t="str">
        <f t="shared" ref="O4:O9" si="9">IF(L4="","",IF(OR(L4=BO4,L4=BS4),$AT$1,IF(OR(L4=AN4,L4=AR4),$S$1,"")))</f>
        <v>2025 3rd Domestic Trial</v>
      </c>
      <c r="P4" s="8">
        <f t="shared" ref="P4:P9" si="10">IF(MAX(BU4,BV4)&gt;0,MAX(BU4,BV4),0)</f>
        <v>1.1400000000000077</v>
      </c>
      <c r="Q4" s="11" t="str">
        <f t="shared" ref="Q4:Q9" si="11">IF(P4=0,"",IF(P4=BU4,"("&amp;BU$2&amp;")",IF(P4=BV4,"("&amp;BV$2&amp;")")))</f>
        <v>(Voluntary)</v>
      </c>
      <c r="R4" s="8" t="str">
        <f t="shared" ref="R4:R9" si="12">IF(P4=0,"",IF(P4=BU4,IF(P4+MIN(L4,N4)=MAX(VA4,0),$UE$1,IF(P4+MIN(L4,N4)=MAX(TS4,0),$SW$1,IF(P4+MIN(L4,N4)=MAX(SK4,0),$RO$1,IF(P4+MIN(L4,N4)=MAX(RC4,0),$QG$1,IF(P4+MIN(L4,N4)=MAX(PU4,0),$OY$1,IF(P4+MIN(L4,N4)=MAX(OM4,0),$NQ$1,IF(P4+MIN(L4,N4)=MAX(NE4,0),$MI$1,IF(P4+MIN(L4,N4)=MAX(LW4,0),$LA$1,IF(P4+MIN(L4,N4)=MAX(KO4,0),$JS$1,IF(P4+MIN(L4,N4)=MAX(JG4,0),$IK$1,IF(P4+MIN(L4,N4)=MAX(HY4,0),$HC$1,IF(P4+MIN(L4,N4)=MAX(GQ4,0),$FU$1,IF(P4+MIN(L4,N4)=MAX(FI4,0),$EM$1,IF(P4+MIN(L4,N4)=MAX(EA4,0),$DE$1,IF(P4+MIN(L4,N4)=MAX(CS4,0),$BW$1))))))))))))))),IF(P4+MIN(L4,N4)=MAX(VD4,VH4,VK4),$UE$1,IF(P4+MIN(L4,N4)=MAX(TV4,TZ4,UC4),$SW$1,IF(P4+MIN(L4,N4)=MAX(SN4,SR4,SU4),$RO$1,IF(P4+MIN(L4,N4)=MAX(RF4,RJ4,RM4),$QG$1,IF(P4+MIN(L4,N4)=MAX(PX4,QB4,QE4),$OY$1,IF(P4+MIN(L4,N4)=MAX(OP4,OT4,OW4),$NQ$1,IF(P4+MIN(L4,N4)=MAX(NH4,NL4,NO4),$MI$1,IF(P4+MIN(L4,N4)=MAX(LZ4,MD4,MG4),$LA$1,IF(P4+MIN(L4,N4)=MAX(KR4,KV4,KY4),$JS$1,IF(P4+MIN(L4,N4)=MAX(JJ4,JN4,JQ4),$IK$1,IF(P4+MIN(L4,N4)=MAX(IB4,IF4,II4),$HC$1,IF(P4+MIN(L4,N4)=MAX(GT4,GX4,HA4),$FU$1,IF(P4+MIN(L4,N4)=MAX(FL4,FP4,FS4),$EM$1,IF(P4+MIN(L4,N4)=MAX(ED4,EH4,EK4),$DE$1,IF(P4+MIN(L4,N4)=MAX(CV4,CZ4,DC4),$BW$1)))))))))))))))))</f>
        <v>2025 WAGC (Nov 16)</v>
      </c>
      <c r="S4" s="18">
        <v>16</v>
      </c>
      <c r="T4" s="18">
        <v>9.3000000000000007</v>
      </c>
      <c r="U4" s="18">
        <v>0</v>
      </c>
      <c r="V4" s="18">
        <v>15.18</v>
      </c>
      <c r="W4" s="18">
        <v>0</v>
      </c>
      <c r="X4" s="18">
        <v>4.2</v>
      </c>
      <c r="Y4" s="18">
        <v>2.5</v>
      </c>
      <c r="Z4" s="18">
        <v>4.3</v>
      </c>
      <c r="AA4" s="18">
        <v>4.5599999999999996</v>
      </c>
      <c r="AB4" s="18">
        <v>0</v>
      </c>
      <c r="AC4" s="18">
        <v>13.1</v>
      </c>
      <c r="AD4" s="18">
        <v>9.1</v>
      </c>
      <c r="AE4" s="18">
        <v>13.6</v>
      </c>
      <c r="AF4" s="18">
        <v>14.83</v>
      </c>
      <c r="AG4" s="18">
        <v>0</v>
      </c>
      <c r="AH4" s="23"/>
      <c r="AI4" s="34" t="str">
        <f t="shared" ref="AI4:AJ9" si="13">IF(U4&gt;0,U4,"")</f>
        <v/>
      </c>
      <c r="AJ4" s="34">
        <f t="shared" si="13"/>
        <v>15.18</v>
      </c>
      <c r="AK4" s="36">
        <f t="shared" ref="AK4:AK9" si="14">IF(SUM(S4:V4)-W4&gt;0,SUM(S4:V4)-W4,"")</f>
        <v>40.480000000000004</v>
      </c>
      <c r="AL4" s="36">
        <f t="shared" ref="AL4:AM9" si="15">IF(Z4&gt;0,Z4,"")</f>
        <v>4.3</v>
      </c>
      <c r="AM4" s="36">
        <f t="shared" si="15"/>
        <v>4.5599999999999996</v>
      </c>
      <c r="AN4" s="36">
        <f t="shared" ref="AN4:AN9" si="16">IF(SUM(X4:AA4)-AB4&gt;0,SUM(X4:AA4)-AB4,"")</f>
        <v>15.559999999999999</v>
      </c>
      <c r="AO4" s="36">
        <f t="shared" ref="AO4:AO9" si="17">IF(AK4="","",SUM(AK4,AN4))</f>
        <v>56.040000000000006</v>
      </c>
      <c r="AP4" s="36">
        <f t="shared" ref="AP4:AQ9" si="18">IF(AE4&gt;0,AE4,"")</f>
        <v>13.6</v>
      </c>
      <c r="AQ4" s="36">
        <f t="shared" si="18"/>
        <v>14.83</v>
      </c>
      <c r="AR4" s="36">
        <f t="shared" ref="AR4:AR9" si="19">IF(SUM(AC4:AF4)-AG4&gt;0,SUM(AC4:AF4)-AG4,"")</f>
        <v>50.629999999999995</v>
      </c>
      <c r="AS4" s="36">
        <f t="shared" ref="AS4:AS9" si="20">IF(SUM(AO4,AR4)&gt;0,SUM(AO4,AR4),"")</f>
        <v>106.67</v>
      </c>
      <c r="AT4" s="22">
        <v>16.5</v>
      </c>
      <c r="AU4" s="22">
        <v>9.4</v>
      </c>
      <c r="AV4" s="22">
        <v>0</v>
      </c>
      <c r="AW4" s="22">
        <v>15.51</v>
      </c>
      <c r="AX4" s="22">
        <v>0</v>
      </c>
      <c r="AY4" s="22">
        <v>13.4</v>
      </c>
      <c r="AZ4" s="22">
        <v>8.8000000000000007</v>
      </c>
      <c r="BA4" s="22">
        <v>13</v>
      </c>
      <c r="BB4" s="22">
        <v>15.58</v>
      </c>
      <c r="BC4" s="22">
        <v>0</v>
      </c>
      <c r="BD4" s="22">
        <v>11.7</v>
      </c>
      <c r="BE4" s="22">
        <v>9.1999999999999993</v>
      </c>
      <c r="BF4" s="22">
        <v>12.1</v>
      </c>
      <c r="BG4" s="22">
        <v>15.21</v>
      </c>
      <c r="BH4" s="22">
        <v>0.2</v>
      </c>
      <c r="BI4" s="24"/>
      <c r="BJ4" s="35" t="str">
        <f t="shared" ref="BJ4:BK9" si="21">IF(AV4&gt;0,AV4,"")</f>
        <v/>
      </c>
      <c r="BK4" s="35">
        <f t="shared" si="21"/>
        <v>15.51</v>
      </c>
      <c r="BL4" s="11">
        <f t="shared" ref="BL4:BL9" si="22">IF(SUM(AT4:AW4)-AX4&gt;0,SUM(AT4:AW4)-AX4,"")</f>
        <v>41.41</v>
      </c>
      <c r="BM4" s="11">
        <f t="shared" ref="BM4:BN9" si="23">IF(BA4&gt;0,BA4,"")</f>
        <v>13</v>
      </c>
      <c r="BN4" s="11">
        <f t="shared" si="23"/>
        <v>15.58</v>
      </c>
      <c r="BO4" s="11">
        <f t="shared" ref="BO4:BO9" si="24">IF(SUM(AY4:BB4)-BC4&gt;0,SUM(AY4:BB4)-BC4,"")</f>
        <v>50.78</v>
      </c>
      <c r="BP4" s="11">
        <f t="shared" ref="BP4:BP9" si="25">IF(BL4="","",SUM(BL4,BO4))</f>
        <v>92.19</v>
      </c>
      <c r="BQ4" s="11">
        <f t="shared" ref="BQ4:BR9" si="26">IF(BF4&gt;0,BF4,"")</f>
        <v>12.1</v>
      </c>
      <c r="BR4" s="11">
        <f t="shared" si="26"/>
        <v>15.21</v>
      </c>
      <c r="BS4" s="11">
        <f t="shared" ref="BS4:BS9" si="27">IF(SUM(BD4:BG4)-BH4&gt;0,SUM(BD4:BG4)-BH4,"")</f>
        <v>48.01</v>
      </c>
      <c r="BT4" s="11">
        <f t="shared" ref="BT4:BT9" si="28">IF(SUM(BP4,BS4)&gt;0,SUM(BP4,BS4),"")</f>
        <v>140.19999999999999</v>
      </c>
      <c r="BU4" s="47" t="str">
        <f t="shared" ref="BU4:BU9" si="29">IF(MAX(CS4,EA4,FI4,GQ4,HY4,JG4,KO4,LW4,NE4,OM4,PU4,RC4,SK4,TS4,VA4)-IF(J4="",0,J4)&gt;0.001,MAX(CS4,EA4,FI4,GQ4,HY4,JG4,KO4,LW4,NE4,OM4,PU4,RC4,SK4,TS4,VA4)-IF(J4="",0,J4),"")</f>
        <v/>
      </c>
      <c r="BV4" s="47">
        <f t="shared" ref="BV4:BV9" si="30">IF(MAX(CV4,CZ4,DC4,ED4,EH4,EK4,FL4,FP4,FS4,GT4,GX4,HA4,IB4,IF4,II4,JJ4,JN4,JQ4,KR4,KV4,KY4,LZ4,MD4,MG4,NH4,NL4,NO4,OP4,OT4,OW4,PX4,QB4,QE4,RF4,RJ4,RM4,SN4,SR4,SU4,TV4,TZ4,UC4,VD4,VH4,VK4)-MIN(L4,N4)&gt;0.001,MAX(CV4,CZ4,DC4,ED4,EH4,EK4,FL4,FP4,FS4,GT4,GX4,HA4,IB4,IF4,II4,JJ4,JN4,JQ4,KR4,KV4,KY4,LZ4,MD4,MG4,NH4,NL4,NO4,OP4,OT4,OW4,PX4,QB4,QE4,RF4,RJ4,RM4,SN4,SR4,SU4,TV4,TZ4,UC4,VD4,VH4,VK4)-MIN(L4,N4),"")</f>
        <v>1.1400000000000077</v>
      </c>
      <c r="BW4" s="15">
        <v>16.100000000000001</v>
      </c>
      <c r="BX4" s="15">
        <v>9.1999999999999993</v>
      </c>
      <c r="BY4" s="15">
        <v>0</v>
      </c>
      <c r="BZ4" s="15">
        <v>15.68</v>
      </c>
      <c r="CA4" s="15">
        <v>0</v>
      </c>
      <c r="CB4" s="15">
        <v>13.8</v>
      </c>
      <c r="CC4" s="15">
        <v>9.3000000000000007</v>
      </c>
      <c r="CD4" s="15">
        <v>13.6</v>
      </c>
      <c r="CE4" s="15">
        <v>15.07</v>
      </c>
      <c r="CF4" s="15">
        <v>0</v>
      </c>
      <c r="CG4" s="15"/>
      <c r="CH4" s="15"/>
      <c r="CI4" s="15"/>
      <c r="CJ4" s="15"/>
      <c r="CK4" s="15"/>
      <c r="CL4" s="15"/>
      <c r="CM4" s="15"/>
      <c r="CN4" s="15"/>
      <c r="CO4" s="15"/>
      <c r="CP4" s="15"/>
      <c r="CQ4" s="36" t="str">
        <f t="shared" ref="CQ4:CR9" si="31">IF(BY4&gt;0,BY4,"")</f>
        <v/>
      </c>
      <c r="CR4" s="36">
        <f t="shared" si="31"/>
        <v>15.68</v>
      </c>
      <c r="CS4" s="36">
        <f t="shared" ref="CS4:CS9" si="32">IF(SUM(BW4:BZ4)-CA4&gt;0,SUM(BW4:BZ4)-CA4,"")</f>
        <v>40.980000000000004</v>
      </c>
      <c r="CT4" s="36">
        <f t="shared" ref="CT4:CU9" si="33">IF(CD4&gt;0,CD4,"")</f>
        <v>13.6</v>
      </c>
      <c r="CU4" s="36">
        <f t="shared" si="33"/>
        <v>15.07</v>
      </c>
      <c r="CV4" s="36">
        <f t="shared" ref="CV4:CV9" si="34">IF(SUM(CB4:CE4)-CF4&gt;0,SUM(CB4:CE4)-CF4,"")</f>
        <v>51.77</v>
      </c>
      <c r="CW4" s="36">
        <f t="shared" ref="CW4:CW9" si="35">IF(MAX(CS4,CV4)&gt;0,SUM(CS4,CV4),"")</f>
        <v>92.75</v>
      </c>
      <c r="CX4" s="36" t="str">
        <f t="shared" ref="CX4:CY9" si="36">IF(CI4&gt;0,CI4,"")</f>
        <v/>
      </c>
      <c r="CY4" s="36" t="str">
        <f t="shared" si="36"/>
        <v/>
      </c>
      <c r="CZ4" s="36" t="str">
        <f t="shared" ref="CZ4:CZ9" si="37">IF(SUM(CG4:CJ4)-CK4&gt;0,SUM(CG4:CJ4)-CK4,"")</f>
        <v/>
      </c>
      <c r="DA4" s="36" t="str">
        <f t="shared" ref="DA4:DB9" si="38">IF(CN4&gt;0,CN4,"")</f>
        <v/>
      </c>
      <c r="DB4" s="36" t="str">
        <f t="shared" si="38"/>
        <v/>
      </c>
      <c r="DC4" s="36" t="str">
        <f t="shared" ref="DC4:DC9" si="39">IF(SUM(CL4:CO4)-CP4&gt;0,SUM(CL4:CO4)-CP4,"")</f>
        <v/>
      </c>
      <c r="DD4" s="36">
        <f t="shared" ref="DD4:DD9" si="40">IF(SUM(CW4,CZ4,DC4)&gt;0,SUM(CW4,CZ4,DC4),"")</f>
        <v>92.75</v>
      </c>
      <c r="DE4" s="16"/>
      <c r="DF4" s="16"/>
      <c r="DG4" s="16"/>
      <c r="DH4" s="16"/>
      <c r="DI4" s="16"/>
      <c r="DJ4" s="16"/>
      <c r="DK4" s="16"/>
      <c r="DL4" s="16"/>
      <c r="DM4" s="16"/>
      <c r="DN4" s="16"/>
      <c r="DO4" s="16"/>
      <c r="DP4" s="16"/>
      <c r="DQ4" s="16"/>
      <c r="DR4" s="16"/>
      <c r="DS4" s="16"/>
      <c r="DT4" s="16"/>
      <c r="DU4" s="16"/>
      <c r="DV4" s="16"/>
      <c r="DW4" s="16"/>
      <c r="DX4" s="16"/>
      <c r="DY4" s="11" t="str">
        <f t="shared" ref="DY4:DZ9" si="41">IF(DG4&gt;0,DG4,"")</f>
        <v/>
      </c>
      <c r="DZ4" s="11" t="str">
        <f t="shared" si="41"/>
        <v/>
      </c>
      <c r="EA4" s="11" t="str">
        <f t="shared" ref="EA4:EA9" si="42">IF(SUM(DE4:DH4)-DI4&gt;0,SUM(DE4:DH4)-DI4,"")</f>
        <v/>
      </c>
      <c r="EB4" s="11" t="str">
        <f t="shared" ref="EB4:EC9" si="43">IF(DL4&gt;0,DL4,"")</f>
        <v/>
      </c>
      <c r="EC4" s="11" t="str">
        <f t="shared" si="43"/>
        <v/>
      </c>
      <c r="ED4" s="11" t="str">
        <f t="shared" ref="ED4:ED9" si="44">IF(SUM(DJ4:DM4)-DN4&gt;0,SUM(DJ4:DM4)-DN4,"")</f>
        <v/>
      </c>
      <c r="EE4" s="11" t="str">
        <f t="shared" ref="EE4:EE9" si="45">IF(MAX(EA4,ED4)&gt;0,SUM(EA4,ED4),"")</f>
        <v/>
      </c>
      <c r="EF4" s="11" t="str">
        <f t="shared" ref="EF4:EG9" si="46">IF(DQ4&gt;0,DQ4,"")</f>
        <v/>
      </c>
      <c r="EG4" s="11" t="str">
        <f t="shared" si="46"/>
        <v/>
      </c>
      <c r="EH4" s="11" t="str">
        <f t="shared" ref="EH4:EH9" si="47">IF(SUM(DO4:DR4)-DS4&gt;0,SUM(DO4:DR4)-DS4,"")</f>
        <v/>
      </c>
      <c r="EI4" s="11" t="str">
        <f t="shared" ref="EI4:EJ9" si="48">IF(DV4&gt;0,DV4,"")</f>
        <v/>
      </c>
      <c r="EJ4" s="11" t="str">
        <f t="shared" si="48"/>
        <v/>
      </c>
      <c r="EK4" s="11" t="str">
        <f t="shared" ref="EK4:EK9" si="49">IF(SUM(DT4:DW4)-DX4&gt;0,SUM(DT4:DW4)-DX4,"")</f>
        <v/>
      </c>
      <c r="EL4" s="11" t="str">
        <f t="shared" ref="EL4:EL9" si="50">IF(SUM(EE4,EH4,EK4)&gt;0,SUM(EE4,EH4,EK4),"")</f>
        <v/>
      </c>
      <c r="EM4" s="15"/>
      <c r="EN4" s="15"/>
      <c r="EO4" s="15"/>
      <c r="EP4" s="15"/>
      <c r="EQ4" s="15"/>
      <c r="ER4" s="15"/>
      <c r="ES4" s="15"/>
      <c r="ET4" s="15"/>
      <c r="EU4" s="15"/>
      <c r="EV4" s="15"/>
      <c r="EW4" s="15"/>
      <c r="EX4" s="15"/>
      <c r="EY4" s="15"/>
      <c r="EZ4" s="15"/>
      <c r="FA4" s="15"/>
      <c r="FB4" s="15"/>
      <c r="FC4" s="15"/>
      <c r="FD4" s="15"/>
      <c r="FE4" s="15"/>
      <c r="FF4" s="15"/>
      <c r="FG4" s="36" t="str">
        <f t="shared" ref="FG4:FH9" si="51">IF(EO4&gt;0,EO4,"")</f>
        <v/>
      </c>
      <c r="FH4" s="36" t="str">
        <f t="shared" si="51"/>
        <v/>
      </c>
      <c r="FI4" s="36" t="str">
        <f t="shared" ref="FI4:FI9" si="52">IF(SUM(EM4:EP4)-EQ4&gt;0,SUM(EM4:EP4)-EQ4,"")</f>
        <v/>
      </c>
      <c r="FJ4" s="36" t="str">
        <f t="shared" ref="FJ4:FK9" si="53">IF(ET4&gt;0,ET4,"")</f>
        <v/>
      </c>
      <c r="FK4" s="36" t="str">
        <f t="shared" si="53"/>
        <v/>
      </c>
      <c r="FL4" s="36" t="str">
        <f t="shared" ref="FL4:FL9" si="54">IF(SUM(ER4:EU4)-EV4&gt;0,SUM(ER4:EU4)-EV4,"")</f>
        <v/>
      </c>
      <c r="FM4" s="36" t="str">
        <f t="shared" ref="FM4:FM9" si="55">IF(MAX(FI4,FL4)&gt;0,SUM(FI4,FL4),"")</f>
        <v/>
      </c>
      <c r="FN4" s="36" t="str">
        <f t="shared" ref="FN4:FO9" si="56">IF(EY4&gt;0,EY4,"")</f>
        <v/>
      </c>
      <c r="FO4" s="36" t="str">
        <f t="shared" si="56"/>
        <v/>
      </c>
      <c r="FP4" s="36" t="str">
        <f t="shared" ref="FP4:FP9" si="57">IF(SUM(EW4:EZ4)-FA4&gt;0,SUM(EW4:EZ4)-FA4,"")</f>
        <v/>
      </c>
      <c r="FQ4" s="36" t="str">
        <f t="shared" ref="FQ4:FR9" si="58">IF(FD4&gt;0,FD4,"")</f>
        <v/>
      </c>
      <c r="FR4" s="36" t="str">
        <f t="shared" si="58"/>
        <v/>
      </c>
      <c r="FS4" s="36" t="str">
        <f t="shared" ref="FS4:FS9" si="59">IF(SUM(FB4:FE4)-FF4&gt;0,SUM(FB4:FE4)-FF4,"")</f>
        <v/>
      </c>
      <c r="FT4" s="36" t="str">
        <f t="shared" ref="FT4:FT9" si="60">IF(SUM(FM4,FP4,FS4)&gt;0,SUM(FM4,FP4,FS4),"")</f>
        <v/>
      </c>
      <c r="FU4" s="16"/>
      <c r="FV4" s="16"/>
      <c r="FW4" s="16"/>
      <c r="FX4" s="16"/>
      <c r="FY4" s="16"/>
      <c r="FZ4" s="16"/>
      <c r="GA4" s="16"/>
      <c r="GB4" s="16"/>
      <c r="GC4" s="16"/>
      <c r="GD4" s="16"/>
      <c r="GE4" s="16"/>
      <c r="GF4" s="16"/>
      <c r="GG4" s="16"/>
      <c r="GH4" s="16"/>
      <c r="GI4" s="16"/>
      <c r="GJ4" s="16"/>
      <c r="GK4" s="16"/>
      <c r="GL4" s="16"/>
      <c r="GM4" s="16"/>
      <c r="GN4" s="16"/>
      <c r="GO4" s="11" t="str">
        <f t="shared" ref="GO4:GP9" si="61">IF(FW4&gt;0,FW4,"")</f>
        <v/>
      </c>
      <c r="GP4" s="11" t="str">
        <f t="shared" si="61"/>
        <v/>
      </c>
      <c r="GQ4" s="11" t="str">
        <f t="shared" ref="GQ4:GQ9" si="62">IF(SUM(FU4:FX4)-FY4&gt;0,SUM(FU4:FX4)-FY4,"")</f>
        <v/>
      </c>
      <c r="GR4" s="11" t="str">
        <f t="shared" ref="GR4:GS9" si="63">IF(GB4&gt;0,GB4,"")</f>
        <v/>
      </c>
      <c r="GS4" s="11" t="str">
        <f t="shared" si="63"/>
        <v/>
      </c>
      <c r="GT4" s="11" t="str">
        <f t="shared" ref="GT4:GT9" si="64">IF(SUM(FZ4:GC4)-GD4&gt;0,SUM(FZ4:GC4)-GD4,"")</f>
        <v/>
      </c>
      <c r="GU4" s="11" t="str">
        <f t="shared" ref="GU4:GU9" si="65">IF(MAX(GQ4,GT4)&gt;0,SUM(GQ4,GT4),"")</f>
        <v/>
      </c>
      <c r="GV4" s="11" t="str">
        <f t="shared" ref="GV4:GW9" si="66">IF(GG4&gt;0,GG4,"")</f>
        <v/>
      </c>
      <c r="GW4" s="11" t="str">
        <f t="shared" si="66"/>
        <v/>
      </c>
      <c r="GX4" s="11" t="str">
        <f t="shared" ref="GX4:GX9" si="67">IF(SUM(GE4:GH4)-GI4&gt;0,SUM(GE4:GH4)-GI4,"")</f>
        <v/>
      </c>
      <c r="GY4" s="11" t="str">
        <f t="shared" ref="GY4:GZ9" si="68">IF(GL4&gt;0,GL4,"")</f>
        <v/>
      </c>
      <c r="GZ4" s="11" t="str">
        <f t="shared" si="68"/>
        <v/>
      </c>
      <c r="HA4" s="11" t="str">
        <f t="shared" ref="HA4:HA9" si="69">IF(SUM(GJ4:GM4)-GN4&gt;0,SUM(GJ4:GM4)-GN4,"")</f>
        <v/>
      </c>
      <c r="HB4" s="11" t="str">
        <f t="shared" ref="HB4:HB9" si="70">IF(SUM(GU4,GX4,HA4)&gt;0,SUM(GU4,GX4,HA4),"")</f>
        <v/>
      </c>
      <c r="HC4" s="15"/>
      <c r="HD4" s="15"/>
      <c r="HE4" s="15"/>
      <c r="HF4" s="15"/>
      <c r="HG4" s="15"/>
      <c r="HH4" s="15"/>
      <c r="HI4" s="15"/>
      <c r="HJ4" s="15"/>
      <c r="HK4" s="15"/>
      <c r="HL4" s="15"/>
      <c r="HM4" s="15"/>
      <c r="HN4" s="15"/>
      <c r="HO4" s="15"/>
      <c r="HP4" s="15"/>
      <c r="HQ4" s="15"/>
      <c r="HR4" s="15"/>
      <c r="HS4" s="15"/>
      <c r="HT4" s="15"/>
      <c r="HU4" s="15"/>
      <c r="HV4" s="15"/>
      <c r="HW4" s="36" t="str">
        <f t="shared" ref="HW4:HX9" si="71">IF(HE4&gt;0,HE4,"")</f>
        <v/>
      </c>
      <c r="HX4" s="36" t="str">
        <f t="shared" si="71"/>
        <v/>
      </c>
      <c r="HY4" s="36" t="str">
        <f t="shared" ref="HY4:HY9" si="72">IF(SUM(HC4:HF4)-HG4&gt;0,SUM(HC4:HF4)-HG4,"")</f>
        <v/>
      </c>
      <c r="HZ4" s="36" t="str">
        <f t="shared" ref="HZ4:IA9" si="73">IF(HJ4&gt;0,HJ4,"")</f>
        <v/>
      </c>
      <c r="IA4" s="36" t="str">
        <f t="shared" si="73"/>
        <v/>
      </c>
      <c r="IB4" s="36" t="str">
        <f t="shared" ref="IB4:IB9" si="74">IF(SUM(HH4:HK4)-HL4&gt;0,SUM(HH4:HK4)-HL4,"")</f>
        <v/>
      </c>
      <c r="IC4" s="36" t="str">
        <f t="shared" ref="IC4:IC9" si="75">IF(MAX(HY4,IB4)&gt;0,SUM(HY4,IB4),"")</f>
        <v/>
      </c>
      <c r="ID4" s="36" t="str">
        <f t="shared" ref="ID4:IE9" si="76">IF(HO4&gt;0,HO4,"")</f>
        <v/>
      </c>
      <c r="IE4" s="36" t="str">
        <f t="shared" si="76"/>
        <v/>
      </c>
      <c r="IF4" s="36" t="str">
        <f t="shared" ref="IF4:IF9" si="77">IF(SUM(HM4:HP4)-HQ4&gt;0,SUM(HM4:HP4)-HQ4,"")</f>
        <v/>
      </c>
      <c r="IG4" s="36" t="str">
        <f t="shared" ref="IG4:IH9" si="78">IF(HT4&gt;0,HT4,"")</f>
        <v/>
      </c>
      <c r="IH4" s="36" t="str">
        <f t="shared" si="78"/>
        <v/>
      </c>
      <c r="II4" s="36" t="str">
        <f t="shared" ref="II4:II9" si="79">IF(SUM(HR4:HU4)-HV4&gt;0,SUM(HR4:HU4)-HV4,"")</f>
        <v/>
      </c>
      <c r="IJ4" s="36" t="str">
        <f t="shared" ref="IJ4:IJ9" si="80">IF(SUM(IC4,IF4,II4)&gt;0,SUM(IC4,IF4,II4),"")</f>
        <v/>
      </c>
      <c r="IK4" s="16"/>
      <c r="IL4" s="16"/>
      <c r="IM4" s="16"/>
      <c r="IN4" s="16"/>
      <c r="IO4" s="16"/>
      <c r="IP4" s="16"/>
      <c r="IQ4" s="16"/>
      <c r="IR4" s="16"/>
      <c r="IS4" s="16"/>
      <c r="IT4" s="16"/>
      <c r="IU4" s="16"/>
      <c r="IV4" s="16"/>
      <c r="IW4" s="16"/>
      <c r="IX4" s="16"/>
      <c r="IY4" s="16"/>
      <c r="IZ4" s="16"/>
      <c r="JA4" s="16"/>
      <c r="JB4" s="16"/>
      <c r="JC4" s="16"/>
      <c r="JD4" s="16"/>
      <c r="JE4" s="11" t="str">
        <f t="shared" ref="JE4:JF9" si="81">IF(IM4&gt;0,IM4,"")</f>
        <v/>
      </c>
      <c r="JF4" s="11" t="str">
        <f t="shared" si="81"/>
        <v/>
      </c>
      <c r="JG4" s="11" t="str">
        <f t="shared" ref="JG4:JG9" si="82">IF(SUM(IK4:IN4)-IO4&gt;0,SUM(IK4:IN4)-IO4,"")</f>
        <v/>
      </c>
      <c r="JH4" s="11" t="str">
        <f t="shared" ref="JH4:JI9" si="83">IF(IR4&gt;0,IR4,"")</f>
        <v/>
      </c>
      <c r="JI4" s="11" t="str">
        <f t="shared" si="83"/>
        <v/>
      </c>
      <c r="JJ4" s="11" t="str">
        <f t="shared" ref="JJ4:JJ9" si="84">IF(SUM(IP4:IS4)-IT4&gt;0,SUM(IP4:IS4)-IT4,"")</f>
        <v/>
      </c>
      <c r="JK4" s="11" t="str">
        <f t="shared" ref="JK4:JK9" si="85">IF(MAX(JG4,JJ4)&gt;0,SUM(JG4,JJ4),"")</f>
        <v/>
      </c>
      <c r="JL4" s="11" t="str">
        <f t="shared" ref="JL4:JM9" si="86">IF(IW4&gt;0,IW4,"")</f>
        <v/>
      </c>
      <c r="JM4" s="11" t="str">
        <f t="shared" si="86"/>
        <v/>
      </c>
      <c r="JN4" s="11" t="str">
        <f t="shared" ref="JN4:JN9" si="87">IF(SUM(IU4:IX4)-IY4&gt;0,SUM(IU4:IX4)-IY4,"")</f>
        <v/>
      </c>
      <c r="JO4" s="11" t="str">
        <f t="shared" ref="JO4:JP9" si="88">IF(JB4&gt;0,JB4,"")</f>
        <v/>
      </c>
      <c r="JP4" s="11" t="str">
        <f t="shared" si="88"/>
        <v/>
      </c>
      <c r="JQ4" s="11" t="str">
        <f t="shared" ref="JQ4:JQ9" si="89">IF(SUM(IZ4:JC4)-JD4&gt;0,SUM(IZ4:JC4)-JD4,"")</f>
        <v/>
      </c>
      <c r="JR4" s="11" t="str">
        <f t="shared" ref="JR4:JR9" si="90">IF(SUM(JK4,JN4,JQ4)&gt;0,SUM(JK4,JN4,JQ4),"")</f>
        <v/>
      </c>
      <c r="JS4" s="15"/>
      <c r="JT4" s="15"/>
      <c r="JU4" s="15"/>
      <c r="JV4" s="15"/>
      <c r="JW4" s="15"/>
      <c r="JX4" s="15"/>
      <c r="JY4" s="15"/>
      <c r="JZ4" s="15"/>
      <c r="KA4" s="15"/>
      <c r="KB4" s="15"/>
      <c r="KC4" s="15"/>
      <c r="KD4" s="15"/>
      <c r="KE4" s="15"/>
      <c r="KF4" s="15"/>
      <c r="KG4" s="15"/>
      <c r="KH4" s="15"/>
      <c r="KI4" s="15"/>
      <c r="KJ4" s="15"/>
      <c r="KK4" s="15"/>
      <c r="KL4" s="15"/>
      <c r="KM4" s="36" t="str">
        <f t="shared" ref="KM4:KN9" si="91">IF(JU4&gt;0,JU4,"")</f>
        <v/>
      </c>
      <c r="KN4" s="36" t="str">
        <f t="shared" si="91"/>
        <v/>
      </c>
      <c r="KO4" s="36" t="str">
        <f t="shared" ref="KO4:KO9" si="92">IF(SUM(JS4:JV4)-JW4&gt;0,SUM(JS4:JV4)-JW4,"")</f>
        <v/>
      </c>
      <c r="KP4" s="36" t="str">
        <f t="shared" ref="KP4:KQ9" si="93">IF(JZ4&gt;0,JZ4,"")</f>
        <v/>
      </c>
      <c r="KQ4" s="36" t="str">
        <f t="shared" si="93"/>
        <v/>
      </c>
      <c r="KR4" s="36" t="str">
        <f t="shared" ref="KR4:KR9" si="94">IF(SUM(JX4:KA4)-KB4&gt;0,SUM(JX4:KA4)-KB4,"")</f>
        <v/>
      </c>
      <c r="KS4" s="36" t="str">
        <f t="shared" ref="KS4:KS9" si="95">IF(MAX(KO4,KR4)&gt;0,SUM(KO4,KR4),"")</f>
        <v/>
      </c>
      <c r="KT4" s="36" t="str">
        <f t="shared" ref="KT4:KU9" si="96">IF(KE4&gt;0,KE4,"")</f>
        <v/>
      </c>
      <c r="KU4" s="36" t="str">
        <f t="shared" si="96"/>
        <v/>
      </c>
      <c r="KV4" s="36" t="str">
        <f t="shared" ref="KV4:KV9" si="97">IF(SUM(KC4:KF4)-KG4&gt;0,SUM(KC4:KF4)-KG4,"")</f>
        <v/>
      </c>
      <c r="KW4" s="36" t="str">
        <f t="shared" ref="KW4:KX9" si="98">IF(KJ4&gt;0,KJ4,"")</f>
        <v/>
      </c>
      <c r="KX4" s="36" t="str">
        <f t="shared" si="98"/>
        <v/>
      </c>
      <c r="KY4" s="36" t="str">
        <f t="shared" ref="KY4:KY9" si="99">IF(SUM(KH4:KK4)-KL4&gt;0,SUM(KH4:KK4)-KL4,"")</f>
        <v/>
      </c>
      <c r="KZ4" s="36" t="str">
        <f t="shared" ref="KZ4:KZ9" si="100">IF(SUM(KS4,KV4,KY4)&gt;0,SUM(KS4,KV4,KY4),"")</f>
        <v/>
      </c>
      <c r="LA4" s="16"/>
      <c r="LB4" s="16"/>
      <c r="LC4" s="16"/>
      <c r="LD4" s="16"/>
      <c r="LE4" s="16"/>
      <c r="LF4" s="16"/>
      <c r="LG4" s="16"/>
      <c r="LH4" s="16"/>
      <c r="LI4" s="16"/>
      <c r="LJ4" s="16"/>
      <c r="LK4" s="16"/>
      <c r="LL4" s="16"/>
      <c r="LM4" s="16"/>
      <c r="LN4" s="16"/>
      <c r="LO4" s="16"/>
      <c r="LP4" s="16"/>
      <c r="LQ4" s="16"/>
      <c r="LR4" s="16"/>
      <c r="LS4" s="16"/>
      <c r="LT4" s="16"/>
      <c r="LU4" s="11" t="str">
        <f t="shared" ref="LU4:LV9" si="101">IF(LC4&gt;0,LC4,"")</f>
        <v/>
      </c>
      <c r="LV4" s="11" t="str">
        <f t="shared" si="101"/>
        <v/>
      </c>
      <c r="LW4" s="11" t="str">
        <f t="shared" ref="LW4:LW9" si="102">IF(SUM(LA4:LD4)-LE4&gt;0,SUM(LA4:LD4)-LE4,"")</f>
        <v/>
      </c>
      <c r="LX4" s="11" t="str">
        <f t="shared" ref="LX4:LY9" si="103">IF(LH4&gt;0,LH4,"")</f>
        <v/>
      </c>
      <c r="LY4" s="11" t="str">
        <f t="shared" si="103"/>
        <v/>
      </c>
      <c r="LZ4" s="11" t="str">
        <f t="shared" ref="LZ4:LZ9" si="104">IF(SUM(LF4:LI4)-LJ4&gt;0,SUM(LF4:LI4)-LJ4,"")</f>
        <v/>
      </c>
      <c r="MA4" s="11" t="str">
        <f t="shared" ref="MA4:MA9" si="105">IF(MAX(LW4,LZ4)&gt;0,SUM(LW4,LZ4),"")</f>
        <v/>
      </c>
      <c r="MB4" s="11" t="str">
        <f t="shared" ref="MB4:MC9" si="106">IF(LM4&gt;0,LM4,"")</f>
        <v/>
      </c>
      <c r="MC4" s="11" t="str">
        <f t="shared" si="106"/>
        <v/>
      </c>
      <c r="MD4" s="11" t="str">
        <f t="shared" ref="MD4:MD9" si="107">IF(SUM(LK4:LN4)-LO4&gt;0,SUM(LK4:LN4)-LO4,"")</f>
        <v/>
      </c>
      <c r="ME4" s="11" t="str">
        <f t="shared" ref="ME4:MF9" si="108">IF(LR4&gt;0,LR4,"")</f>
        <v/>
      </c>
      <c r="MF4" s="11" t="str">
        <f t="shared" si="108"/>
        <v/>
      </c>
      <c r="MG4" s="11" t="str">
        <f t="shared" ref="MG4:MG9" si="109">IF(SUM(LP4:LS4)-LT4&gt;0,SUM(LP4:LS4)-LT4,"")</f>
        <v/>
      </c>
      <c r="MH4" s="11" t="str">
        <f t="shared" ref="MH4:MH9" si="110">IF(SUM(MA4,MD4,MG4)&gt;0,SUM(MA4,MD4,MG4),"")</f>
        <v/>
      </c>
      <c r="MI4" s="15"/>
      <c r="MJ4" s="15"/>
      <c r="MK4" s="15"/>
      <c r="ML4" s="15"/>
      <c r="MM4" s="15"/>
      <c r="MN4" s="15"/>
      <c r="MO4" s="15"/>
      <c r="MP4" s="15"/>
      <c r="MQ4" s="15"/>
      <c r="MR4" s="15"/>
      <c r="MS4" s="15"/>
      <c r="MT4" s="15"/>
      <c r="MU4" s="15"/>
      <c r="MV4" s="15"/>
      <c r="MW4" s="15"/>
      <c r="MX4" s="15"/>
      <c r="MY4" s="15"/>
      <c r="MZ4" s="15"/>
      <c r="NA4" s="15"/>
      <c r="NB4" s="15"/>
      <c r="NC4" s="36" t="str">
        <f t="shared" ref="NC4:ND9" si="111">IF(MK4&gt;0,MK4,"")</f>
        <v/>
      </c>
      <c r="ND4" s="36" t="str">
        <f t="shared" si="111"/>
        <v/>
      </c>
      <c r="NE4" s="36" t="str">
        <f t="shared" ref="NE4:NE9" si="112">IF(SUM(MI4:ML4)-MM4&gt;0,SUM(MI4:ML4)-MM4,"")</f>
        <v/>
      </c>
      <c r="NF4" s="36" t="str">
        <f t="shared" ref="NF4:NG9" si="113">IF(MP4&gt;0,MP4,"")</f>
        <v/>
      </c>
      <c r="NG4" s="36" t="str">
        <f t="shared" si="113"/>
        <v/>
      </c>
      <c r="NH4" s="36" t="str">
        <f t="shared" ref="NH4:NH9" si="114">IF(SUM(MN4:MQ4)-MR4&gt;0,SUM(MN4:MQ4)-MR4,"")</f>
        <v/>
      </c>
      <c r="NI4" s="36" t="str">
        <f t="shared" ref="NI4:NI9" si="115">IF(MAX(NE4,NH4)&gt;0,SUM(NE4,NH4),"")</f>
        <v/>
      </c>
      <c r="NJ4" s="36" t="str">
        <f t="shared" ref="NJ4:NK9" si="116">IF(MU4&gt;0,MU4,"")</f>
        <v/>
      </c>
      <c r="NK4" s="36" t="str">
        <f t="shared" si="116"/>
        <v/>
      </c>
      <c r="NL4" s="36" t="str">
        <f t="shared" ref="NL4:NL9" si="117">IF(SUM(MS4:MV4)-MW4&gt;0,SUM(MS4:MV4)-MW4,"")</f>
        <v/>
      </c>
      <c r="NM4" s="36" t="str">
        <f t="shared" ref="NM4:NN9" si="118">IF(MZ4&gt;0,MZ4,"")</f>
        <v/>
      </c>
      <c r="NN4" s="36" t="str">
        <f t="shared" si="118"/>
        <v/>
      </c>
      <c r="NO4" s="36" t="str">
        <f t="shared" ref="NO4:NO9" si="119">IF(SUM(MX4:NA4)-NB4&gt;0,SUM(MX4:NA4)-NB4,"")</f>
        <v/>
      </c>
      <c r="NP4" s="36" t="str">
        <f t="shared" ref="NP4:NP9" si="120">IF(SUM(NI4,NL4,NO4)&gt;0,SUM(NI4,NL4,NO4),"")</f>
        <v/>
      </c>
      <c r="NQ4" s="16"/>
      <c r="NR4" s="16"/>
      <c r="NS4" s="16"/>
      <c r="NT4" s="16"/>
      <c r="NU4" s="16"/>
      <c r="NV4" s="16"/>
      <c r="NW4" s="16"/>
      <c r="NX4" s="16"/>
      <c r="NY4" s="16"/>
      <c r="NZ4" s="16"/>
      <c r="OA4" s="16"/>
      <c r="OB4" s="16"/>
      <c r="OC4" s="16"/>
      <c r="OD4" s="16"/>
      <c r="OE4" s="16"/>
      <c r="OF4" s="16"/>
      <c r="OG4" s="16"/>
      <c r="OH4" s="16"/>
      <c r="OI4" s="16"/>
      <c r="OJ4" s="16"/>
      <c r="OK4" s="11" t="str">
        <f t="shared" ref="OK4:OL9" si="121">IF(NS4&gt;0,NS4,"")</f>
        <v/>
      </c>
      <c r="OL4" s="11" t="str">
        <f t="shared" si="121"/>
        <v/>
      </c>
      <c r="OM4" s="11" t="str">
        <f t="shared" ref="OM4:OM9" si="122">IF(SUM(NQ4:NT4)-NU4&gt;0,SUM(NQ4:NT4)-NU4,"")</f>
        <v/>
      </c>
      <c r="ON4" s="11" t="str">
        <f t="shared" ref="ON4:OO9" si="123">IF(NX4&gt;0,NX4,"")</f>
        <v/>
      </c>
      <c r="OO4" s="11" t="str">
        <f t="shared" si="123"/>
        <v/>
      </c>
      <c r="OP4" s="11" t="str">
        <f t="shared" ref="OP4:OP9" si="124">IF(SUM(NV4:NY4)-NZ4&gt;0,SUM(NV4:NY4)-NZ4,"")</f>
        <v/>
      </c>
      <c r="OQ4" s="11" t="str">
        <f t="shared" ref="OQ4:OQ9" si="125">IF(MAX(OM4,OP4)&gt;0,SUM(OM4,OP4),"")</f>
        <v/>
      </c>
      <c r="OR4" s="11" t="str">
        <f t="shared" ref="OR4:OS9" si="126">IF(OC4&gt;0,OC4,"")</f>
        <v/>
      </c>
      <c r="OS4" s="11" t="str">
        <f t="shared" si="126"/>
        <v/>
      </c>
      <c r="OT4" s="11" t="str">
        <f t="shared" ref="OT4:OT9" si="127">IF(SUM(OA4:OD4)-OE4&gt;0,SUM(OA4:OD4)-OE4,"")</f>
        <v/>
      </c>
      <c r="OU4" s="11" t="str">
        <f t="shared" ref="OU4:OV9" si="128">IF(OH4&gt;0,OH4,"")</f>
        <v/>
      </c>
      <c r="OV4" s="11" t="str">
        <f t="shared" si="128"/>
        <v/>
      </c>
      <c r="OW4" s="11" t="str">
        <f t="shared" ref="OW4:OW9" si="129">IF(SUM(OF4:OI4)-OJ4&gt;0,SUM(OF4:OI4)-OJ4,"")</f>
        <v/>
      </c>
      <c r="OX4" s="11" t="str">
        <f t="shared" ref="OX4:OX9" si="130">IF(SUM(OQ4,OT4,OW4)&gt;0,SUM(OQ4,OT4,OW4),"")</f>
        <v/>
      </c>
      <c r="OY4" s="15"/>
      <c r="OZ4" s="15"/>
      <c r="PA4" s="15"/>
      <c r="PB4" s="15"/>
      <c r="PC4" s="15"/>
      <c r="PD4" s="15"/>
      <c r="PE4" s="15"/>
      <c r="PF4" s="15"/>
      <c r="PG4" s="15"/>
      <c r="PH4" s="15"/>
      <c r="PI4" s="15"/>
      <c r="PJ4" s="15"/>
      <c r="PK4" s="15"/>
      <c r="PL4" s="15"/>
      <c r="PM4" s="15"/>
      <c r="PN4" s="15"/>
      <c r="PO4" s="15"/>
      <c r="PP4" s="15"/>
      <c r="PQ4" s="15"/>
      <c r="PR4" s="15"/>
      <c r="PS4" s="36" t="str">
        <f t="shared" ref="PS4:PT9" si="131">IF(PA4&gt;0,PA4,"")</f>
        <v/>
      </c>
      <c r="PT4" s="36" t="str">
        <f t="shared" si="131"/>
        <v/>
      </c>
      <c r="PU4" s="36" t="str">
        <f t="shared" ref="PU4:PU9" si="132">IF(SUM(OY4:PB4)-PC4&gt;0,SUM(OY4:PB4)-PC4,"")</f>
        <v/>
      </c>
      <c r="PV4" s="36" t="str">
        <f t="shared" ref="PV4:PW9" si="133">IF(PF4&gt;0,PF4,"")</f>
        <v/>
      </c>
      <c r="PW4" s="36" t="str">
        <f t="shared" si="133"/>
        <v/>
      </c>
      <c r="PX4" s="36" t="str">
        <f t="shared" ref="PX4:PX9" si="134">IF(SUM(PD4:PG4)-PH4&gt;0,SUM(PD4:PG4)-PH4,"")</f>
        <v/>
      </c>
      <c r="PY4" s="36" t="str">
        <f t="shared" ref="PY4:PY9" si="135">IF(MAX(PU4,PX4)&gt;0,SUM(PU4,PX4),"")</f>
        <v/>
      </c>
      <c r="PZ4" s="36" t="str">
        <f t="shared" ref="PZ4:QA9" si="136">IF(PK4&gt;0,PK4,"")</f>
        <v/>
      </c>
      <c r="QA4" s="36" t="str">
        <f t="shared" si="136"/>
        <v/>
      </c>
      <c r="QB4" s="36" t="str">
        <f t="shared" ref="QB4:QB9" si="137">IF(SUM(PI4:PL4)-PM4&gt;0,SUM(PI4:PL4)-PM4,"")</f>
        <v/>
      </c>
      <c r="QC4" s="36" t="str">
        <f t="shared" ref="QC4:QD9" si="138">IF(PP4&gt;0,PP4,"")</f>
        <v/>
      </c>
      <c r="QD4" s="36" t="str">
        <f t="shared" si="138"/>
        <v/>
      </c>
      <c r="QE4" s="36" t="str">
        <f t="shared" ref="QE4:QE9" si="139">IF(SUM(PN4:PQ4)-PR4&gt;0,SUM(PN4:PQ4)-PR4,"")</f>
        <v/>
      </c>
      <c r="QF4" s="36" t="str">
        <f t="shared" ref="QF4:QF9" si="140">IF(SUM(PY4,QB4,QE4)&gt;0,SUM(PY4,QB4,QE4),"")</f>
        <v/>
      </c>
      <c r="QG4" s="16"/>
      <c r="QH4" s="16"/>
      <c r="QI4" s="16"/>
      <c r="QJ4" s="16"/>
      <c r="QK4" s="16"/>
      <c r="QL4" s="16"/>
      <c r="QM4" s="16"/>
      <c r="QN4" s="16"/>
      <c r="QO4" s="16"/>
      <c r="QP4" s="16"/>
      <c r="QQ4" s="16"/>
      <c r="QR4" s="16"/>
      <c r="QS4" s="16"/>
      <c r="QT4" s="16"/>
      <c r="QU4" s="16"/>
      <c r="QV4" s="16"/>
      <c r="QW4" s="16"/>
      <c r="QX4" s="16"/>
      <c r="QY4" s="16"/>
      <c r="QZ4" s="16"/>
      <c r="RA4" s="11" t="str">
        <f t="shared" ref="RA4:RB9" si="141">IF(QI4&gt;0,QI4,"")</f>
        <v/>
      </c>
      <c r="RB4" s="11" t="str">
        <f t="shared" si="141"/>
        <v/>
      </c>
      <c r="RC4" s="11" t="str">
        <f t="shared" ref="RC4:RC9" si="142">IF(SUM(QG4:QJ4)-QK4&gt;0,SUM(QG4:QJ4)-QK4,"")</f>
        <v/>
      </c>
      <c r="RD4" s="11" t="str">
        <f t="shared" ref="RD4:RE9" si="143">IF(QN4&gt;0,QN4,"")</f>
        <v/>
      </c>
      <c r="RE4" s="11" t="str">
        <f t="shared" si="143"/>
        <v/>
      </c>
      <c r="RF4" s="11" t="str">
        <f t="shared" ref="RF4:RF9" si="144">IF(SUM(QL4:QO4)-QP4&gt;0,SUM(QL4:QO4)-QP4,"")</f>
        <v/>
      </c>
      <c r="RG4" s="11" t="str">
        <f t="shared" ref="RG4:RG9" si="145">IF(MAX(RC4,RF4)&gt;0,SUM(RC4,RF4),"")</f>
        <v/>
      </c>
      <c r="RH4" s="11" t="str">
        <f t="shared" ref="RH4:RI9" si="146">IF(QS4&gt;0,QS4,"")</f>
        <v/>
      </c>
      <c r="RI4" s="11" t="str">
        <f t="shared" si="146"/>
        <v/>
      </c>
      <c r="RJ4" s="11" t="str">
        <f t="shared" ref="RJ4:RJ9" si="147">IF(SUM(QQ4:QT4)-QU4&gt;0,SUM(QQ4:QT4)-QU4,"")</f>
        <v/>
      </c>
      <c r="RK4" s="11" t="str">
        <f t="shared" ref="RK4:RL9" si="148">IF(QX4&gt;0,QX4,"")</f>
        <v/>
      </c>
      <c r="RL4" s="11" t="str">
        <f t="shared" si="148"/>
        <v/>
      </c>
      <c r="RM4" s="11" t="str">
        <f t="shared" ref="RM4:RM9" si="149">IF(SUM(QV4:QY4)-QZ4&gt;0,SUM(QV4:QY4)-QZ4,"")</f>
        <v/>
      </c>
      <c r="RN4" s="11" t="str">
        <f t="shared" ref="RN4:RN9" si="150">IF(SUM(RG4,RJ4,RM4)&gt;0,SUM(RG4,RJ4,RM4),"")</f>
        <v/>
      </c>
      <c r="RO4" s="15"/>
      <c r="RP4" s="15"/>
      <c r="RQ4" s="15"/>
      <c r="RR4" s="15"/>
      <c r="RS4" s="15"/>
      <c r="RT4" s="15"/>
      <c r="RU4" s="15"/>
      <c r="RV4" s="15"/>
      <c r="RW4" s="15"/>
      <c r="RX4" s="15"/>
      <c r="RY4" s="15"/>
      <c r="RZ4" s="15"/>
      <c r="SA4" s="15"/>
      <c r="SB4" s="15"/>
      <c r="SC4" s="15"/>
      <c r="SD4" s="15"/>
      <c r="SE4" s="15"/>
      <c r="SF4" s="15"/>
      <c r="SG4" s="15"/>
      <c r="SH4" s="15"/>
      <c r="SI4" s="36" t="str">
        <f t="shared" ref="SI4:SJ9" si="151">IF(RQ4&gt;0,RQ4,"")</f>
        <v/>
      </c>
      <c r="SJ4" s="36" t="str">
        <f t="shared" si="151"/>
        <v/>
      </c>
      <c r="SK4" s="36" t="str">
        <f t="shared" ref="SK4:SK9" si="152">IF(SUM(RO4:RR4)-RS4&gt;0,SUM(RO4:RR4)-RS4,"")</f>
        <v/>
      </c>
      <c r="SL4" s="36" t="str">
        <f t="shared" ref="SL4:SM9" si="153">IF(RV4&gt;0,RV4,"")</f>
        <v/>
      </c>
      <c r="SM4" s="36" t="str">
        <f t="shared" si="153"/>
        <v/>
      </c>
      <c r="SN4" s="36" t="str">
        <f t="shared" ref="SN4:SN9" si="154">IF(SUM(RT4:RW4)-RX4&gt;0,SUM(RT4:RW4)-RX4,"")</f>
        <v/>
      </c>
      <c r="SO4" s="36" t="str">
        <f t="shared" ref="SO4:SO9" si="155">IF(MAX(SK4,SN4)&gt;0,SUM(SK4,SN4),"")</f>
        <v/>
      </c>
      <c r="SP4" s="36" t="str">
        <f t="shared" ref="SP4:SQ9" si="156">IF(SA4&gt;0,SA4,"")</f>
        <v/>
      </c>
      <c r="SQ4" s="36" t="str">
        <f t="shared" si="156"/>
        <v/>
      </c>
      <c r="SR4" s="36" t="str">
        <f t="shared" ref="SR4:SR9" si="157">IF(SUM(RY4:SB4)-SC4&gt;0,SUM(RY4:SB4)-SC4,"")</f>
        <v/>
      </c>
      <c r="SS4" s="36" t="str">
        <f t="shared" ref="SS4:ST9" si="158">IF(SF4&gt;0,SF4,"")</f>
        <v/>
      </c>
      <c r="ST4" s="36" t="str">
        <f t="shared" si="158"/>
        <v/>
      </c>
      <c r="SU4" s="36" t="str">
        <f t="shared" ref="SU4:SU9" si="159">IF(SUM(SD4:SG4)-SH4&gt;0,SUM(SD4:SG4)-SH4,"")</f>
        <v/>
      </c>
      <c r="SV4" s="36" t="str">
        <f t="shared" ref="SV4:SV9" si="160">IF(SUM(SO4,SR4,SU4)&gt;0,SUM(SO4,SR4,SU4),"")</f>
        <v/>
      </c>
      <c r="SW4" s="16"/>
      <c r="SX4" s="16"/>
      <c r="SY4" s="16"/>
      <c r="SZ4" s="16"/>
      <c r="TA4" s="16"/>
      <c r="TB4" s="16"/>
      <c r="TC4" s="16"/>
      <c r="TD4" s="16"/>
      <c r="TE4" s="16"/>
      <c r="TF4" s="16"/>
      <c r="TG4" s="16"/>
      <c r="TH4" s="16"/>
      <c r="TI4" s="16"/>
      <c r="TJ4" s="16"/>
      <c r="TK4" s="16"/>
      <c r="TL4" s="16"/>
      <c r="TM4" s="16"/>
      <c r="TN4" s="16"/>
      <c r="TO4" s="16"/>
      <c r="TP4" s="16"/>
      <c r="TQ4" s="11" t="str">
        <f t="shared" ref="TQ4:TR9" si="161">IF(SY4&gt;0,SY4,"")</f>
        <v/>
      </c>
      <c r="TR4" s="11" t="str">
        <f t="shared" si="161"/>
        <v/>
      </c>
      <c r="TS4" s="11" t="str">
        <f t="shared" ref="TS4:TS9" si="162">IF(SUM(SW4:SZ4)-TA4&gt;0,SUM(SW4:SZ4)-TA4,"")</f>
        <v/>
      </c>
      <c r="TT4" s="11" t="str">
        <f t="shared" ref="TT4:TU9" si="163">IF(TD4&gt;0,TD4,"")</f>
        <v/>
      </c>
      <c r="TU4" s="11" t="str">
        <f t="shared" si="163"/>
        <v/>
      </c>
      <c r="TV4" s="11" t="str">
        <f t="shared" ref="TV4:TV9" si="164">IF(SUM(TB4:TE4)-TF4&gt;0,SUM(TB4:TE4)-TF4,"")</f>
        <v/>
      </c>
      <c r="TW4" s="11" t="str">
        <f t="shared" ref="TW4:TW9" si="165">IF(MAX(TS4,TV4)&gt;0,SUM(TS4,TV4),"")</f>
        <v/>
      </c>
      <c r="TX4" s="11" t="str">
        <f t="shared" ref="TX4:TY9" si="166">IF(TI4&gt;0,TI4,"")</f>
        <v/>
      </c>
      <c r="TY4" s="11" t="str">
        <f t="shared" si="166"/>
        <v/>
      </c>
      <c r="TZ4" s="11" t="str">
        <f t="shared" ref="TZ4:TZ9" si="167">IF(SUM(TG4:TJ4)-TK4&gt;0,SUM(TG4:TJ4)-TK4,"")</f>
        <v/>
      </c>
      <c r="UA4" s="11" t="str">
        <f t="shared" ref="UA4:UB9" si="168">IF(TN4&gt;0,TN4,"")</f>
        <v/>
      </c>
      <c r="UB4" s="11" t="str">
        <f t="shared" si="168"/>
        <v/>
      </c>
      <c r="UC4" s="11" t="str">
        <f t="shared" ref="UC4:UC9" si="169">IF(SUM(TL4:TO4)-TP4&gt;0,SUM(TL4:TO4)-TP4,"")</f>
        <v/>
      </c>
      <c r="UD4" s="11" t="str">
        <f t="shared" ref="UD4:UD9" si="170">IF(SUM(TW4,TZ4,UC4)&gt;0,SUM(TW4,TZ4,UC4),"")</f>
        <v/>
      </c>
      <c r="UE4" s="15"/>
      <c r="UF4" s="15"/>
      <c r="UG4" s="15"/>
      <c r="UH4" s="15"/>
      <c r="UI4" s="15"/>
      <c r="UJ4" s="15"/>
      <c r="UK4" s="15"/>
      <c r="UL4" s="15"/>
      <c r="UM4" s="15"/>
      <c r="UN4" s="15"/>
      <c r="UO4" s="15"/>
      <c r="UP4" s="15"/>
      <c r="UQ4" s="15"/>
      <c r="UR4" s="15"/>
      <c r="US4" s="15"/>
      <c r="UT4" s="15"/>
      <c r="UU4" s="15"/>
      <c r="UV4" s="15"/>
      <c r="UW4" s="15"/>
      <c r="UX4" s="15"/>
      <c r="UY4" s="36" t="str">
        <f t="shared" ref="UY4:UZ9" si="171">IF(UG4&gt;0,UG4,"")</f>
        <v/>
      </c>
      <c r="UZ4" s="36" t="str">
        <f t="shared" si="171"/>
        <v/>
      </c>
      <c r="VA4" s="36" t="str">
        <f t="shared" ref="VA4:VA9" si="172">IF(SUM(UE4:UH4)-UI4&gt;0,SUM(UE4:UH4)-UI4,"")</f>
        <v/>
      </c>
      <c r="VB4" s="36" t="str">
        <f t="shared" ref="VB4:VC9" si="173">IF(UL4&gt;0,UL4,"")</f>
        <v/>
      </c>
      <c r="VC4" s="36" t="str">
        <f t="shared" si="173"/>
        <v/>
      </c>
      <c r="VD4" s="36" t="str">
        <f t="shared" ref="VD4:VD9" si="174">IF(SUM(UJ4:UM4)-UN4&gt;0,SUM(UJ4:UM4)-UN4,"")</f>
        <v/>
      </c>
      <c r="VE4" s="36" t="str">
        <f t="shared" ref="VE4:VE9" si="175">IF(MAX(VA4,VD4)&gt;0,SUM(VA4,VD4),"")</f>
        <v/>
      </c>
      <c r="VF4" s="36" t="str">
        <f t="shared" ref="VF4:VG9" si="176">IF(UQ4&gt;0,UQ4,"")</f>
        <v/>
      </c>
      <c r="VG4" s="36" t="str">
        <f t="shared" si="176"/>
        <v/>
      </c>
      <c r="VH4" s="36" t="str">
        <f t="shared" ref="VH4:VH9" si="177">IF(SUM(UO4:UR4)-US4&gt;0,SUM(UO4:UR4)-US4,"")</f>
        <v/>
      </c>
      <c r="VI4" s="36" t="str">
        <f t="shared" ref="VI4:VJ9" si="178">IF(UV4&gt;0,UV4,"")</f>
        <v/>
      </c>
      <c r="VJ4" s="36" t="str">
        <f t="shared" si="178"/>
        <v/>
      </c>
      <c r="VK4" s="36" t="str">
        <f t="shared" ref="VK4:VK9" si="179">IF(SUM(UT4:UW4)-UX4&gt;0,SUM(UT4:UW4)-UX4,"")</f>
        <v/>
      </c>
      <c r="VL4" s="36" t="str">
        <f t="shared" ref="VL4:VL9" si="180">IF(SUM(VE4,VH4,VK4)&gt;0,SUM(VE4,VH4,VK4),"")</f>
        <v/>
      </c>
    </row>
    <row r="5" spans="1:584" x14ac:dyDescent="0.2">
      <c r="A5" s="4" t="str" cm="1">
        <f t="array" ref="A5">IF(AND(H5&lt;&gt;"",H5&lt;&gt;"No DD"),SUMPRODUCT((H$4:H$10&lt;&gt;"")*(H$4:H$10&lt;&gt;"No DD")*(E$4:E$10&gt;E5))+1,IF(H5="No DD",SUMPRODUCT((H$4:H$10="No DD")*(E$4:E$10&gt;E5))+1+SUMPRODUCT((H$4:H$10&lt;&gt;"")*(H$4:H$10&lt;&gt;"No DD")),""))</f>
        <v/>
      </c>
      <c r="B5" s="5" t="s">
        <v>224</v>
      </c>
      <c r="C5" s="4" t="s">
        <v>6</v>
      </c>
      <c r="D5" s="4">
        <v>2012</v>
      </c>
      <c r="E5" s="9">
        <f t="shared" si="0"/>
        <v>141.14001397600489</v>
      </c>
      <c r="F5" s="3" t="str">
        <f t="shared" si="1"/>
        <v/>
      </c>
      <c r="G5" s="3" t="str">
        <f t="shared" si="2"/>
        <v/>
      </c>
      <c r="H5" s="32" t="str">
        <f t="shared" si="3"/>
        <v/>
      </c>
      <c r="I5" s="3"/>
      <c r="J5" s="8">
        <f t="shared" si="4"/>
        <v>40.89</v>
      </c>
      <c r="K5" s="8" t="str">
        <f t="shared" si="5"/>
        <v>2025 Nationals</v>
      </c>
      <c r="L5" s="8">
        <f t="shared" si="6"/>
        <v>49.180000000000007</v>
      </c>
      <c r="M5" s="8" t="str">
        <f t="shared" si="7"/>
        <v>2025 Nationals</v>
      </c>
      <c r="N5" s="8">
        <f t="shared" si="8"/>
        <v>49.69</v>
      </c>
      <c r="O5" s="8" t="str">
        <f t="shared" si="9"/>
        <v>2025 Nationals</v>
      </c>
      <c r="P5" s="8">
        <f t="shared" si="10"/>
        <v>1.3799999999999955</v>
      </c>
      <c r="Q5" s="11" t="str">
        <f t="shared" si="11"/>
        <v>(Voluntary)</v>
      </c>
      <c r="R5" s="8" t="str">
        <f t="shared" si="12"/>
        <v>2025 WAGC (Nov 16)</v>
      </c>
      <c r="S5" s="18">
        <v>17.8</v>
      </c>
      <c r="T5" s="18">
        <v>9.1</v>
      </c>
      <c r="U5" s="18">
        <v>0</v>
      </c>
      <c r="V5" s="18">
        <v>13.99</v>
      </c>
      <c r="W5" s="18">
        <v>0</v>
      </c>
      <c r="X5" s="18">
        <v>15.5</v>
      </c>
      <c r="Y5" s="18">
        <v>9.3000000000000007</v>
      </c>
      <c r="Z5" s="18">
        <v>10.9</v>
      </c>
      <c r="AA5" s="18">
        <v>13.48</v>
      </c>
      <c r="AB5" s="18">
        <v>0</v>
      </c>
      <c r="AC5" s="18">
        <v>15.8</v>
      </c>
      <c r="AD5" s="18">
        <v>9.6</v>
      </c>
      <c r="AE5" s="18">
        <v>10.9</v>
      </c>
      <c r="AF5" s="18">
        <v>13.39</v>
      </c>
      <c r="AG5" s="18">
        <v>0</v>
      </c>
      <c r="AH5" s="23"/>
      <c r="AI5" s="34" t="str">
        <f t="shared" si="13"/>
        <v/>
      </c>
      <c r="AJ5" s="34">
        <f t="shared" si="13"/>
        <v>13.99</v>
      </c>
      <c r="AK5" s="36">
        <f t="shared" si="14"/>
        <v>40.89</v>
      </c>
      <c r="AL5" s="36">
        <f t="shared" si="15"/>
        <v>10.9</v>
      </c>
      <c r="AM5" s="36">
        <f t="shared" si="15"/>
        <v>13.48</v>
      </c>
      <c r="AN5" s="36">
        <f t="shared" si="16"/>
        <v>49.180000000000007</v>
      </c>
      <c r="AO5" s="36">
        <f t="shared" si="17"/>
        <v>90.070000000000007</v>
      </c>
      <c r="AP5" s="36">
        <f t="shared" si="18"/>
        <v>10.9</v>
      </c>
      <c r="AQ5" s="36">
        <f t="shared" si="18"/>
        <v>13.39</v>
      </c>
      <c r="AR5" s="36">
        <f t="shared" si="19"/>
        <v>49.69</v>
      </c>
      <c r="AS5" s="36">
        <f t="shared" si="20"/>
        <v>139.76</v>
      </c>
      <c r="AT5" s="22"/>
      <c r="AU5" s="22"/>
      <c r="AV5" s="22"/>
      <c r="AW5" s="22"/>
      <c r="AX5" s="22"/>
      <c r="AY5" s="22"/>
      <c r="AZ5" s="22"/>
      <c r="BA5" s="22"/>
      <c r="BB5" s="22"/>
      <c r="BC5" s="22"/>
      <c r="BD5" s="22"/>
      <c r="BE5" s="22"/>
      <c r="BF5" s="22"/>
      <c r="BG5" s="22"/>
      <c r="BH5" s="22"/>
      <c r="BI5" s="24"/>
      <c r="BJ5" s="35" t="str">
        <f t="shared" si="21"/>
        <v/>
      </c>
      <c r="BK5" s="35" t="str">
        <f t="shared" si="21"/>
        <v/>
      </c>
      <c r="BL5" s="11" t="str">
        <f t="shared" si="22"/>
        <v/>
      </c>
      <c r="BM5" s="11" t="str">
        <f t="shared" si="23"/>
        <v/>
      </c>
      <c r="BN5" s="11" t="str">
        <f t="shared" si="23"/>
        <v/>
      </c>
      <c r="BO5" s="11" t="str">
        <f t="shared" si="24"/>
        <v/>
      </c>
      <c r="BP5" s="11" t="str">
        <f t="shared" si="25"/>
        <v/>
      </c>
      <c r="BQ5" s="11" t="str">
        <f t="shared" si="26"/>
        <v/>
      </c>
      <c r="BR5" s="11" t="str">
        <f t="shared" si="26"/>
        <v/>
      </c>
      <c r="BS5" s="11" t="str">
        <f t="shared" si="27"/>
        <v/>
      </c>
      <c r="BT5" s="11" t="str">
        <f t="shared" si="28"/>
        <v/>
      </c>
      <c r="BU5" s="47">
        <f t="shared" si="29"/>
        <v>0.64000000000000057</v>
      </c>
      <c r="BV5" s="47">
        <f t="shared" si="30"/>
        <v>1.3799999999999955</v>
      </c>
      <c r="BW5" s="15">
        <v>17.3</v>
      </c>
      <c r="BX5" s="15">
        <v>9.6</v>
      </c>
      <c r="BY5" s="15">
        <v>14.63</v>
      </c>
      <c r="BZ5" s="15">
        <v>0</v>
      </c>
      <c r="CA5" s="15">
        <v>0</v>
      </c>
      <c r="CB5" s="15">
        <v>15.3</v>
      </c>
      <c r="CC5" s="15">
        <v>9.5</v>
      </c>
      <c r="CD5" s="15">
        <v>11.8</v>
      </c>
      <c r="CE5" s="15">
        <v>13.96</v>
      </c>
      <c r="CF5" s="15">
        <v>0</v>
      </c>
      <c r="CG5" s="15"/>
      <c r="CH5" s="15"/>
      <c r="CI5" s="15"/>
      <c r="CJ5" s="15"/>
      <c r="CK5" s="15"/>
      <c r="CL5" s="15"/>
      <c r="CM5" s="15"/>
      <c r="CN5" s="15"/>
      <c r="CO5" s="15"/>
      <c r="CP5" s="15"/>
      <c r="CQ5" s="36">
        <f t="shared" si="31"/>
        <v>14.63</v>
      </c>
      <c r="CR5" s="36" t="str">
        <f t="shared" si="31"/>
        <v/>
      </c>
      <c r="CS5" s="36">
        <f t="shared" si="32"/>
        <v>41.53</v>
      </c>
      <c r="CT5" s="36">
        <f t="shared" si="33"/>
        <v>11.8</v>
      </c>
      <c r="CU5" s="36">
        <f t="shared" si="33"/>
        <v>13.96</v>
      </c>
      <c r="CV5" s="36">
        <f t="shared" si="34"/>
        <v>50.56</v>
      </c>
      <c r="CW5" s="36">
        <f t="shared" si="35"/>
        <v>92.09</v>
      </c>
      <c r="CX5" s="36" t="str">
        <f t="shared" si="36"/>
        <v/>
      </c>
      <c r="CY5" s="36" t="str">
        <f t="shared" si="36"/>
        <v/>
      </c>
      <c r="CZ5" s="36" t="str">
        <f t="shared" si="37"/>
        <v/>
      </c>
      <c r="DA5" s="36" t="str">
        <f t="shared" si="38"/>
        <v/>
      </c>
      <c r="DB5" s="36" t="str">
        <f t="shared" si="38"/>
        <v/>
      </c>
      <c r="DC5" s="36" t="str">
        <f t="shared" si="39"/>
        <v/>
      </c>
      <c r="DD5" s="36">
        <f t="shared" si="40"/>
        <v>92.09</v>
      </c>
      <c r="DE5" s="16"/>
      <c r="DF5" s="16"/>
      <c r="DG5" s="16"/>
      <c r="DH5" s="16"/>
      <c r="DI5" s="16"/>
      <c r="DJ5" s="16"/>
      <c r="DK5" s="16"/>
      <c r="DL5" s="16"/>
      <c r="DM5" s="16"/>
      <c r="DN5" s="16"/>
      <c r="DO5" s="16"/>
      <c r="DP5" s="16"/>
      <c r="DQ5" s="16"/>
      <c r="DR5" s="16"/>
      <c r="DS5" s="16"/>
      <c r="DT5" s="16"/>
      <c r="DU5" s="16"/>
      <c r="DV5" s="16"/>
      <c r="DW5" s="16"/>
      <c r="DX5" s="16"/>
      <c r="DY5" s="11" t="str">
        <f t="shared" si="41"/>
        <v/>
      </c>
      <c r="DZ5" s="11" t="str">
        <f t="shared" si="41"/>
        <v/>
      </c>
      <c r="EA5" s="11" t="str">
        <f t="shared" si="42"/>
        <v/>
      </c>
      <c r="EB5" s="11" t="str">
        <f t="shared" si="43"/>
        <v/>
      </c>
      <c r="EC5" s="11" t="str">
        <f t="shared" si="43"/>
        <v/>
      </c>
      <c r="ED5" s="11" t="str">
        <f t="shared" si="44"/>
        <v/>
      </c>
      <c r="EE5" s="11" t="str">
        <f t="shared" si="45"/>
        <v/>
      </c>
      <c r="EF5" s="11" t="str">
        <f t="shared" si="46"/>
        <v/>
      </c>
      <c r="EG5" s="11" t="str">
        <f t="shared" si="46"/>
        <v/>
      </c>
      <c r="EH5" s="11" t="str">
        <f t="shared" si="47"/>
        <v/>
      </c>
      <c r="EI5" s="11" t="str">
        <f t="shared" si="48"/>
        <v/>
      </c>
      <c r="EJ5" s="11" t="str">
        <f t="shared" si="48"/>
        <v/>
      </c>
      <c r="EK5" s="11" t="str">
        <f t="shared" si="49"/>
        <v/>
      </c>
      <c r="EL5" s="11" t="str">
        <f t="shared" si="50"/>
        <v/>
      </c>
      <c r="EM5" s="15"/>
      <c r="EN5" s="15"/>
      <c r="EO5" s="15"/>
      <c r="EP5" s="15"/>
      <c r="EQ5" s="15"/>
      <c r="ER5" s="15"/>
      <c r="ES5" s="15"/>
      <c r="ET5" s="15"/>
      <c r="EU5" s="15"/>
      <c r="EV5" s="15"/>
      <c r="EW5" s="15"/>
      <c r="EX5" s="15"/>
      <c r="EY5" s="15"/>
      <c r="EZ5" s="15"/>
      <c r="FA5" s="15"/>
      <c r="FB5" s="15"/>
      <c r="FC5" s="15"/>
      <c r="FD5" s="15"/>
      <c r="FE5" s="15"/>
      <c r="FF5" s="15"/>
      <c r="FG5" s="36" t="str">
        <f t="shared" si="51"/>
        <v/>
      </c>
      <c r="FH5" s="36" t="str">
        <f t="shared" si="51"/>
        <v/>
      </c>
      <c r="FI5" s="36" t="str">
        <f t="shared" si="52"/>
        <v/>
      </c>
      <c r="FJ5" s="36" t="str">
        <f t="shared" si="53"/>
        <v/>
      </c>
      <c r="FK5" s="36" t="str">
        <f t="shared" si="53"/>
        <v/>
      </c>
      <c r="FL5" s="36" t="str">
        <f t="shared" si="54"/>
        <v/>
      </c>
      <c r="FM5" s="36" t="str">
        <f t="shared" si="55"/>
        <v/>
      </c>
      <c r="FN5" s="36" t="str">
        <f t="shared" si="56"/>
        <v/>
      </c>
      <c r="FO5" s="36" t="str">
        <f t="shared" si="56"/>
        <v/>
      </c>
      <c r="FP5" s="36" t="str">
        <f t="shared" si="57"/>
        <v/>
      </c>
      <c r="FQ5" s="36" t="str">
        <f t="shared" si="58"/>
        <v/>
      </c>
      <c r="FR5" s="36" t="str">
        <f t="shared" si="58"/>
        <v/>
      </c>
      <c r="FS5" s="36" t="str">
        <f t="shared" si="59"/>
        <v/>
      </c>
      <c r="FT5" s="36" t="str">
        <f t="shared" si="60"/>
        <v/>
      </c>
      <c r="FU5" s="16"/>
      <c r="FV5" s="16"/>
      <c r="FW5" s="16"/>
      <c r="FX5" s="16"/>
      <c r="FY5" s="16"/>
      <c r="FZ5" s="16"/>
      <c r="GA5" s="16"/>
      <c r="GB5" s="16"/>
      <c r="GC5" s="16"/>
      <c r="GD5" s="16"/>
      <c r="GE5" s="16"/>
      <c r="GF5" s="16"/>
      <c r="GG5" s="16"/>
      <c r="GH5" s="16"/>
      <c r="GI5" s="16"/>
      <c r="GJ5" s="16"/>
      <c r="GK5" s="16"/>
      <c r="GL5" s="16"/>
      <c r="GM5" s="16"/>
      <c r="GN5" s="16"/>
      <c r="GO5" s="11" t="str">
        <f t="shared" si="61"/>
        <v/>
      </c>
      <c r="GP5" s="11" t="str">
        <f t="shared" si="61"/>
        <v/>
      </c>
      <c r="GQ5" s="11" t="str">
        <f t="shared" si="62"/>
        <v/>
      </c>
      <c r="GR5" s="11" t="str">
        <f t="shared" si="63"/>
        <v/>
      </c>
      <c r="GS5" s="11" t="str">
        <f t="shared" si="63"/>
        <v/>
      </c>
      <c r="GT5" s="11" t="str">
        <f t="shared" si="64"/>
        <v/>
      </c>
      <c r="GU5" s="11" t="str">
        <f t="shared" si="65"/>
        <v/>
      </c>
      <c r="GV5" s="11" t="str">
        <f t="shared" si="66"/>
        <v/>
      </c>
      <c r="GW5" s="11" t="str">
        <f t="shared" si="66"/>
        <v/>
      </c>
      <c r="GX5" s="11" t="str">
        <f t="shared" si="67"/>
        <v/>
      </c>
      <c r="GY5" s="11" t="str">
        <f t="shared" si="68"/>
        <v/>
      </c>
      <c r="GZ5" s="11" t="str">
        <f t="shared" si="68"/>
        <v/>
      </c>
      <c r="HA5" s="11" t="str">
        <f t="shared" si="69"/>
        <v/>
      </c>
      <c r="HB5" s="11" t="str">
        <f t="shared" si="70"/>
        <v/>
      </c>
      <c r="HC5" s="15"/>
      <c r="HD5" s="15"/>
      <c r="HE5" s="15"/>
      <c r="HF5" s="15"/>
      <c r="HG5" s="15"/>
      <c r="HH5" s="15"/>
      <c r="HI5" s="15"/>
      <c r="HJ5" s="15"/>
      <c r="HK5" s="15"/>
      <c r="HL5" s="15"/>
      <c r="HM5" s="15"/>
      <c r="HN5" s="15"/>
      <c r="HO5" s="15"/>
      <c r="HP5" s="15"/>
      <c r="HQ5" s="15"/>
      <c r="HR5" s="15"/>
      <c r="HS5" s="15"/>
      <c r="HT5" s="15"/>
      <c r="HU5" s="15"/>
      <c r="HV5" s="15"/>
      <c r="HW5" s="36" t="str">
        <f t="shared" si="71"/>
        <v/>
      </c>
      <c r="HX5" s="36" t="str">
        <f t="shared" si="71"/>
        <v/>
      </c>
      <c r="HY5" s="36" t="str">
        <f t="shared" si="72"/>
        <v/>
      </c>
      <c r="HZ5" s="36" t="str">
        <f t="shared" si="73"/>
        <v/>
      </c>
      <c r="IA5" s="36" t="str">
        <f t="shared" si="73"/>
        <v/>
      </c>
      <c r="IB5" s="36" t="str">
        <f t="shared" si="74"/>
        <v/>
      </c>
      <c r="IC5" s="36" t="str">
        <f t="shared" si="75"/>
        <v/>
      </c>
      <c r="ID5" s="36" t="str">
        <f t="shared" si="76"/>
        <v/>
      </c>
      <c r="IE5" s="36" t="str">
        <f t="shared" si="76"/>
        <v/>
      </c>
      <c r="IF5" s="36" t="str">
        <f t="shared" si="77"/>
        <v/>
      </c>
      <c r="IG5" s="36" t="str">
        <f t="shared" si="78"/>
        <v/>
      </c>
      <c r="IH5" s="36" t="str">
        <f t="shared" si="78"/>
        <v/>
      </c>
      <c r="II5" s="36" t="str">
        <f t="shared" si="79"/>
        <v/>
      </c>
      <c r="IJ5" s="36" t="str">
        <f t="shared" si="80"/>
        <v/>
      </c>
      <c r="IK5" s="16"/>
      <c r="IL5" s="16"/>
      <c r="IM5" s="16"/>
      <c r="IN5" s="16"/>
      <c r="IO5" s="16"/>
      <c r="IP5" s="16"/>
      <c r="IQ5" s="16"/>
      <c r="IR5" s="16"/>
      <c r="IS5" s="16"/>
      <c r="IT5" s="16"/>
      <c r="IU5" s="16"/>
      <c r="IV5" s="16"/>
      <c r="IW5" s="16"/>
      <c r="IX5" s="16"/>
      <c r="IY5" s="16"/>
      <c r="IZ5" s="16"/>
      <c r="JA5" s="16"/>
      <c r="JB5" s="16"/>
      <c r="JC5" s="16"/>
      <c r="JD5" s="16"/>
      <c r="JE5" s="11" t="str">
        <f t="shared" si="81"/>
        <v/>
      </c>
      <c r="JF5" s="11" t="str">
        <f t="shared" si="81"/>
        <v/>
      </c>
      <c r="JG5" s="11" t="str">
        <f t="shared" si="82"/>
        <v/>
      </c>
      <c r="JH5" s="11" t="str">
        <f t="shared" si="83"/>
        <v/>
      </c>
      <c r="JI5" s="11" t="str">
        <f t="shared" si="83"/>
        <v/>
      </c>
      <c r="JJ5" s="11" t="str">
        <f t="shared" si="84"/>
        <v/>
      </c>
      <c r="JK5" s="11" t="str">
        <f t="shared" si="85"/>
        <v/>
      </c>
      <c r="JL5" s="11" t="str">
        <f t="shared" si="86"/>
        <v/>
      </c>
      <c r="JM5" s="11" t="str">
        <f t="shared" si="86"/>
        <v/>
      </c>
      <c r="JN5" s="11" t="str">
        <f t="shared" si="87"/>
        <v/>
      </c>
      <c r="JO5" s="11" t="str">
        <f t="shared" si="88"/>
        <v/>
      </c>
      <c r="JP5" s="11" t="str">
        <f t="shared" si="88"/>
        <v/>
      </c>
      <c r="JQ5" s="11" t="str">
        <f t="shared" si="89"/>
        <v/>
      </c>
      <c r="JR5" s="11" t="str">
        <f t="shared" si="90"/>
        <v/>
      </c>
      <c r="JS5" s="15"/>
      <c r="JT5" s="15"/>
      <c r="JU5" s="15"/>
      <c r="JV5" s="15"/>
      <c r="JW5" s="15"/>
      <c r="JX5" s="15"/>
      <c r="JY5" s="15"/>
      <c r="JZ5" s="15"/>
      <c r="KA5" s="15"/>
      <c r="KB5" s="15"/>
      <c r="KC5" s="15"/>
      <c r="KD5" s="15"/>
      <c r="KE5" s="15"/>
      <c r="KF5" s="15"/>
      <c r="KG5" s="15"/>
      <c r="KH5" s="15"/>
      <c r="KI5" s="15"/>
      <c r="KJ5" s="15"/>
      <c r="KK5" s="15"/>
      <c r="KL5" s="15"/>
      <c r="KM5" s="36" t="str">
        <f t="shared" si="91"/>
        <v/>
      </c>
      <c r="KN5" s="36" t="str">
        <f t="shared" si="91"/>
        <v/>
      </c>
      <c r="KO5" s="36" t="str">
        <f t="shared" si="92"/>
        <v/>
      </c>
      <c r="KP5" s="36" t="str">
        <f t="shared" si="93"/>
        <v/>
      </c>
      <c r="KQ5" s="36" t="str">
        <f t="shared" si="93"/>
        <v/>
      </c>
      <c r="KR5" s="36" t="str">
        <f t="shared" si="94"/>
        <v/>
      </c>
      <c r="KS5" s="36" t="str">
        <f t="shared" si="95"/>
        <v/>
      </c>
      <c r="KT5" s="36" t="str">
        <f t="shared" si="96"/>
        <v/>
      </c>
      <c r="KU5" s="36" t="str">
        <f t="shared" si="96"/>
        <v/>
      </c>
      <c r="KV5" s="36" t="str">
        <f t="shared" si="97"/>
        <v/>
      </c>
      <c r="KW5" s="36" t="str">
        <f t="shared" si="98"/>
        <v/>
      </c>
      <c r="KX5" s="36" t="str">
        <f t="shared" si="98"/>
        <v/>
      </c>
      <c r="KY5" s="36" t="str">
        <f t="shared" si="99"/>
        <v/>
      </c>
      <c r="KZ5" s="36" t="str">
        <f t="shared" si="100"/>
        <v/>
      </c>
      <c r="LA5" s="16"/>
      <c r="LB5" s="16"/>
      <c r="LC5" s="16"/>
      <c r="LD5" s="16"/>
      <c r="LE5" s="16"/>
      <c r="LF5" s="16"/>
      <c r="LG5" s="16"/>
      <c r="LH5" s="16"/>
      <c r="LI5" s="16"/>
      <c r="LJ5" s="16"/>
      <c r="LK5" s="16"/>
      <c r="LL5" s="16"/>
      <c r="LM5" s="16"/>
      <c r="LN5" s="16"/>
      <c r="LO5" s="16"/>
      <c r="LP5" s="16"/>
      <c r="LQ5" s="16"/>
      <c r="LR5" s="16"/>
      <c r="LS5" s="16"/>
      <c r="LT5" s="16"/>
      <c r="LU5" s="11" t="str">
        <f t="shared" si="101"/>
        <v/>
      </c>
      <c r="LV5" s="11" t="str">
        <f t="shared" si="101"/>
        <v/>
      </c>
      <c r="LW5" s="11" t="str">
        <f t="shared" si="102"/>
        <v/>
      </c>
      <c r="LX5" s="11" t="str">
        <f t="shared" si="103"/>
        <v/>
      </c>
      <c r="LY5" s="11" t="str">
        <f t="shared" si="103"/>
        <v/>
      </c>
      <c r="LZ5" s="11" t="str">
        <f t="shared" si="104"/>
        <v/>
      </c>
      <c r="MA5" s="11" t="str">
        <f t="shared" si="105"/>
        <v/>
      </c>
      <c r="MB5" s="11" t="str">
        <f t="shared" si="106"/>
        <v/>
      </c>
      <c r="MC5" s="11" t="str">
        <f t="shared" si="106"/>
        <v/>
      </c>
      <c r="MD5" s="11" t="str">
        <f t="shared" si="107"/>
        <v/>
      </c>
      <c r="ME5" s="11" t="str">
        <f t="shared" si="108"/>
        <v/>
      </c>
      <c r="MF5" s="11" t="str">
        <f t="shared" si="108"/>
        <v/>
      </c>
      <c r="MG5" s="11" t="str">
        <f t="shared" si="109"/>
        <v/>
      </c>
      <c r="MH5" s="11" t="str">
        <f t="shared" si="110"/>
        <v/>
      </c>
      <c r="MI5" s="15"/>
      <c r="MJ5" s="15"/>
      <c r="MK5" s="15"/>
      <c r="ML5" s="15"/>
      <c r="MM5" s="15"/>
      <c r="MN5" s="15"/>
      <c r="MO5" s="15"/>
      <c r="MP5" s="15"/>
      <c r="MQ5" s="15"/>
      <c r="MR5" s="15"/>
      <c r="MS5" s="15"/>
      <c r="MT5" s="15"/>
      <c r="MU5" s="15"/>
      <c r="MV5" s="15"/>
      <c r="MW5" s="15"/>
      <c r="MX5" s="15"/>
      <c r="MY5" s="15"/>
      <c r="MZ5" s="15"/>
      <c r="NA5" s="15"/>
      <c r="NB5" s="15"/>
      <c r="NC5" s="36" t="str">
        <f t="shared" si="111"/>
        <v/>
      </c>
      <c r="ND5" s="36" t="str">
        <f t="shared" si="111"/>
        <v/>
      </c>
      <c r="NE5" s="36" t="str">
        <f t="shared" si="112"/>
        <v/>
      </c>
      <c r="NF5" s="36" t="str">
        <f t="shared" si="113"/>
        <v/>
      </c>
      <c r="NG5" s="36" t="str">
        <f t="shared" si="113"/>
        <v/>
      </c>
      <c r="NH5" s="36" t="str">
        <f t="shared" si="114"/>
        <v/>
      </c>
      <c r="NI5" s="36" t="str">
        <f t="shared" si="115"/>
        <v/>
      </c>
      <c r="NJ5" s="36" t="str">
        <f t="shared" si="116"/>
        <v/>
      </c>
      <c r="NK5" s="36" t="str">
        <f t="shared" si="116"/>
        <v/>
      </c>
      <c r="NL5" s="36" t="str">
        <f t="shared" si="117"/>
        <v/>
      </c>
      <c r="NM5" s="36" t="str">
        <f t="shared" si="118"/>
        <v/>
      </c>
      <c r="NN5" s="36" t="str">
        <f t="shared" si="118"/>
        <v/>
      </c>
      <c r="NO5" s="36" t="str">
        <f t="shared" si="119"/>
        <v/>
      </c>
      <c r="NP5" s="36" t="str">
        <f t="shared" si="120"/>
        <v/>
      </c>
      <c r="NQ5" s="16"/>
      <c r="NR5" s="16"/>
      <c r="NS5" s="16"/>
      <c r="NT5" s="16"/>
      <c r="NU5" s="16"/>
      <c r="NV5" s="16"/>
      <c r="NW5" s="16"/>
      <c r="NX5" s="16"/>
      <c r="NY5" s="16"/>
      <c r="NZ5" s="16"/>
      <c r="OA5" s="16"/>
      <c r="OB5" s="16"/>
      <c r="OC5" s="16"/>
      <c r="OD5" s="16"/>
      <c r="OE5" s="16"/>
      <c r="OF5" s="16"/>
      <c r="OG5" s="16"/>
      <c r="OH5" s="16"/>
      <c r="OI5" s="16"/>
      <c r="OJ5" s="16"/>
      <c r="OK5" s="11" t="str">
        <f t="shared" si="121"/>
        <v/>
      </c>
      <c r="OL5" s="11" t="str">
        <f t="shared" si="121"/>
        <v/>
      </c>
      <c r="OM5" s="11" t="str">
        <f t="shared" si="122"/>
        <v/>
      </c>
      <c r="ON5" s="11" t="str">
        <f t="shared" si="123"/>
        <v/>
      </c>
      <c r="OO5" s="11" t="str">
        <f t="shared" si="123"/>
        <v/>
      </c>
      <c r="OP5" s="11" t="str">
        <f t="shared" si="124"/>
        <v/>
      </c>
      <c r="OQ5" s="11" t="str">
        <f t="shared" si="125"/>
        <v/>
      </c>
      <c r="OR5" s="11" t="str">
        <f t="shared" si="126"/>
        <v/>
      </c>
      <c r="OS5" s="11" t="str">
        <f t="shared" si="126"/>
        <v/>
      </c>
      <c r="OT5" s="11" t="str">
        <f t="shared" si="127"/>
        <v/>
      </c>
      <c r="OU5" s="11" t="str">
        <f t="shared" si="128"/>
        <v/>
      </c>
      <c r="OV5" s="11" t="str">
        <f t="shared" si="128"/>
        <v/>
      </c>
      <c r="OW5" s="11" t="str">
        <f t="shared" si="129"/>
        <v/>
      </c>
      <c r="OX5" s="11" t="str">
        <f t="shared" si="130"/>
        <v/>
      </c>
      <c r="OY5" s="15"/>
      <c r="OZ5" s="15"/>
      <c r="PA5" s="15"/>
      <c r="PB5" s="15"/>
      <c r="PC5" s="15"/>
      <c r="PD5" s="15"/>
      <c r="PE5" s="15"/>
      <c r="PF5" s="15"/>
      <c r="PG5" s="15"/>
      <c r="PH5" s="15"/>
      <c r="PI5" s="15"/>
      <c r="PJ5" s="15"/>
      <c r="PK5" s="15"/>
      <c r="PL5" s="15"/>
      <c r="PM5" s="15"/>
      <c r="PN5" s="15"/>
      <c r="PO5" s="15"/>
      <c r="PP5" s="15"/>
      <c r="PQ5" s="15"/>
      <c r="PR5" s="15"/>
      <c r="PS5" s="36" t="str">
        <f t="shared" si="131"/>
        <v/>
      </c>
      <c r="PT5" s="36" t="str">
        <f t="shared" si="131"/>
        <v/>
      </c>
      <c r="PU5" s="36" t="str">
        <f t="shared" si="132"/>
        <v/>
      </c>
      <c r="PV5" s="36" t="str">
        <f t="shared" si="133"/>
        <v/>
      </c>
      <c r="PW5" s="36" t="str">
        <f t="shared" si="133"/>
        <v/>
      </c>
      <c r="PX5" s="36" t="str">
        <f t="shared" si="134"/>
        <v/>
      </c>
      <c r="PY5" s="36" t="str">
        <f t="shared" si="135"/>
        <v/>
      </c>
      <c r="PZ5" s="36" t="str">
        <f t="shared" si="136"/>
        <v/>
      </c>
      <c r="QA5" s="36" t="str">
        <f t="shared" si="136"/>
        <v/>
      </c>
      <c r="QB5" s="36" t="str">
        <f t="shared" si="137"/>
        <v/>
      </c>
      <c r="QC5" s="36" t="str">
        <f t="shared" si="138"/>
        <v/>
      </c>
      <c r="QD5" s="36" t="str">
        <f t="shared" si="138"/>
        <v/>
      </c>
      <c r="QE5" s="36" t="str">
        <f t="shared" si="139"/>
        <v/>
      </c>
      <c r="QF5" s="36" t="str">
        <f t="shared" si="140"/>
        <v/>
      </c>
      <c r="QG5" s="16"/>
      <c r="QH5" s="16"/>
      <c r="QI5" s="16"/>
      <c r="QJ5" s="16"/>
      <c r="QK5" s="16"/>
      <c r="QL5" s="16"/>
      <c r="QM5" s="16"/>
      <c r="QN5" s="16"/>
      <c r="QO5" s="16"/>
      <c r="QP5" s="16"/>
      <c r="QQ5" s="16"/>
      <c r="QR5" s="16"/>
      <c r="QS5" s="16"/>
      <c r="QT5" s="16"/>
      <c r="QU5" s="16"/>
      <c r="QV5" s="16"/>
      <c r="QW5" s="16"/>
      <c r="QX5" s="16"/>
      <c r="QY5" s="16"/>
      <c r="QZ5" s="16"/>
      <c r="RA5" s="11" t="str">
        <f t="shared" si="141"/>
        <v/>
      </c>
      <c r="RB5" s="11" t="str">
        <f t="shared" si="141"/>
        <v/>
      </c>
      <c r="RC5" s="11" t="str">
        <f t="shared" si="142"/>
        <v/>
      </c>
      <c r="RD5" s="11" t="str">
        <f t="shared" si="143"/>
        <v/>
      </c>
      <c r="RE5" s="11" t="str">
        <f t="shared" si="143"/>
        <v/>
      </c>
      <c r="RF5" s="11" t="str">
        <f t="shared" si="144"/>
        <v/>
      </c>
      <c r="RG5" s="11" t="str">
        <f t="shared" si="145"/>
        <v/>
      </c>
      <c r="RH5" s="11" t="str">
        <f t="shared" si="146"/>
        <v/>
      </c>
      <c r="RI5" s="11" t="str">
        <f t="shared" si="146"/>
        <v/>
      </c>
      <c r="RJ5" s="11" t="str">
        <f t="shared" si="147"/>
        <v/>
      </c>
      <c r="RK5" s="11" t="str">
        <f t="shared" si="148"/>
        <v/>
      </c>
      <c r="RL5" s="11" t="str">
        <f t="shared" si="148"/>
        <v/>
      </c>
      <c r="RM5" s="11" t="str">
        <f t="shared" si="149"/>
        <v/>
      </c>
      <c r="RN5" s="11" t="str">
        <f t="shared" si="150"/>
        <v/>
      </c>
      <c r="RO5" s="15"/>
      <c r="RP5" s="15"/>
      <c r="RQ5" s="15"/>
      <c r="RR5" s="15"/>
      <c r="RS5" s="15"/>
      <c r="RT5" s="15"/>
      <c r="RU5" s="15"/>
      <c r="RV5" s="15"/>
      <c r="RW5" s="15"/>
      <c r="RX5" s="15"/>
      <c r="RY5" s="15"/>
      <c r="RZ5" s="15"/>
      <c r="SA5" s="15"/>
      <c r="SB5" s="15"/>
      <c r="SC5" s="15"/>
      <c r="SD5" s="15"/>
      <c r="SE5" s="15"/>
      <c r="SF5" s="15"/>
      <c r="SG5" s="15"/>
      <c r="SH5" s="15"/>
      <c r="SI5" s="36" t="str">
        <f t="shared" si="151"/>
        <v/>
      </c>
      <c r="SJ5" s="36" t="str">
        <f t="shared" si="151"/>
        <v/>
      </c>
      <c r="SK5" s="36" t="str">
        <f t="shared" si="152"/>
        <v/>
      </c>
      <c r="SL5" s="36" t="str">
        <f t="shared" si="153"/>
        <v/>
      </c>
      <c r="SM5" s="36" t="str">
        <f t="shared" si="153"/>
        <v/>
      </c>
      <c r="SN5" s="36" t="str">
        <f t="shared" si="154"/>
        <v/>
      </c>
      <c r="SO5" s="36" t="str">
        <f t="shared" si="155"/>
        <v/>
      </c>
      <c r="SP5" s="36" t="str">
        <f t="shared" si="156"/>
        <v/>
      </c>
      <c r="SQ5" s="36" t="str">
        <f t="shared" si="156"/>
        <v/>
      </c>
      <c r="SR5" s="36" t="str">
        <f t="shared" si="157"/>
        <v/>
      </c>
      <c r="SS5" s="36" t="str">
        <f t="shared" si="158"/>
        <v/>
      </c>
      <c r="ST5" s="36" t="str">
        <f t="shared" si="158"/>
        <v/>
      </c>
      <c r="SU5" s="36" t="str">
        <f t="shared" si="159"/>
        <v/>
      </c>
      <c r="SV5" s="36" t="str">
        <f t="shared" si="160"/>
        <v/>
      </c>
      <c r="SW5" s="16"/>
      <c r="SX5" s="16"/>
      <c r="SY5" s="16"/>
      <c r="SZ5" s="16"/>
      <c r="TA5" s="16"/>
      <c r="TB5" s="16"/>
      <c r="TC5" s="16"/>
      <c r="TD5" s="16"/>
      <c r="TE5" s="16"/>
      <c r="TF5" s="16"/>
      <c r="TG5" s="16"/>
      <c r="TH5" s="16"/>
      <c r="TI5" s="16"/>
      <c r="TJ5" s="16"/>
      <c r="TK5" s="16"/>
      <c r="TL5" s="16"/>
      <c r="TM5" s="16"/>
      <c r="TN5" s="16"/>
      <c r="TO5" s="16"/>
      <c r="TP5" s="16"/>
      <c r="TQ5" s="11" t="str">
        <f t="shared" si="161"/>
        <v/>
      </c>
      <c r="TR5" s="11" t="str">
        <f t="shared" si="161"/>
        <v/>
      </c>
      <c r="TS5" s="11" t="str">
        <f t="shared" si="162"/>
        <v/>
      </c>
      <c r="TT5" s="11" t="str">
        <f t="shared" si="163"/>
        <v/>
      </c>
      <c r="TU5" s="11" t="str">
        <f t="shared" si="163"/>
        <v/>
      </c>
      <c r="TV5" s="11" t="str">
        <f t="shared" si="164"/>
        <v/>
      </c>
      <c r="TW5" s="11" t="str">
        <f t="shared" si="165"/>
        <v/>
      </c>
      <c r="TX5" s="11" t="str">
        <f t="shared" si="166"/>
        <v/>
      </c>
      <c r="TY5" s="11" t="str">
        <f t="shared" si="166"/>
        <v/>
      </c>
      <c r="TZ5" s="11" t="str">
        <f t="shared" si="167"/>
        <v/>
      </c>
      <c r="UA5" s="11" t="str">
        <f t="shared" si="168"/>
        <v/>
      </c>
      <c r="UB5" s="11" t="str">
        <f t="shared" si="168"/>
        <v/>
      </c>
      <c r="UC5" s="11" t="str">
        <f t="shared" si="169"/>
        <v/>
      </c>
      <c r="UD5" s="11" t="str">
        <f t="shared" si="170"/>
        <v/>
      </c>
      <c r="UE5" s="15"/>
      <c r="UF5" s="15"/>
      <c r="UG5" s="15"/>
      <c r="UH5" s="15"/>
      <c r="UI5" s="15"/>
      <c r="UJ5" s="15"/>
      <c r="UK5" s="15"/>
      <c r="UL5" s="15"/>
      <c r="UM5" s="15"/>
      <c r="UN5" s="15"/>
      <c r="UO5" s="15"/>
      <c r="UP5" s="15"/>
      <c r="UQ5" s="15"/>
      <c r="UR5" s="15"/>
      <c r="US5" s="15"/>
      <c r="UT5" s="15"/>
      <c r="UU5" s="15"/>
      <c r="UV5" s="15"/>
      <c r="UW5" s="15"/>
      <c r="UX5" s="15"/>
      <c r="UY5" s="36" t="str">
        <f t="shared" si="171"/>
        <v/>
      </c>
      <c r="UZ5" s="36" t="str">
        <f t="shared" si="171"/>
        <v/>
      </c>
      <c r="VA5" s="36" t="str">
        <f t="shared" si="172"/>
        <v/>
      </c>
      <c r="VB5" s="36" t="str">
        <f t="shared" si="173"/>
        <v/>
      </c>
      <c r="VC5" s="36" t="str">
        <f t="shared" si="173"/>
        <v/>
      </c>
      <c r="VD5" s="36" t="str">
        <f t="shared" si="174"/>
        <v/>
      </c>
      <c r="VE5" s="36" t="str">
        <f t="shared" si="175"/>
        <v/>
      </c>
      <c r="VF5" s="36" t="str">
        <f t="shared" si="176"/>
        <v/>
      </c>
      <c r="VG5" s="36" t="str">
        <f t="shared" si="176"/>
        <v/>
      </c>
      <c r="VH5" s="36" t="str">
        <f t="shared" si="177"/>
        <v/>
      </c>
      <c r="VI5" s="36" t="str">
        <f t="shared" si="178"/>
        <v/>
      </c>
      <c r="VJ5" s="36" t="str">
        <f t="shared" si="178"/>
        <v/>
      </c>
      <c r="VK5" s="36" t="str">
        <f t="shared" si="179"/>
        <v/>
      </c>
      <c r="VL5" s="36" t="str">
        <f t="shared" si="180"/>
        <v/>
      </c>
    </row>
    <row r="6" spans="1:584" x14ac:dyDescent="0.2">
      <c r="A6" s="4" t="str" cm="1">
        <f t="array" ref="A6">IF(AND(H6&lt;&gt;"",H6&lt;&gt;"No DD"),SUMPRODUCT((H$4:H$10&lt;&gt;"")*(H$4:H$10&lt;&gt;"No DD")*(E$4:E$10&gt;E6))+1,IF(H6="No DD",SUMPRODUCT((H$4:H$10="No DD")*(E$4:E$10&gt;E6))+1+SUMPRODUCT((H$4:H$10&lt;&gt;"")*(H$4:H$10&lt;&gt;"No DD")),""))</f>
        <v/>
      </c>
      <c r="B6" s="5" t="s">
        <v>229</v>
      </c>
      <c r="C6" s="4" t="s">
        <v>3</v>
      </c>
      <c r="D6" s="4">
        <v>2010</v>
      </c>
      <c r="E6" s="9">
        <f t="shared" si="0"/>
        <v>140.12001386600485</v>
      </c>
      <c r="F6" s="3" t="str">
        <f t="shared" si="1"/>
        <v/>
      </c>
      <c r="G6" s="3" t="str">
        <f t="shared" si="2"/>
        <v/>
      </c>
      <c r="H6" s="32" t="str">
        <f t="shared" si="3"/>
        <v/>
      </c>
      <c r="I6" s="3"/>
      <c r="J6" s="8">
        <f t="shared" si="4"/>
        <v>41.25</v>
      </c>
      <c r="K6" s="8" t="str">
        <f t="shared" si="5"/>
        <v>2025 Nationals</v>
      </c>
      <c r="L6" s="8">
        <f t="shared" si="6"/>
        <v>48.37</v>
      </c>
      <c r="M6" s="8" t="str">
        <f t="shared" si="7"/>
        <v>2025 Nationals</v>
      </c>
      <c r="N6" s="8">
        <f t="shared" si="8"/>
        <v>49.040000000000006</v>
      </c>
      <c r="O6" s="8" t="str">
        <f t="shared" si="9"/>
        <v>2025 Nationals</v>
      </c>
      <c r="P6" s="8">
        <f t="shared" si="10"/>
        <v>1.4600000000000009</v>
      </c>
      <c r="Q6" s="11" t="str">
        <f t="shared" si="11"/>
        <v>(Voluntary)</v>
      </c>
      <c r="R6" s="8" t="str">
        <f t="shared" si="12"/>
        <v>2025 WAGC (Nov 16)</v>
      </c>
      <c r="S6" s="18">
        <v>16.8</v>
      </c>
      <c r="T6" s="18">
        <v>9.5</v>
      </c>
      <c r="U6" s="18">
        <v>0</v>
      </c>
      <c r="V6" s="18">
        <v>14.95</v>
      </c>
      <c r="W6" s="18">
        <v>0</v>
      </c>
      <c r="X6" s="18">
        <v>12.7</v>
      </c>
      <c r="Y6" s="18">
        <v>9.1</v>
      </c>
      <c r="Z6" s="18">
        <v>12</v>
      </c>
      <c r="AA6" s="18">
        <v>14.57</v>
      </c>
      <c r="AB6" s="18">
        <v>0</v>
      </c>
      <c r="AC6" s="18">
        <v>13.5</v>
      </c>
      <c r="AD6" s="18">
        <v>9.1999999999999993</v>
      </c>
      <c r="AE6" s="18">
        <v>12</v>
      </c>
      <c r="AF6" s="18">
        <v>14.34</v>
      </c>
      <c r="AG6" s="18">
        <v>0</v>
      </c>
      <c r="AH6" s="23"/>
      <c r="AI6" s="34" t="str">
        <f t="shared" si="13"/>
        <v/>
      </c>
      <c r="AJ6" s="34">
        <f t="shared" si="13"/>
        <v>14.95</v>
      </c>
      <c r="AK6" s="36">
        <f t="shared" si="14"/>
        <v>41.25</v>
      </c>
      <c r="AL6" s="36">
        <f t="shared" si="15"/>
        <v>12</v>
      </c>
      <c r="AM6" s="36">
        <f t="shared" si="15"/>
        <v>14.57</v>
      </c>
      <c r="AN6" s="36">
        <f t="shared" si="16"/>
        <v>48.37</v>
      </c>
      <c r="AO6" s="36">
        <f t="shared" si="17"/>
        <v>89.62</v>
      </c>
      <c r="AP6" s="36">
        <f t="shared" si="18"/>
        <v>12</v>
      </c>
      <c r="AQ6" s="36">
        <f t="shared" si="18"/>
        <v>14.34</v>
      </c>
      <c r="AR6" s="36">
        <f t="shared" si="19"/>
        <v>49.040000000000006</v>
      </c>
      <c r="AS6" s="36">
        <f t="shared" si="20"/>
        <v>138.66000000000003</v>
      </c>
      <c r="AT6" s="22"/>
      <c r="AU6" s="22"/>
      <c r="AV6" s="22"/>
      <c r="AW6" s="22"/>
      <c r="AX6" s="22"/>
      <c r="AY6" s="22"/>
      <c r="AZ6" s="22"/>
      <c r="BA6" s="22"/>
      <c r="BB6" s="22"/>
      <c r="BC6" s="22"/>
      <c r="BD6" s="22"/>
      <c r="BE6" s="22"/>
      <c r="BF6" s="22"/>
      <c r="BG6" s="22"/>
      <c r="BH6" s="22"/>
      <c r="BI6" s="24"/>
      <c r="BJ6" s="35" t="str">
        <f t="shared" si="21"/>
        <v/>
      </c>
      <c r="BK6" s="35" t="str">
        <f t="shared" si="21"/>
        <v/>
      </c>
      <c r="BL6" s="11" t="str">
        <f t="shared" si="22"/>
        <v/>
      </c>
      <c r="BM6" s="11" t="str">
        <f t="shared" si="23"/>
        <v/>
      </c>
      <c r="BN6" s="11" t="str">
        <f t="shared" si="23"/>
        <v/>
      </c>
      <c r="BO6" s="11" t="str">
        <f t="shared" si="24"/>
        <v/>
      </c>
      <c r="BP6" s="11" t="str">
        <f t="shared" si="25"/>
        <v/>
      </c>
      <c r="BQ6" s="11" t="str">
        <f t="shared" si="26"/>
        <v/>
      </c>
      <c r="BR6" s="11" t="str">
        <f t="shared" si="26"/>
        <v/>
      </c>
      <c r="BS6" s="11" t="str">
        <f t="shared" si="27"/>
        <v/>
      </c>
      <c r="BT6" s="11" t="str">
        <f t="shared" si="28"/>
        <v/>
      </c>
      <c r="BU6" s="47" t="str">
        <f t="shared" si="29"/>
        <v/>
      </c>
      <c r="BV6" s="47">
        <f t="shared" si="30"/>
        <v>1.4600000000000009</v>
      </c>
      <c r="BW6" s="15">
        <v>13.7</v>
      </c>
      <c r="BX6" s="15">
        <v>9.1999999999999993</v>
      </c>
      <c r="BY6" s="15">
        <v>0</v>
      </c>
      <c r="BZ6" s="15">
        <v>16.190000000000001</v>
      </c>
      <c r="CA6" s="15">
        <v>0</v>
      </c>
      <c r="CB6" s="15">
        <v>11.2</v>
      </c>
      <c r="CC6" s="15">
        <v>9.4</v>
      </c>
      <c r="CD6" s="15">
        <v>14</v>
      </c>
      <c r="CE6" s="15">
        <v>15.23</v>
      </c>
      <c r="CF6" s="15">
        <v>0</v>
      </c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36" t="str">
        <f t="shared" si="31"/>
        <v/>
      </c>
      <c r="CR6" s="36">
        <f t="shared" si="31"/>
        <v>16.190000000000001</v>
      </c>
      <c r="CS6" s="36">
        <f t="shared" si="32"/>
        <v>39.090000000000003</v>
      </c>
      <c r="CT6" s="36">
        <f t="shared" si="33"/>
        <v>14</v>
      </c>
      <c r="CU6" s="36">
        <f t="shared" si="33"/>
        <v>15.23</v>
      </c>
      <c r="CV6" s="36">
        <f t="shared" si="34"/>
        <v>49.83</v>
      </c>
      <c r="CW6" s="36">
        <f t="shared" si="35"/>
        <v>88.92</v>
      </c>
      <c r="CX6" s="36" t="str">
        <f t="shared" si="36"/>
        <v/>
      </c>
      <c r="CY6" s="36" t="str">
        <f t="shared" si="36"/>
        <v/>
      </c>
      <c r="CZ6" s="36" t="str">
        <f t="shared" si="37"/>
        <v/>
      </c>
      <c r="DA6" s="36" t="str">
        <f t="shared" si="38"/>
        <v/>
      </c>
      <c r="DB6" s="36" t="str">
        <f t="shared" si="38"/>
        <v/>
      </c>
      <c r="DC6" s="36" t="str">
        <f t="shared" si="39"/>
        <v/>
      </c>
      <c r="DD6" s="36">
        <f t="shared" si="40"/>
        <v>88.92</v>
      </c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1" t="str">
        <f t="shared" si="41"/>
        <v/>
      </c>
      <c r="DZ6" s="11" t="str">
        <f t="shared" si="41"/>
        <v/>
      </c>
      <c r="EA6" s="11" t="str">
        <f t="shared" si="42"/>
        <v/>
      </c>
      <c r="EB6" s="11" t="str">
        <f t="shared" si="43"/>
        <v/>
      </c>
      <c r="EC6" s="11" t="str">
        <f t="shared" si="43"/>
        <v/>
      </c>
      <c r="ED6" s="11" t="str">
        <f t="shared" si="44"/>
        <v/>
      </c>
      <c r="EE6" s="11" t="str">
        <f t="shared" si="45"/>
        <v/>
      </c>
      <c r="EF6" s="11" t="str">
        <f t="shared" si="46"/>
        <v/>
      </c>
      <c r="EG6" s="11" t="str">
        <f t="shared" si="46"/>
        <v/>
      </c>
      <c r="EH6" s="11" t="str">
        <f t="shared" si="47"/>
        <v/>
      </c>
      <c r="EI6" s="11" t="str">
        <f t="shared" si="48"/>
        <v/>
      </c>
      <c r="EJ6" s="11" t="str">
        <f t="shared" si="48"/>
        <v/>
      </c>
      <c r="EK6" s="11" t="str">
        <f t="shared" si="49"/>
        <v/>
      </c>
      <c r="EL6" s="11" t="str">
        <f t="shared" si="50"/>
        <v/>
      </c>
      <c r="EM6" s="15"/>
      <c r="EN6" s="15"/>
      <c r="EO6" s="15"/>
      <c r="EP6" s="15"/>
      <c r="EQ6" s="15"/>
      <c r="ER6" s="15"/>
      <c r="ES6" s="15"/>
      <c r="ET6" s="15"/>
      <c r="EU6" s="15"/>
      <c r="EV6" s="15"/>
      <c r="EW6" s="15"/>
      <c r="EX6" s="15"/>
      <c r="EY6" s="15"/>
      <c r="EZ6" s="15"/>
      <c r="FA6" s="15"/>
      <c r="FB6" s="15"/>
      <c r="FC6" s="15"/>
      <c r="FD6" s="15"/>
      <c r="FE6" s="15"/>
      <c r="FF6" s="15"/>
      <c r="FG6" s="36" t="str">
        <f t="shared" si="51"/>
        <v/>
      </c>
      <c r="FH6" s="36" t="str">
        <f t="shared" si="51"/>
        <v/>
      </c>
      <c r="FI6" s="36" t="str">
        <f t="shared" si="52"/>
        <v/>
      </c>
      <c r="FJ6" s="36" t="str">
        <f t="shared" si="53"/>
        <v/>
      </c>
      <c r="FK6" s="36" t="str">
        <f t="shared" si="53"/>
        <v/>
      </c>
      <c r="FL6" s="36" t="str">
        <f t="shared" si="54"/>
        <v/>
      </c>
      <c r="FM6" s="36" t="str">
        <f t="shared" si="55"/>
        <v/>
      </c>
      <c r="FN6" s="36" t="str">
        <f t="shared" si="56"/>
        <v/>
      </c>
      <c r="FO6" s="36" t="str">
        <f t="shared" si="56"/>
        <v/>
      </c>
      <c r="FP6" s="36" t="str">
        <f t="shared" si="57"/>
        <v/>
      </c>
      <c r="FQ6" s="36" t="str">
        <f t="shared" si="58"/>
        <v/>
      </c>
      <c r="FR6" s="36" t="str">
        <f t="shared" si="58"/>
        <v/>
      </c>
      <c r="FS6" s="36" t="str">
        <f t="shared" si="59"/>
        <v/>
      </c>
      <c r="FT6" s="36" t="str">
        <f t="shared" si="60"/>
        <v/>
      </c>
      <c r="FU6" s="16"/>
      <c r="FV6" s="16"/>
      <c r="FW6" s="16"/>
      <c r="FX6" s="16"/>
      <c r="FY6" s="16"/>
      <c r="FZ6" s="16"/>
      <c r="GA6" s="16"/>
      <c r="GB6" s="16"/>
      <c r="GC6" s="16"/>
      <c r="GD6" s="16"/>
      <c r="GE6" s="16"/>
      <c r="GF6" s="16"/>
      <c r="GG6" s="16"/>
      <c r="GH6" s="16"/>
      <c r="GI6" s="16"/>
      <c r="GJ6" s="16"/>
      <c r="GK6" s="16"/>
      <c r="GL6" s="16"/>
      <c r="GM6" s="16"/>
      <c r="GN6" s="16"/>
      <c r="GO6" s="11" t="str">
        <f t="shared" si="61"/>
        <v/>
      </c>
      <c r="GP6" s="11" t="str">
        <f t="shared" si="61"/>
        <v/>
      </c>
      <c r="GQ6" s="11" t="str">
        <f t="shared" si="62"/>
        <v/>
      </c>
      <c r="GR6" s="11" t="str">
        <f t="shared" si="63"/>
        <v/>
      </c>
      <c r="GS6" s="11" t="str">
        <f t="shared" si="63"/>
        <v/>
      </c>
      <c r="GT6" s="11" t="str">
        <f t="shared" si="64"/>
        <v/>
      </c>
      <c r="GU6" s="11" t="str">
        <f t="shared" si="65"/>
        <v/>
      </c>
      <c r="GV6" s="11" t="str">
        <f t="shared" si="66"/>
        <v/>
      </c>
      <c r="GW6" s="11" t="str">
        <f t="shared" si="66"/>
        <v/>
      </c>
      <c r="GX6" s="11" t="str">
        <f t="shared" si="67"/>
        <v/>
      </c>
      <c r="GY6" s="11" t="str">
        <f t="shared" si="68"/>
        <v/>
      </c>
      <c r="GZ6" s="11" t="str">
        <f t="shared" si="68"/>
        <v/>
      </c>
      <c r="HA6" s="11" t="str">
        <f t="shared" si="69"/>
        <v/>
      </c>
      <c r="HB6" s="11" t="str">
        <f t="shared" si="70"/>
        <v/>
      </c>
      <c r="HC6" s="15"/>
      <c r="HD6" s="15"/>
      <c r="HE6" s="15"/>
      <c r="HF6" s="15"/>
      <c r="HG6" s="15"/>
      <c r="HH6" s="15"/>
      <c r="HI6" s="15"/>
      <c r="HJ6" s="15"/>
      <c r="HK6" s="15"/>
      <c r="HL6" s="15"/>
      <c r="HM6" s="15"/>
      <c r="HN6" s="15"/>
      <c r="HO6" s="15"/>
      <c r="HP6" s="15"/>
      <c r="HQ6" s="15"/>
      <c r="HR6" s="15"/>
      <c r="HS6" s="15"/>
      <c r="HT6" s="15"/>
      <c r="HU6" s="15"/>
      <c r="HV6" s="15"/>
      <c r="HW6" s="36" t="str">
        <f t="shared" si="71"/>
        <v/>
      </c>
      <c r="HX6" s="36" t="str">
        <f t="shared" si="71"/>
        <v/>
      </c>
      <c r="HY6" s="36" t="str">
        <f t="shared" si="72"/>
        <v/>
      </c>
      <c r="HZ6" s="36" t="str">
        <f t="shared" si="73"/>
        <v/>
      </c>
      <c r="IA6" s="36" t="str">
        <f t="shared" si="73"/>
        <v/>
      </c>
      <c r="IB6" s="36" t="str">
        <f t="shared" si="74"/>
        <v/>
      </c>
      <c r="IC6" s="36" t="str">
        <f t="shared" si="75"/>
        <v/>
      </c>
      <c r="ID6" s="36" t="str">
        <f t="shared" si="76"/>
        <v/>
      </c>
      <c r="IE6" s="36" t="str">
        <f t="shared" si="76"/>
        <v/>
      </c>
      <c r="IF6" s="36" t="str">
        <f t="shared" si="77"/>
        <v/>
      </c>
      <c r="IG6" s="36" t="str">
        <f t="shared" si="78"/>
        <v/>
      </c>
      <c r="IH6" s="36" t="str">
        <f t="shared" si="78"/>
        <v/>
      </c>
      <c r="II6" s="36" t="str">
        <f t="shared" si="79"/>
        <v/>
      </c>
      <c r="IJ6" s="36" t="str">
        <f t="shared" si="80"/>
        <v/>
      </c>
      <c r="IK6" s="16"/>
      <c r="IL6" s="16"/>
      <c r="IM6" s="16"/>
      <c r="IN6" s="16"/>
      <c r="IO6" s="16"/>
      <c r="IP6" s="16"/>
      <c r="IQ6" s="16"/>
      <c r="IR6" s="16"/>
      <c r="IS6" s="16"/>
      <c r="IT6" s="16"/>
      <c r="IU6" s="16"/>
      <c r="IV6" s="16"/>
      <c r="IW6" s="16"/>
      <c r="IX6" s="16"/>
      <c r="IY6" s="16"/>
      <c r="IZ6" s="16"/>
      <c r="JA6" s="16"/>
      <c r="JB6" s="16"/>
      <c r="JC6" s="16"/>
      <c r="JD6" s="16"/>
      <c r="JE6" s="11" t="str">
        <f t="shared" si="81"/>
        <v/>
      </c>
      <c r="JF6" s="11" t="str">
        <f t="shared" si="81"/>
        <v/>
      </c>
      <c r="JG6" s="11" t="str">
        <f t="shared" si="82"/>
        <v/>
      </c>
      <c r="JH6" s="11" t="str">
        <f t="shared" si="83"/>
        <v/>
      </c>
      <c r="JI6" s="11" t="str">
        <f t="shared" si="83"/>
        <v/>
      </c>
      <c r="JJ6" s="11" t="str">
        <f t="shared" si="84"/>
        <v/>
      </c>
      <c r="JK6" s="11" t="str">
        <f t="shared" si="85"/>
        <v/>
      </c>
      <c r="JL6" s="11" t="str">
        <f t="shared" si="86"/>
        <v/>
      </c>
      <c r="JM6" s="11" t="str">
        <f t="shared" si="86"/>
        <v/>
      </c>
      <c r="JN6" s="11" t="str">
        <f t="shared" si="87"/>
        <v/>
      </c>
      <c r="JO6" s="11" t="str">
        <f t="shared" si="88"/>
        <v/>
      </c>
      <c r="JP6" s="11" t="str">
        <f t="shared" si="88"/>
        <v/>
      </c>
      <c r="JQ6" s="11" t="str">
        <f t="shared" si="89"/>
        <v/>
      </c>
      <c r="JR6" s="11" t="str">
        <f t="shared" si="90"/>
        <v/>
      </c>
      <c r="JS6" s="15"/>
      <c r="JT6" s="15"/>
      <c r="JU6" s="15"/>
      <c r="JV6" s="15"/>
      <c r="JW6" s="15"/>
      <c r="JX6" s="15"/>
      <c r="JY6" s="15"/>
      <c r="JZ6" s="15"/>
      <c r="KA6" s="15"/>
      <c r="KB6" s="15"/>
      <c r="KC6" s="15"/>
      <c r="KD6" s="15"/>
      <c r="KE6" s="15"/>
      <c r="KF6" s="15"/>
      <c r="KG6" s="15"/>
      <c r="KH6" s="15"/>
      <c r="KI6" s="15"/>
      <c r="KJ6" s="15"/>
      <c r="KK6" s="15"/>
      <c r="KL6" s="15"/>
      <c r="KM6" s="36" t="str">
        <f t="shared" si="91"/>
        <v/>
      </c>
      <c r="KN6" s="36" t="str">
        <f t="shared" si="91"/>
        <v/>
      </c>
      <c r="KO6" s="36" t="str">
        <f t="shared" si="92"/>
        <v/>
      </c>
      <c r="KP6" s="36" t="str">
        <f t="shared" si="93"/>
        <v/>
      </c>
      <c r="KQ6" s="36" t="str">
        <f t="shared" si="93"/>
        <v/>
      </c>
      <c r="KR6" s="36" t="str">
        <f t="shared" si="94"/>
        <v/>
      </c>
      <c r="KS6" s="36" t="str">
        <f t="shared" si="95"/>
        <v/>
      </c>
      <c r="KT6" s="36" t="str">
        <f t="shared" si="96"/>
        <v/>
      </c>
      <c r="KU6" s="36" t="str">
        <f t="shared" si="96"/>
        <v/>
      </c>
      <c r="KV6" s="36" t="str">
        <f t="shared" si="97"/>
        <v/>
      </c>
      <c r="KW6" s="36" t="str">
        <f t="shared" si="98"/>
        <v/>
      </c>
      <c r="KX6" s="36" t="str">
        <f t="shared" si="98"/>
        <v/>
      </c>
      <c r="KY6" s="36" t="str">
        <f t="shared" si="99"/>
        <v/>
      </c>
      <c r="KZ6" s="36" t="str">
        <f t="shared" si="100"/>
        <v/>
      </c>
      <c r="LA6" s="16"/>
      <c r="LB6" s="16"/>
      <c r="LC6" s="16"/>
      <c r="LD6" s="16"/>
      <c r="LE6" s="16"/>
      <c r="LF6" s="16"/>
      <c r="LG6" s="16"/>
      <c r="LH6" s="16"/>
      <c r="LI6" s="16"/>
      <c r="LJ6" s="16"/>
      <c r="LK6" s="16"/>
      <c r="LL6" s="16"/>
      <c r="LM6" s="16"/>
      <c r="LN6" s="16"/>
      <c r="LO6" s="16"/>
      <c r="LP6" s="16"/>
      <c r="LQ6" s="16"/>
      <c r="LR6" s="16"/>
      <c r="LS6" s="16"/>
      <c r="LT6" s="16"/>
      <c r="LU6" s="11" t="str">
        <f t="shared" si="101"/>
        <v/>
      </c>
      <c r="LV6" s="11" t="str">
        <f t="shared" si="101"/>
        <v/>
      </c>
      <c r="LW6" s="11" t="str">
        <f t="shared" si="102"/>
        <v/>
      </c>
      <c r="LX6" s="11" t="str">
        <f t="shared" si="103"/>
        <v/>
      </c>
      <c r="LY6" s="11" t="str">
        <f t="shared" si="103"/>
        <v/>
      </c>
      <c r="LZ6" s="11" t="str">
        <f t="shared" si="104"/>
        <v/>
      </c>
      <c r="MA6" s="11" t="str">
        <f t="shared" si="105"/>
        <v/>
      </c>
      <c r="MB6" s="11" t="str">
        <f t="shared" si="106"/>
        <v/>
      </c>
      <c r="MC6" s="11" t="str">
        <f t="shared" si="106"/>
        <v/>
      </c>
      <c r="MD6" s="11" t="str">
        <f t="shared" si="107"/>
        <v/>
      </c>
      <c r="ME6" s="11" t="str">
        <f t="shared" si="108"/>
        <v/>
      </c>
      <c r="MF6" s="11" t="str">
        <f t="shared" si="108"/>
        <v/>
      </c>
      <c r="MG6" s="11" t="str">
        <f t="shared" si="109"/>
        <v/>
      </c>
      <c r="MH6" s="11" t="str">
        <f t="shared" si="110"/>
        <v/>
      </c>
      <c r="MI6" s="15"/>
      <c r="MJ6" s="15"/>
      <c r="MK6" s="15"/>
      <c r="ML6" s="15"/>
      <c r="MM6" s="15"/>
      <c r="MN6" s="15"/>
      <c r="MO6" s="15"/>
      <c r="MP6" s="15"/>
      <c r="MQ6" s="15"/>
      <c r="MR6" s="15"/>
      <c r="MS6" s="15"/>
      <c r="MT6" s="15"/>
      <c r="MU6" s="15"/>
      <c r="MV6" s="15"/>
      <c r="MW6" s="15"/>
      <c r="MX6" s="15"/>
      <c r="MY6" s="15"/>
      <c r="MZ6" s="15"/>
      <c r="NA6" s="15"/>
      <c r="NB6" s="15"/>
      <c r="NC6" s="36" t="str">
        <f t="shared" si="111"/>
        <v/>
      </c>
      <c r="ND6" s="36" t="str">
        <f t="shared" si="111"/>
        <v/>
      </c>
      <c r="NE6" s="36" t="str">
        <f t="shared" si="112"/>
        <v/>
      </c>
      <c r="NF6" s="36" t="str">
        <f t="shared" si="113"/>
        <v/>
      </c>
      <c r="NG6" s="36" t="str">
        <f t="shared" si="113"/>
        <v/>
      </c>
      <c r="NH6" s="36" t="str">
        <f t="shared" si="114"/>
        <v/>
      </c>
      <c r="NI6" s="36" t="str">
        <f t="shared" si="115"/>
        <v/>
      </c>
      <c r="NJ6" s="36" t="str">
        <f t="shared" si="116"/>
        <v/>
      </c>
      <c r="NK6" s="36" t="str">
        <f t="shared" si="116"/>
        <v/>
      </c>
      <c r="NL6" s="36" t="str">
        <f t="shared" si="117"/>
        <v/>
      </c>
      <c r="NM6" s="36" t="str">
        <f t="shared" si="118"/>
        <v/>
      </c>
      <c r="NN6" s="36" t="str">
        <f t="shared" si="118"/>
        <v/>
      </c>
      <c r="NO6" s="36" t="str">
        <f t="shared" si="119"/>
        <v/>
      </c>
      <c r="NP6" s="36" t="str">
        <f t="shared" si="120"/>
        <v/>
      </c>
      <c r="NQ6" s="16"/>
      <c r="NR6" s="16"/>
      <c r="NS6" s="16"/>
      <c r="NT6" s="16"/>
      <c r="NU6" s="16"/>
      <c r="NV6" s="16"/>
      <c r="NW6" s="16"/>
      <c r="NX6" s="16"/>
      <c r="NY6" s="16"/>
      <c r="NZ6" s="16"/>
      <c r="OA6" s="16"/>
      <c r="OB6" s="16"/>
      <c r="OC6" s="16"/>
      <c r="OD6" s="16"/>
      <c r="OE6" s="16"/>
      <c r="OF6" s="16"/>
      <c r="OG6" s="16"/>
      <c r="OH6" s="16"/>
      <c r="OI6" s="16"/>
      <c r="OJ6" s="16"/>
      <c r="OK6" s="11" t="str">
        <f t="shared" si="121"/>
        <v/>
      </c>
      <c r="OL6" s="11" t="str">
        <f t="shared" si="121"/>
        <v/>
      </c>
      <c r="OM6" s="11" t="str">
        <f t="shared" si="122"/>
        <v/>
      </c>
      <c r="ON6" s="11" t="str">
        <f t="shared" si="123"/>
        <v/>
      </c>
      <c r="OO6" s="11" t="str">
        <f t="shared" si="123"/>
        <v/>
      </c>
      <c r="OP6" s="11" t="str">
        <f t="shared" si="124"/>
        <v/>
      </c>
      <c r="OQ6" s="11" t="str">
        <f t="shared" si="125"/>
        <v/>
      </c>
      <c r="OR6" s="11" t="str">
        <f t="shared" si="126"/>
        <v/>
      </c>
      <c r="OS6" s="11" t="str">
        <f t="shared" si="126"/>
        <v/>
      </c>
      <c r="OT6" s="11" t="str">
        <f t="shared" si="127"/>
        <v/>
      </c>
      <c r="OU6" s="11" t="str">
        <f t="shared" si="128"/>
        <v/>
      </c>
      <c r="OV6" s="11" t="str">
        <f t="shared" si="128"/>
        <v/>
      </c>
      <c r="OW6" s="11" t="str">
        <f t="shared" si="129"/>
        <v/>
      </c>
      <c r="OX6" s="11" t="str">
        <f t="shared" si="130"/>
        <v/>
      </c>
      <c r="OY6" s="15"/>
      <c r="OZ6" s="15"/>
      <c r="PA6" s="15"/>
      <c r="PB6" s="15"/>
      <c r="PC6" s="15"/>
      <c r="PD6" s="15"/>
      <c r="PE6" s="15"/>
      <c r="PF6" s="15"/>
      <c r="PG6" s="15"/>
      <c r="PH6" s="15"/>
      <c r="PI6" s="15"/>
      <c r="PJ6" s="15"/>
      <c r="PK6" s="15"/>
      <c r="PL6" s="15"/>
      <c r="PM6" s="15"/>
      <c r="PN6" s="15"/>
      <c r="PO6" s="15"/>
      <c r="PP6" s="15"/>
      <c r="PQ6" s="15"/>
      <c r="PR6" s="15"/>
      <c r="PS6" s="36" t="str">
        <f t="shared" si="131"/>
        <v/>
      </c>
      <c r="PT6" s="36" t="str">
        <f t="shared" si="131"/>
        <v/>
      </c>
      <c r="PU6" s="36" t="str">
        <f t="shared" si="132"/>
        <v/>
      </c>
      <c r="PV6" s="36" t="str">
        <f t="shared" si="133"/>
        <v/>
      </c>
      <c r="PW6" s="36" t="str">
        <f t="shared" si="133"/>
        <v/>
      </c>
      <c r="PX6" s="36" t="str">
        <f t="shared" si="134"/>
        <v/>
      </c>
      <c r="PY6" s="36" t="str">
        <f t="shared" si="135"/>
        <v/>
      </c>
      <c r="PZ6" s="36" t="str">
        <f t="shared" si="136"/>
        <v/>
      </c>
      <c r="QA6" s="36" t="str">
        <f t="shared" si="136"/>
        <v/>
      </c>
      <c r="QB6" s="36" t="str">
        <f t="shared" si="137"/>
        <v/>
      </c>
      <c r="QC6" s="36" t="str">
        <f t="shared" si="138"/>
        <v/>
      </c>
      <c r="QD6" s="36" t="str">
        <f t="shared" si="138"/>
        <v/>
      </c>
      <c r="QE6" s="36" t="str">
        <f t="shared" si="139"/>
        <v/>
      </c>
      <c r="QF6" s="36" t="str">
        <f t="shared" si="140"/>
        <v/>
      </c>
      <c r="QG6" s="16"/>
      <c r="QH6" s="16"/>
      <c r="QI6" s="16"/>
      <c r="QJ6" s="16"/>
      <c r="QK6" s="16"/>
      <c r="QL6" s="16"/>
      <c r="QM6" s="16"/>
      <c r="QN6" s="16"/>
      <c r="QO6" s="16"/>
      <c r="QP6" s="16"/>
      <c r="QQ6" s="16"/>
      <c r="QR6" s="16"/>
      <c r="QS6" s="16"/>
      <c r="QT6" s="16"/>
      <c r="QU6" s="16"/>
      <c r="QV6" s="16"/>
      <c r="QW6" s="16"/>
      <c r="QX6" s="16"/>
      <c r="QY6" s="16"/>
      <c r="QZ6" s="16"/>
      <c r="RA6" s="11" t="str">
        <f t="shared" si="141"/>
        <v/>
      </c>
      <c r="RB6" s="11" t="str">
        <f t="shared" si="141"/>
        <v/>
      </c>
      <c r="RC6" s="11" t="str">
        <f t="shared" si="142"/>
        <v/>
      </c>
      <c r="RD6" s="11" t="str">
        <f t="shared" si="143"/>
        <v/>
      </c>
      <c r="RE6" s="11" t="str">
        <f t="shared" si="143"/>
        <v/>
      </c>
      <c r="RF6" s="11" t="str">
        <f t="shared" si="144"/>
        <v/>
      </c>
      <c r="RG6" s="11" t="str">
        <f t="shared" si="145"/>
        <v/>
      </c>
      <c r="RH6" s="11" t="str">
        <f t="shared" si="146"/>
        <v/>
      </c>
      <c r="RI6" s="11" t="str">
        <f t="shared" si="146"/>
        <v/>
      </c>
      <c r="RJ6" s="11" t="str">
        <f t="shared" si="147"/>
        <v/>
      </c>
      <c r="RK6" s="11" t="str">
        <f t="shared" si="148"/>
        <v/>
      </c>
      <c r="RL6" s="11" t="str">
        <f t="shared" si="148"/>
        <v/>
      </c>
      <c r="RM6" s="11" t="str">
        <f t="shared" si="149"/>
        <v/>
      </c>
      <c r="RN6" s="11" t="str">
        <f t="shared" si="150"/>
        <v/>
      </c>
      <c r="RO6" s="15"/>
      <c r="RP6" s="15"/>
      <c r="RQ6" s="15"/>
      <c r="RR6" s="15"/>
      <c r="RS6" s="15"/>
      <c r="RT6" s="15"/>
      <c r="RU6" s="15"/>
      <c r="RV6" s="15"/>
      <c r="RW6" s="15"/>
      <c r="RX6" s="15"/>
      <c r="RY6" s="15"/>
      <c r="RZ6" s="15"/>
      <c r="SA6" s="15"/>
      <c r="SB6" s="15"/>
      <c r="SC6" s="15"/>
      <c r="SD6" s="15"/>
      <c r="SE6" s="15"/>
      <c r="SF6" s="15"/>
      <c r="SG6" s="15"/>
      <c r="SH6" s="15"/>
      <c r="SI6" s="36" t="str">
        <f t="shared" si="151"/>
        <v/>
      </c>
      <c r="SJ6" s="36" t="str">
        <f t="shared" si="151"/>
        <v/>
      </c>
      <c r="SK6" s="36" t="str">
        <f t="shared" si="152"/>
        <v/>
      </c>
      <c r="SL6" s="36" t="str">
        <f t="shared" si="153"/>
        <v/>
      </c>
      <c r="SM6" s="36" t="str">
        <f t="shared" si="153"/>
        <v/>
      </c>
      <c r="SN6" s="36" t="str">
        <f t="shared" si="154"/>
        <v/>
      </c>
      <c r="SO6" s="36" t="str">
        <f t="shared" si="155"/>
        <v/>
      </c>
      <c r="SP6" s="36" t="str">
        <f t="shared" si="156"/>
        <v/>
      </c>
      <c r="SQ6" s="36" t="str">
        <f t="shared" si="156"/>
        <v/>
      </c>
      <c r="SR6" s="36" t="str">
        <f t="shared" si="157"/>
        <v/>
      </c>
      <c r="SS6" s="36" t="str">
        <f t="shared" si="158"/>
        <v/>
      </c>
      <c r="ST6" s="36" t="str">
        <f t="shared" si="158"/>
        <v/>
      </c>
      <c r="SU6" s="36" t="str">
        <f t="shared" si="159"/>
        <v/>
      </c>
      <c r="SV6" s="36" t="str">
        <f t="shared" si="160"/>
        <v/>
      </c>
      <c r="SW6" s="16"/>
      <c r="SX6" s="16"/>
      <c r="SY6" s="16"/>
      <c r="SZ6" s="16"/>
      <c r="TA6" s="16"/>
      <c r="TB6" s="16"/>
      <c r="TC6" s="16"/>
      <c r="TD6" s="16"/>
      <c r="TE6" s="16"/>
      <c r="TF6" s="16"/>
      <c r="TG6" s="16"/>
      <c r="TH6" s="16"/>
      <c r="TI6" s="16"/>
      <c r="TJ6" s="16"/>
      <c r="TK6" s="16"/>
      <c r="TL6" s="16"/>
      <c r="TM6" s="16"/>
      <c r="TN6" s="16"/>
      <c r="TO6" s="16"/>
      <c r="TP6" s="16"/>
      <c r="TQ6" s="11" t="str">
        <f t="shared" si="161"/>
        <v/>
      </c>
      <c r="TR6" s="11" t="str">
        <f t="shared" si="161"/>
        <v/>
      </c>
      <c r="TS6" s="11" t="str">
        <f t="shared" si="162"/>
        <v/>
      </c>
      <c r="TT6" s="11" t="str">
        <f t="shared" si="163"/>
        <v/>
      </c>
      <c r="TU6" s="11" t="str">
        <f t="shared" si="163"/>
        <v/>
      </c>
      <c r="TV6" s="11" t="str">
        <f t="shared" si="164"/>
        <v/>
      </c>
      <c r="TW6" s="11" t="str">
        <f t="shared" si="165"/>
        <v/>
      </c>
      <c r="TX6" s="11" t="str">
        <f t="shared" si="166"/>
        <v/>
      </c>
      <c r="TY6" s="11" t="str">
        <f t="shared" si="166"/>
        <v/>
      </c>
      <c r="TZ6" s="11" t="str">
        <f t="shared" si="167"/>
        <v/>
      </c>
      <c r="UA6" s="11" t="str">
        <f t="shared" si="168"/>
        <v/>
      </c>
      <c r="UB6" s="11" t="str">
        <f t="shared" si="168"/>
        <v/>
      </c>
      <c r="UC6" s="11" t="str">
        <f t="shared" si="169"/>
        <v/>
      </c>
      <c r="UD6" s="11" t="str">
        <f t="shared" si="170"/>
        <v/>
      </c>
      <c r="UE6" s="15"/>
      <c r="UF6" s="15"/>
      <c r="UG6" s="15"/>
      <c r="UH6" s="15"/>
      <c r="UI6" s="15"/>
      <c r="UJ6" s="15"/>
      <c r="UK6" s="15"/>
      <c r="UL6" s="15"/>
      <c r="UM6" s="15"/>
      <c r="UN6" s="15"/>
      <c r="UO6" s="15"/>
      <c r="UP6" s="15"/>
      <c r="UQ6" s="15"/>
      <c r="UR6" s="15"/>
      <c r="US6" s="15"/>
      <c r="UT6" s="15"/>
      <c r="UU6" s="15"/>
      <c r="UV6" s="15"/>
      <c r="UW6" s="15"/>
      <c r="UX6" s="15"/>
      <c r="UY6" s="36" t="str">
        <f t="shared" si="171"/>
        <v/>
      </c>
      <c r="UZ6" s="36" t="str">
        <f t="shared" si="171"/>
        <v/>
      </c>
      <c r="VA6" s="36" t="str">
        <f t="shared" si="172"/>
        <v/>
      </c>
      <c r="VB6" s="36" t="str">
        <f t="shared" si="173"/>
        <v/>
      </c>
      <c r="VC6" s="36" t="str">
        <f t="shared" si="173"/>
        <v/>
      </c>
      <c r="VD6" s="36" t="str">
        <f t="shared" si="174"/>
        <v/>
      </c>
      <c r="VE6" s="36" t="str">
        <f t="shared" si="175"/>
        <v/>
      </c>
      <c r="VF6" s="36" t="str">
        <f t="shared" si="176"/>
        <v/>
      </c>
      <c r="VG6" s="36" t="str">
        <f t="shared" si="176"/>
        <v/>
      </c>
      <c r="VH6" s="36" t="str">
        <f t="shared" si="177"/>
        <v/>
      </c>
      <c r="VI6" s="36" t="str">
        <f t="shared" si="178"/>
        <v/>
      </c>
      <c r="VJ6" s="36" t="str">
        <f t="shared" si="178"/>
        <v/>
      </c>
      <c r="VK6" s="36" t="str">
        <f t="shared" si="179"/>
        <v/>
      </c>
      <c r="VL6" s="36" t="str">
        <f t="shared" si="180"/>
        <v/>
      </c>
    </row>
    <row r="7" spans="1:584" x14ac:dyDescent="0.2">
      <c r="A7" s="4" t="str" cm="1">
        <f t="array" ref="A7">IF(AND(H7&lt;&gt;"",H7&lt;&gt;"No DD"),SUMPRODUCT((H$4:H$10&lt;&gt;"")*(H$4:H$10&lt;&gt;"No DD")*(E$4:E$10&gt;E7))+1,IF(H7="No DD",SUMPRODUCT((H$4:H$10="No DD")*(E$4:E$10&gt;E7))+1+SUMPRODUCT((H$4:H$10&lt;&gt;"")*(H$4:H$10&lt;&gt;"No DD")),""))</f>
        <v/>
      </c>
      <c r="B7" s="5" t="s">
        <v>225</v>
      </c>
      <c r="C7" s="4" t="s">
        <v>7</v>
      </c>
      <c r="D7" s="4">
        <v>2010</v>
      </c>
      <c r="E7" s="9">
        <f t="shared" si="0"/>
        <v>138.90001389000494</v>
      </c>
      <c r="F7" s="3" t="str">
        <f t="shared" si="1"/>
        <v/>
      </c>
      <c r="G7" s="3" t="str">
        <f t="shared" si="2"/>
        <v/>
      </c>
      <c r="H7" s="32" t="str">
        <f t="shared" si="3"/>
        <v/>
      </c>
      <c r="I7" s="3"/>
      <c r="J7" s="8">
        <f t="shared" si="4"/>
        <v>41.86</v>
      </c>
      <c r="K7" s="8" t="str">
        <f t="shared" si="5"/>
        <v>2025 3rd Domestic Trial</v>
      </c>
      <c r="L7" s="8">
        <f t="shared" si="6"/>
        <v>49.35</v>
      </c>
      <c r="M7" s="8" t="str">
        <f t="shared" si="7"/>
        <v>2025 3rd Domestic Trial</v>
      </c>
      <c r="N7" s="8">
        <f t="shared" si="8"/>
        <v>47.69</v>
      </c>
      <c r="O7" s="8" t="str">
        <f t="shared" si="9"/>
        <v>2025 3rd Domestic Trial</v>
      </c>
      <c r="P7" s="8">
        <f t="shared" si="10"/>
        <v>0</v>
      </c>
      <c r="Q7" s="11" t="str">
        <f t="shared" si="11"/>
        <v/>
      </c>
      <c r="R7" s="8" t="str">
        <f t="shared" si="12"/>
        <v/>
      </c>
      <c r="S7" s="18">
        <v>17.399999999999999</v>
      </c>
      <c r="T7" s="18">
        <v>9.4</v>
      </c>
      <c r="U7" s="18">
        <v>0</v>
      </c>
      <c r="V7" s="18">
        <v>14.68</v>
      </c>
      <c r="W7" s="18">
        <v>0</v>
      </c>
      <c r="X7" s="18">
        <v>14.4</v>
      </c>
      <c r="Y7" s="18">
        <v>8.9</v>
      </c>
      <c r="Z7" s="18">
        <v>10.1</v>
      </c>
      <c r="AA7" s="18">
        <v>14.29</v>
      </c>
      <c r="AB7" s="18">
        <v>0</v>
      </c>
      <c r="AC7" s="18">
        <v>13.7</v>
      </c>
      <c r="AD7" s="18">
        <v>8.9</v>
      </c>
      <c r="AE7" s="18">
        <v>10.1</v>
      </c>
      <c r="AF7" s="18">
        <v>13.69</v>
      </c>
      <c r="AG7" s="18">
        <v>0.2</v>
      </c>
      <c r="AH7" s="23"/>
      <c r="AI7" s="34" t="str">
        <f t="shared" si="13"/>
        <v/>
      </c>
      <c r="AJ7" s="34">
        <f t="shared" si="13"/>
        <v>14.68</v>
      </c>
      <c r="AK7" s="36">
        <f t="shared" si="14"/>
        <v>41.48</v>
      </c>
      <c r="AL7" s="36">
        <f t="shared" si="15"/>
        <v>10.1</v>
      </c>
      <c r="AM7" s="36">
        <f t="shared" si="15"/>
        <v>14.29</v>
      </c>
      <c r="AN7" s="36">
        <f t="shared" si="16"/>
        <v>47.69</v>
      </c>
      <c r="AO7" s="36">
        <f t="shared" si="17"/>
        <v>89.169999999999987</v>
      </c>
      <c r="AP7" s="36">
        <f t="shared" si="18"/>
        <v>10.1</v>
      </c>
      <c r="AQ7" s="36">
        <f t="shared" si="18"/>
        <v>13.69</v>
      </c>
      <c r="AR7" s="36">
        <f t="shared" si="19"/>
        <v>46.19</v>
      </c>
      <c r="AS7" s="36">
        <f t="shared" si="20"/>
        <v>135.35999999999999</v>
      </c>
      <c r="AT7" s="22">
        <v>17.2</v>
      </c>
      <c r="AU7" s="22">
        <v>9.3000000000000007</v>
      </c>
      <c r="AV7" s="22">
        <v>0</v>
      </c>
      <c r="AW7" s="22">
        <v>15.36</v>
      </c>
      <c r="AX7" s="22">
        <v>0</v>
      </c>
      <c r="AY7" s="22">
        <v>14.8</v>
      </c>
      <c r="AZ7" s="22">
        <v>9.6999999999999993</v>
      </c>
      <c r="BA7" s="22">
        <v>10.1</v>
      </c>
      <c r="BB7" s="22">
        <v>14.75</v>
      </c>
      <c r="BC7" s="22">
        <v>0</v>
      </c>
      <c r="BD7" s="22">
        <v>14.5</v>
      </c>
      <c r="BE7" s="22">
        <v>8.6</v>
      </c>
      <c r="BF7" s="22">
        <v>10.1</v>
      </c>
      <c r="BG7" s="22">
        <v>14.51</v>
      </c>
      <c r="BH7" s="22">
        <v>0.2</v>
      </c>
      <c r="BI7" s="24"/>
      <c r="BJ7" s="35" t="str">
        <f t="shared" si="21"/>
        <v/>
      </c>
      <c r="BK7" s="35">
        <f t="shared" si="21"/>
        <v>15.36</v>
      </c>
      <c r="BL7" s="11">
        <f t="shared" si="22"/>
        <v>41.86</v>
      </c>
      <c r="BM7" s="11">
        <f t="shared" si="23"/>
        <v>10.1</v>
      </c>
      <c r="BN7" s="11">
        <f t="shared" si="23"/>
        <v>14.75</v>
      </c>
      <c r="BO7" s="11">
        <f t="shared" si="24"/>
        <v>49.35</v>
      </c>
      <c r="BP7" s="11">
        <f t="shared" si="25"/>
        <v>91.210000000000008</v>
      </c>
      <c r="BQ7" s="11">
        <f t="shared" si="26"/>
        <v>10.1</v>
      </c>
      <c r="BR7" s="11">
        <f t="shared" si="26"/>
        <v>14.51</v>
      </c>
      <c r="BS7" s="11">
        <f t="shared" si="27"/>
        <v>47.51</v>
      </c>
      <c r="BT7" s="11">
        <f t="shared" si="28"/>
        <v>138.72</v>
      </c>
      <c r="BU7" s="47" t="str">
        <f t="shared" si="29"/>
        <v/>
      </c>
      <c r="BV7" s="47" t="str">
        <f t="shared" si="30"/>
        <v/>
      </c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5"/>
      <c r="CH7" s="15"/>
      <c r="CI7" s="15"/>
      <c r="CJ7" s="15"/>
      <c r="CK7" s="15"/>
      <c r="CL7" s="15"/>
      <c r="CM7" s="15"/>
      <c r="CN7" s="15"/>
      <c r="CO7" s="15"/>
      <c r="CP7" s="15"/>
      <c r="CQ7" s="36" t="str">
        <f t="shared" si="31"/>
        <v/>
      </c>
      <c r="CR7" s="36" t="str">
        <f t="shared" si="31"/>
        <v/>
      </c>
      <c r="CS7" s="36" t="str">
        <f t="shared" si="32"/>
        <v/>
      </c>
      <c r="CT7" s="36" t="str">
        <f t="shared" si="33"/>
        <v/>
      </c>
      <c r="CU7" s="36" t="str">
        <f t="shared" si="33"/>
        <v/>
      </c>
      <c r="CV7" s="36" t="str">
        <f t="shared" si="34"/>
        <v/>
      </c>
      <c r="CW7" s="36" t="str">
        <f t="shared" si="35"/>
        <v/>
      </c>
      <c r="CX7" s="36" t="str">
        <f t="shared" si="36"/>
        <v/>
      </c>
      <c r="CY7" s="36" t="str">
        <f t="shared" si="36"/>
        <v/>
      </c>
      <c r="CZ7" s="36" t="str">
        <f t="shared" si="37"/>
        <v/>
      </c>
      <c r="DA7" s="36" t="str">
        <f t="shared" si="38"/>
        <v/>
      </c>
      <c r="DB7" s="36" t="str">
        <f t="shared" si="38"/>
        <v/>
      </c>
      <c r="DC7" s="36" t="str">
        <f t="shared" si="39"/>
        <v/>
      </c>
      <c r="DD7" s="36" t="str">
        <f t="shared" si="40"/>
        <v/>
      </c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1" t="str">
        <f t="shared" si="41"/>
        <v/>
      </c>
      <c r="DZ7" s="11" t="str">
        <f t="shared" si="41"/>
        <v/>
      </c>
      <c r="EA7" s="11" t="str">
        <f t="shared" si="42"/>
        <v/>
      </c>
      <c r="EB7" s="11" t="str">
        <f t="shared" si="43"/>
        <v/>
      </c>
      <c r="EC7" s="11" t="str">
        <f t="shared" si="43"/>
        <v/>
      </c>
      <c r="ED7" s="11" t="str">
        <f t="shared" si="44"/>
        <v/>
      </c>
      <c r="EE7" s="11" t="str">
        <f t="shared" si="45"/>
        <v/>
      </c>
      <c r="EF7" s="11" t="str">
        <f t="shared" si="46"/>
        <v/>
      </c>
      <c r="EG7" s="11" t="str">
        <f t="shared" si="46"/>
        <v/>
      </c>
      <c r="EH7" s="11" t="str">
        <f t="shared" si="47"/>
        <v/>
      </c>
      <c r="EI7" s="11" t="str">
        <f t="shared" si="48"/>
        <v/>
      </c>
      <c r="EJ7" s="11" t="str">
        <f t="shared" si="48"/>
        <v/>
      </c>
      <c r="EK7" s="11" t="str">
        <f t="shared" si="49"/>
        <v/>
      </c>
      <c r="EL7" s="11" t="str">
        <f t="shared" si="50"/>
        <v/>
      </c>
      <c r="EM7" s="15"/>
      <c r="EN7" s="15"/>
      <c r="EO7" s="15"/>
      <c r="EP7" s="15"/>
      <c r="EQ7" s="15"/>
      <c r="ER7" s="15"/>
      <c r="ES7" s="15"/>
      <c r="ET7" s="15"/>
      <c r="EU7" s="15"/>
      <c r="EV7" s="15"/>
      <c r="EW7" s="15"/>
      <c r="EX7" s="15"/>
      <c r="EY7" s="15"/>
      <c r="EZ7" s="15"/>
      <c r="FA7" s="15"/>
      <c r="FB7" s="15"/>
      <c r="FC7" s="15"/>
      <c r="FD7" s="15"/>
      <c r="FE7" s="15"/>
      <c r="FF7" s="15"/>
      <c r="FG7" s="36" t="str">
        <f t="shared" si="51"/>
        <v/>
      </c>
      <c r="FH7" s="36" t="str">
        <f t="shared" si="51"/>
        <v/>
      </c>
      <c r="FI7" s="36" t="str">
        <f t="shared" si="52"/>
        <v/>
      </c>
      <c r="FJ7" s="36" t="str">
        <f t="shared" si="53"/>
        <v/>
      </c>
      <c r="FK7" s="36" t="str">
        <f t="shared" si="53"/>
        <v/>
      </c>
      <c r="FL7" s="36" t="str">
        <f t="shared" si="54"/>
        <v/>
      </c>
      <c r="FM7" s="36" t="str">
        <f t="shared" si="55"/>
        <v/>
      </c>
      <c r="FN7" s="36" t="str">
        <f t="shared" si="56"/>
        <v/>
      </c>
      <c r="FO7" s="36" t="str">
        <f t="shared" si="56"/>
        <v/>
      </c>
      <c r="FP7" s="36" t="str">
        <f t="shared" si="57"/>
        <v/>
      </c>
      <c r="FQ7" s="36" t="str">
        <f t="shared" si="58"/>
        <v/>
      </c>
      <c r="FR7" s="36" t="str">
        <f t="shared" si="58"/>
        <v/>
      </c>
      <c r="FS7" s="36" t="str">
        <f t="shared" si="59"/>
        <v/>
      </c>
      <c r="FT7" s="36" t="str">
        <f t="shared" si="60"/>
        <v/>
      </c>
      <c r="FU7" s="16"/>
      <c r="FV7" s="16"/>
      <c r="FW7" s="16"/>
      <c r="FX7" s="16"/>
      <c r="FY7" s="16"/>
      <c r="FZ7" s="16"/>
      <c r="GA7" s="16"/>
      <c r="GB7" s="16"/>
      <c r="GC7" s="16"/>
      <c r="GD7" s="16"/>
      <c r="GE7" s="16"/>
      <c r="GF7" s="16"/>
      <c r="GG7" s="16"/>
      <c r="GH7" s="16"/>
      <c r="GI7" s="16"/>
      <c r="GJ7" s="16"/>
      <c r="GK7" s="16"/>
      <c r="GL7" s="16"/>
      <c r="GM7" s="16"/>
      <c r="GN7" s="16"/>
      <c r="GO7" s="11" t="str">
        <f t="shared" si="61"/>
        <v/>
      </c>
      <c r="GP7" s="11" t="str">
        <f t="shared" si="61"/>
        <v/>
      </c>
      <c r="GQ7" s="11" t="str">
        <f t="shared" si="62"/>
        <v/>
      </c>
      <c r="GR7" s="11" t="str">
        <f t="shared" si="63"/>
        <v/>
      </c>
      <c r="GS7" s="11" t="str">
        <f t="shared" si="63"/>
        <v/>
      </c>
      <c r="GT7" s="11" t="str">
        <f t="shared" si="64"/>
        <v/>
      </c>
      <c r="GU7" s="11" t="str">
        <f t="shared" si="65"/>
        <v/>
      </c>
      <c r="GV7" s="11" t="str">
        <f t="shared" si="66"/>
        <v/>
      </c>
      <c r="GW7" s="11" t="str">
        <f t="shared" si="66"/>
        <v/>
      </c>
      <c r="GX7" s="11" t="str">
        <f t="shared" si="67"/>
        <v/>
      </c>
      <c r="GY7" s="11" t="str">
        <f t="shared" si="68"/>
        <v/>
      </c>
      <c r="GZ7" s="11" t="str">
        <f t="shared" si="68"/>
        <v/>
      </c>
      <c r="HA7" s="11" t="str">
        <f t="shared" si="69"/>
        <v/>
      </c>
      <c r="HB7" s="11" t="str">
        <f t="shared" si="70"/>
        <v/>
      </c>
      <c r="HC7" s="15"/>
      <c r="HD7" s="15"/>
      <c r="HE7" s="15"/>
      <c r="HF7" s="15"/>
      <c r="HG7" s="15"/>
      <c r="HH7" s="15"/>
      <c r="HI7" s="15"/>
      <c r="HJ7" s="15"/>
      <c r="HK7" s="15"/>
      <c r="HL7" s="15"/>
      <c r="HM7" s="15"/>
      <c r="HN7" s="15"/>
      <c r="HO7" s="15"/>
      <c r="HP7" s="15"/>
      <c r="HQ7" s="15"/>
      <c r="HR7" s="15"/>
      <c r="HS7" s="15"/>
      <c r="HT7" s="15"/>
      <c r="HU7" s="15"/>
      <c r="HV7" s="15"/>
      <c r="HW7" s="36" t="str">
        <f t="shared" si="71"/>
        <v/>
      </c>
      <c r="HX7" s="36" t="str">
        <f t="shared" si="71"/>
        <v/>
      </c>
      <c r="HY7" s="36" t="str">
        <f t="shared" si="72"/>
        <v/>
      </c>
      <c r="HZ7" s="36" t="str">
        <f t="shared" si="73"/>
        <v/>
      </c>
      <c r="IA7" s="36" t="str">
        <f t="shared" si="73"/>
        <v/>
      </c>
      <c r="IB7" s="36" t="str">
        <f t="shared" si="74"/>
        <v/>
      </c>
      <c r="IC7" s="36" t="str">
        <f t="shared" si="75"/>
        <v/>
      </c>
      <c r="ID7" s="36" t="str">
        <f t="shared" si="76"/>
        <v/>
      </c>
      <c r="IE7" s="36" t="str">
        <f t="shared" si="76"/>
        <v/>
      </c>
      <c r="IF7" s="36" t="str">
        <f t="shared" si="77"/>
        <v/>
      </c>
      <c r="IG7" s="36" t="str">
        <f t="shared" si="78"/>
        <v/>
      </c>
      <c r="IH7" s="36" t="str">
        <f t="shared" si="78"/>
        <v/>
      </c>
      <c r="II7" s="36" t="str">
        <f t="shared" si="79"/>
        <v/>
      </c>
      <c r="IJ7" s="36" t="str">
        <f t="shared" si="80"/>
        <v/>
      </c>
      <c r="IK7" s="16"/>
      <c r="IL7" s="16"/>
      <c r="IM7" s="16"/>
      <c r="IN7" s="16"/>
      <c r="IO7" s="16"/>
      <c r="IP7" s="16"/>
      <c r="IQ7" s="16"/>
      <c r="IR7" s="16"/>
      <c r="IS7" s="16"/>
      <c r="IT7" s="16"/>
      <c r="IU7" s="16"/>
      <c r="IV7" s="16"/>
      <c r="IW7" s="16"/>
      <c r="IX7" s="16"/>
      <c r="IY7" s="16"/>
      <c r="IZ7" s="16"/>
      <c r="JA7" s="16"/>
      <c r="JB7" s="16"/>
      <c r="JC7" s="16"/>
      <c r="JD7" s="16"/>
      <c r="JE7" s="11" t="str">
        <f t="shared" si="81"/>
        <v/>
      </c>
      <c r="JF7" s="11" t="str">
        <f t="shared" si="81"/>
        <v/>
      </c>
      <c r="JG7" s="11" t="str">
        <f t="shared" si="82"/>
        <v/>
      </c>
      <c r="JH7" s="11" t="str">
        <f t="shared" si="83"/>
        <v/>
      </c>
      <c r="JI7" s="11" t="str">
        <f t="shared" si="83"/>
        <v/>
      </c>
      <c r="JJ7" s="11" t="str">
        <f t="shared" si="84"/>
        <v/>
      </c>
      <c r="JK7" s="11" t="str">
        <f t="shared" si="85"/>
        <v/>
      </c>
      <c r="JL7" s="11" t="str">
        <f t="shared" si="86"/>
        <v/>
      </c>
      <c r="JM7" s="11" t="str">
        <f t="shared" si="86"/>
        <v/>
      </c>
      <c r="JN7" s="11" t="str">
        <f t="shared" si="87"/>
        <v/>
      </c>
      <c r="JO7" s="11" t="str">
        <f t="shared" si="88"/>
        <v/>
      </c>
      <c r="JP7" s="11" t="str">
        <f t="shared" si="88"/>
        <v/>
      </c>
      <c r="JQ7" s="11" t="str">
        <f t="shared" si="89"/>
        <v/>
      </c>
      <c r="JR7" s="11" t="str">
        <f t="shared" si="90"/>
        <v/>
      </c>
      <c r="JS7" s="15"/>
      <c r="JT7" s="15"/>
      <c r="JU7" s="15"/>
      <c r="JV7" s="15"/>
      <c r="JW7" s="15"/>
      <c r="JX7" s="15"/>
      <c r="JY7" s="15"/>
      <c r="JZ7" s="15"/>
      <c r="KA7" s="15"/>
      <c r="KB7" s="15"/>
      <c r="KC7" s="15"/>
      <c r="KD7" s="15"/>
      <c r="KE7" s="15"/>
      <c r="KF7" s="15"/>
      <c r="KG7" s="15"/>
      <c r="KH7" s="15"/>
      <c r="KI7" s="15"/>
      <c r="KJ7" s="15"/>
      <c r="KK7" s="15"/>
      <c r="KL7" s="15"/>
      <c r="KM7" s="36" t="str">
        <f t="shared" si="91"/>
        <v/>
      </c>
      <c r="KN7" s="36" t="str">
        <f t="shared" si="91"/>
        <v/>
      </c>
      <c r="KO7" s="36" t="str">
        <f t="shared" si="92"/>
        <v/>
      </c>
      <c r="KP7" s="36" t="str">
        <f t="shared" si="93"/>
        <v/>
      </c>
      <c r="KQ7" s="36" t="str">
        <f t="shared" si="93"/>
        <v/>
      </c>
      <c r="KR7" s="36" t="str">
        <f t="shared" si="94"/>
        <v/>
      </c>
      <c r="KS7" s="36" t="str">
        <f t="shared" si="95"/>
        <v/>
      </c>
      <c r="KT7" s="36" t="str">
        <f t="shared" si="96"/>
        <v/>
      </c>
      <c r="KU7" s="36" t="str">
        <f t="shared" si="96"/>
        <v/>
      </c>
      <c r="KV7" s="36" t="str">
        <f t="shared" si="97"/>
        <v/>
      </c>
      <c r="KW7" s="36" t="str">
        <f t="shared" si="98"/>
        <v/>
      </c>
      <c r="KX7" s="36" t="str">
        <f t="shared" si="98"/>
        <v/>
      </c>
      <c r="KY7" s="36" t="str">
        <f t="shared" si="99"/>
        <v/>
      </c>
      <c r="KZ7" s="36" t="str">
        <f t="shared" si="100"/>
        <v/>
      </c>
      <c r="LA7" s="16"/>
      <c r="LB7" s="16"/>
      <c r="LC7" s="16"/>
      <c r="LD7" s="16"/>
      <c r="LE7" s="16"/>
      <c r="LF7" s="16"/>
      <c r="LG7" s="16"/>
      <c r="LH7" s="16"/>
      <c r="LI7" s="16"/>
      <c r="LJ7" s="16"/>
      <c r="LK7" s="16"/>
      <c r="LL7" s="16"/>
      <c r="LM7" s="16"/>
      <c r="LN7" s="16"/>
      <c r="LO7" s="16"/>
      <c r="LP7" s="16"/>
      <c r="LQ7" s="16"/>
      <c r="LR7" s="16"/>
      <c r="LS7" s="16"/>
      <c r="LT7" s="16"/>
      <c r="LU7" s="11" t="str">
        <f t="shared" si="101"/>
        <v/>
      </c>
      <c r="LV7" s="11" t="str">
        <f t="shared" si="101"/>
        <v/>
      </c>
      <c r="LW7" s="11" t="str">
        <f t="shared" si="102"/>
        <v/>
      </c>
      <c r="LX7" s="11" t="str">
        <f t="shared" si="103"/>
        <v/>
      </c>
      <c r="LY7" s="11" t="str">
        <f t="shared" si="103"/>
        <v/>
      </c>
      <c r="LZ7" s="11" t="str">
        <f t="shared" si="104"/>
        <v/>
      </c>
      <c r="MA7" s="11" t="str">
        <f t="shared" si="105"/>
        <v/>
      </c>
      <c r="MB7" s="11" t="str">
        <f t="shared" si="106"/>
        <v/>
      </c>
      <c r="MC7" s="11" t="str">
        <f t="shared" si="106"/>
        <v/>
      </c>
      <c r="MD7" s="11" t="str">
        <f t="shared" si="107"/>
        <v/>
      </c>
      <c r="ME7" s="11" t="str">
        <f t="shared" si="108"/>
        <v/>
      </c>
      <c r="MF7" s="11" t="str">
        <f t="shared" si="108"/>
        <v/>
      </c>
      <c r="MG7" s="11" t="str">
        <f t="shared" si="109"/>
        <v/>
      </c>
      <c r="MH7" s="11" t="str">
        <f t="shared" si="110"/>
        <v/>
      </c>
      <c r="MI7" s="15"/>
      <c r="MJ7" s="15"/>
      <c r="MK7" s="15"/>
      <c r="ML7" s="15"/>
      <c r="MM7" s="15"/>
      <c r="MN7" s="15"/>
      <c r="MO7" s="15"/>
      <c r="MP7" s="15"/>
      <c r="MQ7" s="15"/>
      <c r="MR7" s="15"/>
      <c r="MS7" s="15"/>
      <c r="MT7" s="15"/>
      <c r="MU7" s="15"/>
      <c r="MV7" s="15"/>
      <c r="MW7" s="15"/>
      <c r="MX7" s="15"/>
      <c r="MY7" s="15"/>
      <c r="MZ7" s="15"/>
      <c r="NA7" s="15"/>
      <c r="NB7" s="15"/>
      <c r="NC7" s="36" t="str">
        <f t="shared" si="111"/>
        <v/>
      </c>
      <c r="ND7" s="36" t="str">
        <f t="shared" si="111"/>
        <v/>
      </c>
      <c r="NE7" s="36" t="str">
        <f t="shared" si="112"/>
        <v/>
      </c>
      <c r="NF7" s="36" t="str">
        <f t="shared" si="113"/>
        <v/>
      </c>
      <c r="NG7" s="36" t="str">
        <f t="shared" si="113"/>
        <v/>
      </c>
      <c r="NH7" s="36" t="str">
        <f t="shared" si="114"/>
        <v/>
      </c>
      <c r="NI7" s="36" t="str">
        <f t="shared" si="115"/>
        <v/>
      </c>
      <c r="NJ7" s="36" t="str">
        <f t="shared" si="116"/>
        <v/>
      </c>
      <c r="NK7" s="36" t="str">
        <f t="shared" si="116"/>
        <v/>
      </c>
      <c r="NL7" s="36" t="str">
        <f t="shared" si="117"/>
        <v/>
      </c>
      <c r="NM7" s="36" t="str">
        <f t="shared" si="118"/>
        <v/>
      </c>
      <c r="NN7" s="36" t="str">
        <f t="shared" si="118"/>
        <v/>
      </c>
      <c r="NO7" s="36" t="str">
        <f t="shared" si="119"/>
        <v/>
      </c>
      <c r="NP7" s="36" t="str">
        <f t="shared" si="120"/>
        <v/>
      </c>
      <c r="NQ7" s="16"/>
      <c r="NR7" s="16"/>
      <c r="NS7" s="16"/>
      <c r="NT7" s="16"/>
      <c r="NU7" s="16"/>
      <c r="NV7" s="16"/>
      <c r="NW7" s="16"/>
      <c r="NX7" s="16"/>
      <c r="NY7" s="16"/>
      <c r="NZ7" s="16"/>
      <c r="OA7" s="16"/>
      <c r="OB7" s="16"/>
      <c r="OC7" s="16"/>
      <c r="OD7" s="16"/>
      <c r="OE7" s="16"/>
      <c r="OF7" s="16"/>
      <c r="OG7" s="16"/>
      <c r="OH7" s="16"/>
      <c r="OI7" s="16"/>
      <c r="OJ7" s="16"/>
      <c r="OK7" s="11" t="str">
        <f t="shared" si="121"/>
        <v/>
      </c>
      <c r="OL7" s="11" t="str">
        <f t="shared" si="121"/>
        <v/>
      </c>
      <c r="OM7" s="11" t="str">
        <f t="shared" si="122"/>
        <v/>
      </c>
      <c r="ON7" s="11" t="str">
        <f t="shared" si="123"/>
        <v/>
      </c>
      <c r="OO7" s="11" t="str">
        <f t="shared" si="123"/>
        <v/>
      </c>
      <c r="OP7" s="11" t="str">
        <f t="shared" si="124"/>
        <v/>
      </c>
      <c r="OQ7" s="11" t="str">
        <f t="shared" si="125"/>
        <v/>
      </c>
      <c r="OR7" s="11" t="str">
        <f t="shared" si="126"/>
        <v/>
      </c>
      <c r="OS7" s="11" t="str">
        <f t="shared" si="126"/>
        <v/>
      </c>
      <c r="OT7" s="11" t="str">
        <f t="shared" si="127"/>
        <v/>
      </c>
      <c r="OU7" s="11" t="str">
        <f t="shared" si="128"/>
        <v/>
      </c>
      <c r="OV7" s="11" t="str">
        <f t="shared" si="128"/>
        <v/>
      </c>
      <c r="OW7" s="11" t="str">
        <f t="shared" si="129"/>
        <v/>
      </c>
      <c r="OX7" s="11" t="str">
        <f t="shared" si="130"/>
        <v/>
      </c>
      <c r="OY7" s="15"/>
      <c r="OZ7" s="15"/>
      <c r="PA7" s="15"/>
      <c r="PB7" s="15"/>
      <c r="PC7" s="15"/>
      <c r="PD7" s="15"/>
      <c r="PE7" s="15"/>
      <c r="PF7" s="15"/>
      <c r="PG7" s="15"/>
      <c r="PH7" s="15"/>
      <c r="PI7" s="15"/>
      <c r="PJ7" s="15"/>
      <c r="PK7" s="15"/>
      <c r="PL7" s="15"/>
      <c r="PM7" s="15"/>
      <c r="PN7" s="15"/>
      <c r="PO7" s="15"/>
      <c r="PP7" s="15"/>
      <c r="PQ7" s="15"/>
      <c r="PR7" s="15"/>
      <c r="PS7" s="36" t="str">
        <f t="shared" si="131"/>
        <v/>
      </c>
      <c r="PT7" s="36" t="str">
        <f t="shared" si="131"/>
        <v/>
      </c>
      <c r="PU7" s="36" t="str">
        <f t="shared" si="132"/>
        <v/>
      </c>
      <c r="PV7" s="36" t="str">
        <f t="shared" si="133"/>
        <v/>
      </c>
      <c r="PW7" s="36" t="str">
        <f t="shared" si="133"/>
        <v/>
      </c>
      <c r="PX7" s="36" t="str">
        <f t="shared" si="134"/>
        <v/>
      </c>
      <c r="PY7" s="36" t="str">
        <f t="shared" si="135"/>
        <v/>
      </c>
      <c r="PZ7" s="36" t="str">
        <f t="shared" si="136"/>
        <v/>
      </c>
      <c r="QA7" s="36" t="str">
        <f t="shared" si="136"/>
        <v/>
      </c>
      <c r="QB7" s="36" t="str">
        <f t="shared" si="137"/>
        <v/>
      </c>
      <c r="QC7" s="36" t="str">
        <f t="shared" si="138"/>
        <v/>
      </c>
      <c r="QD7" s="36" t="str">
        <f t="shared" si="138"/>
        <v/>
      </c>
      <c r="QE7" s="36" t="str">
        <f t="shared" si="139"/>
        <v/>
      </c>
      <c r="QF7" s="36" t="str">
        <f t="shared" si="140"/>
        <v/>
      </c>
      <c r="QG7" s="16"/>
      <c r="QH7" s="16"/>
      <c r="QI7" s="16"/>
      <c r="QJ7" s="16"/>
      <c r="QK7" s="16"/>
      <c r="QL7" s="16"/>
      <c r="QM7" s="16"/>
      <c r="QN7" s="16"/>
      <c r="QO7" s="16"/>
      <c r="QP7" s="16"/>
      <c r="QQ7" s="16"/>
      <c r="QR7" s="16"/>
      <c r="QS7" s="16"/>
      <c r="QT7" s="16"/>
      <c r="QU7" s="16"/>
      <c r="QV7" s="16"/>
      <c r="QW7" s="16"/>
      <c r="QX7" s="16"/>
      <c r="QY7" s="16"/>
      <c r="QZ7" s="16"/>
      <c r="RA7" s="11" t="str">
        <f t="shared" si="141"/>
        <v/>
      </c>
      <c r="RB7" s="11" t="str">
        <f t="shared" si="141"/>
        <v/>
      </c>
      <c r="RC7" s="11" t="str">
        <f t="shared" si="142"/>
        <v/>
      </c>
      <c r="RD7" s="11" t="str">
        <f t="shared" si="143"/>
        <v/>
      </c>
      <c r="RE7" s="11" t="str">
        <f t="shared" si="143"/>
        <v/>
      </c>
      <c r="RF7" s="11" t="str">
        <f t="shared" si="144"/>
        <v/>
      </c>
      <c r="RG7" s="11" t="str">
        <f t="shared" si="145"/>
        <v/>
      </c>
      <c r="RH7" s="11" t="str">
        <f t="shared" si="146"/>
        <v/>
      </c>
      <c r="RI7" s="11" t="str">
        <f t="shared" si="146"/>
        <v/>
      </c>
      <c r="RJ7" s="11" t="str">
        <f t="shared" si="147"/>
        <v/>
      </c>
      <c r="RK7" s="11" t="str">
        <f t="shared" si="148"/>
        <v/>
      </c>
      <c r="RL7" s="11" t="str">
        <f t="shared" si="148"/>
        <v/>
      </c>
      <c r="RM7" s="11" t="str">
        <f t="shared" si="149"/>
        <v/>
      </c>
      <c r="RN7" s="11" t="str">
        <f t="shared" si="150"/>
        <v/>
      </c>
      <c r="RO7" s="15"/>
      <c r="RP7" s="15"/>
      <c r="RQ7" s="15"/>
      <c r="RR7" s="15"/>
      <c r="RS7" s="15"/>
      <c r="RT7" s="15"/>
      <c r="RU7" s="15"/>
      <c r="RV7" s="15"/>
      <c r="RW7" s="15"/>
      <c r="RX7" s="15"/>
      <c r="RY7" s="15"/>
      <c r="RZ7" s="15"/>
      <c r="SA7" s="15"/>
      <c r="SB7" s="15"/>
      <c r="SC7" s="15"/>
      <c r="SD7" s="15"/>
      <c r="SE7" s="15"/>
      <c r="SF7" s="15"/>
      <c r="SG7" s="15"/>
      <c r="SH7" s="15"/>
      <c r="SI7" s="36" t="str">
        <f t="shared" si="151"/>
        <v/>
      </c>
      <c r="SJ7" s="36" t="str">
        <f t="shared" si="151"/>
        <v/>
      </c>
      <c r="SK7" s="36" t="str">
        <f t="shared" si="152"/>
        <v/>
      </c>
      <c r="SL7" s="36" t="str">
        <f t="shared" si="153"/>
        <v/>
      </c>
      <c r="SM7" s="36" t="str">
        <f t="shared" si="153"/>
        <v/>
      </c>
      <c r="SN7" s="36" t="str">
        <f t="shared" si="154"/>
        <v/>
      </c>
      <c r="SO7" s="36" t="str">
        <f t="shared" si="155"/>
        <v/>
      </c>
      <c r="SP7" s="36" t="str">
        <f t="shared" si="156"/>
        <v/>
      </c>
      <c r="SQ7" s="36" t="str">
        <f t="shared" si="156"/>
        <v/>
      </c>
      <c r="SR7" s="36" t="str">
        <f t="shared" si="157"/>
        <v/>
      </c>
      <c r="SS7" s="36" t="str">
        <f t="shared" si="158"/>
        <v/>
      </c>
      <c r="ST7" s="36" t="str">
        <f t="shared" si="158"/>
        <v/>
      </c>
      <c r="SU7" s="36" t="str">
        <f t="shared" si="159"/>
        <v/>
      </c>
      <c r="SV7" s="36" t="str">
        <f t="shared" si="160"/>
        <v/>
      </c>
      <c r="SW7" s="16"/>
      <c r="SX7" s="16"/>
      <c r="SY7" s="16"/>
      <c r="SZ7" s="16"/>
      <c r="TA7" s="16"/>
      <c r="TB7" s="16"/>
      <c r="TC7" s="16"/>
      <c r="TD7" s="16"/>
      <c r="TE7" s="16"/>
      <c r="TF7" s="16"/>
      <c r="TG7" s="16"/>
      <c r="TH7" s="16"/>
      <c r="TI7" s="16"/>
      <c r="TJ7" s="16"/>
      <c r="TK7" s="16"/>
      <c r="TL7" s="16"/>
      <c r="TM7" s="16"/>
      <c r="TN7" s="16"/>
      <c r="TO7" s="16"/>
      <c r="TP7" s="16"/>
      <c r="TQ7" s="11" t="str">
        <f t="shared" si="161"/>
        <v/>
      </c>
      <c r="TR7" s="11" t="str">
        <f t="shared" si="161"/>
        <v/>
      </c>
      <c r="TS7" s="11" t="str">
        <f t="shared" si="162"/>
        <v/>
      </c>
      <c r="TT7" s="11" t="str">
        <f t="shared" si="163"/>
        <v/>
      </c>
      <c r="TU7" s="11" t="str">
        <f t="shared" si="163"/>
        <v/>
      </c>
      <c r="TV7" s="11" t="str">
        <f t="shared" si="164"/>
        <v/>
      </c>
      <c r="TW7" s="11" t="str">
        <f t="shared" si="165"/>
        <v/>
      </c>
      <c r="TX7" s="11" t="str">
        <f t="shared" si="166"/>
        <v/>
      </c>
      <c r="TY7" s="11" t="str">
        <f t="shared" si="166"/>
        <v/>
      </c>
      <c r="TZ7" s="11" t="str">
        <f t="shared" si="167"/>
        <v/>
      </c>
      <c r="UA7" s="11" t="str">
        <f t="shared" si="168"/>
        <v/>
      </c>
      <c r="UB7" s="11" t="str">
        <f t="shared" si="168"/>
        <v/>
      </c>
      <c r="UC7" s="11" t="str">
        <f t="shared" si="169"/>
        <v/>
      </c>
      <c r="UD7" s="11" t="str">
        <f t="shared" si="170"/>
        <v/>
      </c>
      <c r="UE7" s="15"/>
      <c r="UF7" s="15"/>
      <c r="UG7" s="15"/>
      <c r="UH7" s="15"/>
      <c r="UI7" s="15"/>
      <c r="UJ7" s="15"/>
      <c r="UK7" s="15"/>
      <c r="UL7" s="15"/>
      <c r="UM7" s="15"/>
      <c r="UN7" s="15"/>
      <c r="UO7" s="15"/>
      <c r="UP7" s="15"/>
      <c r="UQ7" s="15"/>
      <c r="UR7" s="15"/>
      <c r="US7" s="15"/>
      <c r="UT7" s="15"/>
      <c r="UU7" s="15"/>
      <c r="UV7" s="15"/>
      <c r="UW7" s="15"/>
      <c r="UX7" s="15"/>
      <c r="UY7" s="36" t="str">
        <f t="shared" si="171"/>
        <v/>
      </c>
      <c r="UZ7" s="36" t="str">
        <f t="shared" si="171"/>
        <v/>
      </c>
      <c r="VA7" s="36" t="str">
        <f t="shared" si="172"/>
        <v/>
      </c>
      <c r="VB7" s="36" t="str">
        <f t="shared" si="173"/>
        <v/>
      </c>
      <c r="VC7" s="36" t="str">
        <f t="shared" si="173"/>
        <v/>
      </c>
      <c r="VD7" s="36" t="str">
        <f t="shared" si="174"/>
        <v/>
      </c>
      <c r="VE7" s="36" t="str">
        <f t="shared" si="175"/>
        <v/>
      </c>
      <c r="VF7" s="36" t="str">
        <f t="shared" si="176"/>
        <v/>
      </c>
      <c r="VG7" s="36" t="str">
        <f t="shared" si="176"/>
        <v/>
      </c>
      <c r="VH7" s="36" t="str">
        <f t="shared" si="177"/>
        <v/>
      </c>
      <c r="VI7" s="36" t="str">
        <f t="shared" si="178"/>
        <v/>
      </c>
      <c r="VJ7" s="36" t="str">
        <f t="shared" si="178"/>
        <v/>
      </c>
      <c r="VK7" s="36" t="str">
        <f t="shared" si="179"/>
        <v/>
      </c>
      <c r="VL7" s="36" t="str">
        <f t="shared" si="180"/>
        <v/>
      </c>
    </row>
    <row r="8" spans="1:584" x14ac:dyDescent="0.2">
      <c r="A8" s="4" t="str" cm="1">
        <f t="array" ref="A8">IF(AND(H8&lt;&gt;"",H8&lt;&gt;"No DD"),SUMPRODUCT((H$4:H$10&lt;&gt;"")*(H$4:H$10&lt;&gt;"No DD")*(E$4:E$10&gt;E8))+1,IF(H8="No DD",SUMPRODUCT((H$4:H$10="No DD")*(E$4:E$10&gt;E8))+1+SUMPRODUCT((H$4:H$10&lt;&gt;"")*(H$4:H$10&lt;&gt;"No DD")),""))</f>
        <v/>
      </c>
      <c r="B8" s="5" t="s">
        <v>226</v>
      </c>
      <c r="C8" s="4" t="s">
        <v>7</v>
      </c>
      <c r="D8" s="4">
        <v>2010</v>
      </c>
      <c r="E8" s="9">
        <f t="shared" si="0"/>
        <v>138.11001381100479</v>
      </c>
      <c r="F8" s="3" t="str">
        <f t="shared" si="1"/>
        <v/>
      </c>
      <c r="G8" s="3" t="str">
        <f t="shared" si="2"/>
        <v/>
      </c>
      <c r="H8" s="32" t="str">
        <f t="shared" si="3"/>
        <v/>
      </c>
      <c r="I8" s="3"/>
      <c r="J8" s="8">
        <f t="shared" si="4"/>
        <v>39.909999999999997</v>
      </c>
      <c r="K8" s="8" t="str">
        <f t="shared" si="5"/>
        <v>2025 3rd Domestic Trial</v>
      </c>
      <c r="L8" s="8">
        <f t="shared" si="6"/>
        <v>47.839999999999996</v>
      </c>
      <c r="M8" s="8" t="str">
        <f t="shared" si="7"/>
        <v>2025 3rd Domestic Trial</v>
      </c>
      <c r="N8" s="8">
        <f t="shared" si="8"/>
        <v>50.36</v>
      </c>
      <c r="O8" s="8" t="str">
        <f t="shared" si="9"/>
        <v>2025 3rd Domestic Trial</v>
      </c>
      <c r="P8" s="8">
        <f t="shared" si="10"/>
        <v>0</v>
      </c>
      <c r="Q8" s="11" t="str">
        <f t="shared" si="11"/>
        <v/>
      </c>
      <c r="R8" s="8" t="str">
        <f t="shared" si="12"/>
        <v/>
      </c>
      <c r="S8" s="18">
        <v>16.100000000000001</v>
      </c>
      <c r="T8" s="18">
        <v>9.3000000000000007</v>
      </c>
      <c r="U8" s="18">
        <v>0</v>
      </c>
      <c r="V8" s="18">
        <v>14.43</v>
      </c>
      <c r="W8" s="18">
        <v>0</v>
      </c>
      <c r="X8" s="18">
        <v>12.9</v>
      </c>
      <c r="Y8" s="18">
        <v>9.1999999999999993</v>
      </c>
      <c r="Z8" s="18">
        <v>11.6</v>
      </c>
      <c r="AA8" s="18">
        <v>14.03</v>
      </c>
      <c r="AB8" s="18">
        <v>0</v>
      </c>
      <c r="AC8" s="18">
        <v>15.2</v>
      </c>
      <c r="AD8" s="18">
        <v>9.1</v>
      </c>
      <c r="AE8" s="18">
        <v>11.6</v>
      </c>
      <c r="AF8" s="18">
        <v>14.46</v>
      </c>
      <c r="AG8" s="18">
        <v>0</v>
      </c>
      <c r="AH8" s="23"/>
      <c r="AI8" s="34" t="str">
        <f t="shared" si="13"/>
        <v/>
      </c>
      <c r="AJ8" s="34">
        <f t="shared" si="13"/>
        <v>14.43</v>
      </c>
      <c r="AK8" s="36">
        <f t="shared" si="14"/>
        <v>39.83</v>
      </c>
      <c r="AL8" s="36">
        <f t="shared" si="15"/>
        <v>11.6</v>
      </c>
      <c r="AM8" s="36">
        <f t="shared" si="15"/>
        <v>14.03</v>
      </c>
      <c r="AN8" s="36">
        <f t="shared" si="16"/>
        <v>47.730000000000004</v>
      </c>
      <c r="AO8" s="36">
        <f t="shared" si="17"/>
        <v>87.56</v>
      </c>
      <c r="AP8" s="36">
        <f t="shared" si="18"/>
        <v>11.6</v>
      </c>
      <c r="AQ8" s="36">
        <f t="shared" si="18"/>
        <v>14.46</v>
      </c>
      <c r="AR8" s="36">
        <f t="shared" si="19"/>
        <v>50.36</v>
      </c>
      <c r="AS8" s="36">
        <f t="shared" si="20"/>
        <v>137.92000000000002</v>
      </c>
      <c r="AT8" s="22">
        <v>16.2</v>
      </c>
      <c r="AU8" s="22">
        <v>9.3000000000000007</v>
      </c>
      <c r="AV8" s="22">
        <v>0</v>
      </c>
      <c r="AW8" s="22">
        <v>14.41</v>
      </c>
      <c r="AX8" s="22">
        <v>0</v>
      </c>
      <c r="AY8" s="22">
        <v>13.7</v>
      </c>
      <c r="AZ8" s="22">
        <v>8.8000000000000007</v>
      </c>
      <c r="BA8" s="22">
        <v>10.9</v>
      </c>
      <c r="BB8" s="22">
        <v>14.44</v>
      </c>
      <c r="BC8" s="22">
        <v>0</v>
      </c>
      <c r="BD8" s="22">
        <v>15</v>
      </c>
      <c r="BE8" s="22">
        <v>9.1999999999999993</v>
      </c>
      <c r="BF8" s="22">
        <v>10.9</v>
      </c>
      <c r="BG8" s="22">
        <v>14.45</v>
      </c>
      <c r="BH8" s="22">
        <v>0</v>
      </c>
      <c r="BI8" s="24"/>
      <c r="BJ8" s="35" t="str">
        <f t="shared" si="21"/>
        <v/>
      </c>
      <c r="BK8" s="35">
        <f t="shared" si="21"/>
        <v>14.41</v>
      </c>
      <c r="BL8" s="11">
        <f t="shared" si="22"/>
        <v>39.909999999999997</v>
      </c>
      <c r="BM8" s="11">
        <f t="shared" si="23"/>
        <v>10.9</v>
      </c>
      <c r="BN8" s="11">
        <f t="shared" si="23"/>
        <v>14.44</v>
      </c>
      <c r="BO8" s="11">
        <f t="shared" si="24"/>
        <v>47.839999999999996</v>
      </c>
      <c r="BP8" s="11">
        <f t="shared" si="25"/>
        <v>87.75</v>
      </c>
      <c r="BQ8" s="11">
        <f t="shared" si="26"/>
        <v>10.9</v>
      </c>
      <c r="BR8" s="11">
        <f t="shared" si="26"/>
        <v>14.45</v>
      </c>
      <c r="BS8" s="11">
        <f t="shared" si="27"/>
        <v>49.55</v>
      </c>
      <c r="BT8" s="11">
        <f t="shared" si="28"/>
        <v>137.30000000000001</v>
      </c>
      <c r="BU8" s="47" t="str">
        <f t="shared" si="29"/>
        <v/>
      </c>
      <c r="BV8" s="47" t="str">
        <f t="shared" si="30"/>
        <v/>
      </c>
      <c r="BW8" s="15">
        <v>15.1</v>
      </c>
      <c r="BX8" s="15">
        <v>9.6</v>
      </c>
      <c r="BY8" s="15">
        <v>0</v>
      </c>
      <c r="BZ8" s="15">
        <v>14.68</v>
      </c>
      <c r="CA8" s="15">
        <v>0</v>
      </c>
      <c r="CB8" s="15">
        <v>12.9</v>
      </c>
      <c r="CC8" s="15">
        <v>8.6999999999999993</v>
      </c>
      <c r="CD8" s="15">
        <v>11.6</v>
      </c>
      <c r="CE8" s="15">
        <v>14.32</v>
      </c>
      <c r="CF8" s="15">
        <v>0</v>
      </c>
      <c r="CG8" s="15"/>
      <c r="CH8" s="15"/>
      <c r="CI8" s="15"/>
      <c r="CJ8" s="15"/>
      <c r="CK8" s="15"/>
      <c r="CL8" s="15"/>
      <c r="CM8" s="15"/>
      <c r="CN8" s="15"/>
      <c r="CO8" s="15"/>
      <c r="CP8" s="15"/>
      <c r="CQ8" s="36" t="str">
        <f t="shared" si="31"/>
        <v/>
      </c>
      <c r="CR8" s="36">
        <f t="shared" si="31"/>
        <v>14.68</v>
      </c>
      <c r="CS8" s="36">
        <f t="shared" si="32"/>
        <v>39.379999999999995</v>
      </c>
      <c r="CT8" s="36">
        <f t="shared" si="33"/>
        <v>11.6</v>
      </c>
      <c r="CU8" s="36">
        <f t="shared" si="33"/>
        <v>14.32</v>
      </c>
      <c r="CV8" s="36">
        <f t="shared" si="34"/>
        <v>47.52</v>
      </c>
      <c r="CW8" s="36">
        <f t="shared" si="35"/>
        <v>86.9</v>
      </c>
      <c r="CX8" s="36" t="str">
        <f t="shared" si="36"/>
        <v/>
      </c>
      <c r="CY8" s="36" t="str">
        <f t="shared" si="36"/>
        <v/>
      </c>
      <c r="CZ8" s="36" t="str">
        <f t="shared" si="37"/>
        <v/>
      </c>
      <c r="DA8" s="36" t="str">
        <f t="shared" si="38"/>
        <v/>
      </c>
      <c r="DB8" s="36" t="str">
        <f t="shared" si="38"/>
        <v/>
      </c>
      <c r="DC8" s="36" t="str">
        <f t="shared" si="39"/>
        <v/>
      </c>
      <c r="DD8" s="36">
        <f t="shared" si="40"/>
        <v>86.9</v>
      </c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1" t="str">
        <f t="shared" si="41"/>
        <v/>
      </c>
      <c r="DZ8" s="11" t="str">
        <f t="shared" si="41"/>
        <v/>
      </c>
      <c r="EA8" s="11" t="str">
        <f t="shared" si="42"/>
        <v/>
      </c>
      <c r="EB8" s="11" t="str">
        <f t="shared" si="43"/>
        <v/>
      </c>
      <c r="EC8" s="11" t="str">
        <f t="shared" si="43"/>
        <v/>
      </c>
      <c r="ED8" s="11" t="str">
        <f t="shared" si="44"/>
        <v/>
      </c>
      <c r="EE8" s="11" t="str">
        <f t="shared" si="45"/>
        <v/>
      </c>
      <c r="EF8" s="11" t="str">
        <f t="shared" si="46"/>
        <v/>
      </c>
      <c r="EG8" s="11" t="str">
        <f t="shared" si="46"/>
        <v/>
      </c>
      <c r="EH8" s="11" t="str">
        <f t="shared" si="47"/>
        <v/>
      </c>
      <c r="EI8" s="11" t="str">
        <f t="shared" si="48"/>
        <v/>
      </c>
      <c r="EJ8" s="11" t="str">
        <f t="shared" si="48"/>
        <v/>
      </c>
      <c r="EK8" s="11" t="str">
        <f t="shared" si="49"/>
        <v/>
      </c>
      <c r="EL8" s="11" t="str">
        <f t="shared" si="50"/>
        <v/>
      </c>
      <c r="EM8" s="15"/>
      <c r="EN8" s="15"/>
      <c r="EO8" s="15"/>
      <c r="EP8" s="15"/>
      <c r="EQ8" s="15"/>
      <c r="ER8" s="15"/>
      <c r="ES8" s="15"/>
      <c r="ET8" s="15"/>
      <c r="EU8" s="15"/>
      <c r="EV8" s="15"/>
      <c r="EW8" s="15"/>
      <c r="EX8" s="15"/>
      <c r="EY8" s="15"/>
      <c r="EZ8" s="15"/>
      <c r="FA8" s="15"/>
      <c r="FB8" s="15"/>
      <c r="FC8" s="15"/>
      <c r="FD8" s="15"/>
      <c r="FE8" s="15"/>
      <c r="FF8" s="15"/>
      <c r="FG8" s="36" t="str">
        <f t="shared" si="51"/>
        <v/>
      </c>
      <c r="FH8" s="36" t="str">
        <f t="shared" si="51"/>
        <v/>
      </c>
      <c r="FI8" s="36" t="str">
        <f t="shared" si="52"/>
        <v/>
      </c>
      <c r="FJ8" s="36" t="str">
        <f t="shared" si="53"/>
        <v/>
      </c>
      <c r="FK8" s="36" t="str">
        <f t="shared" si="53"/>
        <v/>
      </c>
      <c r="FL8" s="36" t="str">
        <f t="shared" si="54"/>
        <v/>
      </c>
      <c r="FM8" s="36" t="str">
        <f t="shared" si="55"/>
        <v/>
      </c>
      <c r="FN8" s="36" t="str">
        <f t="shared" si="56"/>
        <v/>
      </c>
      <c r="FO8" s="36" t="str">
        <f t="shared" si="56"/>
        <v/>
      </c>
      <c r="FP8" s="36" t="str">
        <f t="shared" si="57"/>
        <v/>
      </c>
      <c r="FQ8" s="36" t="str">
        <f t="shared" si="58"/>
        <v/>
      </c>
      <c r="FR8" s="36" t="str">
        <f t="shared" si="58"/>
        <v/>
      </c>
      <c r="FS8" s="36" t="str">
        <f t="shared" si="59"/>
        <v/>
      </c>
      <c r="FT8" s="36" t="str">
        <f t="shared" si="60"/>
        <v/>
      </c>
      <c r="FU8" s="16"/>
      <c r="FV8" s="16"/>
      <c r="FW8" s="16"/>
      <c r="FX8" s="16"/>
      <c r="FY8" s="16"/>
      <c r="FZ8" s="16"/>
      <c r="GA8" s="16"/>
      <c r="GB8" s="16"/>
      <c r="GC8" s="16"/>
      <c r="GD8" s="16"/>
      <c r="GE8" s="16"/>
      <c r="GF8" s="16"/>
      <c r="GG8" s="16"/>
      <c r="GH8" s="16"/>
      <c r="GI8" s="16"/>
      <c r="GJ8" s="16"/>
      <c r="GK8" s="16"/>
      <c r="GL8" s="16"/>
      <c r="GM8" s="16"/>
      <c r="GN8" s="16"/>
      <c r="GO8" s="11" t="str">
        <f t="shared" si="61"/>
        <v/>
      </c>
      <c r="GP8" s="11" t="str">
        <f t="shared" si="61"/>
        <v/>
      </c>
      <c r="GQ8" s="11" t="str">
        <f t="shared" si="62"/>
        <v/>
      </c>
      <c r="GR8" s="11" t="str">
        <f t="shared" si="63"/>
        <v/>
      </c>
      <c r="GS8" s="11" t="str">
        <f t="shared" si="63"/>
        <v/>
      </c>
      <c r="GT8" s="11" t="str">
        <f t="shared" si="64"/>
        <v/>
      </c>
      <c r="GU8" s="11" t="str">
        <f t="shared" si="65"/>
        <v/>
      </c>
      <c r="GV8" s="11" t="str">
        <f t="shared" si="66"/>
        <v/>
      </c>
      <c r="GW8" s="11" t="str">
        <f t="shared" si="66"/>
        <v/>
      </c>
      <c r="GX8" s="11" t="str">
        <f t="shared" si="67"/>
        <v/>
      </c>
      <c r="GY8" s="11" t="str">
        <f t="shared" si="68"/>
        <v/>
      </c>
      <c r="GZ8" s="11" t="str">
        <f t="shared" si="68"/>
        <v/>
      </c>
      <c r="HA8" s="11" t="str">
        <f t="shared" si="69"/>
        <v/>
      </c>
      <c r="HB8" s="11" t="str">
        <f t="shared" si="70"/>
        <v/>
      </c>
      <c r="HC8" s="15"/>
      <c r="HD8" s="15"/>
      <c r="HE8" s="15"/>
      <c r="HF8" s="15"/>
      <c r="HG8" s="15"/>
      <c r="HH8" s="15"/>
      <c r="HI8" s="15"/>
      <c r="HJ8" s="15"/>
      <c r="HK8" s="15"/>
      <c r="HL8" s="15"/>
      <c r="HM8" s="15"/>
      <c r="HN8" s="15"/>
      <c r="HO8" s="15"/>
      <c r="HP8" s="15"/>
      <c r="HQ8" s="15"/>
      <c r="HR8" s="15"/>
      <c r="HS8" s="15"/>
      <c r="HT8" s="15"/>
      <c r="HU8" s="15"/>
      <c r="HV8" s="15"/>
      <c r="HW8" s="36" t="str">
        <f t="shared" si="71"/>
        <v/>
      </c>
      <c r="HX8" s="36" t="str">
        <f t="shared" si="71"/>
        <v/>
      </c>
      <c r="HY8" s="36" t="str">
        <f t="shared" si="72"/>
        <v/>
      </c>
      <c r="HZ8" s="36" t="str">
        <f t="shared" si="73"/>
        <v/>
      </c>
      <c r="IA8" s="36" t="str">
        <f t="shared" si="73"/>
        <v/>
      </c>
      <c r="IB8" s="36" t="str">
        <f t="shared" si="74"/>
        <v/>
      </c>
      <c r="IC8" s="36" t="str">
        <f t="shared" si="75"/>
        <v/>
      </c>
      <c r="ID8" s="36" t="str">
        <f t="shared" si="76"/>
        <v/>
      </c>
      <c r="IE8" s="36" t="str">
        <f t="shared" si="76"/>
        <v/>
      </c>
      <c r="IF8" s="36" t="str">
        <f t="shared" si="77"/>
        <v/>
      </c>
      <c r="IG8" s="36" t="str">
        <f t="shared" si="78"/>
        <v/>
      </c>
      <c r="IH8" s="36" t="str">
        <f t="shared" si="78"/>
        <v/>
      </c>
      <c r="II8" s="36" t="str">
        <f t="shared" si="79"/>
        <v/>
      </c>
      <c r="IJ8" s="36" t="str">
        <f t="shared" si="80"/>
        <v/>
      </c>
      <c r="IK8" s="16"/>
      <c r="IL8" s="16"/>
      <c r="IM8" s="16"/>
      <c r="IN8" s="16"/>
      <c r="IO8" s="16"/>
      <c r="IP8" s="16"/>
      <c r="IQ8" s="16"/>
      <c r="IR8" s="16"/>
      <c r="IS8" s="16"/>
      <c r="IT8" s="16"/>
      <c r="IU8" s="16"/>
      <c r="IV8" s="16"/>
      <c r="IW8" s="16"/>
      <c r="IX8" s="16"/>
      <c r="IY8" s="16"/>
      <c r="IZ8" s="16"/>
      <c r="JA8" s="16"/>
      <c r="JB8" s="16"/>
      <c r="JC8" s="16"/>
      <c r="JD8" s="16"/>
      <c r="JE8" s="11" t="str">
        <f t="shared" si="81"/>
        <v/>
      </c>
      <c r="JF8" s="11" t="str">
        <f t="shared" si="81"/>
        <v/>
      </c>
      <c r="JG8" s="11" t="str">
        <f t="shared" si="82"/>
        <v/>
      </c>
      <c r="JH8" s="11" t="str">
        <f t="shared" si="83"/>
        <v/>
      </c>
      <c r="JI8" s="11" t="str">
        <f t="shared" si="83"/>
        <v/>
      </c>
      <c r="JJ8" s="11" t="str">
        <f t="shared" si="84"/>
        <v/>
      </c>
      <c r="JK8" s="11" t="str">
        <f t="shared" si="85"/>
        <v/>
      </c>
      <c r="JL8" s="11" t="str">
        <f t="shared" si="86"/>
        <v/>
      </c>
      <c r="JM8" s="11" t="str">
        <f t="shared" si="86"/>
        <v/>
      </c>
      <c r="JN8" s="11" t="str">
        <f t="shared" si="87"/>
        <v/>
      </c>
      <c r="JO8" s="11" t="str">
        <f t="shared" si="88"/>
        <v/>
      </c>
      <c r="JP8" s="11" t="str">
        <f t="shared" si="88"/>
        <v/>
      </c>
      <c r="JQ8" s="11" t="str">
        <f t="shared" si="89"/>
        <v/>
      </c>
      <c r="JR8" s="11" t="str">
        <f t="shared" si="90"/>
        <v/>
      </c>
      <c r="JS8" s="15"/>
      <c r="JT8" s="15"/>
      <c r="JU8" s="15"/>
      <c r="JV8" s="15"/>
      <c r="JW8" s="15"/>
      <c r="JX8" s="15"/>
      <c r="JY8" s="15"/>
      <c r="JZ8" s="15"/>
      <c r="KA8" s="15"/>
      <c r="KB8" s="15"/>
      <c r="KC8" s="15"/>
      <c r="KD8" s="15"/>
      <c r="KE8" s="15"/>
      <c r="KF8" s="15"/>
      <c r="KG8" s="15"/>
      <c r="KH8" s="15"/>
      <c r="KI8" s="15"/>
      <c r="KJ8" s="15"/>
      <c r="KK8" s="15"/>
      <c r="KL8" s="15"/>
      <c r="KM8" s="36" t="str">
        <f t="shared" si="91"/>
        <v/>
      </c>
      <c r="KN8" s="36" t="str">
        <f t="shared" si="91"/>
        <v/>
      </c>
      <c r="KO8" s="36" t="str">
        <f t="shared" si="92"/>
        <v/>
      </c>
      <c r="KP8" s="36" t="str">
        <f t="shared" si="93"/>
        <v/>
      </c>
      <c r="KQ8" s="36" t="str">
        <f t="shared" si="93"/>
        <v/>
      </c>
      <c r="KR8" s="36" t="str">
        <f t="shared" si="94"/>
        <v/>
      </c>
      <c r="KS8" s="36" t="str">
        <f t="shared" si="95"/>
        <v/>
      </c>
      <c r="KT8" s="36" t="str">
        <f t="shared" si="96"/>
        <v/>
      </c>
      <c r="KU8" s="36" t="str">
        <f t="shared" si="96"/>
        <v/>
      </c>
      <c r="KV8" s="36" t="str">
        <f t="shared" si="97"/>
        <v/>
      </c>
      <c r="KW8" s="36" t="str">
        <f t="shared" si="98"/>
        <v/>
      </c>
      <c r="KX8" s="36" t="str">
        <f t="shared" si="98"/>
        <v/>
      </c>
      <c r="KY8" s="36" t="str">
        <f t="shared" si="99"/>
        <v/>
      </c>
      <c r="KZ8" s="36" t="str">
        <f t="shared" si="100"/>
        <v/>
      </c>
      <c r="LA8" s="16"/>
      <c r="LB8" s="16"/>
      <c r="LC8" s="16"/>
      <c r="LD8" s="16"/>
      <c r="LE8" s="16"/>
      <c r="LF8" s="16"/>
      <c r="LG8" s="16"/>
      <c r="LH8" s="16"/>
      <c r="LI8" s="16"/>
      <c r="LJ8" s="16"/>
      <c r="LK8" s="16"/>
      <c r="LL8" s="16"/>
      <c r="LM8" s="16"/>
      <c r="LN8" s="16"/>
      <c r="LO8" s="16"/>
      <c r="LP8" s="16"/>
      <c r="LQ8" s="16"/>
      <c r="LR8" s="16"/>
      <c r="LS8" s="16"/>
      <c r="LT8" s="16"/>
      <c r="LU8" s="11" t="str">
        <f t="shared" si="101"/>
        <v/>
      </c>
      <c r="LV8" s="11" t="str">
        <f t="shared" si="101"/>
        <v/>
      </c>
      <c r="LW8" s="11" t="str">
        <f t="shared" si="102"/>
        <v/>
      </c>
      <c r="LX8" s="11" t="str">
        <f t="shared" si="103"/>
        <v/>
      </c>
      <c r="LY8" s="11" t="str">
        <f t="shared" si="103"/>
        <v/>
      </c>
      <c r="LZ8" s="11" t="str">
        <f t="shared" si="104"/>
        <v/>
      </c>
      <c r="MA8" s="11" t="str">
        <f t="shared" si="105"/>
        <v/>
      </c>
      <c r="MB8" s="11" t="str">
        <f t="shared" si="106"/>
        <v/>
      </c>
      <c r="MC8" s="11" t="str">
        <f t="shared" si="106"/>
        <v/>
      </c>
      <c r="MD8" s="11" t="str">
        <f t="shared" si="107"/>
        <v/>
      </c>
      <c r="ME8" s="11" t="str">
        <f t="shared" si="108"/>
        <v/>
      </c>
      <c r="MF8" s="11" t="str">
        <f t="shared" si="108"/>
        <v/>
      </c>
      <c r="MG8" s="11" t="str">
        <f t="shared" si="109"/>
        <v/>
      </c>
      <c r="MH8" s="11" t="str">
        <f t="shared" si="110"/>
        <v/>
      </c>
      <c r="MI8" s="15"/>
      <c r="MJ8" s="15"/>
      <c r="MK8" s="15"/>
      <c r="ML8" s="15"/>
      <c r="MM8" s="15"/>
      <c r="MN8" s="15"/>
      <c r="MO8" s="15"/>
      <c r="MP8" s="15"/>
      <c r="MQ8" s="15"/>
      <c r="MR8" s="15"/>
      <c r="MS8" s="15"/>
      <c r="MT8" s="15"/>
      <c r="MU8" s="15"/>
      <c r="MV8" s="15"/>
      <c r="MW8" s="15"/>
      <c r="MX8" s="15"/>
      <c r="MY8" s="15"/>
      <c r="MZ8" s="15"/>
      <c r="NA8" s="15"/>
      <c r="NB8" s="15"/>
      <c r="NC8" s="36" t="str">
        <f t="shared" si="111"/>
        <v/>
      </c>
      <c r="ND8" s="36" t="str">
        <f t="shared" si="111"/>
        <v/>
      </c>
      <c r="NE8" s="36" t="str">
        <f t="shared" si="112"/>
        <v/>
      </c>
      <c r="NF8" s="36" t="str">
        <f t="shared" si="113"/>
        <v/>
      </c>
      <c r="NG8" s="36" t="str">
        <f t="shared" si="113"/>
        <v/>
      </c>
      <c r="NH8" s="36" t="str">
        <f t="shared" si="114"/>
        <v/>
      </c>
      <c r="NI8" s="36" t="str">
        <f t="shared" si="115"/>
        <v/>
      </c>
      <c r="NJ8" s="36" t="str">
        <f t="shared" si="116"/>
        <v/>
      </c>
      <c r="NK8" s="36" t="str">
        <f t="shared" si="116"/>
        <v/>
      </c>
      <c r="NL8" s="36" t="str">
        <f t="shared" si="117"/>
        <v/>
      </c>
      <c r="NM8" s="36" t="str">
        <f t="shared" si="118"/>
        <v/>
      </c>
      <c r="NN8" s="36" t="str">
        <f t="shared" si="118"/>
        <v/>
      </c>
      <c r="NO8" s="36" t="str">
        <f t="shared" si="119"/>
        <v/>
      </c>
      <c r="NP8" s="36" t="str">
        <f t="shared" si="120"/>
        <v/>
      </c>
      <c r="NQ8" s="16"/>
      <c r="NR8" s="16"/>
      <c r="NS8" s="16"/>
      <c r="NT8" s="16"/>
      <c r="NU8" s="16"/>
      <c r="NV8" s="16"/>
      <c r="NW8" s="16"/>
      <c r="NX8" s="16"/>
      <c r="NY8" s="16"/>
      <c r="NZ8" s="16"/>
      <c r="OA8" s="16"/>
      <c r="OB8" s="16"/>
      <c r="OC8" s="16"/>
      <c r="OD8" s="16"/>
      <c r="OE8" s="16"/>
      <c r="OF8" s="16"/>
      <c r="OG8" s="16"/>
      <c r="OH8" s="16"/>
      <c r="OI8" s="16"/>
      <c r="OJ8" s="16"/>
      <c r="OK8" s="11" t="str">
        <f t="shared" si="121"/>
        <v/>
      </c>
      <c r="OL8" s="11" t="str">
        <f t="shared" si="121"/>
        <v/>
      </c>
      <c r="OM8" s="11" t="str">
        <f t="shared" si="122"/>
        <v/>
      </c>
      <c r="ON8" s="11" t="str">
        <f t="shared" si="123"/>
        <v/>
      </c>
      <c r="OO8" s="11" t="str">
        <f t="shared" si="123"/>
        <v/>
      </c>
      <c r="OP8" s="11" t="str">
        <f t="shared" si="124"/>
        <v/>
      </c>
      <c r="OQ8" s="11" t="str">
        <f t="shared" si="125"/>
        <v/>
      </c>
      <c r="OR8" s="11" t="str">
        <f t="shared" si="126"/>
        <v/>
      </c>
      <c r="OS8" s="11" t="str">
        <f t="shared" si="126"/>
        <v/>
      </c>
      <c r="OT8" s="11" t="str">
        <f t="shared" si="127"/>
        <v/>
      </c>
      <c r="OU8" s="11" t="str">
        <f t="shared" si="128"/>
        <v/>
      </c>
      <c r="OV8" s="11" t="str">
        <f t="shared" si="128"/>
        <v/>
      </c>
      <c r="OW8" s="11" t="str">
        <f t="shared" si="129"/>
        <v/>
      </c>
      <c r="OX8" s="11" t="str">
        <f t="shared" si="130"/>
        <v/>
      </c>
      <c r="OY8" s="15"/>
      <c r="OZ8" s="15"/>
      <c r="PA8" s="15"/>
      <c r="PB8" s="15"/>
      <c r="PC8" s="15"/>
      <c r="PD8" s="15"/>
      <c r="PE8" s="15"/>
      <c r="PF8" s="15"/>
      <c r="PG8" s="15"/>
      <c r="PH8" s="15"/>
      <c r="PI8" s="15"/>
      <c r="PJ8" s="15"/>
      <c r="PK8" s="15"/>
      <c r="PL8" s="15"/>
      <c r="PM8" s="15"/>
      <c r="PN8" s="15"/>
      <c r="PO8" s="15"/>
      <c r="PP8" s="15"/>
      <c r="PQ8" s="15"/>
      <c r="PR8" s="15"/>
      <c r="PS8" s="36" t="str">
        <f t="shared" si="131"/>
        <v/>
      </c>
      <c r="PT8" s="36" t="str">
        <f t="shared" si="131"/>
        <v/>
      </c>
      <c r="PU8" s="36" t="str">
        <f t="shared" si="132"/>
        <v/>
      </c>
      <c r="PV8" s="36" t="str">
        <f t="shared" si="133"/>
        <v/>
      </c>
      <c r="PW8" s="36" t="str">
        <f t="shared" si="133"/>
        <v/>
      </c>
      <c r="PX8" s="36" t="str">
        <f t="shared" si="134"/>
        <v/>
      </c>
      <c r="PY8" s="36" t="str">
        <f t="shared" si="135"/>
        <v/>
      </c>
      <c r="PZ8" s="36" t="str">
        <f t="shared" si="136"/>
        <v/>
      </c>
      <c r="QA8" s="36" t="str">
        <f t="shared" si="136"/>
        <v/>
      </c>
      <c r="QB8" s="36" t="str">
        <f t="shared" si="137"/>
        <v/>
      </c>
      <c r="QC8" s="36" t="str">
        <f t="shared" si="138"/>
        <v/>
      </c>
      <c r="QD8" s="36" t="str">
        <f t="shared" si="138"/>
        <v/>
      </c>
      <c r="QE8" s="36" t="str">
        <f t="shared" si="139"/>
        <v/>
      </c>
      <c r="QF8" s="36" t="str">
        <f t="shared" si="140"/>
        <v/>
      </c>
      <c r="QG8" s="16"/>
      <c r="QH8" s="16"/>
      <c r="QI8" s="16"/>
      <c r="QJ8" s="16"/>
      <c r="QK8" s="16"/>
      <c r="QL8" s="16"/>
      <c r="QM8" s="16"/>
      <c r="QN8" s="16"/>
      <c r="QO8" s="16"/>
      <c r="QP8" s="16"/>
      <c r="QQ8" s="16"/>
      <c r="QR8" s="16"/>
      <c r="QS8" s="16"/>
      <c r="QT8" s="16"/>
      <c r="QU8" s="16"/>
      <c r="QV8" s="16"/>
      <c r="QW8" s="16"/>
      <c r="QX8" s="16"/>
      <c r="QY8" s="16"/>
      <c r="QZ8" s="16"/>
      <c r="RA8" s="11" t="str">
        <f t="shared" si="141"/>
        <v/>
      </c>
      <c r="RB8" s="11" t="str">
        <f t="shared" si="141"/>
        <v/>
      </c>
      <c r="RC8" s="11" t="str">
        <f t="shared" si="142"/>
        <v/>
      </c>
      <c r="RD8" s="11" t="str">
        <f t="shared" si="143"/>
        <v/>
      </c>
      <c r="RE8" s="11" t="str">
        <f t="shared" si="143"/>
        <v/>
      </c>
      <c r="RF8" s="11" t="str">
        <f t="shared" si="144"/>
        <v/>
      </c>
      <c r="RG8" s="11" t="str">
        <f t="shared" si="145"/>
        <v/>
      </c>
      <c r="RH8" s="11" t="str">
        <f t="shared" si="146"/>
        <v/>
      </c>
      <c r="RI8" s="11" t="str">
        <f t="shared" si="146"/>
        <v/>
      </c>
      <c r="RJ8" s="11" t="str">
        <f t="shared" si="147"/>
        <v/>
      </c>
      <c r="RK8" s="11" t="str">
        <f t="shared" si="148"/>
        <v/>
      </c>
      <c r="RL8" s="11" t="str">
        <f t="shared" si="148"/>
        <v/>
      </c>
      <c r="RM8" s="11" t="str">
        <f t="shared" si="149"/>
        <v/>
      </c>
      <c r="RN8" s="11" t="str">
        <f t="shared" si="150"/>
        <v/>
      </c>
      <c r="RO8" s="15"/>
      <c r="RP8" s="15"/>
      <c r="RQ8" s="15"/>
      <c r="RR8" s="15"/>
      <c r="RS8" s="15"/>
      <c r="RT8" s="15"/>
      <c r="RU8" s="15"/>
      <c r="RV8" s="15"/>
      <c r="RW8" s="15"/>
      <c r="RX8" s="15"/>
      <c r="RY8" s="15"/>
      <c r="RZ8" s="15"/>
      <c r="SA8" s="15"/>
      <c r="SB8" s="15"/>
      <c r="SC8" s="15"/>
      <c r="SD8" s="15"/>
      <c r="SE8" s="15"/>
      <c r="SF8" s="15"/>
      <c r="SG8" s="15"/>
      <c r="SH8" s="15"/>
      <c r="SI8" s="36" t="str">
        <f t="shared" si="151"/>
        <v/>
      </c>
      <c r="SJ8" s="36" t="str">
        <f t="shared" si="151"/>
        <v/>
      </c>
      <c r="SK8" s="36" t="str">
        <f t="shared" si="152"/>
        <v/>
      </c>
      <c r="SL8" s="36" t="str">
        <f t="shared" si="153"/>
        <v/>
      </c>
      <c r="SM8" s="36" t="str">
        <f t="shared" si="153"/>
        <v/>
      </c>
      <c r="SN8" s="36" t="str">
        <f t="shared" si="154"/>
        <v/>
      </c>
      <c r="SO8" s="36" t="str">
        <f t="shared" si="155"/>
        <v/>
      </c>
      <c r="SP8" s="36" t="str">
        <f t="shared" si="156"/>
        <v/>
      </c>
      <c r="SQ8" s="36" t="str">
        <f t="shared" si="156"/>
        <v/>
      </c>
      <c r="SR8" s="36" t="str">
        <f t="shared" si="157"/>
        <v/>
      </c>
      <c r="SS8" s="36" t="str">
        <f t="shared" si="158"/>
        <v/>
      </c>
      <c r="ST8" s="36" t="str">
        <f t="shared" si="158"/>
        <v/>
      </c>
      <c r="SU8" s="36" t="str">
        <f t="shared" si="159"/>
        <v/>
      </c>
      <c r="SV8" s="36" t="str">
        <f t="shared" si="160"/>
        <v/>
      </c>
      <c r="SW8" s="16"/>
      <c r="SX8" s="16"/>
      <c r="SY8" s="16"/>
      <c r="SZ8" s="16"/>
      <c r="TA8" s="16"/>
      <c r="TB8" s="16"/>
      <c r="TC8" s="16"/>
      <c r="TD8" s="16"/>
      <c r="TE8" s="16"/>
      <c r="TF8" s="16"/>
      <c r="TG8" s="16"/>
      <c r="TH8" s="16"/>
      <c r="TI8" s="16"/>
      <c r="TJ8" s="16"/>
      <c r="TK8" s="16"/>
      <c r="TL8" s="16"/>
      <c r="TM8" s="16"/>
      <c r="TN8" s="16"/>
      <c r="TO8" s="16"/>
      <c r="TP8" s="16"/>
      <c r="TQ8" s="11" t="str">
        <f t="shared" si="161"/>
        <v/>
      </c>
      <c r="TR8" s="11" t="str">
        <f t="shared" si="161"/>
        <v/>
      </c>
      <c r="TS8" s="11" t="str">
        <f t="shared" si="162"/>
        <v/>
      </c>
      <c r="TT8" s="11" t="str">
        <f t="shared" si="163"/>
        <v/>
      </c>
      <c r="TU8" s="11" t="str">
        <f t="shared" si="163"/>
        <v/>
      </c>
      <c r="TV8" s="11" t="str">
        <f t="shared" si="164"/>
        <v/>
      </c>
      <c r="TW8" s="11" t="str">
        <f t="shared" si="165"/>
        <v/>
      </c>
      <c r="TX8" s="11" t="str">
        <f t="shared" si="166"/>
        <v/>
      </c>
      <c r="TY8" s="11" t="str">
        <f t="shared" si="166"/>
        <v/>
      </c>
      <c r="TZ8" s="11" t="str">
        <f t="shared" si="167"/>
        <v/>
      </c>
      <c r="UA8" s="11" t="str">
        <f t="shared" si="168"/>
        <v/>
      </c>
      <c r="UB8" s="11" t="str">
        <f t="shared" si="168"/>
        <v/>
      </c>
      <c r="UC8" s="11" t="str">
        <f t="shared" si="169"/>
        <v/>
      </c>
      <c r="UD8" s="11" t="str">
        <f t="shared" si="170"/>
        <v/>
      </c>
      <c r="UE8" s="15"/>
      <c r="UF8" s="15"/>
      <c r="UG8" s="15"/>
      <c r="UH8" s="15"/>
      <c r="UI8" s="15"/>
      <c r="UJ8" s="15"/>
      <c r="UK8" s="15"/>
      <c r="UL8" s="15"/>
      <c r="UM8" s="15"/>
      <c r="UN8" s="15"/>
      <c r="UO8" s="15"/>
      <c r="UP8" s="15"/>
      <c r="UQ8" s="15"/>
      <c r="UR8" s="15"/>
      <c r="US8" s="15"/>
      <c r="UT8" s="15"/>
      <c r="UU8" s="15"/>
      <c r="UV8" s="15"/>
      <c r="UW8" s="15"/>
      <c r="UX8" s="15"/>
      <c r="UY8" s="36" t="str">
        <f t="shared" si="171"/>
        <v/>
      </c>
      <c r="UZ8" s="36" t="str">
        <f t="shared" si="171"/>
        <v/>
      </c>
      <c r="VA8" s="36" t="str">
        <f t="shared" si="172"/>
        <v/>
      </c>
      <c r="VB8" s="36" t="str">
        <f t="shared" si="173"/>
        <v/>
      </c>
      <c r="VC8" s="36" t="str">
        <f t="shared" si="173"/>
        <v/>
      </c>
      <c r="VD8" s="36" t="str">
        <f t="shared" si="174"/>
        <v/>
      </c>
      <c r="VE8" s="36" t="str">
        <f t="shared" si="175"/>
        <v/>
      </c>
      <c r="VF8" s="36" t="str">
        <f t="shared" si="176"/>
        <v/>
      </c>
      <c r="VG8" s="36" t="str">
        <f t="shared" si="176"/>
        <v/>
      </c>
      <c r="VH8" s="36" t="str">
        <f t="shared" si="177"/>
        <v/>
      </c>
      <c r="VI8" s="36" t="str">
        <f t="shared" si="178"/>
        <v/>
      </c>
      <c r="VJ8" s="36" t="str">
        <f t="shared" si="178"/>
        <v/>
      </c>
      <c r="VK8" s="36" t="str">
        <f t="shared" si="179"/>
        <v/>
      </c>
      <c r="VL8" s="36" t="str">
        <f t="shared" si="180"/>
        <v/>
      </c>
    </row>
    <row r="9" spans="1:584" x14ac:dyDescent="0.2">
      <c r="A9" s="4" t="str" cm="1">
        <f t="array" ref="A9">IF(AND(H9&lt;&gt;"",H9&lt;&gt;"No DD"),SUMPRODUCT((H$4:H$10&lt;&gt;"")*(H$4:H$10&lt;&gt;"No DD")*(E$4:E$10&gt;E9))+1,IF(H9="No DD",SUMPRODUCT((H$4:H$10="No DD")*(E$4:E$10&gt;E9))+1+SUMPRODUCT((H$4:H$10&lt;&gt;"")*(H$4:H$10&lt;&gt;"No DD")),""))</f>
        <v/>
      </c>
      <c r="B9" s="5" t="s">
        <v>227</v>
      </c>
      <c r="C9" s="4" t="s">
        <v>228</v>
      </c>
      <c r="D9" s="4">
        <v>2010</v>
      </c>
      <c r="E9" s="9">
        <f t="shared" si="0"/>
        <v>131.66001316600472</v>
      </c>
      <c r="F9" s="3" t="str">
        <f t="shared" si="1"/>
        <v/>
      </c>
      <c r="G9" s="3" t="str">
        <f t="shared" si="2"/>
        <v/>
      </c>
      <c r="H9" s="32" t="str">
        <f t="shared" si="3"/>
        <v/>
      </c>
      <c r="I9" s="3"/>
      <c r="J9" s="8">
        <f t="shared" si="4"/>
        <v>38.39</v>
      </c>
      <c r="K9" s="8" t="str">
        <f t="shared" si="5"/>
        <v>2025 Nationals</v>
      </c>
      <c r="L9" s="8">
        <f t="shared" si="6"/>
        <v>47.25</v>
      </c>
      <c r="M9" s="8" t="str">
        <f t="shared" si="7"/>
        <v>2025 Nationals</v>
      </c>
      <c r="N9" s="8">
        <f t="shared" si="8"/>
        <v>46.02</v>
      </c>
      <c r="O9" s="8" t="str">
        <f t="shared" si="9"/>
        <v>2025 Nationals</v>
      </c>
      <c r="P9" s="8">
        <f t="shared" si="10"/>
        <v>0</v>
      </c>
      <c r="Q9" s="11" t="str">
        <f t="shared" si="11"/>
        <v/>
      </c>
      <c r="R9" s="8" t="str">
        <f t="shared" si="12"/>
        <v/>
      </c>
      <c r="S9" s="18">
        <v>15.1</v>
      </c>
      <c r="T9" s="18">
        <v>9.1999999999999993</v>
      </c>
      <c r="U9" s="18">
        <v>0</v>
      </c>
      <c r="V9" s="18">
        <v>14.09</v>
      </c>
      <c r="W9" s="18">
        <v>0</v>
      </c>
      <c r="X9" s="18">
        <v>12.4</v>
      </c>
      <c r="Y9" s="18">
        <v>9.1999999999999993</v>
      </c>
      <c r="Z9" s="18">
        <v>12.5</v>
      </c>
      <c r="AA9" s="18">
        <v>13.15</v>
      </c>
      <c r="AB9" s="18">
        <v>0</v>
      </c>
      <c r="AC9" s="18">
        <v>13.1</v>
      </c>
      <c r="AD9" s="18">
        <v>8.6</v>
      </c>
      <c r="AE9" s="18">
        <v>11</v>
      </c>
      <c r="AF9" s="18">
        <v>13.32</v>
      </c>
      <c r="AG9" s="18">
        <v>0</v>
      </c>
      <c r="AH9" s="23"/>
      <c r="AI9" s="34" t="str">
        <f t="shared" si="13"/>
        <v/>
      </c>
      <c r="AJ9" s="34">
        <f t="shared" si="13"/>
        <v>14.09</v>
      </c>
      <c r="AK9" s="36">
        <f t="shared" si="14"/>
        <v>38.39</v>
      </c>
      <c r="AL9" s="36">
        <f t="shared" si="15"/>
        <v>12.5</v>
      </c>
      <c r="AM9" s="36">
        <f t="shared" si="15"/>
        <v>13.15</v>
      </c>
      <c r="AN9" s="36">
        <f t="shared" si="16"/>
        <v>47.25</v>
      </c>
      <c r="AO9" s="36">
        <f t="shared" si="17"/>
        <v>85.64</v>
      </c>
      <c r="AP9" s="36">
        <f t="shared" si="18"/>
        <v>11</v>
      </c>
      <c r="AQ9" s="36">
        <f t="shared" si="18"/>
        <v>13.32</v>
      </c>
      <c r="AR9" s="36">
        <f t="shared" si="19"/>
        <v>46.02</v>
      </c>
      <c r="AS9" s="36">
        <f t="shared" si="20"/>
        <v>131.66</v>
      </c>
      <c r="AT9" s="22">
        <v>15</v>
      </c>
      <c r="AU9" s="22">
        <v>9.4</v>
      </c>
      <c r="AV9" s="22">
        <v>0</v>
      </c>
      <c r="AW9" s="22">
        <v>13.96</v>
      </c>
      <c r="AX9" s="22">
        <v>0</v>
      </c>
      <c r="AY9" s="22">
        <v>13</v>
      </c>
      <c r="AZ9" s="22">
        <v>9.1</v>
      </c>
      <c r="BA9" s="22">
        <v>7.6</v>
      </c>
      <c r="BB9" s="22">
        <v>13</v>
      </c>
      <c r="BC9" s="22">
        <v>2.5</v>
      </c>
      <c r="BD9" s="22">
        <v>1.1000000000000001</v>
      </c>
      <c r="BE9" s="22">
        <v>0.9</v>
      </c>
      <c r="BF9" s="22">
        <v>1.3</v>
      </c>
      <c r="BG9" s="22">
        <v>1.44</v>
      </c>
      <c r="BH9" s="22">
        <v>0</v>
      </c>
      <c r="BI9" s="24"/>
      <c r="BJ9" s="35" t="str">
        <f t="shared" si="21"/>
        <v/>
      </c>
      <c r="BK9" s="35">
        <f t="shared" si="21"/>
        <v>13.96</v>
      </c>
      <c r="BL9" s="11">
        <f t="shared" si="22"/>
        <v>38.36</v>
      </c>
      <c r="BM9" s="11">
        <f t="shared" si="23"/>
        <v>7.6</v>
      </c>
      <c r="BN9" s="11">
        <f t="shared" si="23"/>
        <v>13</v>
      </c>
      <c r="BO9" s="11">
        <f t="shared" si="24"/>
        <v>40.200000000000003</v>
      </c>
      <c r="BP9" s="11">
        <f t="shared" si="25"/>
        <v>78.56</v>
      </c>
      <c r="BQ9" s="11">
        <f t="shared" si="26"/>
        <v>1.3</v>
      </c>
      <c r="BR9" s="11">
        <f t="shared" si="26"/>
        <v>1.44</v>
      </c>
      <c r="BS9" s="11">
        <f t="shared" si="27"/>
        <v>4.74</v>
      </c>
      <c r="BT9" s="11">
        <f t="shared" si="28"/>
        <v>83.3</v>
      </c>
      <c r="BU9" s="47" t="str">
        <f t="shared" si="29"/>
        <v/>
      </c>
      <c r="BV9" s="47" t="str">
        <f t="shared" si="30"/>
        <v/>
      </c>
      <c r="BW9" s="15"/>
      <c r="BX9" s="15"/>
      <c r="BY9" s="15"/>
      <c r="BZ9" s="15"/>
      <c r="CA9" s="15"/>
      <c r="CB9" s="15"/>
      <c r="CC9" s="15"/>
      <c r="CD9" s="15"/>
      <c r="CE9" s="15"/>
      <c r="CF9" s="15"/>
      <c r="CG9" s="15"/>
      <c r="CH9" s="15"/>
      <c r="CI9" s="15"/>
      <c r="CJ9" s="15"/>
      <c r="CK9" s="15"/>
      <c r="CL9" s="15"/>
      <c r="CM9" s="15"/>
      <c r="CN9" s="15"/>
      <c r="CO9" s="15"/>
      <c r="CP9" s="15"/>
      <c r="CQ9" s="36" t="str">
        <f t="shared" si="31"/>
        <v/>
      </c>
      <c r="CR9" s="36" t="str">
        <f t="shared" si="31"/>
        <v/>
      </c>
      <c r="CS9" s="36" t="str">
        <f t="shared" si="32"/>
        <v/>
      </c>
      <c r="CT9" s="36" t="str">
        <f t="shared" si="33"/>
        <v/>
      </c>
      <c r="CU9" s="36" t="str">
        <f t="shared" si="33"/>
        <v/>
      </c>
      <c r="CV9" s="36" t="str">
        <f t="shared" si="34"/>
        <v/>
      </c>
      <c r="CW9" s="36" t="str">
        <f t="shared" si="35"/>
        <v/>
      </c>
      <c r="CX9" s="36" t="str">
        <f t="shared" si="36"/>
        <v/>
      </c>
      <c r="CY9" s="36" t="str">
        <f t="shared" si="36"/>
        <v/>
      </c>
      <c r="CZ9" s="36" t="str">
        <f t="shared" si="37"/>
        <v/>
      </c>
      <c r="DA9" s="36" t="str">
        <f t="shared" si="38"/>
        <v/>
      </c>
      <c r="DB9" s="36" t="str">
        <f t="shared" si="38"/>
        <v/>
      </c>
      <c r="DC9" s="36" t="str">
        <f t="shared" si="39"/>
        <v/>
      </c>
      <c r="DD9" s="36" t="str">
        <f t="shared" si="40"/>
        <v/>
      </c>
      <c r="DE9" s="16"/>
      <c r="DF9" s="16"/>
      <c r="DG9" s="16"/>
      <c r="DH9" s="16"/>
      <c r="DI9" s="16"/>
      <c r="DJ9" s="16"/>
      <c r="DK9" s="16"/>
      <c r="DL9" s="16"/>
      <c r="DM9" s="16"/>
      <c r="DN9" s="16"/>
      <c r="DO9" s="16"/>
      <c r="DP9" s="16"/>
      <c r="DQ9" s="16"/>
      <c r="DR9" s="16"/>
      <c r="DS9" s="16"/>
      <c r="DT9" s="16"/>
      <c r="DU9" s="16"/>
      <c r="DV9" s="16"/>
      <c r="DW9" s="16"/>
      <c r="DX9" s="16"/>
      <c r="DY9" s="11" t="str">
        <f t="shared" si="41"/>
        <v/>
      </c>
      <c r="DZ9" s="11" t="str">
        <f t="shared" si="41"/>
        <v/>
      </c>
      <c r="EA9" s="11" t="str">
        <f t="shared" si="42"/>
        <v/>
      </c>
      <c r="EB9" s="11" t="str">
        <f t="shared" si="43"/>
        <v/>
      </c>
      <c r="EC9" s="11" t="str">
        <f t="shared" si="43"/>
        <v/>
      </c>
      <c r="ED9" s="11" t="str">
        <f t="shared" si="44"/>
        <v/>
      </c>
      <c r="EE9" s="11" t="str">
        <f t="shared" si="45"/>
        <v/>
      </c>
      <c r="EF9" s="11" t="str">
        <f t="shared" si="46"/>
        <v/>
      </c>
      <c r="EG9" s="11" t="str">
        <f t="shared" si="46"/>
        <v/>
      </c>
      <c r="EH9" s="11" t="str">
        <f t="shared" si="47"/>
        <v/>
      </c>
      <c r="EI9" s="11" t="str">
        <f t="shared" si="48"/>
        <v/>
      </c>
      <c r="EJ9" s="11" t="str">
        <f t="shared" si="48"/>
        <v/>
      </c>
      <c r="EK9" s="11" t="str">
        <f t="shared" si="49"/>
        <v/>
      </c>
      <c r="EL9" s="11" t="str">
        <f t="shared" si="50"/>
        <v/>
      </c>
      <c r="EM9" s="15"/>
      <c r="EN9" s="15"/>
      <c r="EO9" s="15"/>
      <c r="EP9" s="15"/>
      <c r="EQ9" s="15"/>
      <c r="ER9" s="15"/>
      <c r="ES9" s="15"/>
      <c r="ET9" s="15"/>
      <c r="EU9" s="15"/>
      <c r="EV9" s="15"/>
      <c r="EW9" s="15"/>
      <c r="EX9" s="15"/>
      <c r="EY9" s="15"/>
      <c r="EZ9" s="15"/>
      <c r="FA9" s="15"/>
      <c r="FB9" s="15"/>
      <c r="FC9" s="15"/>
      <c r="FD9" s="15"/>
      <c r="FE9" s="15"/>
      <c r="FF9" s="15"/>
      <c r="FG9" s="36" t="str">
        <f t="shared" si="51"/>
        <v/>
      </c>
      <c r="FH9" s="36" t="str">
        <f t="shared" si="51"/>
        <v/>
      </c>
      <c r="FI9" s="36" t="str">
        <f t="shared" si="52"/>
        <v/>
      </c>
      <c r="FJ9" s="36" t="str">
        <f t="shared" si="53"/>
        <v/>
      </c>
      <c r="FK9" s="36" t="str">
        <f t="shared" si="53"/>
        <v/>
      </c>
      <c r="FL9" s="36" t="str">
        <f t="shared" si="54"/>
        <v/>
      </c>
      <c r="FM9" s="36" t="str">
        <f t="shared" si="55"/>
        <v/>
      </c>
      <c r="FN9" s="36" t="str">
        <f t="shared" si="56"/>
        <v/>
      </c>
      <c r="FO9" s="36" t="str">
        <f t="shared" si="56"/>
        <v/>
      </c>
      <c r="FP9" s="36" t="str">
        <f t="shared" si="57"/>
        <v/>
      </c>
      <c r="FQ9" s="36" t="str">
        <f t="shared" si="58"/>
        <v/>
      </c>
      <c r="FR9" s="36" t="str">
        <f t="shared" si="58"/>
        <v/>
      </c>
      <c r="FS9" s="36" t="str">
        <f t="shared" si="59"/>
        <v/>
      </c>
      <c r="FT9" s="36" t="str">
        <f t="shared" si="60"/>
        <v/>
      </c>
      <c r="FU9" s="16"/>
      <c r="FV9" s="16"/>
      <c r="FW9" s="16"/>
      <c r="FX9" s="16"/>
      <c r="FY9" s="16"/>
      <c r="FZ9" s="16"/>
      <c r="GA9" s="16"/>
      <c r="GB9" s="16"/>
      <c r="GC9" s="16"/>
      <c r="GD9" s="16"/>
      <c r="GE9" s="16"/>
      <c r="GF9" s="16"/>
      <c r="GG9" s="16"/>
      <c r="GH9" s="16"/>
      <c r="GI9" s="16"/>
      <c r="GJ9" s="16"/>
      <c r="GK9" s="16"/>
      <c r="GL9" s="16"/>
      <c r="GM9" s="16"/>
      <c r="GN9" s="16"/>
      <c r="GO9" s="11" t="str">
        <f t="shared" si="61"/>
        <v/>
      </c>
      <c r="GP9" s="11" t="str">
        <f t="shared" si="61"/>
        <v/>
      </c>
      <c r="GQ9" s="11" t="str">
        <f t="shared" si="62"/>
        <v/>
      </c>
      <c r="GR9" s="11" t="str">
        <f t="shared" si="63"/>
        <v/>
      </c>
      <c r="GS9" s="11" t="str">
        <f t="shared" si="63"/>
        <v/>
      </c>
      <c r="GT9" s="11" t="str">
        <f t="shared" si="64"/>
        <v/>
      </c>
      <c r="GU9" s="11" t="str">
        <f t="shared" si="65"/>
        <v/>
      </c>
      <c r="GV9" s="11" t="str">
        <f t="shared" si="66"/>
        <v/>
      </c>
      <c r="GW9" s="11" t="str">
        <f t="shared" si="66"/>
        <v/>
      </c>
      <c r="GX9" s="11" t="str">
        <f t="shared" si="67"/>
        <v/>
      </c>
      <c r="GY9" s="11" t="str">
        <f t="shared" si="68"/>
        <v/>
      </c>
      <c r="GZ9" s="11" t="str">
        <f t="shared" si="68"/>
        <v/>
      </c>
      <c r="HA9" s="11" t="str">
        <f t="shared" si="69"/>
        <v/>
      </c>
      <c r="HB9" s="11" t="str">
        <f t="shared" si="70"/>
        <v/>
      </c>
      <c r="HC9" s="15"/>
      <c r="HD9" s="15"/>
      <c r="HE9" s="15"/>
      <c r="HF9" s="15"/>
      <c r="HG9" s="15"/>
      <c r="HH9" s="15"/>
      <c r="HI9" s="15"/>
      <c r="HJ9" s="15"/>
      <c r="HK9" s="15"/>
      <c r="HL9" s="15"/>
      <c r="HM9" s="15"/>
      <c r="HN9" s="15"/>
      <c r="HO9" s="15"/>
      <c r="HP9" s="15"/>
      <c r="HQ9" s="15"/>
      <c r="HR9" s="15"/>
      <c r="HS9" s="15"/>
      <c r="HT9" s="15"/>
      <c r="HU9" s="15"/>
      <c r="HV9" s="15"/>
      <c r="HW9" s="36" t="str">
        <f t="shared" si="71"/>
        <v/>
      </c>
      <c r="HX9" s="36" t="str">
        <f t="shared" si="71"/>
        <v/>
      </c>
      <c r="HY9" s="36" t="str">
        <f t="shared" si="72"/>
        <v/>
      </c>
      <c r="HZ9" s="36" t="str">
        <f t="shared" si="73"/>
        <v/>
      </c>
      <c r="IA9" s="36" t="str">
        <f t="shared" si="73"/>
        <v/>
      </c>
      <c r="IB9" s="36" t="str">
        <f t="shared" si="74"/>
        <v/>
      </c>
      <c r="IC9" s="36" t="str">
        <f t="shared" si="75"/>
        <v/>
      </c>
      <c r="ID9" s="36" t="str">
        <f t="shared" si="76"/>
        <v/>
      </c>
      <c r="IE9" s="36" t="str">
        <f t="shared" si="76"/>
        <v/>
      </c>
      <c r="IF9" s="36" t="str">
        <f t="shared" si="77"/>
        <v/>
      </c>
      <c r="IG9" s="36" t="str">
        <f t="shared" si="78"/>
        <v/>
      </c>
      <c r="IH9" s="36" t="str">
        <f t="shared" si="78"/>
        <v/>
      </c>
      <c r="II9" s="36" t="str">
        <f t="shared" si="79"/>
        <v/>
      </c>
      <c r="IJ9" s="36" t="str">
        <f t="shared" si="80"/>
        <v/>
      </c>
      <c r="IK9" s="16"/>
      <c r="IL9" s="16"/>
      <c r="IM9" s="16"/>
      <c r="IN9" s="16"/>
      <c r="IO9" s="16"/>
      <c r="IP9" s="16"/>
      <c r="IQ9" s="16"/>
      <c r="IR9" s="16"/>
      <c r="IS9" s="16"/>
      <c r="IT9" s="16"/>
      <c r="IU9" s="16"/>
      <c r="IV9" s="16"/>
      <c r="IW9" s="16"/>
      <c r="IX9" s="16"/>
      <c r="IY9" s="16"/>
      <c r="IZ9" s="16"/>
      <c r="JA9" s="16"/>
      <c r="JB9" s="16"/>
      <c r="JC9" s="16"/>
      <c r="JD9" s="16"/>
      <c r="JE9" s="11" t="str">
        <f t="shared" si="81"/>
        <v/>
      </c>
      <c r="JF9" s="11" t="str">
        <f t="shared" si="81"/>
        <v/>
      </c>
      <c r="JG9" s="11" t="str">
        <f t="shared" si="82"/>
        <v/>
      </c>
      <c r="JH9" s="11" t="str">
        <f t="shared" si="83"/>
        <v/>
      </c>
      <c r="JI9" s="11" t="str">
        <f t="shared" si="83"/>
        <v/>
      </c>
      <c r="JJ9" s="11" t="str">
        <f t="shared" si="84"/>
        <v/>
      </c>
      <c r="JK9" s="11" t="str">
        <f t="shared" si="85"/>
        <v/>
      </c>
      <c r="JL9" s="11" t="str">
        <f t="shared" si="86"/>
        <v/>
      </c>
      <c r="JM9" s="11" t="str">
        <f t="shared" si="86"/>
        <v/>
      </c>
      <c r="JN9" s="11" t="str">
        <f t="shared" si="87"/>
        <v/>
      </c>
      <c r="JO9" s="11" t="str">
        <f t="shared" si="88"/>
        <v/>
      </c>
      <c r="JP9" s="11" t="str">
        <f t="shared" si="88"/>
        <v/>
      </c>
      <c r="JQ9" s="11" t="str">
        <f t="shared" si="89"/>
        <v/>
      </c>
      <c r="JR9" s="11" t="str">
        <f t="shared" si="90"/>
        <v/>
      </c>
      <c r="JS9" s="15"/>
      <c r="JT9" s="15"/>
      <c r="JU9" s="15"/>
      <c r="JV9" s="15"/>
      <c r="JW9" s="15"/>
      <c r="JX9" s="15"/>
      <c r="JY9" s="15"/>
      <c r="JZ9" s="15"/>
      <c r="KA9" s="15"/>
      <c r="KB9" s="15"/>
      <c r="KC9" s="15"/>
      <c r="KD9" s="15"/>
      <c r="KE9" s="15"/>
      <c r="KF9" s="15"/>
      <c r="KG9" s="15"/>
      <c r="KH9" s="15"/>
      <c r="KI9" s="15"/>
      <c r="KJ9" s="15"/>
      <c r="KK9" s="15"/>
      <c r="KL9" s="15"/>
      <c r="KM9" s="36" t="str">
        <f t="shared" si="91"/>
        <v/>
      </c>
      <c r="KN9" s="36" t="str">
        <f t="shared" si="91"/>
        <v/>
      </c>
      <c r="KO9" s="36" t="str">
        <f t="shared" si="92"/>
        <v/>
      </c>
      <c r="KP9" s="36" t="str">
        <f t="shared" si="93"/>
        <v/>
      </c>
      <c r="KQ9" s="36" t="str">
        <f t="shared" si="93"/>
        <v/>
      </c>
      <c r="KR9" s="36" t="str">
        <f t="shared" si="94"/>
        <v/>
      </c>
      <c r="KS9" s="36" t="str">
        <f t="shared" si="95"/>
        <v/>
      </c>
      <c r="KT9" s="36" t="str">
        <f t="shared" si="96"/>
        <v/>
      </c>
      <c r="KU9" s="36" t="str">
        <f t="shared" si="96"/>
        <v/>
      </c>
      <c r="KV9" s="36" t="str">
        <f t="shared" si="97"/>
        <v/>
      </c>
      <c r="KW9" s="36" t="str">
        <f t="shared" si="98"/>
        <v/>
      </c>
      <c r="KX9" s="36" t="str">
        <f t="shared" si="98"/>
        <v/>
      </c>
      <c r="KY9" s="36" t="str">
        <f t="shared" si="99"/>
        <v/>
      </c>
      <c r="KZ9" s="36" t="str">
        <f t="shared" si="100"/>
        <v/>
      </c>
      <c r="LA9" s="16"/>
      <c r="LB9" s="16"/>
      <c r="LC9" s="16"/>
      <c r="LD9" s="16"/>
      <c r="LE9" s="16"/>
      <c r="LF9" s="16"/>
      <c r="LG9" s="16"/>
      <c r="LH9" s="16"/>
      <c r="LI9" s="16"/>
      <c r="LJ9" s="16"/>
      <c r="LK9" s="16"/>
      <c r="LL9" s="16"/>
      <c r="LM9" s="16"/>
      <c r="LN9" s="16"/>
      <c r="LO9" s="16"/>
      <c r="LP9" s="16"/>
      <c r="LQ9" s="16"/>
      <c r="LR9" s="16"/>
      <c r="LS9" s="16"/>
      <c r="LT9" s="16"/>
      <c r="LU9" s="11" t="str">
        <f t="shared" si="101"/>
        <v/>
      </c>
      <c r="LV9" s="11" t="str">
        <f t="shared" si="101"/>
        <v/>
      </c>
      <c r="LW9" s="11" t="str">
        <f t="shared" si="102"/>
        <v/>
      </c>
      <c r="LX9" s="11" t="str">
        <f t="shared" si="103"/>
        <v/>
      </c>
      <c r="LY9" s="11" t="str">
        <f t="shared" si="103"/>
        <v/>
      </c>
      <c r="LZ9" s="11" t="str">
        <f t="shared" si="104"/>
        <v/>
      </c>
      <c r="MA9" s="11" t="str">
        <f t="shared" si="105"/>
        <v/>
      </c>
      <c r="MB9" s="11" t="str">
        <f t="shared" si="106"/>
        <v/>
      </c>
      <c r="MC9" s="11" t="str">
        <f t="shared" si="106"/>
        <v/>
      </c>
      <c r="MD9" s="11" t="str">
        <f t="shared" si="107"/>
        <v/>
      </c>
      <c r="ME9" s="11" t="str">
        <f t="shared" si="108"/>
        <v/>
      </c>
      <c r="MF9" s="11" t="str">
        <f t="shared" si="108"/>
        <v/>
      </c>
      <c r="MG9" s="11" t="str">
        <f t="shared" si="109"/>
        <v/>
      </c>
      <c r="MH9" s="11" t="str">
        <f t="shared" si="110"/>
        <v/>
      </c>
      <c r="MI9" s="15"/>
      <c r="MJ9" s="15"/>
      <c r="MK9" s="15"/>
      <c r="ML9" s="15"/>
      <c r="MM9" s="15"/>
      <c r="MN9" s="15"/>
      <c r="MO9" s="15"/>
      <c r="MP9" s="15"/>
      <c r="MQ9" s="15"/>
      <c r="MR9" s="15"/>
      <c r="MS9" s="15"/>
      <c r="MT9" s="15"/>
      <c r="MU9" s="15"/>
      <c r="MV9" s="15"/>
      <c r="MW9" s="15"/>
      <c r="MX9" s="15"/>
      <c r="MY9" s="15"/>
      <c r="MZ9" s="15"/>
      <c r="NA9" s="15"/>
      <c r="NB9" s="15"/>
      <c r="NC9" s="36" t="str">
        <f t="shared" si="111"/>
        <v/>
      </c>
      <c r="ND9" s="36" t="str">
        <f t="shared" si="111"/>
        <v/>
      </c>
      <c r="NE9" s="36" t="str">
        <f t="shared" si="112"/>
        <v/>
      </c>
      <c r="NF9" s="36" t="str">
        <f t="shared" si="113"/>
        <v/>
      </c>
      <c r="NG9" s="36" t="str">
        <f t="shared" si="113"/>
        <v/>
      </c>
      <c r="NH9" s="36" t="str">
        <f t="shared" si="114"/>
        <v/>
      </c>
      <c r="NI9" s="36" t="str">
        <f t="shared" si="115"/>
        <v/>
      </c>
      <c r="NJ9" s="36" t="str">
        <f t="shared" si="116"/>
        <v/>
      </c>
      <c r="NK9" s="36" t="str">
        <f t="shared" si="116"/>
        <v/>
      </c>
      <c r="NL9" s="36" t="str">
        <f t="shared" si="117"/>
        <v/>
      </c>
      <c r="NM9" s="36" t="str">
        <f t="shared" si="118"/>
        <v/>
      </c>
      <c r="NN9" s="36" t="str">
        <f t="shared" si="118"/>
        <v/>
      </c>
      <c r="NO9" s="36" t="str">
        <f t="shared" si="119"/>
        <v/>
      </c>
      <c r="NP9" s="36" t="str">
        <f t="shared" si="120"/>
        <v/>
      </c>
      <c r="NQ9" s="16"/>
      <c r="NR9" s="16"/>
      <c r="NS9" s="16"/>
      <c r="NT9" s="16"/>
      <c r="NU9" s="16"/>
      <c r="NV9" s="16"/>
      <c r="NW9" s="16"/>
      <c r="NX9" s="16"/>
      <c r="NY9" s="16"/>
      <c r="NZ9" s="16"/>
      <c r="OA9" s="16"/>
      <c r="OB9" s="16"/>
      <c r="OC9" s="16"/>
      <c r="OD9" s="16"/>
      <c r="OE9" s="16"/>
      <c r="OF9" s="16"/>
      <c r="OG9" s="16"/>
      <c r="OH9" s="16"/>
      <c r="OI9" s="16"/>
      <c r="OJ9" s="16"/>
      <c r="OK9" s="11" t="str">
        <f t="shared" si="121"/>
        <v/>
      </c>
      <c r="OL9" s="11" t="str">
        <f t="shared" si="121"/>
        <v/>
      </c>
      <c r="OM9" s="11" t="str">
        <f t="shared" si="122"/>
        <v/>
      </c>
      <c r="ON9" s="11" t="str">
        <f t="shared" si="123"/>
        <v/>
      </c>
      <c r="OO9" s="11" t="str">
        <f t="shared" si="123"/>
        <v/>
      </c>
      <c r="OP9" s="11" t="str">
        <f t="shared" si="124"/>
        <v/>
      </c>
      <c r="OQ9" s="11" t="str">
        <f t="shared" si="125"/>
        <v/>
      </c>
      <c r="OR9" s="11" t="str">
        <f t="shared" si="126"/>
        <v/>
      </c>
      <c r="OS9" s="11" t="str">
        <f t="shared" si="126"/>
        <v/>
      </c>
      <c r="OT9" s="11" t="str">
        <f t="shared" si="127"/>
        <v/>
      </c>
      <c r="OU9" s="11" t="str">
        <f t="shared" si="128"/>
        <v/>
      </c>
      <c r="OV9" s="11" t="str">
        <f t="shared" si="128"/>
        <v/>
      </c>
      <c r="OW9" s="11" t="str">
        <f t="shared" si="129"/>
        <v/>
      </c>
      <c r="OX9" s="11" t="str">
        <f t="shared" si="130"/>
        <v/>
      </c>
      <c r="OY9" s="15"/>
      <c r="OZ9" s="15"/>
      <c r="PA9" s="15"/>
      <c r="PB9" s="15"/>
      <c r="PC9" s="15"/>
      <c r="PD9" s="15"/>
      <c r="PE9" s="15"/>
      <c r="PF9" s="15"/>
      <c r="PG9" s="15"/>
      <c r="PH9" s="15"/>
      <c r="PI9" s="15"/>
      <c r="PJ9" s="15"/>
      <c r="PK9" s="15"/>
      <c r="PL9" s="15"/>
      <c r="PM9" s="15"/>
      <c r="PN9" s="15"/>
      <c r="PO9" s="15"/>
      <c r="PP9" s="15"/>
      <c r="PQ9" s="15"/>
      <c r="PR9" s="15"/>
      <c r="PS9" s="36" t="str">
        <f t="shared" si="131"/>
        <v/>
      </c>
      <c r="PT9" s="36" t="str">
        <f t="shared" si="131"/>
        <v/>
      </c>
      <c r="PU9" s="36" t="str">
        <f t="shared" si="132"/>
        <v/>
      </c>
      <c r="PV9" s="36" t="str">
        <f t="shared" si="133"/>
        <v/>
      </c>
      <c r="PW9" s="36" t="str">
        <f t="shared" si="133"/>
        <v/>
      </c>
      <c r="PX9" s="36" t="str">
        <f t="shared" si="134"/>
        <v/>
      </c>
      <c r="PY9" s="36" t="str">
        <f t="shared" si="135"/>
        <v/>
      </c>
      <c r="PZ9" s="36" t="str">
        <f t="shared" si="136"/>
        <v/>
      </c>
      <c r="QA9" s="36" t="str">
        <f t="shared" si="136"/>
        <v/>
      </c>
      <c r="QB9" s="36" t="str">
        <f t="shared" si="137"/>
        <v/>
      </c>
      <c r="QC9" s="36" t="str">
        <f t="shared" si="138"/>
        <v/>
      </c>
      <c r="QD9" s="36" t="str">
        <f t="shared" si="138"/>
        <v/>
      </c>
      <c r="QE9" s="36" t="str">
        <f t="shared" si="139"/>
        <v/>
      </c>
      <c r="QF9" s="36" t="str">
        <f t="shared" si="140"/>
        <v/>
      </c>
      <c r="QG9" s="16"/>
      <c r="QH9" s="16"/>
      <c r="QI9" s="16"/>
      <c r="QJ9" s="16"/>
      <c r="QK9" s="16"/>
      <c r="QL9" s="16"/>
      <c r="QM9" s="16"/>
      <c r="QN9" s="16"/>
      <c r="QO9" s="16"/>
      <c r="QP9" s="16"/>
      <c r="QQ9" s="16"/>
      <c r="QR9" s="16"/>
      <c r="QS9" s="16"/>
      <c r="QT9" s="16"/>
      <c r="QU9" s="16"/>
      <c r="QV9" s="16"/>
      <c r="QW9" s="16"/>
      <c r="QX9" s="16"/>
      <c r="QY9" s="16"/>
      <c r="QZ9" s="16"/>
      <c r="RA9" s="11" t="str">
        <f t="shared" si="141"/>
        <v/>
      </c>
      <c r="RB9" s="11" t="str">
        <f t="shared" si="141"/>
        <v/>
      </c>
      <c r="RC9" s="11" t="str">
        <f t="shared" si="142"/>
        <v/>
      </c>
      <c r="RD9" s="11" t="str">
        <f t="shared" si="143"/>
        <v/>
      </c>
      <c r="RE9" s="11" t="str">
        <f t="shared" si="143"/>
        <v/>
      </c>
      <c r="RF9" s="11" t="str">
        <f t="shared" si="144"/>
        <v/>
      </c>
      <c r="RG9" s="11" t="str">
        <f t="shared" si="145"/>
        <v/>
      </c>
      <c r="RH9" s="11" t="str">
        <f t="shared" si="146"/>
        <v/>
      </c>
      <c r="RI9" s="11" t="str">
        <f t="shared" si="146"/>
        <v/>
      </c>
      <c r="RJ9" s="11" t="str">
        <f t="shared" si="147"/>
        <v/>
      </c>
      <c r="RK9" s="11" t="str">
        <f t="shared" si="148"/>
        <v/>
      </c>
      <c r="RL9" s="11" t="str">
        <f t="shared" si="148"/>
        <v/>
      </c>
      <c r="RM9" s="11" t="str">
        <f t="shared" si="149"/>
        <v/>
      </c>
      <c r="RN9" s="11" t="str">
        <f t="shared" si="150"/>
        <v/>
      </c>
      <c r="RO9" s="15"/>
      <c r="RP9" s="15"/>
      <c r="RQ9" s="15"/>
      <c r="RR9" s="15"/>
      <c r="RS9" s="15"/>
      <c r="RT9" s="15"/>
      <c r="RU9" s="15"/>
      <c r="RV9" s="15"/>
      <c r="RW9" s="15"/>
      <c r="RX9" s="15"/>
      <c r="RY9" s="15"/>
      <c r="RZ9" s="15"/>
      <c r="SA9" s="15"/>
      <c r="SB9" s="15"/>
      <c r="SC9" s="15"/>
      <c r="SD9" s="15"/>
      <c r="SE9" s="15"/>
      <c r="SF9" s="15"/>
      <c r="SG9" s="15"/>
      <c r="SH9" s="15"/>
      <c r="SI9" s="36" t="str">
        <f t="shared" si="151"/>
        <v/>
      </c>
      <c r="SJ9" s="36" t="str">
        <f t="shared" si="151"/>
        <v/>
      </c>
      <c r="SK9" s="36" t="str">
        <f t="shared" si="152"/>
        <v/>
      </c>
      <c r="SL9" s="36" t="str">
        <f t="shared" si="153"/>
        <v/>
      </c>
      <c r="SM9" s="36" t="str">
        <f t="shared" si="153"/>
        <v/>
      </c>
      <c r="SN9" s="36" t="str">
        <f t="shared" si="154"/>
        <v/>
      </c>
      <c r="SO9" s="36" t="str">
        <f t="shared" si="155"/>
        <v/>
      </c>
      <c r="SP9" s="36" t="str">
        <f t="shared" si="156"/>
        <v/>
      </c>
      <c r="SQ9" s="36" t="str">
        <f t="shared" si="156"/>
        <v/>
      </c>
      <c r="SR9" s="36" t="str">
        <f t="shared" si="157"/>
        <v/>
      </c>
      <c r="SS9" s="36" t="str">
        <f t="shared" si="158"/>
        <v/>
      </c>
      <c r="ST9" s="36" t="str">
        <f t="shared" si="158"/>
        <v/>
      </c>
      <c r="SU9" s="36" t="str">
        <f t="shared" si="159"/>
        <v/>
      </c>
      <c r="SV9" s="36" t="str">
        <f t="shared" si="160"/>
        <v/>
      </c>
      <c r="SW9" s="16"/>
      <c r="SX9" s="16"/>
      <c r="SY9" s="16"/>
      <c r="SZ9" s="16"/>
      <c r="TA9" s="16"/>
      <c r="TB9" s="16"/>
      <c r="TC9" s="16"/>
      <c r="TD9" s="16"/>
      <c r="TE9" s="16"/>
      <c r="TF9" s="16"/>
      <c r="TG9" s="16"/>
      <c r="TH9" s="16"/>
      <c r="TI9" s="16"/>
      <c r="TJ9" s="16"/>
      <c r="TK9" s="16"/>
      <c r="TL9" s="16"/>
      <c r="TM9" s="16"/>
      <c r="TN9" s="16"/>
      <c r="TO9" s="16"/>
      <c r="TP9" s="16"/>
      <c r="TQ9" s="11" t="str">
        <f t="shared" si="161"/>
        <v/>
      </c>
      <c r="TR9" s="11" t="str">
        <f t="shared" si="161"/>
        <v/>
      </c>
      <c r="TS9" s="11" t="str">
        <f t="shared" si="162"/>
        <v/>
      </c>
      <c r="TT9" s="11" t="str">
        <f t="shared" si="163"/>
        <v/>
      </c>
      <c r="TU9" s="11" t="str">
        <f t="shared" si="163"/>
        <v/>
      </c>
      <c r="TV9" s="11" t="str">
        <f t="shared" si="164"/>
        <v/>
      </c>
      <c r="TW9" s="11" t="str">
        <f t="shared" si="165"/>
        <v/>
      </c>
      <c r="TX9" s="11" t="str">
        <f t="shared" si="166"/>
        <v/>
      </c>
      <c r="TY9" s="11" t="str">
        <f t="shared" si="166"/>
        <v/>
      </c>
      <c r="TZ9" s="11" t="str">
        <f t="shared" si="167"/>
        <v/>
      </c>
      <c r="UA9" s="11" t="str">
        <f t="shared" si="168"/>
        <v/>
      </c>
      <c r="UB9" s="11" t="str">
        <f t="shared" si="168"/>
        <v/>
      </c>
      <c r="UC9" s="11" t="str">
        <f t="shared" si="169"/>
        <v/>
      </c>
      <c r="UD9" s="11" t="str">
        <f t="shared" si="170"/>
        <v/>
      </c>
      <c r="UE9" s="15"/>
      <c r="UF9" s="15"/>
      <c r="UG9" s="15"/>
      <c r="UH9" s="15"/>
      <c r="UI9" s="15"/>
      <c r="UJ9" s="15"/>
      <c r="UK9" s="15"/>
      <c r="UL9" s="15"/>
      <c r="UM9" s="15"/>
      <c r="UN9" s="15"/>
      <c r="UO9" s="15"/>
      <c r="UP9" s="15"/>
      <c r="UQ9" s="15"/>
      <c r="UR9" s="15"/>
      <c r="US9" s="15"/>
      <c r="UT9" s="15"/>
      <c r="UU9" s="15"/>
      <c r="UV9" s="15"/>
      <c r="UW9" s="15"/>
      <c r="UX9" s="15"/>
      <c r="UY9" s="36" t="str">
        <f t="shared" si="171"/>
        <v/>
      </c>
      <c r="UZ9" s="36" t="str">
        <f t="shared" si="171"/>
        <v/>
      </c>
      <c r="VA9" s="36" t="str">
        <f t="shared" si="172"/>
        <v/>
      </c>
      <c r="VB9" s="36" t="str">
        <f t="shared" si="173"/>
        <v/>
      </c>
      <c r="VC9" s="36" t="str">
        <f t="shared" si="173"/>
        <v/>
      </c>
      <c r="VD9" s="36" t="str">
        <f t="shared" si="174"/>
        <v/>
      </c>
      <c r="VE9" s="36" t="str">
        <f t="shared" si="175"/>
        <v/>
      </c>
      <c r="VF9" s="36" t="str">
        <f t="shared" si="176"/>
        <v/>
      </c>
      <c r="VG9" s="36" t="str">
        <f t="shared" si="176"/>
        <v/>
      </c>
      <c r="VH9" s="36" t="str">
        <f t="shared" si="177"/>
        <v/>
      </c>
      <c r="VI9" s="36" t="str">
        <f t="shared" si="178"/>
        <v/>
      </c>
      <c r="VJ9" s="36" t="str">
        <f t="shared" si="178"/>
        <v/>
      </c>
      <c r="VK9" s="36" t="str">
        <f t="shared" si="179"/>
        <v/>
      </c>
      <c r="VL9" s="36" t="str">
        <f t="shared" si="180"/>
        <v/>
      </c>
    </row>
    <row r="10" spans="1:584" x14ac:dyDescent="0.2">
      <c r="B10" s="5"/>
      <c r="D10" s="1"/>
    </row>
    <row r="11" spans="1:584" x14ac:dyDescent="0.2">
      <c r="G11" s="32"/>
      <c r="I11" s="32"/>
    </row>
    <row r="12" spans="1:584" x14ac:dyDescent="0.2">
      <c r="B12" s="19" t="s">
        <v>40</v>
      </c>
      <c r="C12" s="5"/>
      <c r="G12" s="3"/>
      <c r="AL12" s="37"/>
      <c r="AM12" s="37"/>
      <c r="AN12" s="37"/>
      <c r="AP12" s="28"/>
      <c r="AQ12" s="28"/>
      <c r="AS12" s="38">
        <v>13.4</v>
      </c>
      <c r="BM12" s="37"/>
      <c r="BN12" s="37"/>
      <c r="BO12" s="37"/>
      <c r="BQ12" s="28"/>
      <c r="BR12" s="28"/>
      <c r="BT12" s="38">
        <v>13.4</v>
      </c>
      <c r="CQ12" s="5"/>
      <c r="CR12" s="5"/>
      <c r="DA12" s="2"/>
      <c r="DB12" s="2"/>
      <c r="DD12" s="38">
        <v>13.4</v>
      </c>
      <c r="DY12" s="5"/>
      <c r="DZ12" s="5"/>
      <c r="EI12" s="2"/>
      <c r="EJ12" s="2"/>
      <c r="EL12" s="38">
        <v>12.5</v>
      </c>
      <c r="FG12" s="5"/>
      <c r="FH12" s="5"/>
      <c r="FQ12" s="2"/>
      <c r="FR12" s="2"/>
      <c r="FT12" s="38">
        <v>12.5</v>
      </c>
      <c r="GO12" s="5"/>
      <c r="GP12" s="5"/>
      <c r="GY12" s="2"/>
      <c r="GZ12" s="2"/>
      <c r="HB12" s="38">
        <v>12.5</v>
      </c>
      <c r="HW12" s="5"/>
      <c r="HX12" s="5"/>
      <c r="IG12" s="2"/>
      <c r="IH12" s="2"/>
      <c r="IJ12" s="38">
        <v>12.5</v>
      </c>
      <c r="JE12" s="5"/>
      <c r="JF12" s="5"/>
      <c r="JO12" s="2"/>
      <c r="JP12" s="2"/>
      <c r="JR12" s="38">
        <v>12.5</v>
      </c>
      <c r="KM12" s="5"/>
      <c r="KN12" s="5"/>
      <c r="KW12" s="2"/>
      <c r="KX12" s="2"/>
      <c r="KZ12" s="38">
        <v>12.5</v>
      </c>
      <c r="LU12" s="5"/>
      <c r="LV12" s="5"/>
      <c r="ME12" s="2"/>
      <c r="MF12" s="2"/>
      <c r="MH12" s="38">
        <v>12.5</v>
      </c>
      <c r="NC12" s="5"/>
      <c r="ND12" s="5"/>
      <c r="NM12" s="2"/>
      <c r="NN12" s="2"/>
      <c r="NP12" s="38">
        <v>12.5</v>
      </c>
      <c r="OK12" s="5"/>
      <c r="OL12" s="5"/>
      <c r="OU12" s="2"/>
      <c r="OV12" s="2"/>
      <c r="OX12" s="38">
        <v>12.5</v>
      </c>
      <c r="PS12" s="5"/>
      <c r="PT12" s="5"/>
      <c r="QC12" s="2"/>
      <c r="QD12" s="2"/>
      <c r="QF12" s="38">
        <v>12.5</v>
      </c>
      <c r="RA12" s="5"/>
      <c r="RB12" s="5"/>
      <c r="RK12" s="2"/>
      <c r="RL12" s="2"/>
      <c r="RN12" s="38">
        <v>12.5</v>
      </c>
      <c r="SI12" s="5"/>
      <c r="SJ12" s="5"/>
      <c r="SS12" s="2"/>
      <c r="ST12" s="2"/>
      <c r="SV12" s="38">
        <v>12.5</v>
      </c>
      <c r="TQ12" s="5"/>
      <c r="TR12" s="5"/>
      <c r="UA12" s="2"/>
      <c r="UB12" s="2"/>
      <c r="UD12" s="38">
        <v>12.5</v>
      </c>
      <c r="UY12" s="5"/>
      <c r="UZ12" s="5"/>
      <c r="VI12" s="2"/>
      <c r="VJ12" s="2"/>
      <c r="VL12" s="38">
        <v>12.5</v>
      </c>
    </row>
    <row r="13" spans="1:584" hidden="1" x14ac:dyDescent="0.2">
      <c r="B13" s="26" t="s">
        <v>39</v>
      </c>
      <c r="C13" s="5"/>
      <c r="R13" s="2"/>
      <c r="AL13" s="37"/>
      <c r="AM13" s="37"/>
      <c r="AN13" s="37"/>
      <c r="AP13" s="28"/>
      <c r="AQ13" s="28"/>
      <c r="AS13" s="39">
        <v>1000</v>
      </c>
      <c r="BM13" s="37"/>
      <c r="BN13" s="37"/>
      <c r="BO13" s="37"/>
      <c r="BQ13" s="28"/>
      <c r="BR13" s="28"/>
      <c r="BT13" s="39">
        <v>1000</v>
      </c>
      <c r="CQ13" s="5"/>
      <c r="CR13" s="5"/>
      <c r="DA13" s="2"/>
      <c r="DB13" s="2"/>
      <c r="DD13" s="39">
        <v>1000</v>
      </c>
      <c r="DY13" s="5"/>
      <c r="DZ13" s="5"/>
      <c r="EI13" s="2"/>
      <c r="EJ13" s="2"/>
      <c r="EL13" s="39">
        <v>1000</v>
      </c>
      <c r="FG13" s="5"/>
      <c r="FH13" s="5"/>
      <c r="FQ13" s="2"/>
      <c r="FR13" s="2"/>
      <c r="FT13" s="39">
        <v>1000</v>
      </c>
      <c r="GO13" s="5"/>
      <c r="GP13" s="5"/>
      <c r="GY13" s="2"/>
      <c r="GZ13" s="2"/>
      <c r="HB13" s="39">
        <v>1000</v>
      </c>
      <c r="HW13" s="5"/>
      <c r="HX13" s="5"/>
      <c r="IG13" s="2"/>
      <c r="IH13" s="2"/>
      <c r="IJ13" s="39">
        <v>1000</v>
      </c>
      <c r="JE13" s="5"/>
      <c r="JF13" s="5"/>
      <c r="JO13" s="2"/>
      <c r="JP13" s="2"/>
      <c r="JR13" s="39">
        <v>1000</v>
      </c>
      <c r="KM13" s="5"/>
      <c r="KN13" s="5"/>
      <c r="KW13" s="2"/>
      <c r="KX13" s="2"/>
      <c r="KZ13" s="39">
        <v>1000</v>
      </c>
      <c r="LU13" s="5"/>
      <c r="LV13" s="5"/>
      <c r="ME13" s="2"/>
      <c r="MF13" s="2"/>
      <c r="MH13" s="39">
        <v>1000</v>
      </c>
      <c r="NC13" s="5"/>
      <c r="ND13" s="5"/>
      <c r="NM13" s="2"/>
      <c r="NN13" s="2"/>
      <c r="NP13" s="39">
        <v>1000</v>
      </c>
      <c r="OK13" s="5"/>
      <c r="OL13" s="5"/>
      <c r="OU13" s="2"/>
      <c r="OV13" s="2"/>
      <c r="OX13" s="39">
        <v>1000</v>
      </c>
      <c r="PS13" s="5"/>
      <c r="PT13" s="5"/>
      <c r="QC13" s="2"/>
      <c r="QD13" s="2"/>
      <c r="QF13" s="39">
        <v>1000</v>
      </c>
      <c r="RA13" s="5"/>
      <c r="RB13" s="5"/>
      <c r="RK13" s="2"/>
      <c r="RL13" s="2"/>
      <c r="RN13" s="39">
        <v>1000</v>
      </c>
      <c r="SI13" s="5"/>
      <c r="SJ13" s="5"/>
      <c r="SS13" s="2"/>
      <c r="ST13" s="2"/>
      <c r="SV13" s="39">
        <v>1000</v>
      </c>
      <c r="TQ13" s="5"/>
      <c r="TR13" s="5"/>
      <c r="UA13" s="2"/>
      <c r="UB13" s="2"/>
      <c r="UD13" s="39">
        <v>1000</v>
      </c>
      <c r="UY13" s="5"/>
      <c r="UZ13" s="5"/>
      <c r="VI13" s="2"/>
      <c r="VJ13" s="2"/>
      <c r="VL13" s="39">
        <v>1000</v>
      </c>
    </row>
    <row r="14" spans="1:584" hidden="1" x14ac:dyDescent="0.2">
      <c r="A14" s="5"/>
      <c r="B14" s="27" t="s">
        <v>50</v>
      </c>
      <c r="C14" s="5"/>
      <c r="E14" s="2"/>
      <c r="AL14" s="37"/>
      <c r="AM14" s="37"/>
      <c r="AN14" s="37"/>
      <c r="AO14" s="28"/>
      <c r="AP14" s="28"/>
      <c r="AQ14" s="28"/>
      <c r="AR14" s="28"/>
      <c r="AS14" s="40">
        <v>1000</v>
      </c>
      <c r="BM14" s="37"/>
      <c r="BN14" s="37"/>
      <c r="BO14" s="37"/>
      <c r="BQ14" s="28"/>
      <c r="BR14" s="28"/>
      <c r="BT14" s="40">
        <v>1000</v>
      </c>
      <c r="CQ14" s="5"/>
      <c r="CR14" s="5"/>
      <c r="DA14" s="2"/>
      <c r="DB14" s="2"/>
      <c r="DD14" s="40">
        <v>1000</v>
      </c>
      <c r="DY14" s="5"/>
      <c r="DZ14" s="5"/>
      <c r="EI14" s="2"/>
      <c r="EJ14" s="2"/>
      <c r="EL14" s="40">
        <v>0</v>
      </c>
      <c r="FG14" s="5"/>
      <c r="FH14" s="5"/>
      <c r="FQ14" s="2"/>
      <c r="FR14" s="2"/>
      <c r="FT14" s="40">
        <v>0</v>
      </c>
      <c r="GO14" s="5"/>
      <c r="GP14" s="5"/>
      <c r="GY14" s="2"/>
      <c r="GZ14" s="2"/>
      <c r="HB14" s="40">
        <v>0</v>
      </c>
      <c r="HW14" s="5"/>
      <c r="HX14" s="5"/>
      <c r="IG14" s="2"/>
      <c r="IH14" s="2"/>
      <c r="IJ14" s="40">
        <v>0</v>
      </c>
      <c r="JE14" s="5"/>
      <c r="JF14" s="5"/>
      <c r="JO14" s="2"/>
      <c r="JP14" s="2"/>
      <c r="JR14" s="40">
        <v>0</v>
      </c>
      <c r="KM14" s="5"/>
      <c r="KN14" s="5"/>
      <c r="KW14" s="2"/>
      <c r="KX14" s="2"/>
      <c r="KZ14" s="40">
        <v>0</v>
      </c>
      <c r="LU14" s="5"/>
      <c r="LV14" s="5"/>
      <c r="ME14" s="2"/>
      <c r="MF14" s="2"/>
      <c r="MH14" s="40">
        <v>0</v>
      </c>
      <c r="NC14" s="5"/>
      <c r="ND14" s="5"/>
      <c r="NM14" s="2"/>
      <c r="NN14" s="2"/>
      <c r="NP14" s="40">
        <v>0</v>
      </c>
      <c r="OK14" s="5"/>
      <c r="OL14" s="5"/>
      <c r="OU14" s="2"/>
      <c r="OV14" s="2"/>
      <c r="OX14" s="40">
        <v>0</v>
      </c>
      <c r="PS14" s="5"/>
      <c r="PT14" s="5"/>
      <c r="QC14" s="2"/>
      <c r="QD14" s="2"/>
      <c r="QF14" s="40">
        <v>0</v>
      </c>
      <c r="RA14" s="5"/>
      <c r="RB14" s="5"/>
      <c r="RK14" s="2"/>
      <c r="RL14" s="2"/>
      <c r="RN14" s="40">
        <v>0</v>
      </c>
      <c r="SI14" s="5"/>
      <c r="SJ14" s="5"/>
      <c r="SS14" s="2"/>
      <c r="ST14" s="2"/>
      <c r="SV14" s="40">
        <v>0</v>
      </c>
      <c r="TQ14" s="5"/>
      <c r="TR14" s="5"/>
      <c r="UA14" s="2"/>
      <c r="UB14" s="2"/>
      <c r="UD14" s="40">
        <v>0</v>
      </c>
      <c r="UY14" s="5"/>
      <c r="UZ14" s="5"/>
      <c r="VI14" s="2"/>
      <c r="VJ14" s="2"/>
      <c r="VL14" s="40">
        <v>0</v>
      </c>
    </row>
    <row r="15" spans="1:584" hidden="1" x14ac:dyDescent="0.2">
      <c r="A15" s="5"/>
      <c r="B15" s="31" t="s">
        <v>57</v>
      </c>
      <c r="C15" s="5"/>
      <c r="E15" s="2"/>
      <c r="AL15" s="37"/>
      <c r="AM15" s="37"/>
      <c r="AN15" s="37"/>
      <c r="AO15" s="28"/>
      <c r="AP15" s="28"/>
      <c r="AQ15" s="28"/>
      <c r="AR15" s="28"/>
      <c r="AS15" s="41">
        <v>1000</v>
      </c>
      <c r="BM15" s="37"/>
      <c r="BN15" s="37"/>
      <c r="BO15" s="37"/>
      <c r="BQ15" s="28"/>
      <c r="BR15" s="28"/>
      <c r="BT15" s="41">
        <v>1000</v>
      </c>
      <c r="CQ15" s="5"/>
      <c r="CR15" s="5"/>
      <c r="DA15" s="2"/>
      <c r="DB15" s="2"/>
      <c r="DD15" s="41">
        <v>1000</v>
      </c>
      <c r="DY15" s="5"/>
      <c r="DZ15" s="5"/>
      <c r="EI15" s="2"/>
      <c r="EJ15" s="2"/>
      <c r="EL15" s="41">
        <v>0</v>
      </c>
      <c r="FG15" s="5"/>
      <c r="FH15" s="5"/>
      <c r="FQ15" s="2"/>
      <c r="FR15" s="2"/>
      <c r="FT15" s="41">
        <v>0</v>
      </c>
      <c r="GO15" s="5"/>
      <c r="GP15" s="5"/>
      <c r="GY15" s="2"/>
      <c r="GZ15" s="2"/>
      <c r="HB15" s="41">
        <v>0</v>
      </c>
      <c r="HW15" s="5"/>
      <c r="HX15" s="5"/>
      <c r="IG15" s="2"/>
      <c r="IH15" s="2"/>
      <c r="IJ15" s="41">
        <v>0</v>
      </c>
      <c r="JE15" s="5"/>
      <c r="JF15" s="5"/>
      <c r="JO15" s="2"/>
      <c r="JP15" s="2"/>
      <c r="JR15" s="41">
        <v>0</v>
      </c>
      <c r="KM15" s="5"/>
      <c r="KN15" s="5"/>
      <c r="KW15" s="2"/>
      <c r="KX15" s="2"/>
      <c r="KZ15" s="41">
        <v>0</v>
      </c>
      <c r="LU15" s="5"/>
      <c r="LV15" s="5"/>
      <c r="ME15" s="2"/>
      <c r="MF15" s="2"/>
      <c r="MH15" s="41">
        <v>0</v>
      </c>
      <c r="NC15" s="5"/>
      <c r="ND15" s="5"/>
      <c r="NM15" s="2"/>
      <c r="NN15" s="2"/>
      <c r="NP15" s="41">
        <v>0</v>
      </c>
      <c r="OK15" s="5"/>
      <c r="OL15" s="5"/>
      <c r="OU15" s="2"/>
      <c r="OV15" s="2"/>
      <c r="OX15" s="41">
        <v>0</v>
      </c>
      <c r="PS15" s="5"/>
      <c r="PT15" s="5"/>
      <c r="QC15" s="2"/>
      <c r="QD15" s="2"/>
      <c r="QF15" s="41">
        <v>0</v>
      </c>
      <c r="RA15" s="5"/>
      <c r="RB15" s="5"/>
      <c r="RK15" s="2"/>
      <c r="RL15" s="2"/>
      <c r="RN15" s="41">
        <v>0</v>
      </c>
      <c r="SI15" s="5"/>
      <c r="SJ15" s="5"/>
      <c r="SS15" s="2"/>
      <c r="ST15" s="2"/>
      <c r="SV15" s="41">
        <v>0</v>
      </c>
      <c r="TQ15" s="5"/>
      <c r="TR15" s="5"/>
      <c r="UA15" s="2"/>
      <c r="UB15" s="2"/>
      <c r="UD15" s="41">
        <v>0</v>
      </c>
      <c r="UY15" s="5"/>
      <c r="UZ15" s="5"/>
      <c r="VI15" s="2"/>
      <c r="VJ15" s="2"/>
      <c r="VL15" s="41">
        <v>0</v>
      </c>
    </row>
    <row r="16" spans="1:584" x14ac:dyDescent="0.2">
      <c r="A16" s="5"/>
      <c r="B16" s="30" t="s">
        <v>37</v>
      </c>
      <c r="C16" s="5"/>
      <c r="AL16" s="37"/>
      <c r="AM16" s="37"/>
      <c r="AN16" s="37"/>
      <c r="AO16" s="28"/>
      <c r="AP16" s="28"/>
      <c r="AQ16" s="28"/>
      <c r="AR16" s="28"/>
      <c r="AS16" s="42">
        <v>93.9</v>
      </c>
      <c r="BM16" s="37"/>
      <c r="BN16" s="37"/>
      <c r="BO16" s="37"/>
      <c r="BQ16" s="28"/>
      <c r="BR16" s="28"/>
      <c r="BT16" s="42">
        <v>93.9</v>
      </c>
      <c r="CQ16" s="5"/>
      <c r="CR16" s="5"/>
      <c r="DA16" s="2"/>
      <c r="DB16" s="2"/>
      <c r="DD16" s="42">
        <v>93.9</v>
      </c>
      <c r="DY16" s="5"/>
      <c r="DZ16" s="5"/>
      <c r="EI16" s="2"/>
      <c r="EJ16" s="2"/>
      <c r="EL16" s="42">
        <v>91.6</v>
      </c>
      <c r="FG16" s="5"/>
      <c r="FH16" s="5"/>
      <c r="FQ16" s="2"/>
      <c r="FR16" s="2"/>
      <c r="FT16" s="42">
        <v>91.6</v>
      </c>
      <c r="GO16" s="5"/>
      <c r="GP16" s="5"/>
      <c r="GY16" s="2"/>
      <c r="GZ16" s="2"/>
      <c r="HB16" s="42">
        <v>91.6</v>
      </c>
      <c r="HW16" s="5"/>
      <c r="HX16" s="5"/>
      <c r="IG16" s="2"/>
      <c r="IH16" s="2"/>
      <c r="IJ16" s="42">
        <v>91.6</v>
      </c>
      <c r="JE16" s="5"/>
      <c r="JF16" s="5"/>
      <c r="JO16" s="2"/>
      <c r="JP16" s="2"/>
      <c r="JR16" s="42">
        <v>91.6</v>
      </c>
      <c r="KM16" s="5"/>
      <c r="KN16" s="5"/>
      <c r="KW16" s="2"/>
      <c r="KX16" s="2"/>
      <c r="KZ16" s="42">
        <v>91.6</v>
      </c>
      <c r="LU16" s="5"/>
      <c r="LV16" s="5"/>
      <c r="ME16" s="2"/>
      <c r="MF16" s="2"/>
      <c r="MH16" s="42">
        <v>91.6</v>
      </c>
      <c r="NC16" s="5"/>
      <c r="ND16" s="5"/>
      <c r="NM16" s="2"/>
      <c r="NN16" s="2"/>
      <c r="NP16" s="42">
        <v>91.6</v>
      </c>
      <c r="OK16" s="5"/>
      <c r="OL16" s="5"/>
      <c r="OU16" s="2"/>
      <c r="OV16" s="2"/>
      <c r="OX16" s="42">
        <v>91.6</v>
      </c>
      <c r="PS16" s="5"/>
      <c r="PT16" s="5"/>
      <c r="QC16" s="2"/>
      <c r="QD16" s="2"/>
      <c r="QF16" s="42">
        <v>91.6</v>
      </c>
      <c r="RA16" s="5"/>
      <c r="RB16" s="5"/>
      <c r="RK16" s="2"/>
      <c r="RL16" s="2"/>
      <c r="RN16" s="42">
        <v>91.6</v>
      </c>
      <c r="SI16" s="5"/>
      <c r="SJ16" s="5"/>
      <c r="SS16" s="2"/>
      <c r="ST16" s="2"/>
      <c r="SV16" s="42">
        <v>91.6</v>
      </c>
      <c r="TQ16" s="5"/>
      <c r="TR16" s="5"/>
      <c r="UA16" s="2"/>
      <c r="UB16" s="2"/>
      <c r="UD16" s="42">
        <v>91.6</v>
      </c>
      <c r="UY16" s="5"/>
      <c r="UZ16" s="5"/>
      <c r="VI16" s="2"/>
      <c r="VJ16" s="2"/>
      <c r="VL16" s="42">
        <v>91.6</v>
      </c>
    </row>
    <row r="17" spans="1:584" hidden="1" x14ac:dyDescent="0.2">
      <c r="A17" s="5"/>
      <c r="B17" s="20" t="s">
        <v>38</v>
      </c>
      <c r="C17" s="5"/>
      <c r="AL17" s="37"/>
      <c r="AM17" s="37"/>
      <c r="AN17" s="37"/>
      <c r="AO17" s="28"/>
      <c r="AP17" s="28"/>
      <c r="AQ17" s="28"/>
      <c r="AR17" s="28"/>
      <c r="AS17" s="43">
        <v>1000</v>
      </c>
      <c r="BM17" s="37"/>
      <c r="BN17" s="37"/>
      <c r="BO17" s="37"/>
      <c r="BQ17" s="28"/>
      <c r="BR17" s="28"/>
      <c r="BT17" s="43">
        <v>1000</v>
      </c>
      <c r="CQ17" s="5"/>
      <c r="CR17" s="5"/>
      <c r="DA17" s="2"/>
      <c r="DB17" s="2"/>
      <c r="DD17" s="43">
        <v>1000</v>
      </c>
      <c r="DY17" s="5"/>
      <c r="DZ17" s="5"/>
      <c r="EI17" s="2"/>
      <c r="EJ17" s="2"/>
      <c r="EL17" s="43">
        <v>1000</v>
      </c>
      <c r="FG17" s="5"/>
      <c r="FH17" s="5"/>
      <c r="FQ17" s="2"/>
      <c r="FR17" s="2"/>
      <c r="FT17" s="43">
        <v>1000</v>
      </c>
      <c r="GO17" s="5"/>
      <c r="GP17" s="5"/>
      <c r="GY17" s="2"/>
      <c r="GZ17" s="2"/>
      <c r="HB17" s="43">
        <v>1000</v>
      </c>
      <c r="HW17" s="5"/>
      <c r="HX17" s="5"/>
      <c r="IG17" s="2"/>
      <c r="IH17" s="2"/>
      <c r="IJ17" s="43">
        <v>1000</v>
      </c>
      <c r="JE17" s="5"/>
      <c r="JF17" s="5"/>
      <c r="JO17" s="2"/>
      <c r="JP17" s="2"/>
      <c r="JR17" s="43">
        <v>1000</v>
      </c>
      <c r="KM17" s="5"/>
      <c r="KN17" s="5"/>
      <c r="KW17" s="2"/>
      <c r="KX17" s="2"/>
      <c r="KZ17" s="43">
        <v>1000</v>
      </c>
      <c r="LU17" s="5"/>
      <c r="LV17" s="5"/>
      <c r="ME17" s="2"/>
      <c r="MF17" s="2"/>
      <c r="MH17" s="43">
        <v>1000</v>
      </c>
      <c r="NC17" s="5"/>
      <c r="ND17" s="5"/>
      <c r="NM17" s="2"/>
      <c r="NN17" s="2"/>
      <c r="NP17" s="43">
        <v>1000</v>
      </c>
      <c r="OK17" s="5"/>
      <c r="OL17" s="5"/>
      <c r="OU17" s="2"/>
      <c r="OV17" s="2"/>
      <c r="OX17" s="43">
        <v>1000</v>
      </c>
      <c r="PS17" s="5"/>
      <c r="PT17" s="5"/>
      <c r="QC17" s="2"/>
      <c r="QD17" s="2"/>
      <c r="QF17" s="43">
        <v>1000</v>
      </c>
      <c r="RA17" s="5"/>
      <c r="RB17" s="5"/>
      <c r="RK17" s="2"/>
      <c r="RL17" s="2"/>
      <c r="RN17" s="43">
        <v>1000</v>
      </c>
      <c r="SI17" s="5"/>
      <c r="SJ17" s="5"/>
      <c r="SS17" s="2"/>
      <c r="ST17" s="2"/>
      <c r="SV17" s="43">
        <v>1000</v>
      </c>
      <c r="TQ17" s="5"/>
      <c r="TR17" s="5"/>
      <c r="UA17" s="2"/>
      <c r="UB17" s="2"/>
      <c r="UD17" s="43">
        <v>1000</v>
      </c>
      <c r="UY17" s="5"/>
      <c r="UZ17" s="5"/>
      <c r="VI17" s="2"/>
      <c r="VJ17" s="2"/>
      <c r="VL17" s="43">
        <v>1000</v>
      </c>
    </row>
    <row r="18" spans="1:584" hidden="1" x14ac:dyDescent="0.2">
      <c r="A18" s="5"/>
      <c r="B18" s="29" t="s">
        <v>49</v>
      </c>
      <c r="C18" s="5"/>
      <c r="AL18" s="37"/>
      <c r="AM18" s="37"/>
      <c r="AN18" s="37"/>
      <c r="AO18" s="28"/>
      <c r="AP18" s="28"/>
      <c r="AQ18" s="28"/>
      <c r="AR18" s="28"/>
      <c r="AS18" s="44">
        <v>1000</v>
      </c>
      <c r="BM18" s="37"/>
      <c r="BN18" s="37"/>
      <c r="BO18" s="37"/>
      <c r="BQ18" s="28"/>
      <c r="BR18" s="28"/>
      <c r="BT18" s="44">
        <v>1000</v>
      </c>
      <c r="CQ18" s="5"/>
      <c r="CR18" s="5"/>
      <c r="DA18" s="2"/>
      <c r="DB18" s="2"/>
      <c r="DC18" s="33"/>
      <c r="DD18" s="44">
        <v>1000</v>
      </c>
      <c r="DY18" s="5"/>
      <c r="DZ18" s="5"/>
      <c r="EI18" s="2"/>
      <c r="EJ18" s="2"/>
      <c r="EK18" s="33"/>
      <c r="EL18" s="44">
        <v>1000</v>
      </c>
      <c r="FG18" s="5"/>
      <c r="FH18" s="5"/>
      <c r="FQ18" s="2"/>
      <c r="FR18" s="2"/>
      <c r="FS18" s="33"/>
      <c r="FT18" s="44">
        <v>1000</v>
      </c>
      <c r="GO18" s="5"/>
      <c r="GP18" s="5"/>
      <c r="GY18" s="2"/>
      <c r="GZ18" s="2"/>
      <c r="HA18" s="33"/>
      <c r="HB18" s="44">
        <v>1000</v>
      </c>
      <c r="HW18" s="5"/>
      <c r="HX18" s="5"/>
      <c r="IG18" s="2"/>
      <c r="IH18" s="2"/>
      <c r="II18" s="33"/>
      <c r="IJ18" s="44">
        <v>1000</v>
      </c>
      <c r="JE18" s="5"/>
      <c r="JF18" s="5"/>
      <c r="JO18" s="2"/>
      <c r="JP18" s="2"/>
      <c r="JQ18" s="33"/>
      <c r="JR18" s="44">
        <v>1000</v>
      </c>
      <c r="KM18" s="5"/>
      <c r="KN18" s="5"/>
      <c r="KW18" s="2"/>
      <c r="KX18" s="2"/>
      <c r="KY18" s="33"/>
      <c r="KZ18" s="44">
        <v>1000</v>
      </c>
      <c r="LU18" s="5"/>
      <c r="LV18" s="5"/>
      <c r="ME18" s="2"/>
      <c r="MF18" s="2"/>
      <c r="MG18" s="33"/>
      <c r="MH18" s="44">
        <v>1000</v>
      </c>
      <c r="NC18" s="5"/>
      <c r="ND18" s="5"/>
      <c r="NM18" s="2"/>
      <c r="NN18" s="2"/>
      <c r="NO18" s="33"/>
      <c r="NP18" s="44">
        <v>1000</v>
      </c>
      <c r="OK18" s="5"/>
      <c r="OL18" s="5"/>
      <c r="OU18" s="2"/>
      <c r="OV18" s="2"/>
      <c r="OW18" s="33"/>
      <c r="OX18" s="44">
        <v>1000</v>
      </c>
      <c r="PS18" s="5"/>
      <c r="PT18" s="5"/>
      <c r="QC18" s="2"/>
      <c r="QD18" s="2"/>
      <c r="QE18" s="33"/>
      <c r="QF18" s="44">
        <v>1000</v>
      </c>
      <c r="RA18" s="5"/>
      <c r="RB18" s="5"/>
      <c r="RK18" s="2"/>
      <c r="RL18" s="2"/>
      <c r="RM18" s="33"/>
      <c r="RN18" s="44">
        <v>1000</v>
      </c>
      <c r="SI18" s="5"/>
      <c r="SJ18" s="5"/>
      <c r="SS18" s="2"/>
      <c r="ST18" s="2"/>
      <c r="SU18" s="33"/>
      <c r="SV18" s="44">
        <v>1000</v>
      </c>
      <c r="TQ18" s="5"/>
      <c r="TR18" s="5"/>
      <c r="UA18" s="2"/>
      <c r="UB18" s="2"/>
      <c r="UC18" s="33"/>
      <c r="UD18" s="44">
        <v>1000</v>
      </c>
      <c r="UY18" s="5"/>
      <c r="UZ18" s="5"/>
      <c r="VI18" s="2"/>
      <c r="VJ18" s="2"/>
      <c r="VK18" s="33"/>
      <c r="VL18" s="44">
        <v>1000</v>
      </c>
    </row>
    <row r="19" spans="1:584" hidden="1" x14ac:dyDescent="0.2">
      <c r="A19" s="5"/>
      <c r="B19" s="21" t="s">
        <v>30</v>
      </c>
      <c r="C19" s="5"/>
      <c r="AL19" s="37"/>
      <c r="AM19" s="37"/>
      <c r="AN19" s="37"/>
      <c r="AO19" s="28"/>
      <c r="AP19" s="37"/>
      <c r="AQ19" s="37"/>
      <c r="AR19" s="28"/>
      <c r="AS19" s="45">
        <v>1000</v>
      </c>
      <c r="BM19" s="37"/>
      <c r="BN19" s="37"/>
      <c r="BO19" s="37"/>
      <c r="BQ19" s="37"/>
      <c r="BR19" s="28"/>
      <c r="BT19" s="45">
        <v>1000</v>
      </c>
      <c r="CQ19" s="5"/>
      <c r="CR19" s="5"/>
      <c r="DA19" s="37"/>
      <c r="DB19" s="2"/>
      <c r="DD19" s="45">
        <v>1000</v>
      </c>
      <c r="DY19" s="5"/>
      <c r="DZ19" s="5"/>
      <c r="EI19" s="37"/>
      <c r="EJ19" s="2"/>
      <c r="EL19" s="45">
        <v>1000</v>
      </c>
      <c r="FG19" s="5"/>
      <c r="FH19" s="5"/>
      <c r="FQ19" s="2"/>
      <c r="FR19" s="2"/>
      <c r="FT19" s="45">
        <v>1000</v>
      </c>
      <c r="GO19" s="5"/>
      <c r="GP19" s="5"/>
      <c r="GY19" s="37"/>
      <c r="GZ19" s="2"/>
      <c r="HB19" s="45">
        <v>1000</v>
      </c>
      <c r="HW19" s="5"/>
      <c r="HX19" s="5"/>
      <c r="IG19" s="2"/>
      <c r="IH19" s="2"/>
      <c r="IJ19" s="45">
        <v>1000</v>
      </c>
      <c r="JE19" s="5"/>
      <c r="JF19" s="5"/>
      <c r="JO19" s="2"/>
      <c r="JP19" s="2"/>
      <c r="JR19" s="45">
        <v>1000</v>
      </c>
      <c r="KM19" s="5"/>
      <c r="KN19" s="5"/>
      <c r="KW19" s="2"/>
      <c r="KX19" s="2"/>
      <c r="KZ19" s="45">
        <v>1000</v>
      </c>
      <c r="LU19" s="5"/>
      <c r="LV19" s="5"/>
      <c r="ME19" s="2"/>
      <c r="MF19" s="2"/>
      <c r="MH19" s="45">
        <v>1000</v>
      </c>
      <c r="NC19" s="5"/>
      <c r="ND19" s="5"/>
      <c r="NM19" s="2"/>
      <c r="NN19" s="2"/>
      <c r="NP19" s="45">
        <v>1000</v>
      </c>
      <c r="OK19" s="5"/>
      <c r="OL19" s="5"/>
      <c r="OU19" s="2"/>
      <c r="OV19" s="2"/>
      <c r="OX19" s="45">
        <v>1000</v>
      </c>
      <c r="PS19" s="5"/>
      <c r="PT19" s="5"/>
      <c r="QC19" s="2"/>
      <c r="QD19" s="2"/>
      <c r="QF19" s="45">
        <v>1000</v>
      </c>
      <c r="RA19" s="5"/>
      <c r="RB19" s="5"/>
      <c r="RK19" s="2"/>
      <c r="RL19" s="2"/>
      <c r="RN19" s="45">
        <v>1000</v>
      </c>
      <c r="SI19" s="5"/>
      <c r="SJ19" s="5"/>
      <c r="SS19" s="2"/>
      <c r="ST19" s="2"/>
      <c r="SV19" s="45">
        <v>1000</v>
      </c>
      <c r="TQ19" s="5"/>
      <c r="TR19" s="5"/>
      <c r="UA19" s="2"/>
      <c r="UB19" s="2"/>
      <c r="UD19" s="45">
        <v>1000</v>
      </c>
      <c r="UY19" s="5"/>
      <c r="UZ19" s="5"/>
      <c r="VI19" s="2"/>
      <c r="VJ19" s="2"/>
      <c r="VL19" s="45">
        <v>1000</v>
      </c>
    </row>
    <row r="20" spans="1:584" x14ac:dyDescent="0.2">
      <c r="B20" s="25" t="s">
        <v>43</v>
      </c>
      <c r="C20" s="2"/>
      <c r="AO20" s="28"/>
      <c r="AR20" s="28"/>
      <c r="EL20"/>
      <c r="FT20"/>
      <c r="HB20"/>
      <c r="IJ20"/>
    </row>
    <row r="21" spans="1:584" x14ac:dyDescent="0.2">
      <c r="A21" s="5"/>
      <c r="B21" s="5"/>
      <c r="C21" s="17"/>
      <c r="AK21" s="28"/>
      <c r="AL21" s="28"/>
      <c r="AM21" s="28"/>
      <c r="AN21" s="28"/>
      <c r="AO21" s="28"/>
      <c r="AR21" s="28"/>
    </row>
    <row r="22" spans="1:584" ht="17" x14ac:dyDescent="0.2">
      <c r="A22" s="5"/>
      <c r="B22" s="5"/>
      <c r="C22" s="17"/>
      <c r="P22" s="10"/>
      <c r="Q22" s="10"/>
      <c r="AK22" s="28"/>
      <c r="AL22" s="28"/>
      <c r="AM22" s="28"/>
      <c r="AN22" s="28"/>
      <c r="AO22" s="28"/>
      <c r="AR22" s="28"/>
    </row>
    <row r="23" spans="1:584" ht="17" x14ac:dyDescent="0.2">
      <c r="A23" s="5"/>
      <c r="B23" s="5"/>
      <c r="C23" s="17"/>
      <c r="P23" s="10"/>
      <c r="AK23" s="28"/>
      <c r="AL23" s="28"/>
      <c r="AM23" s="28"/>
      <c r="AN23" s="28"/>
      <c r="AO23" s="28"/>
      <c r="AR23" s="28"/>
    </row>
    <row r="24" spans="1:584" ht="17" x14ac:dyDescent="0.2">
      <c r="P24" s="10"/>
      <c r="Q24" s="10"/>
      <c r="AK24" s="28"/>
      <c r="AL24" s="28"/>
      <c r="AM24" s="28"/>
      <c r="AN24" s="28"/>
      <c r="AO24" s="28"/>
      <c r="AR24" s="28"/>
    </row>
    <row r="25" spans="1:584" ht="17" x14ac:dyDescent="0.2">
      <c r="P25" s="10"/>
      <c r="Q25" s="10"/>
      <c r="AK25" s="28"/>
      <c r="AL25" s="28"/>
      <c r="AM25" s="28"/>
      <c r="AN25" s="28"/>
      <c r="AO25" s="28"/>
      <c r="AR25" s="28"/>
    </row>
    <row r="26" spans="1:584" ht="17" x14ac:dyDescent="0.2">
      <c r="P26" s="10"/>
      <c r="Q26" s="10"/>
      <c r="AK26" s="28"/>
      <c r="AL26" s="28"/>
      <c r="AM26" s="28"/>
      <c r="AN26" s="28"/>
      <c r="AO26" s="28"/>
      <c r="AR26" s="28"/>
    </row>
    <row r="27" spans="1:584" ht="17" x14ac:dyDescent="0.2">
      <c r="P27" s="10"/>
      <c r="Q27" s="10"/>
      <c r="R27" s="10"/>
    </row>
    <row r="28" spans="1:584" ht="17" x14ac:dyDescent="0.2">
      <c r="P28" s="10"/>
      <c r="Q28" s="10"/>
      <c r="R28" s="10"/>
    </row>
    <row r="29" spans="1:584" ht="17" x14ac:dyDescent="0.2">
      <c r="P29" s="10"/>
      <c r="Q29" s="10"/>
      <c r="R29" s="10"/>
    </row>
    <row r="30" spans="1:584" ht="17" x14ac:dyDescent="0.2">
      <c r="P30" s="10"/>
      <c r="Q30" s="10"/>
      <c r="R30" s="10"/>
    </row>
    <row r="31" spans="1:584" ht="17" x14ac:dyDescent="0.2">
      <c r="P31" s="10"/>
      <c r="Q31" s="10"/>
      <c r="R31" s="10"/>
    </row>
    <row r="32" spans="1:584" ht="17" x14ac:dyDescent="0.2">
      <c r="P32" s="10"/>
      <c r="Q32" s="10"/>
      <c r="R32" s="10"/>
    </row>
    <row r="33" spans="16:18" ht="17" x14ac:dyDescent="0.2">
      <c r="P33" s="10"/>
      <c r="Q33" s="10"/>
      <c r="R33" s="10"/>
    </row>
    <row r="34" spans="16:18" ht="17" x14ac:dyDescent="0.2">
      <c r="P34" s="10"/>
      <c r="Q34" s="10"/>
      <c r="R34" s="10"/>
    </row>
    <row r="35" spans="16:18" ht="17" x14ac:dyDescent="0.2">
      <c r="P35" s="10"/>
      <c r="Q35" s="10"/>
      <c r="R35" s="10"/>
    </row>
    <row r="36" spans="16:18" ht="17" x14ac:dyDescent="0.2">
      <c r="P36" s="10"/>
      <c r="Q36" s="10"/>
      <c r="R36" s="10"/>
    </row>
    <row r="37" spans="16:18" ht="17" x14ac:dyDescent="0.2">
      <c r="P37" s="10"/>
      <c r="Q37" s="10"/>
      <c r="R37" s="10"/>
    </row>
    <row r="38" spans="16:18" ht="17" x14ac:dyDescent="0.2">
      <c r="P38" s="10"/>
      <c r="Q38" s="10"/>
      <c r="R38" s="10"/>
    </row>
    <row r="39" spans="16:18" ht="17" x14ac:dyDescent="0.2">
      <c r="P39" s="10"/>
      <c r="Q39" s="10"/>
      <c r="R39" s="10"/>
    </row>
    <row r="40" spans="16:18" ht="17" x14ac:dyDescent="0.2">
      <c r="P40" s="10"/>
      <c r="Q40" s="10"/>
      <c r="R40" s="10"/>
    </row>
    <row r="41" spans="16:18" ht="17" x14ac:dyDescent="0.2">
      <c r="P41" s="10"/>
      <c r="Q41" s="10"/>
      <c r="R41" s="10"/>
    </row>
  </sheetData>
  <sheetProtection sheet="1" formatCells="0" formatColumns="0" formatRows="0"/>
  <autoFilter ref="A1:VL1" xr:uid="{00000000-0001-0000-0100-000000000000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2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sortState xmlns:xlrd2="http://schemas.microsoft.com/office/spreadsheetml/2017/richdata2" ref="A6:VL9">
      <sortCondition descending="1" ref="F1:F10"/>
    </sortState>
  </autoFilter>
  <mergeCells count="102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UE1:VL1"/>
    <mergeCell ref="S2:W2"/>
    <mergeCell ref="X2:AB2"/>
    <mergeCell ref="AC2:AG2"/>
    <mergeCell ref="AT2:AX2"/>
    <mergeCell ref="AY2:BC2"/>
    <mergeCell ref="BD2:BH2"/>
    <mergeCell ref="MI1:NP1"/>
    <mergeCell ref="NQ1:OX1"/>
    <mergeCell ref="OY1:QF1"/>
    <mergeCell ref="QG1:RN1"/>
    <mergeCell ref="RO1:SV1"/>
    <mergeCell ref="SW1:UD1"/>
    <mergeCell ref="EM1:FT1"/>
    <mergeCell ref="FU1:HB1"/>
    <mergeCell ref="HC1:IJ1"/>
    <mergeCell ref="IK1:JR1"/>
    <mergeCell ref="JS1:KZ1"/>
    <mergeCell ref="LA1:MH1"/>
    <mergeCell ref="S1:AS1"/>
    <mergeCell ref="AT1:BT1"/>
    <mergeCell ref="BU1:BV1"/>
    <mergeCell ref="BW1:DD1"/>
    <mergeCell ref="DE1:EL1"/>
    <mergeCell ref="DO2:DS2"/>
    <mergeCell ref="DT2:DX2"/>
    <mergeCell ref="EM2:EQ2"/>
    <mergeCell ref="ER2:EV2"/>
    <mergeCell ref="EW2:FA2"/>
    <mergeCell ref="FB2:FF2"/>
    <mergeCell ref="BW2:CA2"/>
    <mergeCell ref="CB2:CF2"/>
    <mergeCell ref="CG2:CK2"/>
    <mergeCell ref="CL2:CP2"/>
    <mergeCell ref="DE2:DI2"/>
    <mergeCell ref="DJ2:DN2"/>
    <mergeCell ref="HM2:HQ2"/>
    <mergeCell ref="HR2:HV2"/>
    <mergeCell ref="IK2:IO2"/>
    <mergeCell ref="IP2:IT2"/>
    <mergeCell ref="IU2:IY2"/>
    <mergeCell ref="IZ2:JD2"/>
    <mergeCell ref="FU2:FY2"/>
    <mergeCell ref="FZ2:GD2"/>
    <mergeCell ref="GE2:GI2"/>
    <mergeCell ref="GJ2:GN2"/>
    <mergeCell ref="HC2:HG2"/>
    <mergeCell ref="HH2:HL2"/>
    <mergeCell ref="LK2:LO2"/>
    <mergeCell ref="LP2:LT2"/>
    <mergeCell ref="MI2:MM2"/>
    <mergeCell ref="MN2:MR2"/>
    <mergeCell ref="MS2:MW2"/>
    <mergeCell ref="MX2:NB2"/>
    <mergeCell ref="JS2:JW2"/>
    <mergeCell ref="JX2:KB2"/>
    <mergeCell ref="KC2:KG2"/>
    <mergeCell ref="KH2:KL2"/>
    <mergeCell ref="LA2:LE2"/>
    <mergeCell ref="LF2:LJ2"/>
    <mergeCell ref="PI2:PM2"/>
    <mergeCell ref="PN2:PR2"/>
    <mergeCell ref="QG2:QK2"/>
    <mergeCell ref="QL2:QP2"/>
    <mergeCell ref="QQ2:QU2"/>
    <mergeCell ref="QV2:QZ2"/>
    <mergeCell ref="NQ2:NU2"/>
    <mergeCell ref="NV2:NZ2"/>
    <mergeCell ref="OA2:OE2"/>
    <mergeCell ref="OF2:OJ2"/>
    <mergeCell ref="OY2:PC2"/>
    <mergeCell ref="PD2:PH2"/>
    <mergeCell ref="TG2:TK2"/>
    <mergeCell ref="TL2:TP2"/>
    <mergeCell ref="UE2:UI2"/>
    <mergeCell ref="UJ2:UN2"/>
    <mergeCell ref="UO2:US2"/>
    <mergeCell ref="UT2:UX2"/>
    <mergeCell ref="RO2:RS2"/>
    <mergeCell ref="RT2:RX2"/>
    <mergeCell ref="RY2:SC2"/>
    <mergeCell ref="SD2:SH2"/>
    <mergeCell ref="SW2:TA2"/>
    <mergeCell ref="TB2:TF2"/>
  </mergeCells>
  <conditionalFormatting sqref="H1:H1048576">
    <cfRule type="containsText" dxfId="428" priority="129" operator="containsText" text="No DD">
      <formula>NOT(ISERROR(SEARCH("No DD",H1)))</formula>
    </cfRule>
    <cfRule type="containsText" dxfId="427" priority="130" operator="containsText" text="Merit">
      <formula>NOT(ISERROR(SEARCH("Merit",H1)))</formula>
    </cfRule>
    <cfRule type="containsText" dxfId="426" priority="131" operator="containsText" text="Excellence">
      <formula>NOT(ISERROR(SEARCH("Excellence",H1)))</formula>
    </cfRule>
    <cfRule type="containsText" dxfId="425" priority="132" operator="containsText" text="Worlds Team">
      <formula>NOT(ISERROR(SEARCH("Worlds Team",H1)))</formula>
    </cfRule>
    <cfRule type="containsText" dxfId="424" priority="133" operator="containsText" text="National Team">
      <formula>NOT(ISERROR(SEARCH("National Team",H1)))</formula>
    </cfRule>
  </conditionalFormatting>
  <conditionalFormatting sqref="S4:AS9">
    <cfRule type="expression" dxfId="423" priority="114" stopIfTrue="1">
      <formula>IF($AH4&lt;&gt;"",1,0)</formula>
    </cfRule>
  </conditionalFormatting>
  <conditionalFormatting sqref="AT4:BT9">
    <cfRule type="expression" dxfId="422" priority="127" stopIfTrue="1">
      <formula>IF($BI4&lt;&gt;"",1,0)</formula>
    </cfRule>
  </conditionalFormatting>
  <conditionalFormatting sqref="AO1:AO1048576 BP1:BP1048576 CW1:CW1048576 EE1:EE1048576 FM1:FM1048576 GU1:GU1048576 IC1:IC1048576 JK1:JK1048576 KS1:KS1048576 MA1:MA1048576 NI1:NI1048576 OQ1:OQ1048576 PY1:PY1048576 RG1:RG1048576 SO1:SO1048576 TW1:TW1048576 VE1:VE1048576">
    <cfRule type="cellIs" dxfId="421" priority="174819" operator="between">
      <formula>$AS$16</formula>
      <formula>$AS$17</formula>
    </cfRule>
  </conditionalFormatting>
  <conditionalFormatting sqref="A4:A1048576">
    <cfRule type="expression" dxfId="420" priority="86">
      <formula>AND(G4&lt;&gt;"",F4="")</formula>
    </cfRule>
    <cfRule type="expression" dxfId="419" priority="87" stopIfTrue="1">
      <formula>IF(A4&gt;4,1,0)</formula>
    </cfRule>
  </conditionalFormatting>
  <conditionalFormatting sqref="GT2">
    <cfRule type="cellIs" dxfId="418" priority="175892" operator="between">
      <formula>HB$19</formula>
      <formula>1000</formula>
    </cfRule>
    <cfRule type="cellIs" dxfId="417" priority="175893" operator="between">
      <formula>HB$18</formula>
      <formula>HB$19</formula>
    </cfRule>
  </conditionalFormatting>
  <conditionalFormatting sqref="K1:K1048576 M1:M1048576 O1:O1048576">
    <cfRule type="expression" dxfId="416" priority="175907" stopIfTrue="1">
      <formula>IF(K1=$AT$1,1,0)</formula>
    </cfRule>
    <cfRule type="expression" dxfId="415" priority="175908">
      <formula>IF(K1=$S$1,1,0)</formula>
    </cfRule>
  </conditionalFormatting>
  <conditionalFormatting sqref="AL1:AL1048576 BM1:BM1048576 CT1:CT1048576 EB1:EB1048576 FJ1:FJ1048576 GR1:GR1048576 HZ1:HZ1048576 JH1:JH1048576 KP1:KP1048576 LX1:LX1048576 NF1:NF1048576 ON1:ON1048576 PV1:PV1048576 RD1:RD1048576 SL1:SL1048576 TT1:TT1048576 VB1:VB1048576">
    <cfRule type="cellIs" dxfId="414" priority="128" operator="between">
      <formula>$AS$12</formula>
      <formula>$AS$13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D0E55-9665-CE43-8C62-EA4C07B34EC7}">
  <sheetPr codeName="Sheet11"/>
  <dimension ref="A1:VL37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7" max="7" width="10.83203125" customWidth="1"/>
    <col min="8" max="8" width="13.33203125" bestFit="1" customWidth="1"/>
    <col min="9" max="9" width="19" hidden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6" max="16" width="24.6640625" customWidth="1"/>
    <col min="17" max="17" width="13" customWidth="1"/>
    <col min="18" max="18" width="47" customWidth="1"/>
    <col min="19" max="34" width="10.83203125" hidden="1" customWidth="1"/>
    <col min="35" max="45" width="10.83203125" style="32" customWidth="1"/>
    <col min="46" max="61" width="10.83203125" hidden="1" customWidth="1"/>
    <col min="62" max="72" width="10.83203125" style="32" customWidth="1"/>
    <col min="73" max="74" width="12.83203125" style="32" customWidth="1"/>
    <col min="75" max="94" width="10.83203125" hidden="1" customWidth="1"/>
    <col min="95" max="107" width="10.83203125" customWidth="1"/>
    <col min="108" max="108" width="10.83203125" style="32" customWidth="1"/>
    <col min="109" max="141" width="10.83203125" hidden="1" customWidth="1"/>
    <col min="142" max="142" width="10.83203125" style="32" hidden="1" customWidth="1"/>
    <col min="143" max="175" width="10.83203125" hidden="1" customWidth="1"/>
    <col min="176" max="176" width="10.83203125" style="32" hidden="1" customWidth="1"/>
    <col min="177" max="209" width="10.83203125" hidden="1" customWidth="1"/>
    <col min="210" max="210" width="10.83203125" style="32" hidden="1" customWidth="1"/>
    <col min="211" max="243" width="10.83203125" hidden="1" customWidth="1"/>
    <col min="244" max="244" width="10.83203125" style="32" hidden="1" customWidth="1"/>
    <col min="245" max="509" width="10.83203125" hidden="1" customWidth="1"/>
    <col min="510" max="510" width="11.83203125" hidden="1" customWidth="1"/>
    <col min="511" max="511" width="12.83203125" hidden="1" customWidth="1"/>
    <col min="512" max="543" width="10.83203125" hidden="1" customWidth="1"/>
    <col min="544" max="544" width="11.83203125" hidden="1" customWidth="1"/>
    <col min="545" max="545" width="12.83203125" hidden="1" customWidth="1"/>
    <col min="546" max="577" width="10.83203125" hidden="1" customWidth="1"/>
    <col min="578" max="578" width="11.83203125" hidden="1" customWidth="1"/>
    <col min="579" max="579" width="12.83203125" hidden="1" customWidth="1"/>
    <col min="580" max="584" width="10.83203125" hidden="1" customWidth="1"/>
  </cols>
  <sheetData>
    <row r="1" spans="1:584" x14ac:dyDescent="0.2">
      <c r="A1" s="56" t="s">
        <v>1</v>
      </c>
      <c r="B1" s="56" t="s">
        <v>26</v>
      </c>
      <c r="C1" s="56" t="s">
        <v>0</v>
      </c>
      <c r="D1" s="56" t="s">
        <v>44</v>
      </c>
      <c r="E1" s="56" t="s">
        <v>2</v>
      </c>
      <c r="F1" s="60" t="s">
        <v>188</v>
      </c>
      <c r="G1" s="56" t="s">
        <v>9</v>
      </c>
      <c r="H1" s="56" t="s">
        <v>10</v>
      </c>
      <c r="I1" s="56" t="s">
        <v>61</v>
      </c>
      <c r="J1" s="57" t="s">
        <v>222</v>
      </c>
      <c r="K1" s="58" t="s">
        <v>28</v>
      </c>
      <c r="L1" s="57" t="s">
        <v>236</v>
      </c>
      <c r="M1" s="58" t="s">
        <v>28</v>
      </c>
      <c r="N1" s="57" t="s">
        <v>185</v>
      </c>
      <c r="O1" s="58" t="s">
        <v>28</v>
      </c>
      <c r="P1" s="61" t="s">
        <v>12</v>
      </c>
      <c r="Q1" s="58" t="s">
        <v>29</v>
      </c>
      <c r="R1" s="58" t="s">
        <v>28</v>
      </c>
      <c r="S1" s="52" t="s">
        <v>145</v>
      </c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52"/>
      <c r="AF1" s="52"/>
      <c r="AG1" s="52"/>
      <c r="AH1" s="52"/>
      <c r="AI1" s="52"/>
      <c r="AJ1" s="52"/>
      <c r="AK1" s="52"/>
      <c r="AL1" s="52"/>
      <c r="AM1" s="52"/>
      <c r="AN1" s="52"/>
      <c r="AO1" s="52"/>
      <c r="AP1" s="52"/>
      <c r="AQ1" s="52"/>
      <c r="AR1" s="52"/>
      <c r="AS1" s="52"/>
      <c r="AT1" s="53" t="s">
        <v>161</v>
      </c>
      <c r="AU1" s="53"/>
      <c r="AV1" s="53"/>
      <c r="AW1" s="53"/>
      <c r="AX1" s="53"/>
      <c r="AY1" s="53"/>
      <c r="AZ1" s="53"/>
      <c r="BA1" s="53"/>
      <c r="BB1" s="53"/>
      <c r="BC1" s="53"/>
      <c r="BD1" s="53"/>
      <c r="BE1" s="53"/>
      <c r="BF1" s="53"/>
      <c r="BG1" s="53"/>
      <c r="BH1" s="53"/>
      <c r="BI1" s="53"/>
      <c r="BJ1" s="53"/>
      <c r="BK1" s="53"/>
      <c r="BL1" s="53"/>
      <c r="BM1" s="53"/>
      <c r="BN1" s="53"/>
      <c r="BO1" s="53"/>
      <c r="BP1" s="53"/>
      <c r="BQ1" s="53"/>
      <c r="BR1" s="53"/>
      <c r="BS1" s="53"/>
      <c r="BT1" s="53"/>
      <c r="BU1" s="59" t="s">
        <v>12</v>
      </c>
      <c r="BV1" s="59"/>
      <c r="BW1" s="52" t="s">
        <v>182</v>
      </c>
      <c r="BX1" s="52"/>
      <c r="BY1" s="52"/>
      <c r="BZ1" s="52"/>
      <c r="CA1" s="52"/>
      <c r="CB1" s="52"/>
      <c r="CC1" s="52"/>
      <c r="CD1" s="52"/>
      <c r="CE1" s="52"/>
      <c r="CF1" s="52"/>
      <c r="CG1" s="52"/>
      <c r="CH1" s="52"/>
      <c r="CI1" s="52"/>
      <c r="CJ1" s="52"/>
      <c r="CK1" s="52"/>
      <c r="CL1" s="52"/>
      <c r="CM1" s="52"/>
      <c r="CN1" s="52"/>
      <c r="CO1" s="52"/>
      <c r="CP1" s="52"/>
      <c r="CQ1" s="52"/>
      <c r="CR1" s="52"/>
      <c r="CS1" s="52"/>
      <c r="CT1" s="52"/>
      <c r="CU1" s="52"/>
      <c r="CV1" s="52"/>
      <c r="CW1" s="52"/>
      <c r="CX1" s="52"/>
      <c r="CY1" s="52"/>
      <c r="CZ1" s="52"/>
      <c r="DA1" s="52"/>
      <c r="DB1" s="52"/>
      <c r="DC1" s="52"/>
      <c r="DD1" s="52"/>
      <c r="DE1" s="53"/>
      <c r="DF1" s="53"/>
      <c r="DG1" s="53"/>
      <c r="DH1" s="53"/>
      <c r="DI1" s="53"/>
      <c r="DJ1" s="53"/>
      <c r="DK1" s="53"/>
      <c r="DL1" s="53"/>
      <c r="DM1" s="53"/>
      <c r="DN1" s="53"/>
      <c r="DO1" s="53"/>
      <c r="DP1" s="53"/>
      <c r="DQ1" s="53"/>
      <c r="DR1" s="53"/>
      <c r="DS1" s="53"/>
      <c r="DT1" s="53"/>
      <c r="DU1" s="53"/>
      <c r="DV1" s="53"/>
      <c r="DW1" s="53"/>
      <c r="DX1" s="53"/>
      <c r="DY1" s="53"/>
      <c r="DZ1" s="53"/>
      <c r="EA1" s="53"/>
      <c r="EB1" s="53"/>
      <c r="EC1" s="53"/>
      <c r="ED1" s="53"/>
      <c r="EE1" s="53"/>
      <c r="EF1" s="53"/>
      <c r="EG1" s="53"/>
      <c r="EH1" s="53"/>
      <c r="EI1" s="53"/>
      <c r="EJ1" s="53"/>
      <c r="EK1" s="53"/>
      <c r="EL1" s="53"/>
      <c r="EM1" s="52"/>
      <c r="EN1" s="52"/>
      <c r="EO1" s="52"/>
      <c r="EP1" s="52"/>
      <c r="EQ1" s="52"/>
      <c r="ER1" s="52"/>
      <c r="ES1" s="52"/>
      <c r="ET1" s="52"/>
      <c r="EU1" s="52"/>
      <c r="EV1" s="52"/>
      <c r="EW1" s="52"/>
      <c r="EX1" s="52"/>
      <c r="EY1" s="52"/>
      <c r="EZ1" s="52"/>
      <c r="FA1" s="52"/>
      <c r="FB1" s="52"/>
      <c r="FC1" s="52"/>
      <c r="FD1" s="52"/>
      <c r="FE1" s="52"/>
      <c r="FF1" s="52"/>
      <c r="FG1" s="52"/>
      <c r="FH1" s="52"/>
      <c r="FI1" s="52"/>
      <c r="FJ1" s="52"/>
      <c r="FK1" s="52"/>
      <c r="FL1" s="52"/>
      <c r="FM1" s="52"/>
      <c r="FN1" s="52"/>
      <c r="FO1" s="52"/>
      <c r="FP1" s="52"/>
      <c r="FQ1" s="52"/>
      <c r="FR1" s="52"/>
      <c r="FS1" s="52"/>
      <c r="FT1" s="52"/>
      <c r="FU1" s="53"/>
      <c r="FV1" s="53"/>
      <c r="FW1" s="53"/>
      <c r="FX1" s="53"/>
      <c r="FY1" s="53"/>
      <c r="FZ1" s="53"/>
      <c r="GA1" s="53"/>
      <c r="GB1" s="53"/>
      <c r="GC1" s="53"/>
      <c r="GD1" s="53"/>
      <c r="GE1" s="53"/>
      <c r="GF1" s="53"/>
      <c r="GG1" s="53"/>
      <c r="GH1" s="53"/>
      <c r="GI1" s="53"/>
      <c r="GJ1" s="53"/>
      <c r="GK1" s="53"/>
      <c r="GL1" s="53"/>
      <c r="GM1" s="53"/>
      <c r="GN1" s="53"/>
      <c r="GO1" s="53"/>
      <c r="GP1" s="53"/>
      <c r="GQ1" s="53"/>
      <c r="GR1" s="53"/>
      <c r="GS1" s="53"/>
      <c r="GT1" s="53"/>
      <c r="GU1" s="53"/>
      <c r="GV1" s="53"/>
      <c r="GW1" s="53"/>
      <c r="GX1" s="53"/>
      <c r="GY1" s="53"/>
      <c r="GZ1" s="53"/>
      <c r="HA1" s="53"/>
      <c r="HB1" s="53"/>
      <c r="HC1" s="52"/>
      <c r="HD1" s="52"/>
      <c r="HE1" s="52"/>
      <c r="HF1" s="52"/>
      <c r="HG1" s="52"/>
      <c r="HH1" s="52"/>
      <c r="HI1" s="52"/>
      <c r="HJ1" s="52"/>
      <c r="HK1" s="52"/>
      <c r="HL1" s="52"/>
      <c r="HM1" s="52"/>
      <c r="HN1" s="52"/>
      <c r="HO1" s="52"/>
      <c r="HP1" s="52"/>
      <c r="HQ1" s="52"/>
      <c r="HR1" s="52"/>
      <c r="HS1" s="52"/>
      <c r="HT1" s="52"/>
      <c r="HU1" s="52"/>
      <c r="HV1" s="52"/>
      <c r="HW1" s="52"/>
      <c r="HX1" s="52"/>
      <c r="HY1" s="52"/>
      <c r="HZ1" s="52"/>
      <c r="IA1" s="52"/>
      <c r="IB1" s="52"/>
      <c r="IC1" s="52"/>
      <c r="ID1" s="52"/>
      <c r="IE1" s="52"/>
      <c r="IF1" s="52"/>
      <c r="IG1" s="52"/>
      <c r="IH1" s="52"/>
      <c r="II1" s="52"/>
      <c r="IJ1" s="52"/>
      <c r="IK1" s="53"/>
      <c r="IL1" s="53"/>
      <c r="IM1" s="53"/>
      <c r="IN1" s="53"/>
      <c r="IO1" s="53"/>
      <c r="IP1" s="53"/>
      <c r="IQ1" s="53"/>
      <c r="IR1" s="53"/>
      <c r="IS1" s="53"/>
      <c r="IT1" s="53"/>
      <c r="IU1" s="53"/>
      <c r="IV1" s="53"/>
      <c r="IW1" s="53"/>
      <c r="IX1" s="53"/>
      <c r="IY1" s="53"/>
      <c r="IZ1" s="53"/>
      <c r="JA1" s="53"/>
      <c r="JB1" s="53"/>
      <c r="JC1" s="53"/>
      <c r="JD1" s="53"/>
      <c r="JE1" s="53"/>
      <c r="JF1" s="53"/>
      <c r="JG1" s="53"/>
      <c r="JH1" s="53"/>
      <c r="JI1" s="53"/>
      <c r="JJ1" s="53"/>
      <c r="JK1" s="53"/>
      <c r="JL1" s="53"/>
      <c r="JM1" s="53"/>
      <c r="JN1" s="53"/>
      <c r="JO1" s="53"/>
      <c r="JP1" s="53"/>
      <c r="JQ1" s="53"/>
      <c r="JR1" s="53"/>
      <c r="JS1" s="52"/>
      <c r="JT1" s="52"/>
      <c r="JU1" s="52"/>
      <c r="JV1" s="52"/>
      <c r="JW1" s="52"/>
      <c r="JX1" s="52"/>
      <c r="JY1" s="52"/>
      <c r="JZ1" s="52"/>
      <c r="KA1" s="52"/>
      <c r="KB1" s="52"/>
      <c r="KC1" s="52"/>
      <c r="KD1" s="52"/>
      <c r="KE1" s="52"/>
      <c r="KF1" s="52"/>
      <c r="KG1" s="52"/>
      <c r="KH1" s="52"/>
      <c r="KI1" s="52"/>
      <c r="KJ1" s="52"/>
      <c r="KK1" s="52"/>
      <c r="KL1" s="52"/>
      <c r="KM1" s="52"/>
      <c r="KN1" s="52"/>
      <c r="KO1" s="52"/>
      <c r="KP1" s="52"/>
      <c r="KQ1" s="52"/>
      <c r="KR1" s="52"/>
      <c r="KS1" s="52"/>
      <c r="KT1" s="52"/>
      <c r="KU1" s="52"/>
      <c r="KV1" s="52"/>
      <c r="KW1" s="52"/>
      <c r="KX1" s="52"/>
      <c r="KY1" s="52"/>
      <c r="KZ1" s="52"/>
      <c r="LA1" s="53"/>
      <c r="LB1" s="53"/>
      <c r="LC1" s="53"/>
      <c r="LD1" s="53"/>
      <c r="LE1" s="53"/>
      <c r="LF1" s="53"/>
      <c r="LG1" s="53"/>
      <c r="LH1" s="53"/>
      <c r="LI1" s="53"/>
      <c r="LJ1" s="53"/>
      <c r="LK1" s="53"/>
      <c r="LL1" s="53"/>
      <c r="LM1" s="53"/>
      <c r="LN1" s="53"/>
      <c r="LO1" s="53"/>
      <c r="LP1" s="53"/>
      <c r="LQ1" s="53"/>
      <c r="LR1" s="53"/>
      <c r="LS1" s="53"/>
      <c r="LT1" s="53"/>
      <c r="LU1" s="53"/>
      <c r="LV1" s="53"/>
      <c r="LW1" s="53"/>
      <c r="LX1" s="53"/>
      <c r="LY1" s="53"/>
      <c r="LZ1" s="53"/>
      <c r="MA1" s="53"/>
      <c r="MB1" s="53"/>
      <c r="MC1" s="53"/>
      <c r="MD1" s="53"/>
      <c r="ME1" s="53"/>
      <c r="MF1" s="53"/>
      <c r="MG1" s="53"/>
      <c r="MH1" s="53"/>
      <c r="MI1" s="52"/>
      <c r="MJ1" s="52"/>
      <c r="MK1" s="52"/>
      <c r="ML1" s="52"/>
      <c r="MM1" s="52"/>
      <c r="MN1" s="52"/>
      <c r="MO1" s="52"/>
      <c r="MP1" s="52"/>
      <c r="MQ1" s="52"/>
      <c r="MR1" s="52"/>
      <c r="MS1" s="52"/>
      <c r="MT1" s="52"/>
      <c r="MU1" s="52"/>
      <c r="MV1" s="52"/>
      <c r="MW1" s="52"/>
      <c r="MX1" s="52"/>
      <c r="MY1" s="52"/>
      <c r="MZ1" s="52"/>
      <c r="NA1" s="52"/>
      <c r="NB1" s="52"/>
      <c r="NC1" s="52"/>
      <c r="ND1" s="52"/>
      <c r="NE1" s="52"/>
      <c r="NF1" s="52"/>
      <c r="NG1" s="52"/>
      <c r="NH1" s="52"/>
      <c r="NI1" s="52"/>
      <c r="NJ1" s="52"/>
      <c r="NK1" s="52"/>
      <c r="NL1" s="52"/>
      <c r="NM1" s="52"/>
      <c r="NN1" s="52"/>
      <c r="NO1" s="52"/>
      <c r="NP1" s="52"/>
      <c r="NQ1" s="53"/>
      <c r="NR1" s="53"/>
      <c r="NS1" s="53"/>
      <c r="NT1" s="53"/>
      <c r="NU1" s="53"/>
      <c r="NV1" s="53"/>
      <c r="NW1" s="53"/>
      <c r="NX1" s="53"/>
      <c r="NY1" s="53"/>
      <c r="NZ1" s="53"/>
      <c r="OA1" s="53"/>
      <c r="OB1" s="53"/>
      <c r="OC1" s="53"/>
      <c r="OD1" s="53"/>
      <c r="OE1" s="53"/>
      <c r="OF1" s="53"/>
      <c r="OG1" s="53"/>
      <c r="OH1" s="53"/>
      <c r="OI1" s="53"/>
      <c r="OJ1" s="53"/>
      <c r="OK1" s="53"/>
      <c r="OL1" s="53"/>
      <c r="OM1" s="53"/>
      <c r="ON1" s="53"/>
      <c r="OO1" s="53"/>
      <c r="OP1" s="53"/>
      <c r="OQ1" s="53"/>
      <c r="OR1" s="53"/>
      <c r="OS1" s="53"/>
      <c r="OT1" s="53"/>
      <c r="OU1" s="53"/>
      <c r="OV1" s="53"/>
      <c r="OW1" s="53"/>
      <c r="OX1" s="53"/>
      <c r="OY1" s="52"/>
      <c r="OZ1" s="52"/>
      <c r="PA1" s="52"/>
      <c r="PB1" s="52"/>
      <c r="PC1" s="52"/>
      <c r="PD1" s="52"/>
      <c r="PE1" s="52"/>
      <c r="PF1" s="52"/>
      <c r="PG1" s="52"/>
      <c r="PH1" s="52"/>
      <c r="PI1" s="52"/>
      <c r="PJ1" s="52"/>
      <c r="PK1" s="52"/>
      <c r="PL1" s="52"/>
      <c r="PM1" s="52"/>
      <c r="PN1" s="52"/>
      <c r="PO1" s="52"/>
      <c r="PP1" s="52"/>
      <c r="PQ1" s="52"/>
      <c r="PR1" s="52"/>
      <c r="PS1" s="52"/>
      <c r="PT1" s="52"/>
      <c r="PU1" s="52"/>
      <c r="PV1" s="52"/>
      <c r="PW1" s="52"/>
      <c r="PX1" s="52"/>
      <c r="PY1" s="52"/>
      <c r="PZ1" s="52"/>
      <c r="QA1" s="52"/>
      <c r="QB1" s="52"/>
      <c r="QC1" s="52"/>
      <c r="QD1" s="52"/>
      <c r="QE1" s="52"/>
      <c r="QF1" s="52"/>
      <c r="QG1" s="53"/>
      <c r="QH1" s="53"/>
      <c r="QI1" s="53"/>
      <c r="QJ1" s="53"/>
      <c r="QK1" s="53"/>
      <c r="QL1" s="53"/>
      <c r="QM1" s="53"/>
      <c r="QN1" s="53"/>
      <c r="QO1" s="53"/>
      <c r="QP1" s="53"/>
      <c r="QQ1" s="53"/>
      <c r="QR1" s="53"/>
      <c r="QS1" s="53"/>
      <c r="QT1" s="53"/>
      <c r="QU1" s="53"/>
      <c r="QV1" s="53"/>
      <c r="QW1" s="53"/>
      <c r="QX1" s="53"/>
      <c r="QY1" s="53"/>
      <c r="QZ1" s="53"/>
      <c r="RA1" s="53"/>
      <c r="RB1" s="53"/>
      <c r="RC1" s="53"/>
      <c r="RD1" s="53"/>
      <c r="RE1" s="53"/>
      <c r="RF1" s="53"/>
      <c r="RG1" s="53"/>
      <c r="RH1" s="53"/>
      <c r="RI1" s="53"/>
      <c r="RJ1" s="53"/>
      <c r="RK1" s="53"/>
      <c r="RL1" s="53"/>
      <c r="RM1" s="53"/>
      <c r="RN1" s="53"/>
      <c r="RO1" s="52"/>
      <c r="RP1" s="52"/>
      <c r="RQ1" s="52"/>
      <c r="RR1" s="52"/>
      <c r="RS1" s="52"/>
      <c r="RT1" s="52"/>
      <c r="RU1" s="52"/>
      <c r="RV1" s="52"/>
      <c r="RW1" s="52"/>
      <c r="RX1" s="52"/>
      <c r="RY1" s="52"/>
      <c r="RZ1" s="52"/>
      <c r="SA1" s="52"/>
      <c r="SB1" s="52"/>
      <c r="SC1" s="52"/>
      <c r="SD1" s="52"/>
      <c r="SE1" s="52"/>
      <c r="SF1" s="52"/>
      <c r="SG1" s="52"/>
      <c r="SH1" s="52"/>
      <c r="SI1" s="52"/>
      <c r="SJ1" s="52"/>
      <c r="SK1" s="52"/>
      <c r="SL1" s="52"/>
      <c r="SM1" s="52"/>
      <c r="SN1" s="52"/>
      <c r="SO1" s="52"/>
      <c r="SP1" s="52"/>
      <c r="SQ1" s="52"/>
      <c r="SR1" s="52"/>
      <c r="SS1" s="52"/>
      <c r="ST1" s="52"/>
      <c r="SU1" s="52"/>
      <c r="SV1" s="52"/>
      <c r="SW1" s="53"/>
      <c r="SX1" s="53"/>
      <c r="SY1" s="53"/>
      <c r="SZ1" s="53"/>
      <c r="TA1" s="53"/>
      <c r="TB1" s="53"/>
      <c r="TC1" s="53"/>
      <c r="TD1" s="53"/>
      <c r="TE1" s="53"/>
      <c r="TF1" s="53"/>
      <c r="TG1" s="53"/>
      <c r="TH1" s="53"/>
      <c r="TI1" s="53"/>
      <c r="TJ1" s="53"/>
      <c r="TK1" s="53"/>
      <c r="TL1" s="53"/>
      <c r="TM1" s="53"/>
      <c r="TN1" s="53"/>
      <c r="TO1" s="53"/>
      <c r="TP1" s="53"/>
      <c r="TQ1" s="53"/>
      <c r="TR1" s="53"/>
      <c r="TS1" s="53"/>
      <c r="TT1" s="53"/>
      <c r="TU1" s="53"/>
      <c r="TV1" s="53"/>
      <c r="TW1" s="53"/>
      <c r="TX1" s="53"/>
      <c r="TY1" s="53"/>
      <c r="TZ1" s="53"/>
      <c r="UA1" s="53"/>
      <c r="UB1" s="53"/>
      <c r="UC1" s="53"/>
      <c r="UD1" s="53"/>
      <c r="UE1" s="52"/>
      <c r="UF1" s="52"/>
      <c r="UG1" s="52"/>
      <c r="UH1" s="52"/>
      <c r="UI1" s="52"/>
      <c r="UJ1" s="52"/>
      <c r="UK1" s="52"/>
      <c r="UL1" s="52"/>
      <c r="UM1" s="52"/>
      <c r="UN1" s="52"/>
      <c r="UO1" s="52"/>
      <c r="UP1" s="52"/>
      <c r="UQ1" s="52"/>
      <c r="UR1" s="52"/>
      <c r="US1" s="52"/>
      <c r="UT1" s="52"/>
      <c r="UU1" s="52"/>
      <c r="UV1" s="52"/>
      <c r="UW1" s="52"/>
      <c r="UX1" s="52"/>
      <c r="UY1" s="52"/>
      <c r="UZ1" s="52"/>
      <c r="VA1" s="52"/>
      <c r="VB1" s="52"/>
      <c r="VC1" s="52"/>
      <c r="VD1" s="52"/>
      <c r="VE1" s="52"/>
      <c r="VF1" s="52"/>
      <c r="VG1" s="52"/>
      <c r="VH1" s="52"/>
      <c r="VI1" s="52"/>
      <c r="VJ1" s="52"/>
      <c r="VK1" s="52"/>
      <c r="VL1" s="52"/>
    </row>
    <row r="2" spans="1:584" x14ac:dyDescent="0.2">
      <c r="A2" s="56"/>
      <c r="B2" s="56"/>
      <c r="C2" s="56"/>
      <c r="D2" s="56"/>
      <c r="E2" s="56"/>
      <c r="F2" s="60"/>
      <c r="G2" s="56"/>
      <c r="H2" s="56"/>
      <c r="I2" s="56"/>
      <c r="J2" s="57"/>
      <c r="K2" s="58"/>
      <c r="L2" s="57"/>
      <c r="M2" s="58"/>
      <c r="N2" s="57"/>
      <c r="O2" s="58"/>
      <c r="P2" s="61"/>
      <c r="Q2" s="58"/>
      <c r="R2" s="58"/>
      <c r="S2" s="54" t="s">
        <v>230</v>
      </c>
      <c r="T2" s="54"/>
      <c r="U2" s="54"/>
      <c r="V2" s="54"/>
      <c r="W2" s="54"/>
      <c r="X2" s="54" t="s">
        <v>231</v>
      </c>
      <c r="Y2" s="54"/>
      <c r="Z2" s="54"/>
      <c r="AA2" s="54"/>
      <c r="AB2" s="54"/>
      <c r="AC2" s="54" t="s">
        <v>21</v>
      </c>
      <c r="AD2" s="54"/>
      <c r="AE2" s="54"/>
      <c r="AF2" s="54"/>
      <c r="AG2" s="54"/>
      <c r="AH2" s="14"/>
      <c r="AI2" s="14" t="s">
        <v>233</v>
      </c>
      <c r="AJ2" s="14" t="s">
        <v>232</v>
      </c>
      <c r="AK2" s="14" t="s">
        <v>230</v>
      </c>
      <c r="AL2" s="14" t="s">
        <v>234</v>
      </c>
      <c r="AM2" s="14" t="s">
        <v>235</v>
      </c>
      <c r="AN2" s="14" t="s">
        <v>231</v>
      </c>
      <c r="AO2" s="14" t="s">
        <v>22</v>
      </c>
      <c r="AP2" s="14" t="s">
        <v>70</v>
      </c>
      <c r="AQ2" s="14" t="s">
        <v>71</v>
      </c>
      <c r="AR2" s="14" t="s">
        <v>21</v>
      </c>
      <c r="AS2" s="14" t="s">
        <v>16</v>
      </c>
      <c r="AT2" s="55" t="s">
        <v>230</v>
      </c>
      <c r="AU2" s="55"/>
      <c r="AV2" s="55"/>
      <c r="AW2" s="55"/>
      <c r="AX2" s="55"/>
      <c r="AY2" s="55" t="s">
        <v>231</v>
      </c>
      <c r="AZ2" s="55"/>
      <c r="BA2" s="55"/>
      <c r="BB2" s="55"/>
      <c r="BC2" s="55"/>
      <c r="BD2" s="55" t="s">
        <v>21</v>
      </c>
      <c r="BE2" s="55"/>
      <c r="BF2" s="55"/>
      <c r="BG2" s="55"/>
      <c r="BH2" s="55"/>
      <c r="BI2" s="13"/>
      <c r="BJ2" s="13" t="s">
        <v>233</v>
      </c>
      <c r="BK2" s="13" t="s">
        <v>232</v>
      </c>
      <c r="BL2" s="13" t="s">
        <v>230</v>
      </c>
      <c r="BM2" s="13" t="s">
        <v>234</v>
      </c>
      <c r="BN2" s="13" t="s">
        <v>235</v>
      </c>
      <c r="BO2" s="13" t="s">
        <v>231</v>
      </c>
      <c r="BP2" s="13" t="s">
        <v>22</v>
      </c>
      <c r="BQ2" s="13" t="s">
        <v>70</v>
      </c>
      <c r="BR2" s="13" t="s">
        <v>71</v>
      </c>
      <c r="BS2" s="13" t="s">
        <v>21</v>
      </c>
      <c r="BT2" s="13" t="s">
        <v>16</v>
      </c>
      <c r="BU2" s="46" t="s">
        <v>230</v>
      </c>
      <c r="BV2" s="46" t="s">
        <v>231</v>
      </c>
      <c r="BW2" s="54" t="s">
        <v>230</v>
      </c>
      <c r="BX2" s="54"/>
      <c r="BY2" s="54"/>
      <c r="BZ2" s="54"/>
      <c r="CA2" s="54"/>
      <c r="CB2" s="54" t="s">
        <v>231</v>
      </c>
      <c r="CC2" s="54"/>
      <c r="CD2" s="54"/>
      <c r="CE2" s="54"/>
      <c r="CF2" s="54"/>
      <c r="CG2" s="54" t="s">
        <v>72</v>
      </c>
      <c r="CH2" s="54"/>
      <c r="CI2" s="54"/>
      <c r="CJ2" s="54"/>
      <c r="CK2" s="54"/>
      <c r="CL2" s="54" t="s">
        <v>21</v>
      </c>
      <c r="CM2" s="54"/>
      <c r="CN2" s="54"/>
      <c r="CO2" s="54"/>
      <c r="CP2" s="54"/>
      <c r="CQ2" s="14" t="s">
        <v>233</v>
      </c>
      <c r="CR2" s="14" t="s">
        <v>232</v>
      </c>
      <c r="CS2" s="14" t="s">
        <v>230</v>
      </c>
      <c r="CT2" s="14" t="s">
        <v>234</v>
      </c>
      <c r="CU2" s="14" t="s">
        <v>235</v>
      </c>
      <c r="CV2" s="14" t="s">
        <v>231</v>
      </c>
      <c r="CW2" s="14" t="s">
        <v>22</v>
      </c>
      <c r="CX2" s="14" t="s">
        <v>73</v>
      </c>
      <c r="CY2" s="14" t="s">
        <v>74</v>
      </c>
      <c r="CZ2" s="14" t="s">
        <v>72</v>
      </c>
      <c r="DA2" s="14" t="s">
        <v>70</v>
      </c>
      <c r="DB2" s="14" t="s">
        <v>71</v>
      </c>
      <c r="DC2" s="14" t="s">
        <v>21</v>
      </c>
      <c r="DD2" s="14" t="s">
        <v>16</v>
      </c>
      <c r="DE2" s="55" t="s">
        <v>230</v>
      </c>
      <c r="DF2" s="55"/>
      <c r="DG2" s="55"/>
      <c r="DH2" s="55"/>
      <c r="DI2" s="55"/>
      <c r="DJ2" s="55" t="s">
        <v>231</v>
      </c>
      <c r="DK2" s="55"/>
      <c r="DL2" s="55"/>
      <c r="DM2" s="55"/>
      <c r="DN2" s="55"/>
      <c r="DO2" s="55" t="s">
        <v>72</v>
      </c>
      <c r="DP2" s="55"/>
      <c r="DQ2" s="55"/>
      <c r="DR2" s="55"/>
      <c r="DS2" s="55"/>
      <c r="DT2" s="55" t="s">
        <v>21</v>
      </c>
      <c r="DU2" s="55"/>
      <c r="DV2" s="55"/>
      <c r="DW2" s="55"/>
      <c r="DX2" s="55"/>
      <c r="DY2" s="13" t="s">
        <v>233</v>
      </c>
      <c r="DZ2" s="13" t="s">
        <v>232</v>
      </c>
      <c r="EA2" s="13" t="s">
        <v>230</v>
      </c>
      <c r="EB2" s="13" t="s">
        <v>234</v>
      </c>
      <c r="EC2" s="13" t="s">
        <v>235</v>
      </c>
      <c r="ED2" s="13" t="s">
        <v>231</v>
      </c>
      <c r="EE2" s="13" t="s">
        <v>22</v>
      </c>
      <c r="EF2" s="13" t="s">
        <v>73</v>
      </c>
      <c r="EG2" s="13" t="s">
        <v>74</v>
      </c>
      <c r="EH2" s="13" t="s">
        <v>72</v>
      </c>
      <c r="EI2" s="13" t="s">
        <v>70</v>
      </c>
      <c r="EJ2" s="13" t="s">
        <v>71</v>
      </c>
      <c r="EK2" s="13" t="s">
        <v>21</v>
      </c>
      <c r="EL2" s="13" t="s">
        <v>16</v>
      </c>
      <c r="EM2" s="54" t="s">
        <v>230</v>
      </c>
      <c r="EN2" s="54"/>
      <c r="EO2" s="54"/>
      <c r="EP2" s="54"/>
      <c r="EQ2" s="54"/>
      <c r="ER2" s="54" t="s">
        <v>231</v>
      </c>
      <c r="ES2" s="54"/>
      <c r="ET2" s="54"/>
      <c r="EU2" s="54"/>
      <c r="EV2" s="54"/>
      <c r="EW2" s="54" t="s">
        <v>72</v>
      </c>
      <c r="EX2" s="54"/>
      <c r="EY2" s="54"/>
      <c r="EZ2" s="54"/>
      <c r="FA2" s="54"/>
      <c r="FB2" s="54" t="s">
        <v>21</v>
      </c>
      <c r="FC2" s="54"/>
      <c r="FD2" s="54"/>
      <c r="FE2" s="54"/>
      <c r="FF2" s="54"/>
      <c r="FG2" s="14" t="s">
        <v>233</v>
      </c>
      <c r="FH2" s="14" t="s">
        <v>232</v>
      </c>
      <c r="FI2" s="14" t="s">
        <v>230</v>
      </c>
      <c r="FJ2" s="14" t="s">
        <v>234</v>
      </c>
      <c r="FK2" s="14" t="s">
        <v>235</v>
      </c>
      <c r="FL2" s="14" t="s">
        <v>231</v>
      </c>
      <c r="FM2" s="14" t="s">
        <v>22</v>
      </c>
      <c r="FN2" s="14" t="s">
        <v>73</v>
      </c>
      <c r="FO2" s="14" t="s">
        <v>74</v>
      </c>
      <c r="FP2" s="14" t="s">
        <v>72</v>
      </c>
      <c r="FQ2" s="14" t="s">
        <v>70</v>
      </c>
      <c r="FR2" s="14" t="s">
        <v>71</v>
      </c>
      <c r="FS2" s="14" t="s">
        <v>21</v>
      </c>
      <c r="FT2" s="14" t="s">
        <v>16</v>
      </c>
      <c r="FU2" s="55" t="s">
        <v>230</v>
      </c>
      <c r="FV2" s="55"/>
      <c r="FW2" s="55"/>
      <c r="FX2" s="55"/>
      <c r="FY2" s="55"/>
      <c r="FZ2" s="55" t="s">
        <v>231</v>
      </c>
      <c r="GA2" s="55"/>
      <c r="GB2" s="55"/>
      <c r="GC2" s="55"/>
      <c r="GD2" s="55"/>
      <c r="GE2" s="55" t="s">
        <v>72</v>
      </c>
      <c r="GF2" s="55"/>
      <c r="GG2" s="55"/>
      <c r="GH2" s="55"/>
      <c r="GI2" s="55"/>
      <c r="GJ2" s="55" t="s">
        <v>21</v>
      </c>
      <c r="GK2" s="55"/>
      <c r="GL2" s="55"/>
      <c r="GM2" s="55"/>
      <c r="GN2" s="55"/>
      <c r="GO2" s="13" t="s">
        <v>233</v>
      </c>
      <c r="GP2" s="13" t="s">
        <v>232</v>
      </c>
      <c r="GQ2" s="13" t="s">
        <v>230</v>
      </c>
      <c r="GR2" s="13" t="s">
        <v>234</v>
      </c>
      <c r="GS2" s="13" t="s">
        <v>235</v>
      </c>
      <c r="GT2" s="13" t="s">
        <v>231</v>
      </c>
      <c r="GU2" s="13" t="s">
        <v>22</v>
      </c>
      <c r="GV2" s="13" t="s">
        <v>73</v>
      </c>
      <c r="GW2" s="13" t="s">
        <v>74</v>
      </c>
      <c r="GX2" s="13" t="s">
        <v>72</v>
      </c>
      <c r="GY2" s="13" t="s">
        <v>70</v>
      </c>
      <c r="GZ2" s="13" t="s">
        <v>71</v>
      </c>
      <c r="HA2" s="13" t="s">
        <v>21</v>
      </c>
      <c r="HB2" s="13" t="s">
        <v>16</v>
      </c>
      <c r="HC2" s="54" t="s">
        <v>230</v>
      </c>
      <c r="HD2" s="54"/>
      <c r="HE2" s="54"/>
      <c r="HF2" s="54"/>
      <c r="HG2" s="54"/>
      <c r="HH2" s="54" t="s">
        <v>231</v>
      </c>
      <c r="HI2" s="54"/>
      <c r="HJ2" s="54"/>
      <c r="HK2" s="54"/>
      <c r="HL2" s="54"/>
      <c r="HM2" s="54" t="s">
        <v>72</v>
      </c>
      <c r="HN2" s="54"/>
      <c r="HO2" s="54"/>
      <c r="HP2" s="54"/>
      <c r="HQ2" s="54"/>
      <c r="HR2" s="54" t="s">
        <v>21</v>
      </c>
      <c r="HS2" s="54"/>
      <c r="HT2" s="54"/>
      <c r="HU2" s="54"/>
      <c r="HV2" s="54"/>
      <c r="HW2" s="14" t="s">
        <v>233</v>
      </c>
      <c r="HX2" s="14" t="s">
        <v>232</v>
      </c>
      <c r="HY2" s="14" t="s">
        <v>230</v>
      </c>
      <c r="HZ2" s="14" t="s">
        <v>234</v>
      </c>
      <c r="IA2" s="14" t="s">
        <v>235</v>
      </c>
      <c r="IB2" s="14" t="s">
        <v>231</v>
      </c>
      <c r="IC2" s="14" t="s">
        <v>22</v>
      </c>
      <c r="ID2" s="14" t="s">
        <v>73</v>
      </c>
      <c r="IE2" s="14" t="s">
        <v>74</v>
      </c>
      <c r="IF2" s="14" t="s">
        <v>72</v>
      </c>
      <c r="IG2" s="14" t="s">
        <v>70</v>
      </c>
      <c r="IH2" s="14" t="s">
        <v>71</v>
      </c>
      <c r="II2" s="14" t="s">
        <v>21</v>
      </c>
      <c r="IJ2" s="14" t="s">
        <v>16</v>
      </c>
      <c r="IK2" s="55" t="s">
        <v>230</v>
      </c>
      <c r="IL2" s="55"/>
      <c r="IM2" s="55"/>
      <c r="IN2" s="55"/>
      <c r="IO2" s="55"/>
      <c r="IP2" s="55" t="s">
        <v>231</v>
      </c>
      <c r="IQ2" s="55"/>
      <c r="IR2" s="55"/>
      <c r="IS2" s="55"/>
      <c r="IT2" s="55"/>
      <c r="IU2" s="55" t="s">
        <v>72</v>
      </c>
      <c r="IV2" s="55"/>
      <c r="IW2" s="55"/>
      <c r="IX2" s="55"/>
      <c r="IY2" s="55"/>
      <c r="IZ2" s="55" t="s">
        <v>21</v>
      </c>
      <c r="JA2" s="55"/>
      <c r="JB2" s="55"/>
      <c r="JC2" s="55"/>
      <c r="JD2" s="55"/>
      <c r="JE2" s="13" t="s">
        <v>233</v>
      </c>
      <c r="JF2" s="13" t="s">
        <v>232</v>
      </c>
      <c r="JG2" s="13" t="s">
        <v>230</v>
      </c>
      <c r="JH2" s="13" t="s">
        <v>234</v>
      </c>
      <c r="JI2" s="13" t="s">
        <v>235</v>
      </c>
      <c r="JJ2" s="13" t="s">
        <v>231</v>
      </c>
      <c r="JK2" s="13" t="s">
        <v>22</v>
      </c>
      <c r="JL2" s="13" t="s">
        <v>73</v>
      </c>
      <c r="JM2" s="13" t="s">
        <v>74</v>
      </c>
      <c r="JN2" s="13" t="s">
        <v>72</v>
      </c>
      <c r="JO2" s="13" t="s">
        <v>70</v>
      </c>
      <c r="JP2" s="13" t="s">
        <v>71</v>
      </c>
      <c r="JQ2" s="13" t="s">
        <v>21</v>
      </c>
      <c r="JR2" s="13" t="s">
        <v>16</v>
      </c>
      <c r="JS2" s="54" t="s">
        <v>230</v>
      </c>
      <c r="JT2" s="54"/>
      <c r="JU2" s="54"/>
      <c r="JV2" s="54"/>
      <c r="JW2" s="54"/>
      <c r="JX2" s="54" t="s">
        <v>231</v>
      </c>
      <c r="JY2" s="54"/>
      <c r="JZ2" s="54"/>
      <c r="KA2" s="54"/>
      <c r="KB2" s="54"/>
      <c r="KC2" s="54" t="s">
        <v>72</v>
      </c>
      <c r="KD2" s="54"/>
      <c r="KE2" s="54"/>
      <c r="KF2" s="54"/>
      <c r="KG2" s="54"/>
      <c r="KH2" s="54" t="s">
        <v>21</v>
      </c>
      <c r="KI2" s="54"/>
      <c r="KJ2" s="54"/>
      <c r="KK2" s="54"/>
      <c r="KL2" s="54"/>
      <c r="KM2" s="14" t="s">
        <v>233</v>
      </c>
      <c r="KN2" s="14" t="s">
        <v>232</v>
      </c>
      <c r="KO2" s="14" t="s">
        <v>230</v>
      </c>
      <c r="KP2" s="14" t="s">
        <v>234</v>
      </c>
      <c r="KQ2" s="14" t="s">
        <v>235</v>
      </c>
      <c r="KR2" s="14" t="s">
        <v>231</v>
      </c>
      <c r="KS2" s="14" t="s">
        <v>22</v>
      </c>
      <c r="KT2" s="14" t="s">
        <v>73</v>
      </c>
      <c r="KU2" s="14" t="s">
        <v>74</v>
      </c>
      <c r="KV2" s="14" t="s">
        <v>72</v>
      </c>
      <c r="KW2" s="14" t="s">
        <v>70</v>
      </c>
      <c r="KX2" s="14" t="s">
        <v>71</v>
      </c>
      <c r="KY2" s="14" t="s">
        <v>21</v>
      </c>
      <c r="KZ2" s="14" t="s">
        <v>16</v>
      </c>
      <c r="LA2" s="55" t="s">
        <v>230</v>
      </c>
      <c r="LB2" s="55"/>
      <c r="LC2" s="55"/>
      <c r="LD2" s="55"/>
      <c r="LE2" s="55"/>
      <c r="LF2" s="55" t="s">
        <v>231</v>
      </c>
      <c r="LG2" s="55"/>
      <c r="LH2" s="55"/>
      <c r="LI2" s="55"/>
      <c r="LJ2" s="55"/>
      <c r="LK2" s="55" t="s">
        <v>72</v>
      </c>
      <c r="LL2" s="55"/>
      <c r="LM2" s="55"/>
      <c r="LN2" s="55"/>
      <c r="LO2" s="55"/>
      <c r="LP2" s="55" t="s">
        <v>21</v>
      </c>
      <c r="LQ2" s="55"/>
      <c r="LR2" s="55"/>
      <c r="LS2" s="55"/>
      <c r="LT2" s="55"/>
      <c r="LU2" s="13" t="s">
        <v>233</v>
      </c>
      <c r="LV2" s="13" t="s">
        <v>232</v>
      </c>
      <c r="LW2" s="13" t="s">
        <v>230</v>
      </c>
      <c r="LX2" s="13" t="s">
        <v>234</v>
      </c>
      <c r="LY2" s="13" t="s">
        <v>235</v>
      </c>
      <c r="LZ2" s="13" t="s">
        <v>231</v>
      </c>
      <c r="MA2" s="13" t="s">
        <v>22</v>
      </c>
      <c r="MB2" s="13" t="s">
        <v>73</v>
      </c>
      <c r="MC2" s="13" t="s">
        <v>74</v>
      </c>
      <c r="MD2" s="13" t="s">
        <v>72</v>
      </c>
      <c r="ME2" s="13" t="s">
        <v>70</v>
      </c>
      <c r="MF2" s="13" t="s">
        <v>71</v>
      </c>
      <c r="MG2" s="13" t="s">
        <v>21</v>
      </c>
      <c r="MH2" s="13" t="s">
        <v>16</v>
      </c>
      <c r="MI2" s="54" t="s">
        <v>230</v>
      </c>
      <c r="MJ2" s="54"/>
      <c r="MK2" s="54"/>
      <c r="ML2" s="54"/>
      <c r="MM2" s="54"/>
      <c r="MN2" s="54" t="s">
        <v>231</v>
      </c>
      <c r="MO2" s="54"/>
      <c r="MP2" s="54"/>
      <c r="MQ2" s="54"/>
      <c r="MR2" s="54"/>
      <c r="MS2" s="54" t="s">
        <v>72</v>
      </c>
      <c r="MT2" s="54"/>
      <c r="MU2" s="54"/>
      <c r="MV2" s="54"/>
      <c r="MW2" s="54"/>
      <c r="MX2" s="54" t="s">
        <v>21</v>
      </c>
      <c r="MY2" s="54"/>
      <c r="MZ2" s="54"/>
      <c r="NA2" s="54"/>
      <c r="NB2" s="54"/>
      <c r="NC2" s="14" t="s">
        <v>233</v>
      </c>
      <c r="ND2" s="14" t="s">
        <v>232</v>
      </c>
      <c r="NE2" s="14" t="s">
        <v>230</v>
      </c>
      <c r="NF2" s="14" t="s">
        <v>234</v>
      </c>
      <c r="NG2" s="14" t="s">
        <v>235</v>
      </c>
      <c r="NH2" s="14" t="s">
        <v>231</v>
      </c>
      <c r="NI2" s="14" t="s">
        <v>22</v>
      </c>
      <c r="NJ2" s="14" t="s">
        <v>73</v>
      </c>
      <c r="NK2" s="14" t="s">
        <v>74</v>
      </c>
      <c r="NL2" s="14" t="s">
        <v>72</v>
      </c>
      <c r="NM2" s="14" t="s">
        <v>70</v>
      </c>
      <c r="NN2" s="14" t="s">
        <v>71</v>
      </c>
      <c r="NO2" s="14" t="s">
        <v>21</v>
      </c>
      <c r="NP2" s="14" t="s">
        <v>16</v>
      </c>
      <c r="NQ2" s="55" t="s">
        <v>230</v>
      </c>
      <c r="NR2" s="55"/>
      <c r="NS2" s="55"/>
      <c r="NT2" s="55"/>
      <c r="NU2" s="55"/>
      <c r="NV2" s="55" t="s">
        <v>231</v>
      </c>
      <c r="NW2" s="55"/>
      <c r="NX2" s="55"/>
      <c r="NY2" s="55"/>
      <c r="NZ2" s="55"/>
      <c r="OA2" s="55" t="s">
        <v>72</v>
      </c>
      <c r="OB2" s="55"/>
      <c r="OC2" s="55"/>
      <c r="OD2" s="55"/>
      <c r="OE2" s="55"/>
      <c r="OF2" s="55" t="s">
        <v>21</v>
      </c>
      <c r="OG2" s="55"/>
      <c r="OH2" s="55"/>
      <c r="OI2" s="55"/>
      <c r="OJ2" s="55"/>
      <c r="OK2" s="13" t="s">
        <v>233</v>
      </c>
      <c r="OL2" s="13" t="s">
        <v>232</v>
      </c>
      <c r="OM2" s="13" t="s">
        <v>230</v>
      </c>
      <c r="ON2" s="13" t="s">
        <v>234</v>
      </c>
      <c r="OO2" s="13" t="s">
        <v>235</v>
      </c>
      <c r="OP2" s="13" t="s">
        <v>231</v>
      </c>
      <c r="OQ2" s="13" t="s">
        <v>22</v>
      </c>
      <c r="OR2" s="13" t="s">
        <v>73</v>
      </c>
      <c r="OS2" s="13" t="s">
        <v>74</v>
      </c>
      <c r="OT2" s="13" t="s">
        <v>72</v>
      </c>
      <c r="OU2" s="13" t="s">
        <v>70</v>
      </c>
      <c r="OV2" s="13" t="s">
        <v>71</v>
      </c>
      <c r="OW2" s="13" t="s">
        <v>21</v>
      </c>
      <c r="OX2" s="13" t="s">
        <v>16</v>
      </c>
      <c r="OY2" s="54" t="s">
        <v>230</v>
      </c>
      <c r="OZ2" s="54"/>
      <c r="PA2" s="54"/>
      <c r="PB2" s="54"/>
      <c r="PC2" s="54"/>
      <c r="PD2" s="54" t="s">
        <v>231</v>
      </c>
      <c r="PE2" s="54"/>
      <c r="PF2" s="54"/>
      <c r="PG2" s="54"/>
      <c r="PH2" s="54"/>
      <c r="PI2" s="54" t="s">
        <v>72</v>
      </c>
      <c r="PJ2" s="54"/>
      <c r="PK2" s="54"/>
      <c r="PL2" s="54"/>
      <c r="PM2" s="54"/>
      <c r="PN2" s="54" t="s">
        <v>21</v>
      </c>
      <c r="PO2" s="54"/>
      <c r="PP2" s="54"/>
      <c r="PQ2" s="54"/>
      <c r="PR2" s="54"/>
      <c r="PS2" s="14" t="s">
        <v>233</v>
      </c>
      <c r="PT2" s="14" t="s">
        <v>232</v>
      </c>
      <c r="PU2" s="14" t="s">
        <v>230</v>
      </c>
      <c r="PV2" s="14" t="s">
        <v>234</v>
      </c>
      <c r="PW2" s="14" t="s">
        <v>235</v>
      </c>
      <c r="PX2" s="14" t="s">
        <v>231</v>
      </c>
      <c r="PY2" s="14" t="s">
        <v>22</v>
      </c>
      <c r="PZ2" s="14" t="s">
        <v>73</v>
      </c>
      <c r="QA2" s="14" t="s">
        <v>74</v>
      </c>
      <c r="QB2" s="14" t="s">
        <v>72</v>
      </c>
      <c r="QC2" s="14" t="s">
        <v>70</v>
      </c>
      <c r="QD2" s="14" t="s">
        <v>71</v>
      </c>
      <c r="QE2" s="14" t="s">
        <v>21</v>
      </c>
      <c r="QF2" s="14" t="s">
        <v>16</v>
      </c>
      <c r="QG2" s="55" t="s">
        <v>230</v>
      </c>
      <c r="QH2" s="55"/>
      <c r="QI2" s="55"/>
      <c r="QJ2" s="55"/>
      <c r="QK2" s="55"/>
      <c r="QL2" s="55" t="s">
        <v>231</v>
      </c>
      <c r="QM2" s="55"/>
      <c r="QN2" s="55"/>
      <c r="QO2" s="55"/>
      <c r="QP2" s="55"/>
      <c r="QQ2" s="55" t="s">
        <v>72</v>
      </c>
      <c r="QR2" s="55"/>
      <c r="QS2" s="55"/>
      <c r="QT2" s="55"/>
      <c r="QU2" s="55"/>
      <c r="QV2" s="55" t="s">
        <v>21</v>
      </c>
      <c r="QW2" s="55"/>
      <c r="QX2" s="55"/>
      <c r="QY2" s="55"/>
      <c r="QZ2" s="55"/>
      <c r="RA2" s="13" t="s">
        <v>233</v>
      </c>
      <c r="RB2" s="13" t="s">
        <v>232</v>
      </c>
      <c r="RC2" s="13" t="s">
        <v>230</v>
      </c>
      <c r="RD2" s="13" t="s">
        <v>234</v>
      </c>
      <c r="RE2" s="13" t="s">
        <v>235</v>
      </c>
      <c r="RF2" s="13" t="s">
        <v>231</v>
      </c>
      <c r="RG2" s="13" t="s">
        <v>22</v>
      </c>
      <c r="RH2" s="13" t="s">
        <v>73</v>
      </c>
      <c r="RI2" s="13" t="s">
        <v>74</v>
      </c>
      <c r="RJ2" s="13" t="s">
        <v>72</v>
      </c>
      <c r="RK2" s="13" t="s">
        <v>70</v>
      </c>
      <c r="RL2" s="13" t="s">
        <v>71</v>
      </c>
      <c r="RM2" s="13" t="s">
        <v>21</v>
      </c>
      <c r="RN2" s="13" t="s">
        <v>16</v>
      </c>
      <c r="RO2" s="54" t="s">
        <v>230</v>
      </c>
      <c r="RP2" s="54"/>
      <c r="RQ2" s="54"/>
      <c r="RR2" s="54"/>
      <c r="RS2" s="54"/>
      <c r="RT2" s="54" t="s">
        <v>231</v>
      </c>
      <c r="RU2" s="54"/>
      <c r="RV2" s="54"/>
      <c r="RW2" s="54"/>
      <c r="RX2" s="54"/>
      <c r="RY2" s="54" t="s">
        <v>72</v>
      </c>
      <c r="RZ2" s="54"/>
      <c r="SA2" s="54"/>
      <c r="SB2" s="54"/>
      <c r="SC2" s="54"/>
      <c r="SD2" s="54" t="s">
        <v>21</v>
      </c>
      <c r="SE2" s="54"/>
      <c r="SF2" s="54"/>
      <c r="SG2" s="54"/>
      <c r="SH2" s="54"/>
      <c r="SI2" s="14" t="s">
        <v>233</v>
      </c>
      <c r="SJ2" s="14" t="s">
        <v>232</v>
      </c>
      <c r="SK2" s="14" t="s">
        <v>230</v>
      </c>
      <c r="SL2" s="14" t="s">
        <v>234</v>
      </c>
      <c r="SM2" s="14" t="s">
        <v>235</v>
      </c>
      <c r="SN2" s="14" t="s">
        <v>231</v>
      </c>
      <c r="SO2" s="14" t="s">
        <v>22</v>
      </c>
      <c r="SP2" s="14" t="s">
        <v>73</v>
      </c>
      <c r="SQ2" s="14" t="s">
        <v>74</v>
      </c>
      <c r="SR2" s="14" t="s">
        <v>72</v>
      </c>
      <c r="SS2" s="14" t="s">
        <v>70</v>
      </c>
      <c r="ST2" s="14" t="s">
        <v>71</v>
      </c>
      <c r="SU2" s="14" t="s">
        <v>21</v>
      </c>
      <c r="SV2" s="14" t="s">
        <v>16</v>
      </c>
      <c r="SW2" s="55" t="s">
        <v>230</v>
      </c>
      <c r="SX2" s="55"/>
      <c r="SY2" s="55"/>
      <c r="SZ2" s="55"/>
      <c r="TA2" s="55"/>
      <c r="TB2" s="55" t="s">
        <v>231</v>
      </c>
      <c r="TC2" s="55"/>
      <c r="TD2" s="55"/>
      <c r="TE2" s="55"/>
      <c r="TF2" s="55"/>
      <c r="TG2" s="55" t="s">
        <v>72</v>
      </c>
      <c r="TH2" s="55"/>
      <c r="TI2" s="55"/>
      <c r="TJ2" s="55"/>
      <c r="TK2" s="55"/>
      <c r="TL2" s="55" t="s">
        <v>21</v>
      </c>
      <c r="TM2" s="55"/>
      <c r="TN2" s="55"/>
      <c r="TO2" s="55"/>
      <c r="TP2" s="55"/>
      <c r="TQ2" s="13" t="s">
        <v>233</v>
      </c>
      <c r="TR2" s="13" t="s">
        <v>232</v>
      </c>
      <c r="TS2" s="13" t="s">
        <v>230</v>
      </c>
      <c r="TT2" s="13" t="s">
        <v>234</v>
      </c>
      <c r="TU2" s="13" t="s">
        <v>235</v>
      </c>
      <c r="TV2" s="13" t="s">
        <v>231</v>
      </c>
      <c r="TW2" s="13" t="s">
        <v>22</v>
      </c>
      <c r="TX2" s="13" t="s">
        <v>73</v>
      </c>
      <c r="TY2" s="13" t="s">
        <v>74</v>
      </c>
      <c r="TZ2" s="13" t="s">
        <v>72</v>
      </c>
      <c r="UA2" s="13" t="s">
        <v>70</v>
      </c>
      <c r="UB2" s="13" t="s">
        <v>71</v>
      </c>
      <c r="UC2" s="13" t="s">
        <v>21</v>
      </c>
      <c r="UD2" s="13" t="s">
        <v>16</v>
      </c>
      <c r="UE2" s="54" t="s">
        <v>230</v>
      </c>
      <c r="UF2" s="54"/>
      <c r="UG2" s="54"/>
      <c r="UH2" s="54"/>
      <c r="UI2" s="54"/>
      <c r="UJ2" s="54" t="s">
        <v>231</v>
      </c>
      <c r="UK2" s="54"/>
      <c r="UL2" s="54"/>
      <c r="UM2" s="54"/>
      <c r="UN2" s="54"/>
      <c r="UO2" s="54" t="s">
        <v>72</v>
      </c>
      <c r="UP2" s="54"/>
      <c r="UQ2" s="54"/>
      <c r="UR2" s="54"/>
      <c r="US2" s="54"/>
      <c r="UT2" s="54" t="s">
        <v>21</v>
      </c>
      <c r="UU2" s="54"/>
      <c r="UV2" s="54"/>
      <c r="UW2" s="54"/>
      <c r="UX2" s="54"/>
      <c r="UY2" s="14" t="s">
        <v>233</v>
      </c>
      <c r="UZ2" s="14" t="s">
        <v>232</v>
      </c>
      <c r="VA2" s="14" t="s">
        <v>230</v>
      </c>
      <c r="VB2" s="14" t="s">
        <v>234</v>
      </c>
      <c r="VC2" s="14" t="s">
        <v>235</v>
      </c>
      <c r="VD2" s="14" t="s">
        <v>231</v>
      </c>
      <c r="VE2" s="14" t="s">
        <v>22</v>
      </c>
      <c r="VF2" s="14" t="s">
        <v>73</v>
      </c>
      <c r="VG2" s="14" t="s">
        <v>74</v>
      </c>
      <c r="VH2" s="14" t="s">
        <v>72</v>
      </c>
      <c r="VI2" s="14" t="s">
        <v>70</v>
      </c>
      <c r="VJ2" s="14" t="s">
        <v>71</v>
      </c>
      <c r="VK2" s="14" t="s">
        <v>21</v>
      </c>
      <c r="VL2" s="14" t="s">
        <v>16</v>
      </c>
    </row>
    <row r="3" spans="1:584" x14ac:dyDescent="0.2">
      <c r="A3" s="56"/>
      <c r="B3" s="56"/>
      <c r="C3" s="56"/>
      <c r="D3" s="56"/>
      <c r="E3" s="56"/>
      <c r="F3" s="60"/>
      <c r="G3" s="56"/>
      <c r="H3" s="56"/>
      <c r="I3" s="56"/>
      <c r="J3" s="57"/>
      <c r="K3" s="58"/>
      <c r="L3" s="57"/>
      <c r="M3" s="58"/>
      <c r="N3" s="57"/>
      <c r="O3" s="58"/>
      <c r="P3" s="61"/>
      <c r="Q3" s="58"/>
      <c r="R3" s="58"/>
      <c r="S3" s="14" t="s">
        <v>13</v>
      </c>
      <c r="T3" s="14" t="s">
        <v>14</v>
      </c>
      <c r="U3" s="14" t="s">
        <v>8</v>
      </c>
      <c r="V3" s="14" t="s">
        <v>15</v>
      </c>
      <c r="W3" s="14" t="s">
        <v>27</v>
      </c>
      <c r="X3" s="14" t="s">
        <v>13</v>
      </c>
      <c r="Y3" s="14" t="s">
        <v>14</v>
      </c>
      <c r="Z3" s="14" t="s">
        <v>8</v>
      </c>
      <c r="AA3" s="14" t="s">
        <v>15</v>
      </c>
      <c r="AB3" s="14" t="s">
        <v>27</v>
      </c>
      <c r="AC3" s="14" t="s">
        <v>13</v>
      </c>
      <c r="AD3" s="14" t="s">
        <v>14</v>
      </c>
      <c r="AE3" s="14" t="s">
        <v>8</v>
      </c>
      <c r="AF3" s="14" t="s">
        <v>15</v>
      </c>
      <c r="AG3" s="14" t="s">
        <v>27</v>
      </c>
      <c r="AH3" s="14" t="s">
        <v>41</v>
      </c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3" t="s">
        <v>13</v>
      </c>
      <c r="AU3" s="13" t="s">
        <v>14</v>
      </c>
      <c r="AV3" s="13" t="s">
        <v>8</v>
      </c>
      <c r="AW3" s="13" t="s">
        <v>15</v>
      </c>
      <c r="AX3" s="13" t="s">
        <v>27</v>
      </c>
      <c r="AY3" s="13" t="s">
        <v>13</v>
      </c>
      <c r="AZ3" s="13" t="s">
        <v>14</v>
      </c>
      <c r="BA3" s="13" t="s">
        <v>8</v>
      </c>
      <c r="BB3" s="13" t="s">
        <v>15</v>
      </c>
      <c r="BC3" s="13" t="s">
        <v>27</v>
      </c>
      <c r="BD3" s="13" t="s">
        <v>13</v>
      </c>
      <c r="BE3" s="13" t="s">
        <v>14</v>
      </c>
      <c r="BF3" s="13" t="s">
        <v>8</v>
      </c>
      <c r="BG3" s="13" t="s">
        <v>15</v>
      </c>
      <c r="BH3" s="13" t="s">
        <v>27</v>
      </c>
      <c r="BI3" s="13" t="s">
        <v>41</v>
      </c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46"/>
      <c r="BV3" s="46"/>
      <c r="BW3" s="14" t="s">
        <v>13</v>
      </c>
      <c r="BX3" s="14" t="s">
        <v>14</v>
      </c>
      <c r="BY3" s="14" t="s">
        <v>8</v>
      </c>
      <c r="BZ3" s="14" t="s">
        <v>15</v>
      </c>
      <c r="CA3" s="14" t="s">
        <v>27</v>
      </c>
      <c r="CB3" s="14" t="s">
        <v>13</v>
      </c>
      <c r="CC3" s="14" t="s">
        <v>14</v>
      </c>
      <c r="CD3" s="14" t="s">
        <v>8</v>
      </c>
      <c r="CE3" s="14" t="s">
        <v>15</v>
      </c>
      <c r="CF3" s="14" t="s">
        <v>27</v>
      </c>
      <c r="CG3" s="14" t="s">
        <v>13</v>
      </c>
      <c r="CH3" s="14" t="s">
        <v>14</v>
      </c>
      <c r="CI3" s="14" t="s">
        <v>8</v>
      </c>
      <c r="CJ3" s="14" t="s">
        <v>15</v>
      </c>
      <c r="CK3" s="14" t="s">
        <v>27</v>
      </c>
      <c r="CL3" s="14" t="s">
        <v>13</v>
      </c>
      <c r="CM3" s="14" t="s">
        <v>14</v>
      </c>
      <c r="CN3" s="14" t="s">
        <v>8</v>
      </c>
      <c r="CO3" s="14" t="s">
        <v>15</v>
      </c>
      <c r="CP3" s="14" t="s">
        <v>27</v>
      </c>
      <c r="CQ3" s="6"/>
      <c r="CR3" s="6"/>
      <c r="CS3" s="6"/>
      <c r="CT3" s="6"/>
      <c r="CU3" s="6"/>
      <c r="CV3" s="6"/>
      <c r="CW3" s="6"/>
      <c r="CX3" s="6"/>
      <c r="CY3" s="6"/>
      <c r="CZ3" s="6"/>
      <c r="DA3" s="6"/>
      <c r="DB3" s="6"/>
      <c r="DC3" s="6"/>
      <c r="DD3" s="14"/>
      <c r="DE3" s="13" t="s">
        <v>13</v>
      </c>
      <c r="DF3" s="13" t="s">
        <v>14</v>
      </c>
      <c r="DG3" s="13" t="s">
        <v>8</v>
      </c>
      <c r="DH3" s="13" t="s">
        <v>15</v>
      </c>
      <c r="DI3" s="13" t="s">
        <v>27</v>
      </c>
      <c r="DJ3" s="13" t="s">
        <v>13</v>
      </c>
      <c r="DK3" s="13" t="s">
        <v>14</v>
      </c>
      <c r="DL3" s="13" t="s">
        <v>8</v>
      </c>
      <c r="DM3" s="13" t="s">
        <v>15</v>
      </c>
      <c r="DN3" s="13" t="s">
        <v>27</v>
      </c>
      <c r="DO3" s="13" t="s">
        <v>13</v>
      </c>
      <c r="DP3" s="13" t="s">
        <v>14</v>
      </c>
      <c r="DQ3" s="13" t="s">
        <v>8</v>
      </c>
      <c r="DR3" s="13" t="s">
        <v>15</v>
      </c>
      <c r="DS3" s="13" t="s">
        <v>27</v>
      </c>
      <c r="DT3" s="13" t="s">
        <v>13</v>
      </c>
      <c r="DU3" s="13" t="s">
        <v>14</v>
      </c>
      <c r="DV3" s="13" t="s">
        <v>8</v>
      </c>
      <c r="DW3" s="13" t="s">
        <v>15</v>
      </c>
      <c r="DX3" s="13" t="s">
        <v>27</v>
      </c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13"/>
      <c r="EM3" s="14" t="s">
        <v>13</v>
      </c>
      <c r="EN3" s="14" t="s">
        <v>14</v>
      </c>
      <c r="EO3" s="14" t="s">
        <v>8</v>
      </c>
      <c r="EP3" s="14" t="s">
        <v>15</v>
      </c>
      <c r="EQ3" s="14" t="s">
        <v>27</v>
      </c>
      <c r="ER3" s="14" t="s">
        <v>13</v>
      </c>
      <c r="ES3" s="14" t="s">
        <v>14</v>
      </c>
      <c r="ET3" s="14" t="s">
        <v>8</v>
      </c>
      <c r="EU3" s="14" t="s">
        <v>15</v>
      </c>
      <c r="EV3" s="14" t="s">
        <v>27</v>
      </c>
      <c r="EW3" s="14" t="s">
        <v>13</v>
      </c>
      <c r="EX3" s="14" t="s">
        <v>14</v>
      </c>
      <c r="EY3" s="14" t="s">
        <v>8</v>
      </c>
      <c r="EZ3" s="14" t="s">
        <v>15</v>
      </c>
      <c r="FA3" s="14" t="s">
        <v>27</v>
      </c>
      <c r="FB3" s="14" t="s">
        <v>13</v>
      </c>
      <c r="FC3" s="14" t="s">
        <v>14</v>
      </c>
      <c r="FD3" s="14" t="s">
        <v>8</v>
      </c>
      <c r="FE3" s="14" t="s">
        <v>15</v>
      </c>
      <c r="FF3" s="14" t="s">
        <v>27</v>
      </c>
      <c r="FG3" s="6"/>
      <c r="FH3" s="6"/>
      <c r="FI3" s="6"/>
      <c r="FJ3" s="6"/>
      <c r="FK3" s="6"/>
      <c r="FL3" s="6"/>
      <c r="FM3" s="6"/>
      <c r="FN3" s="6"/>
      <c r="FO3" s="6"/>
      <c r="FP3" s="6"/>
      <c r="FQ3" s="6"/>
      <c r="FR3" s="6"/>
      <c r="FS3" s="6"/>
      <c r="FT3" s="14"/>
      <c r="FU3" s="13" t="s">
        <v>13</v>
      </c>
      <c r="FV3" s="13" t="s">
        <v>14</v>
      </c>
      <c r="FW3" s="13" t="s">
        <v>8</v>
      </c>
      <c r="FX3" s="13" t="s">
        <v>15</v>
      </c>
      <c r="FY3" s="13" t="s">
        <v>27</v>
      </c>
      <c r="FZ3" s="13" t="s">
        <v>13</v>
      </c>
      <c r="GA3" s="13" t="s">
        <v>14</v>
      </c>
      <c r="GB3" s="13" t="s">
        <v>8</v>
      </c>
      <c r="GC3" s="13" t="s">
        <v>15</v>
      </c>
      <c r="GD3" s="13" t="s">
        <v>27</v>
      </c>
      <c r="GE3" s="13" t="s">
        <v>13</v>
      </c>
      <c r="GF3" s="13" t="s">
        <v>14</v>
      </c>
      <c r="GG3" s="13" t="s">
        <v>8</v>
      </c>
      <c r="GH3" s="13" t="s">
        <v>15</v>
      </c>
      <c r="GI3" s="13" t="s">
        <v>27</v>
      </c>
      <c r="GJ3" s="13" t="s">
        <v>13</v>
      </c>
      <c r="GK3" s="13" t="s">
        <v>14</v>
      </c>
      <c r="GL3" s="13" t="s">
        <v>8</v>
      </c>
      <c r="GM3" s="13" t="s">
        <v>15</v>
      </c>
      <c r="GN3" s="13" t="s">
        <v>27</v>
      </c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13"/>
      <c r="HC3" s="14" t="s">
        <v>13</v>
      </c>
      <c r="HD3" s="14" t="s">
        <v>14</v>
      </c>
      <c r="HE3" s="14" t="s">
        <v>8</v>
      </c>
      <c r="HF3" s="14" t="s">
        <v>15</v>
      </c>
      <c r="HG3" s="14" t="s">
        <v>27</v>
      </c>
      <c r="HH3" s="14" t="s">
        <v>13</v>
      </c>
      <c r="HI3" s="14" t="s">
        <v>14</v>
      </c>
      <c r="HJ3" s="14" t="s">
        <v>8</v>
      </c>
      <c r="HK3" s="14" t="s">
        <v>15</v>
      </c>
      <c r="HL3" s="14" t="s">
        <v>27</v>
      </c>
      <c r="HM3" s="14" t="s">
        <v>13</v>
      </c>
      <c r="HN3" s="14" t="s">
        <v>14</v>
      </c>
      <c r="HO3" s="14" t="s">
        <v>8</v>
      </c>
      <c r="HP3" s="14" t="s">
        <v>15</v>
      </c>
      <c r="HQ3" s="14" t="s">
        <v>27</v>
      </c>
      <c r="HR3" s="14" t="s">
        <v>13</v>
      </c>
      <c r="HS3" s="14" t="s">
        <v>14</v>
      </c>
      <c r="HT3" s="14" t="s">
        <v>8</v>
      </c>
      <c r="HU3" s="14" t="s">
        <v>15</v>
      </c>
      <c r="HV3" s="14" t="s">
        <v>27</v>
      </c>
      <c r="HW3" s="6"/>
      <c r="HX3" s="6"/>
      <c r="HY3" s="6"/>
      <c r="HZ3" s="6"/>
      <c r="IA3" s="6"/>
      <c r="IB3" s="6"/>
      <c r="IC3" s="6"/>
      <c r="ID3" s="6"/>
      <c r="IE3" s="6"/>
      <c r="IF3" s="6"/>
      <c r="IG3" s="6"/>
      <c r="IH3" s="6"/>
      <c r="II3" s="6"/>
      <c r="IJ3" s="14"/>
      <c r="IK3" s="13" t="s">
        <v>13</v>
      </c>
      <c r="IL3" s="13" t="s">
        <v>14</v>
      </c>
      <c r="IM3" s="13" t="s">
        <v>8</v>
      </c>
      <c r="IN3" s="13" t="s">
        <v>15</v>
      </c>
      <c r="IO3" s="13" t="s">
        <v>27</v>
      </c>
      <c r="IP3" s="13" t="s">
        <v>13</v>
      </c>
      <c r="IQ3" s="13" t="s">
        <v>14</v>
      </c>
      <c r="IR3" s="13" t="s">
        <v>8</v>
      </c>
      <c r="IS3" s="13" t="s">
        <v>15</v>
      </c>
      <c r="IT3" s="13" t="s">
        <v>27</v>
      </c>
      <c r="IU3" s="13" t="s">
        <v>13</v>
      </c>
      <c r="IV3" s="13" t="s">
        <v>14</v>
      </c>
      <c r="IW3" s="13" t="s">
        <v>8</v>
      </c>
      <c r="IX3" s="13" t="s">
        <v>15</v>
      </c>
      <c r="IY3" s="13" t="s">
        <v>27</v>
      </c>
      <c r="IZ3" s="13" t="s">
        <v>13</v>
      </c>
      <c r="JA3" s="13" t="s">
        <v>14</v>
      </c>
      <c r="JB3" s="13" t="s">
        <v>8</v>
      </c>
      <c r="JC3" s="13" t="s">
        <v>15</v>
      </c>
      <c r="JD3" s="13" t="s">
        <v>27</v>
      </c>
      <c r="JE3" s="7"/>
      <c r="JF3" s="7"/>
      <c r="JG3" s="7"/>
      <c r="JH3" s="7"/>
      <c r="JI3" s="7"/>
      <c r="JJ3" s="7"/>
      <c r="JK3" s="7"/>
      <c r="JL3" s="7"/>
      <c r="JM3" s="7"/>
      <c r="JN3" s="7"/>
      <c r="JO3" s="7"/>
      <c r="JP3" s="7"/>
      <c r="JQ3" s="7"/>
      <c r="JR3" s="7"/>
      <c r="JS3" s="14" t="s">
        <v>13</v>
      </c>
      <c r="JT3" s="14" t="s">
        <v>14</v>
      </c>
      <c r="JU3" s="14" t="s">
        <v>8</v>
      </c>
      <c r="JV3" s="14" t="s">
        <v>15</v>
      </c>
      <c r="JW3" s="14" t="s">
        <v>27</v>
      </c>
      <c r="JX3" s="14" t="s">
        <v>13</v>
      </c>
      <c r="JY3" s="14" t="s">
        <v>14</v>
      </c>
      <c r="JZ3" s="14" t="s">
        <v>8</v>
      </c>
      <c r="KA3" s="14" t="s">
        <v>15</v>
      </c>
      <c r="KB3" s="14" t="s">
        <v>27</v>
      </c>
      <c r="KC3" s="14" t="s">
        <v>13</v>
      </c>
      <c r="KD3" s="14" t="s">
        <v>14</v>
      </c>
      <c r="KE3" s="14" t="s">
        <v>8</v>
      </c>
      <c r="KF3" s="14" t="s">
        <v>15</v>
      </c>
      <c r="KG3" s="14" t="s">
        <v>27</v>
      </c>
      <c r="KH3" s="14" t="s">
        <v>13</v>
      </c>
      <c r="KI3" s="14" t="s">
        <v>14</v>
      </c>
      <c r="KJ3" s="14" t="s">
        <v>8</v>
      </c>
      <c r="KK3" s="14" t="s">
        <v>15</v>
      </c>
      <c r="KL3" s="14" t="s">
        <v>27</v>
      </c>
      <c r="KM3" s="6"/>
      <c r="KN3" s="6"/>
      <c r="KO3" s="6"/>
      <c r="KP3" s="6"/>
      <c r="KQ3" s="6"/>
      <c r="KR3" s="6"/>
      <c r="KS3" s="6"/>
      <c r="KT3" s="6"/>
      <c r="KU3" s="6"/>
      <c r="KV3" s="6"/>
      <c r="KW3" s="6"/>
      <c r="KX3" s="6"/>
      <c r="KY3" s="6"/>
      <c r="KZ3" s="6"/>
      <c r="LA3" s="13" t="s">
        <v>13</v>
      </c>
      <c r="LB3" s="13" t="s">
        <v>14</v>
      </c>
      <c r="LC3" s="13" t="s">
        <v>8</v>
      </c>
      <c r="LD3" s="13" t="s">
        <v>15</v>
      </c>
      <c r="LE3" s="13" t="s">
        <v>27</v>
      </c>
      <c r="LF3" s="13" t="s">
        <v>13</v>
      </c>
      <c r="LG3" s="13" t="s">
        <v>14</v>
      </c>
      <c r="LH3" s="13" t="s">
        <v>8</v>
      </c>
      <c r="LI3" s="13" t="s">
        <v>15</v>
      </c>
      <c r="LJ3" s="13" t="s">
        <v>27</v>
      </c>
      <c r="LK3" s="13" t="s">
        <v>13</v>
      </c>
      <c r="LL3" s="13" t="s">
        <v>14</v>
      </c>
      <c r="LM3" s="13" t="s">
        <v>8</v>
      </c>
      <c r="LN3" s="13" t="s">
        <v>15</v>
      </c>
      <c r="LO3" s="13" t="s">
        <v>27</v>
      </c>
      <c r="LP3" s="13" t="s">
        <v>13</v>
      </c>
      <c r="LQ3" s="13" t="s">
        <v>14</v>
      </c>
      <c r="LR3" s="13" t="s">
        <v>8</v>
      </c>
      <c r="LS3" s="13" t="s">
        <v>15</v>
      </c>
      <c r="LT3" s="13" t="s">
        <v>27</v>
      </c>
      <c r="LU3" s="7"/>
      <c r="LV3" s="7"/>
      <c r="LW3" s="7"/>
      <c r="LX3" s="7"/>
      <c r="LY3" s="7"/>
      <c r="LZ3" s="7"/>
      <c r="MA3" s="7"/>
      <c r="MB3" s="7"/>
      <c r="MC3" s="7"/>
      <c r="MD3" s="7"/>
      <c r="ME3" s="7"/>
      <c r="MF3" s="7"/>
      <c r="MG3" s="7"/>
      <c r="MH3" s="7"/>
      <c r="MI3" s="14" t="s">
        <v>13</v>
      </c>
      <c r="MJ3" s="14" t="s">
        <v>14</v>
      </c>
      <c r="MK3" s="14" t="s">
        <v>8</v>
      </c>
      <c r="ML3" s="14" t="s">
        <v>15</v>
      </c>
      <c r="MM3" s="14" t="s">
        <v>27</v>
      </c>
      <c r="MN3" s="14" t="s">
        <v>13</v>
      </c>
      <c r="MO3" s="14" t="s">
        <v>14</v>
      </c>
      <c r="MP3" s="14" t="s">
        <v>8</v>
      </c>
      <c r="MQ3" s="14" t="s">
        <v>15</v>
      </c>
      <c r="MR3" s="14" t="s">
        <v>27</v>
      </c>
      <c r="MS3" s="14" t="s">
        <v>13</v>
      </c>
      <c r="MT3" s="14" t="s">
        <v>14</v>
      </c>
      <c r="MU3" s="14" t="s">
        <v>8</v>
      </c>
      <c r="MV3" s="14" t="s">
        <v>15</v>
      </c>
      <c r="MW3" s="14" t="s">
        <v>27</v>
      </c>
      <c r="MX3" s="14" t="s">
        <v>13</v>
      </c>
      <c r="MY3" s="14" t="s">
        <v>14</v>
      </c>
      <c r="MZ3" s="14" t="s">
        <v>8</v>
      </c>
      <c r="NA3" s="14" t="s">
        <v>15</v>
      </c>
      <c r="NB3" s="14" t="s">
        <v>27</v>
      </c>
      <c r="NC3" s="6"/>
      <c r="ND3" s="6"/>
      <c r="NE3" s="6"/>
      <c r="NF3" s="6"/>
      <c r="NG3" s="6"/>
      <c r="NH3" s="6"/>
      <c r="NI3" s="6"/>
      <c r="NJ3" s="6"/>
      <c r="NK3" s="6"/>
      <c r="NL3" s="6"/>
      <c r="NM3" s="6"/>
      <c r="NN3" s="6"/>
      <c r="NO3" s="6"/>
      <c r="NP3" s="6"/>
      <c r="NQ3" s="13" t="s">
        <v>13</v>
      </c>
      <c r="NR3" s="13" t="s">
        <v>14</v>
      </c>
      <c r="NS3" s="13" t="s">
        <v>8</v>
      </c>
      <c r="NT3" s="13" t="s">
        <v>15</v>
      </c>
      <c r="NU3" s="13" t="s">
        <v>27</v>
      </c>
      <c r="NV3" s="13" t="s">
        <v>13</v>
      </c>
      <c r="NW3" s="13" t="s">
        <v>14</v>
      </c>
      <c r="NX3" s="13" t="s">
        <v>8</v>
      </c>
      <c r="NY3" s="13" t="s">
        <v>15</v>
      </c>
      <c r="NZ3" s="13" t="s">
        <v>27</v>
      </c>
      <c r="OA3" s="13" t="s">
        <v>13</v>
      </c>
      <c r="OB3" s="13" t="s">
        <v>14</v>
      </c>
      <c r="OC3" s="13" t="s">
        <v>8</v>
      </c>
      <c r="OD3" s="13" t="s">
        <v>15</v>
      </c>
      <c r="OE3" s="13" t="s">
        <v>27</v>
      </c>
      <c r="OF3" s="13" t="s">
        <v>13</v>
      </c>
      <c r="OG3" s="13" t="s">
        <v>14</v>
      </c>
      <c r="OH3" s="13" t="s">
        <v>8</v>
      </c>
      <c r="OI3" s="13" t="s">
        <v>15</v>
      </c>
      <c r="OJ3" s="13" t="s">
        <v>27</v>
      </c>
      <c r="OK3" s="7"/>
      <c r="OL3" s="7"/>
      <c r="OM3" s="7"/>
      <c r="ON3" s="7"/>
      <c r="OO3" s="7"/>
      <c r="OP3" s="7"/>
      <c r="OQ3" s="7"/>
      <c r="OR3" s="7"/>
      <c r="OS3" s="7"/>
      <c r="OT3" s="7"/>
      <c r="OU3" s="7"/>
      <c r="OV3" s="7"/>
      <c r="OW3" s="7"/>
      <c r="OX3" s="7"/>
      <c r="OY3" s="14" t="s">
        <v>13</v>
      </c>
      <c r="OZ3" s="14" t="s">
        <v>14</v>
      </c>
      <c r="PA3" s="14" t="s">
        <v>8</v>
      </c>
      <c r="PB3" s="14" t="s">
        <v>15</v>
      </c>
      <c r="PC3" s="14" t="s">
        <v>27</v>
      </c>
      <c r="PD3" s="14" t="s">
        <v>13</v>
      </c>
      <c r="PE3" s="14" t="s">
        <v>14</v>
      </c>
      <c r="PF3" s="14" t="s">
        <v>8</v>
      </c>
      <c r="PG3" s="14" t="s">
        <v>15</v>
      </c>
      <c r="PH3" s="14" t="s">
        <v>27</v>
      </c>
      <c r="PI3" s="14" t="s">
        <v>13</v>
      </c>
      <c r="PJ3" s="14" t="s">
        <v>14</v>
      </c>
      <c r="PK3" s="14" t="s">
        <v>8</v>
      </c>
      <c r="PL3" s="14" t="s">
        <v>15</v>
      </c>
      <c r="PM3" s="14" t="s">
        <v>27</v>
      </c>
      <c r="PN3" s="14" t="s">
        <v>13</v>
      </c>
      <c r="PO3" s="14" t="s">
        <v>14</v>
      </c>
      <c r="PP3" s="14" t="s">
        <v>8</v>
      </c>
      <c r="PQ3" s="14" t="s">
        <v>15</v>
      </c>
      <c r="PR3" s="14" t="s">
        <v>27</v>
      </c>
      <c r="PS3" s="6"/>
      <c r="PT3" s="6"/>
      <c r="PU3" s="6"/>
      <c r="PV3" s="6"/>
      <c r="PW3" s="6"/>
      <c r="PX3" s="6"/>
      <c r="PY3" s="6"/>
      <c r="PZ3" s="6"/>
      <c r="QA3" s="6"/>
      <c r="QB3" s="6"/>
      <c r="QC3" s="6"/>
      <c r="QD3" s="6"/>
      <c r="QE3" s="6"/>
      <c r="QF3" s="6"/>
      <c r="QG3" s="13" t="s">
        <v>13</v>
      </c>
      <c r="QH3" s="13" t="s">
        <v>14</v>
      </c>
      <c r="QI3" s="13" t="s">
        <v>8</v>
      </c>
      <c r="QJ3" s="13" t="s">
        <v>15</v>
      </c>
      <c r="QK3" s="13" t="s">
        <v>27</v>
      </c>
      <c r="QL3" s="13" t="s">
        <v>13</v>
      </c>
      <c r="QM3" s="13" t="s">
        <v>14</v>
      </c>
      <c r="QN3" s="13" t="s">
        <v>8</v>
      </c>
      <c r="QO3" s="13" t="s">
        <v>15</v>
      </c>
      <c r="QP3" s="13" t="s">
        <v>27</v>
      </c>
      <c r="QQ3" s="13" t="s">
        <v>13</v>
      </c>
      <c r="QR3" s="13" t="s">
        <v>14</v>
      </c>
      <c r="QS3" s="13" t="s">
        <v>8</v>
      </c>
      <c r="QT3" s="13" t="s">
        <v>15</v>
      </c>
      <c r="QU3" s="13" t="s">
        <v>27</v>
      </c>
      <c r="QV3" s="13" t="s">
        <v>13</v>
      </c>
      <c r="QW3" s="13" t="s">
        <v>14</v>
      </c>
      <c r="QX3" s="13" t="s">
        <v>8</v>
      </c>
      <c r="QY3" s="13" t="s">
        <v>15</v>
      </c>
      <c r="QZ3" s="13" t="s">
        <v>27</v>
      </c>
      <c r="RA3" s="7"/>
      <c r="RB3" s="7"/>
      <c r="RC3" s="7"/>
      <c r="RD3" s="7"/>
      <c r="RE3" s="7"/>
      <c r="RF3" s="7"/>
      <c r="RG3" s="7"/>
      <c r="RH3" s="7"/>
      <c r="RI3" s="7"/>
      <c r="RJ3" s="7"/>
      <c r="RK3" s="7"/>
      <c r="RL3" s="7"/>
      <c r="RM3" s="7"/>
      <c r="RN3" s="7"/>
      <c r="RO3" s="14" t="s">
        <v>13</v>
      </c>
      <c r="RP3" s="14" t="s">
        <v>14</v>
      </c>
      <c r="RQ3" s="14" t="s">
        <v>8</v>
      </c>
      <c r="RR3" s="14" t="s">
        <v>15</v>
      </c>
      <c r="RS3" s="14" t="s">
        <v>27</v>
      </c>
      <c r="RT3" s="14" t="s">
        <v>13</v>
      </c>
      <c r="RU3" s="14" t="s">
        <v>14</v>
      </c>
      <c r="RV3" s="14" t="s">
        <v>8</v>
      </c>
      <c r="RW3" s="14" t="s">
        <v>15</v>
      </c>
      <c r="RX3" s="14" t="s">
        <v>27</v>
      </c>
      <c r="RY3" s="14" t="s">
        <v>13</v>
      </c>
      <c r="RZ3" s="14" t="s">
        <v>14</v>
      </c>
      <c r="SA3" s="14" t="s">
        <v>8</v>
      </c>
      <c r="SB3" s="14" t="s">
        <v>15</v>
      </c>
      <c r="SC3" s="14" t="s">
        <v>27</v>
      </c>
      <c r="SD3" s="14" t="s">
        <v>13</v>
      </c>
      <c r="SE3" s="14" t="s">
        <v>14</v>
      </c>
      <c r="SF3" s="14" t="s">
        <v>8</v>
      </c>
      <c r="SG3" s="14" t="s">
        <v>15</v>
      </c>
      <c r="SH3" s="14" t="s">
        <v>27</v>
      </c>
      <c r="SI3" s="6"/>
      <c r="SJ3" s="6"/>
      <c r="SK3" s="6"/>
      <c r="SL3" s="6"/>
      <c r="SM3" s="6"/>
      <c r="SN3" s="6"/>
      <c r="SO3" s="6"/>
      <c r="SP3" s="6"/>
      <c r="SQ3" s="6"/>
      <c r="SR3" s="6"/>
      <c r="SS3" s="6"/>
      <c r="ST3" s="6"/>
      <c r="SU3" s="6"/>
      <c r="SV3" s="6"/>
      <c r="SW3" s="13" t="s">
        <v>13</v>
      </c>
      <c r="SX3" s="13" t="s">
        <v>14</v>
      </c>
      <c r="SY3" s="13" t="s">
        <v>8</v>
      </c>
      <c r="SZ3" s="13" t="s">
        <v>15</v>
      </c>
      <c r="TA3" s="13" t="s">
        <v>27</v>
      </c>
      <c r="TB3" s="13" t="s">
        <v>13</v>
      </c>
      <c r="TC3" s="13" t="s">
        <v>14</v>
      </c>
      <c r="TD3" s="13" t="s">
        <v>8</v>
      </c>
      <c r="TE3" s="13" t="s">
        <v>15</v>
      </c>
      <c r="TF3" s="13" t="s">
        <v>27</v>
      </c>
      <c r="TG3" s="13" t="s">
        <v>13</v>
      </c>
      <c r="TH3" s="13" t="s">
        <v>14</v>
      </c>
      <c r="TI3" s="13" t="s">
        <v>8</v>
      </c>
      <c r="TJ3" s="13" t="s">
        <v>15</v>
      </c>
      <c r="TK3" s="13" t="s">
        <v>27</v>
      </c>
      <c r="TL3" s="13" t="s">
        <v>13</v>
      </c>
      <c r="TM3" s="13" t="s">
        <v>14</v>
      </c>
      <c r="TN3" s="13" t="s">
        <v>8</v>
      </c>
      <c r="TO3" s="13" t="s">
        <v>15</v>
      </c>
      <c r="TP3" s="13" t="s">
        <v>27</v>
      </c>
      <c r="TQ3" s="7"/>
      <c r="TR3" s="7"/>
      <c r="TS3" s="7"/>
      <c r="TT3" s="7"/>
      <c r="TU3" s="7"/>
      <c r="TV3" s="7"/>
      <c r="TW3" s="7"/>
      <c r="TX3" s="7"/>
      <c r="TY3" s="7"/>
      <c r="TZ3" s="7"/>
      <c r="UA3" s="7"/>
      <c r="UB3" s="7"/>
      <c r="UC3" s="7"/>
      <c r="UD3" s="7"/>
      <c r="UE3" s="14" t="s">
        <v>13</v>
      </c>
      <c r="UF3" s="14" t="s">
        <v>14</v>
      </c>
      <c r="UG3" s="14" t="s">
        <v>8</v>
      </c>
      <c r="UH3" s="14" t="s">
        <v>15</v>
      </c>
      <c r="UI3" s="14" t="s">
        <v>27</v>
      </c>
      <c r="UJ3" s="14" t="s">
        <v>13</v>
      </c>
      <c r="UK3" s="14" t="s">
        <v>14</v>
      </c>
      <c r="UL3" s="14" t="s">
        <v>8</v>
      </c>
      <c r="UM3" s="14" t="s">
        <v>15</v>
      </c>
      <c r="UN3" s="14" t="s">
        <v>27</v>
      </c>
      <c r="UO3" s="14" t="s">
        <v>13</v>
      </c>
      <c r="UP3" s="14" t="s">
        <v>14</v>
      </c>
      <c r="UQ3" s="14" t="s">
        <v>8</v>
      </c>
      <c r="UR3" s="14" t="s">
        <v>15</v>
      </c>
      <c r="US3" s="14" t="s">
        <v>27</v>
      </c>
      <c r="UT3" s="14" t="s">
        <v>13</v>
      </c>
      <c r="UU3" s="14" t="s">
        <v>14</v>
      </c>
      <c r="UV3" s="14" t="s">
        <v>8</v>
      </c>
      <c r="UW3" s="14" t="s">
        <v>15</v>
      </c>
      <c r="UX3" s="14" t="s">
        <v>27</v>
      </c>
      <c r="UY3" s="6"/>
      <c r="UZ3" s="6"/>
      <c r="VA3" s="6"/>
      <c r="VB3" s="6"/>
      <c r="VC3" s="6"/>
      <c r="VD3" s="6"/>
      <c r="VE3" s="6"/>
      <c r="VF3" s="6"/>
      <c r="VG3" s="6"/>
      <c r="VH3" s="6"/>
      <c r="VI3" s="6"/>
      <c r="VJ3" s="6"/>
      <c r="VK3" s="6"/>
      <c r="VL3" s="6"/>
    </row>
    <row r="4" spans="1:584" x14ac:dyDescent="0.2">
      <c r="A4" s="4" t="str" cm="1">
        <f t="array" ref="A4">IF(AND(H4&lt;&gt;"",H4&lt;&gt;"No DD"),SUMPRODUCT((H$4:H$6&lt;&gt;"")*(H$4:H$6&lt;&gt;"No DD")*(E$4:E$6&gt;E4))+1,IF(H4="No DD",SUMPRODUCT((H$4:H$6="No DD")*(E$4:E$6&gt;E4))+1+SUMPRODUCT((H$4:H$6&lt;&gt;"")*(H$4:H$6&lt;&gt;"No DD")),""))</f>
        <v/>
      </c>
      <c r="B4" s="5" t="s">
        <v>237</v>
      </c>
      <c r="C4" s="4" t="s">
        <v>3</v>
      </c>
      <c r="D4" s="4">
        <v>2010</v>
      </c>
      <c r="E4" s="9">
        <f>J4+L4+N4+P4+(J4+L4+N4)*0.0000001+MAX(J4,L4)*0.0000000000001</f>
        <v>140.08001397100497</v>
      </c>
      <c r="F4" s="3" t="str">
        <f>IF(OR(AND(AO4&gt;=AS$12,AL4&gt;=AS$8,AO4&lt;&gt;"",AH4=""),AND(BP4&gt;=BT$12,BM4&gt;=BT$8,BP4&lt;&gt;"",BI4=""),AND(CW4&gt;=DD$12,CT4&gt;=DD$8,CW4&lt;&gt;""),AND(EE4&gt;=EL$12,EB4&gt;=EL$8,EE4&lt;&gt;""),AND(FM4&gt;=FT$12,FJ4&gt;=FT$8,FM4&lt;&gt;""),AND(GU4&gt;=HB$12,GR4&gt;=HB$8,GU4&lt;&gt;""),AND(IC4&gt;=IJ$12,HZ4&gt;=IJ$8,IC4&lt;&gt;""),AND(JK4&gt;=JR$12,JH4&gt;=JR$8,JK4&lt;&gt;""),AND(KS4&gt;=KZ$12,KP4&gt;=KZ$8,KS4&lt;&gt;""),AND(MA4&gt;=MH$12,LX4&gt;=MH$8,MA4&lt;&gt;""),AND(NI4&gt;=NP$12,NF4&gt;=NP$8,NI4&lt;&gt;""),AND(OQ4&gt;=OX$12,ON4&gt;=OX$8,OQ4&lt;&gt;""),AND(PY4&gt;=QF$12,PV4&gt;=QF$8,PY4&lt;&gt;""),AND(RG4&gt;=RN$12,RD4&gt;=RN$8,RG4&lt;&gt;""),AND(SO4&gt;=SV$12,SL4&gt;=SV$8,SO4&lt;&gt;""),AND(TW4&gt;=UD$12,TT4&gt;=UD$8,TW4&lt;&gt;""),AND(VE4&gt;=VL$12,VB4&gt;=VL$8,VE4&lt;&gt;"")),"P","")</f>
        <v/>
      </c>
      <c r="G4" s="3" t="str">
        <f>IF(OR(AND(AO4&gt;=AS$12,AO4&lt;&gt;"",AH4=""),AND(BP4&gt;=BT$12,BP4&lt;&gt;"",BI4=""),AND(CW4&gt;=DD$12,CW4&lt;&gt;""),AND(EE4&gt;=EL$12,EE4&lt;&gt;""),AND(FM4&gt;=FT$12,FM4&lt;&gt;""),AND(GU4&gt;=HB$12,GU4&lt;&gt;""),AND(IC4&gt;=IJ$12,IC4&lt;&gt;""),AND(JK4&gt;=JR$12,JK4&lt;&gt;""),AND(KS4&gt;=KZ$12,KS4&lt;&gt;""),AND(MA4&gt;=MH$12,MA4&lt;&gt;""),AND(NI4&gt;=NP$12,NI4&lt;&gt;""),AND(OQ4&gt;=OX$12,OQ4&lt;&gt;""),AND(PY4&gt;=QF$12,PY4&lt;&gt;""),AND(RG4&gt;=RN$12,RG4&lt;&gt;""),AND(SO4&gt;=SV$12,SO4&lt;&gt;""),AND(TW4&gt;=UD$12,TW4&lt;&gt;""),AND(VE4&gt;=VL$12,VE4&lt;&gt;"")),"P","")</f>
        <v/>
      </c>
      <c r="H4" s="32" t="str">
        <f>IF(AND(G4="P",F4=""),"No DD",IF(F4="P","National Team",""))</f>
        <v/>
      </c>
      <c r="I4" s="3"/>
      <c r="J4" s="8">
        <f>IF(MAX(AK4,BL4)&gt;0,MAX(AK4,BL4),0)</f>
        <v>40.019999999999996</v>
      </c>
      <c r="K4" s="8" t="str">
        <f>IF(J4="","",IF(J4=BL4,$AT$1,IF(J4=AK4,$S$1,"")))</f>
        <v>2025 Nationals</v>
      </c>
      <c r="L4" s="8">
        <f>IF(MAX(AN4,BO4)&gt;0,MAX(AN4,BO4),0)</f>
        <v>49.75</v>
      </c>
      <c r="M4" s="8" t="str">
        <f>IF(L4="","",IF(L4=BO4,$AT$1,IF(L4=AN4,$S$1,"")))</f>
        <v>2025 3rd Domestic Trial</v>
      </c>
      <c r="N4" s="8">
        <f>IF(L4=AN4,MAX(AR4,BO4,BS4),MAX(AN4,AR4,BS4))</f>
        <v>49.940000000000005</v>
      </c>
      <c r="O4" s="8" t="str">
        <f>IF(L4="","",IF(OR(L4=BO4,L4=BS4),$AT$1,IF(OR(L4=AN4,L4=AR4),$S$1,"")))</f>
        <v>2025 3rd Domestic Trial</v>
      </c>
      <c r="P4" s="8">
        <f>IF(MAX(BU4,BV4)&gt;0,MAX(BU4,BV4),0)</f>
        <v>0.37000000000000455</v>
      </c>
      <c r="Q4" s="11" t="str">
        <f>IF(P4=0,"",IF(P4=BU4,"("&amp;BU$2&amp;")",IF(P4=BV4,"("&amp;BV$2&amp;")")))</f>
        <v>(Compulsory)</v>
      </c>
      <c r="R4" s="8" t="b">
        <f>IF(P4=0,"",IF(P4=BU4,IF(P4+MIN(L4,N4)=MAX(VA4,0),$UE$1,IF(P4+MIN(L4,N4)=MAX(TS4,0),$SW$1,IF(P4+MIN(L4,N4)=MAX(SK4,0),$RO$1,IF(P4+MIN(L4,N4)=MAX(RC4,0),$QG$1,IF(P4+MIN(L4,N4)=MAX(PU4,0),$OY$1,IF(P4+MIN(L4,N4)=MAX(OM4,0),$NQ$1,IF(P4+MIN(L4,N4)=MAX(NE4,0),$MI$1,IF(P4+MIN(L4,N4)=MAX(LW4,0),$LA$1,IF(P4+MIN(L4,N4)=MAX(KO4,0),$JS$1,IF(P4+MIN(L4,N4)=MAX(JG4,0),$IK$1,IF(P4+MIN(L4,N4)=MAX(HY4,0),$HC$1,IF(P4+MIN(L4,N4)=MAX(GQ4,0),$FU$1,IF(P4+MIN(L4,N4)=MAX(FI4,0),$EM$1,IF(P4+MIN(L4,N4)=MAX(EA4,0),$DE$1,IF(P4+MIN(L4,N4)=MAX(CS4,0),$BW$1))))))))))))))),IF(P4+MIN(L4,N4)=MAX(VD4,VH4,VK4),$UE$1,IF(P4+MIN(L4,N4)=MAX(TV4,TZ4,UC4),$SW$1,IF(P4+MIN(L4,N4)=MAX(SN4,SR4,SU4),$RO$1,IF(P4+MIN(L4,N4)=MAX(RF4,RJ4,RM4),$QG$1,IF(P4+MIN(L4,N4)=MAX(PX4,QB4,QE4),$OY$1,IF(P4+MIN(L4,N4)=MAX(OP4,OT4,OW4),$NQ$1,IF(P4+MIN(L4,N4)=MAX(NH4,NL4,NO4),$MI$1,IF(P4+MIN(L4,N4)=MAX(LZ4,MD4,MG4),$LA$1,IF(P4+MIN(L4,N4)=MAX(KR4,KV4,KY4),$JS$1,IF(P4+MIN(L4,N4)=MAX(JJ4,JN4,JQ4),$IK$1,IF(P4+MIN(L4,N4)=MAX(IB4,IF4,II4),$HC$1,IF(P4+MIN(L4,N4)=MAX(GT4,GX4,HA4),$FU$1,IF(P4+MIN(L4,N4)=MAX(FL4,FP4,FS4),$EM$1,IF(P4+MIN(L4,N4)=MAX(ED4,EH4,EK4),$DE$1,IF(P4+MIN(L4,N4)=MAX(CV4,CZ4,DC4),$BW$1)))))))))))))))))</f>
        <v>0</v>
      </c>
      <c r="S4" s="18">
        <v>16.2</v>
      </c>
      <c r="T4" s="18">
        <v>9.6</v>
      </c>
      <c r="U4" s="18">
        <v>0</v>
      </c>
      <c r="V4" s="18">
        <v>14.22</v>
      </c>
      <c r="W4" s="18">
        <v>0</v>
      </c>
      <c r="X4" s="18">
        <v>14.6</v>
      </c>
      <c r="Y4" s="18">
        <v>9.5</v>
      </c>
      <c r="Z4" s="18">
        <v>10.9</v>
      </c>
      <c r="AA4" s="18">
        <v>14.52</v>
      </c>
      <c r="AB4" s="18">
        <v>0</v>
      </c>
      <c r="AC4" s="18">
        <v>15.4</v>
      </c>
      <c r="AD4" s="18">
        <v>9.3000000000000007</v>
      </c>
      <c r="AE4" s="18">
        <v>10.9</v>
      </c>
      <c r="AF4" s="18">
        <v>14</v>
      </c>
      <c r="AG4" s="18">
        <v>0</v>
      </c>
      <c r="AH4" s="23"/>
      <c r="AI4" s="34" t="str">
        <f>IF(U4&gt;0,U4,"")</f>
        <v/>
      </c>
      <c r="AJ4" s="34">
        <f>IF(V4&gt;0,V4,"")</f>
        <v>14.22</v>
      </c>
      <c r="AK4" s="36">
        <f>IF(SUM(S4:V4)-W4&gt;0,SUM(S4:V4)-W4,"")</f>
        <v>40.019999999999996</v>
      </c>
      <c r="AL4" s="36">
        <f>IF(Z4&gt;0,Z4,"")</f>
        <v>10.9</v>
      </c>
      <c r="AM4" s="36">
        <f>IF(AA4&gt;0,AA4,"")</f>
        <v>14.52</v>
      </c>
      <c r="AN4" s="36">
        <f>IF(SUM(X4:AA4)-AB4&gt;0,SUM(X4:AA4)-AB4,"")</f>
        <v>49.519999999999996</v>
      </c>
      <c r="AO4" s="36">
        <f>IF(AK4="","",SUM(AK4,AN4))</f>
        <v>89.539999999999992</v>
      </c>
      <c r="AP4" s="36">
        <f>IF(AE4&gt;0,AE4,"")</f>
        <v>10.9</v>
      </c>
      <c r="AQ4" s="36">
        <f>IF(AF4&gt;0,AF4,"")</f>
        <v>14</v>
      </c>
      <c r="AR4" s="36">
        <f>IF(SUM(AC4:AF4)-AG4&gt;0,SUM(AC4:AF4)-AG4,"")</f>
        <v>49.6</v>
      </c>
      <c r="AS4" s="36">
        <f>IF(SUM(AO4,AR4)&gt;0,SUM(AO4,AR4),"")</f>
        <v>139.13999999999999</v>
      </c>
      <c r="AT4" s="22">
        <v>15.9</v>
      </c>
      <c r="AU4" s="22">
        <v>9.6</v>
      </c>
      <c r="AV4" s="22">
        <v>0</v>
      </c>
      <c r="AW4" s="22">
        <v>14.42</v>
      </c>
      <c r="AX4" s="22">
        <v>0</v>
      </c>
      <c r="AY4" s="22">
        <v>14.5</v>
      </c>
      <c r="AZ4" s="22">
        <v>9.1</v>
      </c>
      <c r="BA4" s="22">
        <v>11.6</v>
      </c>
      <c r="BB4" s="22">
        <v>14.55</v>
      </c>
      <c r="BC4" s="22">
        <v>0</v>
      </c>
      <c r="BD4" s="22">
        <v>14.6</v>
      </c>
      <c r="BE4" s="22">
        <v>9</v>
      </c>
      <c r="BF4" s="22">
        <v>11.6</v>
      </c>
      <c r="BG4" s="22">
        <v>14.74</v>
      </c>
      <c r="BH4" s="22">
        <v>0</v>
      </c>
      <c r="BI4" s="24"/>
      <c r="BJ4" s="35" t="str">
        <f>IF(AV4&gt;0,AV4,"")</f>
        <v/>
      </c>
      <c r="BK4" s="35">
        <f>IF(AW4&gt;0,AW4,"")</f>
        <v>14.42</v>
      </c>
      <c r="BL4" s="11">
        <f>IF(SUM(AT4:AW4)-AX4&gt;0,SUM(AT4:AW4)-AX4,"")</f>
        <v>39.92</v>
      </c>
      <c r="BM4" s="11">
        <f>IF(BA4&gt;0,BA4,"")</f>
        <v>11.6</v>
      </c>
      <c r="BN4" s="11">
        <f>IF(BB4&gt;0,BB4,"")</f>
        <v>14.55</v>
      </c>
      <c r="BO4" s="11">
        <f>IF(SUM(AY4:BB4)-BC4&gt;0,SUM(AY4:BB4)-BC4,"")</f>
        <v>49.75</v>
      </c>
      <c r="BP4" s="11">
        <f>IF(BL4="","",SUM(BL4,BO4))</f>
        <v>89.67</v>
      </c>
      <c r="BQ4" s="11">
        <f>IF(BF4&gt;0,BF4,"")</f>
        <v>11.6</v>
      </c>
      <c r="BR4" s="11">
        <f>IF(BG4&gt;0,BG4,"")</f>
        <v>14.74</v>
      </c>
      <c r="BS4" s="11">
        <f>IF(SUM(BD4:BG4)-BH4&gt;0,SUM(BD4:BG4)-BH4,"")</f>
        <v>49.940000000000005</v>
      </c>
      <c r="BT4" s="11">
        <f>IF(SUM(BP4,BS4)&gt;0,SUM(BP4,BS4),"")</f>
        <v>139.61000000000001</v>
      </c>
      <c r="BU4" s="47">
        <f>IF(MAX(CS4,EA4,FI4,GQ4,HY4,JG4,KO4,LW4,NE4,OM4,PU4,RC4,SK4,TS4,VA4)-IF(J4="",0,J4)&gt;0.001,MAX(CS4,EA4,FI4,GQ4,HY4,JG4,KO4,LW4,NE4,OM4,PU4,RC4,SK4,TS4,VA4)-IF(J4="",0,J4),"")</f>
        <v>0.37000000000000455</v>
      </c>
      <c r="BV4" s="47" t="str">
        <f>IF(MAX(CV4,CZ4,DC4,ED4,EH4,EK4,FL4,FP4,FS4,GT4,GX4,HA4,IB4,IF4,II4,JJ4,JN4,JQ4,KR4,KV4,KY4,LZ4,MD4,MG4,NH4,NL4,NO4,OP4,OT4,OW4,PX4,QB4,QE4,RF4,RJ4,RM4,SN4,SR4,SU4,TV4,TZ4,UC4,VD4,VH4,VK4)-MIN(L4,N4)&gt;0.001,MAX(CV4,CZ4,DC4,ED4,EH4,EK4,FL4,FP4,FS4,GT4,GX4,HA4,IB4,IF4,II4,JJ4,JN4,JQ4,KR4,KV4,KY4,LZ4,MD4,MG4,NH4,NL4,NO4,OP4,OT4,OW4,PX4,QB4,QE4,RF4,RJ4,RM4,SN4,SR4,SU4,TV4,TZ4,UC4,VD4,VH4,VK4)-MIN(L4,N4),"")</f>
        <v/>
      </c>
      <c r="BW4" s="15">
        <v>16.3</v>
      </c>
      <c r="BX4" s="15">
        <v>9.8000000000000007</v>
      </c>
      <c r="BY4" s="15">
        <v>0</v>
      </c>
      <c r="BZ4" s="15">
        <v>14.29</v>
      </c>
      <c r="CA4" s="15">
        <v>0</v>
      </c>
      <c r="CB4" s="15">
        <v>2.7</v>
      </c>
      <c r="CC4" s="15">
        <v>1.8</v>
      </c>
      <c r="CD4" s="15">
        <v>2.1</v>
      </c>
      <c r="CE4" s="15">
        <v>2.98</v>
      </c>
      <c r="CF4" s="15">
        <v>0</v>
      </c>
      <c r="CG4" s="15"/>
      <c r="CH4" s="15"/>
      <c r="CI4" s="15"/>
      <c r="CJ4" s="15"/>
      <c r="CK4" s="15"/>
      <c r="CL4" s="15"/>
      <c r="CM4" s="15"/>
      <c r="CN4" s="15"/>
      <c r="CO4" s="15"/>
      <c r="CP4" s="15"/>
      <c r="CQ4" s="36" t="str">
        <f>IF(BY4&gt;0,BY4,"")</f>
        <v/>
      </c>
      <c r="CR4" s="36">
        <f>IF(BZ4&gt;0,BZ4,"")</f>
        <v>14.29</v>
      </c>
      <c r="CS4" s="36">
        <f>IF(SUM(BW4:BZ4)-CA4&gt;0,SUM(BW4:BZ4)-CA4,"")</f>
        <v>40.39</v>
      </c>
      <c r="CT4" s="36">
        <f>IF(CD4&gt;0,CD4,"")</f>
        <v>2.1</v>
      </c>
      <c r="CU4" s="36">
        <f>IF(CE4&gt;0,CE4,"")</f>
        <v>2.98</v>
      </c>
      <c r="CV4" s="36">
        <f>IF(SUM(CB4:CE4)-CF4&gt;0,SUM(CB4:CE4)-CF4,"")</f>
        <v>9.58</v>
      </c>
      <c r="CW4" s="36">
        <f>IF(MAX(CS4,CV4)&gt;0,SUM(CS4,CV4),"")</f>
        <v>49.97</v>
      </c>
      <c r="CX4" s="36" t="str">
        <f>IF(CI4&gt;0,CI4,"")</f>
        <v/>
      </c>
      <c r="CY4" s="36" t="str">
        <f>IF(CJ4&gt;0,CJ4,"")</f>
        <v/>
      </c>
      <c r="CZ4" s="36" t="str">
        <f>IF(SUM(CG4:CJ4)-CK4&gt;0,SUM(CG4:CJ4)-CK4,"")</f>
        <v/>
      </c>
      <c r="DA4" s="36" t="str">
        <f>IF(CN4&gt;0,CN4,"")</f>
        <v/>
      </c>
      <c r="DB4" s="36" t="str">
        <f>IF(CO4&gt;0,CO4,"")</f>
        <v/>
      </c>
      <c r="DC4" s="36" t="str">
        <f>IF(SUM(CL4:CO4)-CP4&gt;0,SUM(CL4:CO4)-CP4,"")</f>
        <v/>
      </c>
      <c r="DD4" s="36">
        <f>IF(SUM(CW4,CZ4,DC4)&gt;0,SUM(CW4,CZ4,DC4),"")</f>
        <v>49.97</v>
      </c>
      <c r="DE4" s="16"/>
      <c r="DF4" s="16"/>
      <c r="DG4" s="16"/>
      <c r="DH4" s="16"/>
      <c r="DI4" s="16"/>
      <c r="DJ4" s="16"/>
      <c r="DK4" s="16"/>
      <c r="DL4" s="16"/>
      <c r="DM4" s="16"/>
      <c r="DN4" s="16"/>
      <c r="DO4" s="16"/>
      <c r="DP4" s="16"/>
      <c r="DQ4" s="16"/>
      <c r="DR4" s="16"/>
      <c r="DS4" s="16"/>
      <c r="DT4" s="16"/>
      <c r="DU4" s="16"/>
      <c r="DV4" s="16"/>
      <c r="DW4" s="16"/>
      <c r="DX4" s="16"/>
      <c r="DY4" s="11" t="str">
        <f>IF(DG4&gt;0,DG4,"")</f>
        <v/>
      </c>
      <c r="DZ4" s="11" t="str">
        <f>IF(DH4&gt;0,DH4,"")</f>
        <v/>
      </c>
      <c r="EA4" s="11" t="str">
        <f>IF(SUM(DE4:DH4)-DI4&gt;0,SUM(DE4:DH4)-DI4,"")</f>
        <v/>
      </c>
      <c r="EB4" s="11" t="str">
        <f>IF(DL4&gt;0,DL4,"")</f>
        <v/>
      </c>
      <c r="EC4" s="11" t="str">
        <f>IF(DM4&gt;0,DM4,"")</f>
        <v/>
      </c>
      <c r="ED4" s="11" t="str">
        <f>IF(SUM(DJ4:DM4)-DN4&gt;0,SUM(DJ4:DM4)-DN4,"")</f>
        <v/>
      </c>
      <c r="EE4" s="11" t="str">
        <f>IF(MAX(EA4,ED4)&gt;0,SUM(EA4,ED4),"")</f>
        <v/>
      </c>
      <c r="EF4" s="11" t="str">
        <f>IF(DQ4&gt;0,DQ4,"")</f>
        <v/>
      </c>
      <c r="EG4" s="11" t="str">
        <f>IF(DR4&gt;0,DR4,"")</f>
        <v/>
      </c>
      <c r="EH4" s="11" t="str">
        <f>IF(SUM(DO4:DR4)-DS4&gt;0,SUM(DO4:DR4)-DS4,"")</f>
        <v/>
      </c>
      <c r="EI4" s="11" t="str">
        <f>IF(DV4&gt;0,DV4,"")</f>
        <v/>
      </c>
      <c r="EJ4" s="11" t="str">
        <f>IF(DW4&gt;0,DW4,"")</f>
        <v/>
      </c>
      <c r="EK4" s="11" t="str">
        <f>IF(SUM(DT4:DW4)-DX4&gt;0,SUM(DT4:DW4)-DX4,"")</f>
        <v/>
      </c>
      <c r="EL4" s="11" t="str">
        <f>IF(SUM(EE4,EH4,EK4)&gt;0,SUM(EE4,EH4,EK4),"")</f>
        <v/>
      </c>
      <c r="EM4" s="15"/>
      <c r="EN4" s="15"/>
      <c r="EO4" s="15"/>
      <c r="EP4" s="15"/>
      <c r="EQ4" s="15"/>
      <c r="ER4" s="15"/>
      <c r="ES4" s="15"/>
      <c r="ET4" s="15"/>
      <c r="EU4" s="15"/>
      <c r="EV4" s="15"/>
      <c r="EW4" s="15"/>
      <c r="EX4" s="15"/>
      <c r="EY4" s="15"/>
      <c r="EZ4" s="15"/>
      <c r="FA4" s="15"/>
      <c r="FB4" s="15"/>
      <c r="FC4" s="15"/>
      <c r="FD4" s="15"/>
      <c r="FE4" s="15"/>
      <c r="FF4" s="15"/>
      <c r="FG4" s="36" t="str">
        <f>IF(EO4&gt;0,EO4,"")</f>
        <v/>
      </c>
      <c r="FH4" s="36" t="str">
        <f>IF(EP4&gt;0,EP4,"")</f>
        <v/>
      </c>
      <c r="FI4" s="36" t="str">
        <f>IF(SUM(EM4:EP4)-EQ4&gt;0,SUM(EM4:EP4)-EQ4,"")</f>
        <v/>
      </c>
      <c r="FJ4" s="36" t="str">
        <f>IF(ET4&gt;0,ET4,"")</f>
        <v/>
      </c>
      <c r="FK4" s="36" t="str">
        <f>IF(EU4&gt;0,EU4,"")</f>
        <v/>
      </c>
      <c r="FL4" s="36" t="str">
        <f>IF(SUM(ER4:EU4)-EV4&gt;0,SUM(ER4:EU4)-EV4,"")</f>
        <v/>
      </c>
      <c r="FM4" s="36" t="str">
        <f>IF(MAX(FI4,FL4)&gt;0,SUM(FI4,FL4),"")</f>
        <v/>
      </c>
      <c r="FN4" s="36" t="str">
        <f>IF(EY4&gt;0,EY4,"")</f>
        <v/>
      </c>
      <c r="FO4" s="36" t="str">
        <f>IF(EZ4&gt;0,EZ4,"")</f>
        <v/>
      </c>
      <c r="FP4" s="36" t="str">
        <f>IF(SUM(EW4:EZ4)-FA4&gt;0,SUM(EW4:EZ4)-FA4,"")</f>
        <v/>
      </c>
      <c r="FQ4" s="36" t="str">
        <f>IF(FD4&gt;0,FD4,"")</f>
        <v/>
      </c>
      <c r="FR4" s="36" t="str">
        <f>IF(FE4&gt;0,FE4,"")</f>
        <v/>
      </c>
      <c r="FS4" s="36" t="str">
        <f>IF(SUM(FB4:FE4)-FF4&gt;0,SUM(FB4:FE4)-FF4,"")</f>
        <v/>
      </c>
      <c r="FT4" s="36" t="str">
        <f>IF(SUM(FM4,FP4,FS4)&gt;0,SUM(FM4,FP4,FS4),"")</f>
        <v/>
      </c>
      <c r="FU4" s="16"/>
      <c r="FV4" s="16"/>
      <c r="FW4" s="16"/>
      <c r="FX4" s="16"/>
      <c r="FY4" s="16"/>
      <c r="FZ4" s="16"/>
      <c r="GA4" s="16"/>
      <c r="GB4" s="16"/>
      <c r="GC4" s="16"/>
      <c r="GD4" s="16"/>
      <c r="GE4" s="16"/>
      <c r="GF4" s="16"/>
      <c r="GG4" s="16"/>
      <c r="GH4" s="16"/>
      <c r="GI4" s="16"/>
      <c r="GJ4" s="16"/>
      <c r="GK4" s="16"/>
      <c r="GL4" s="16"/>
      <c r="GM4" s="16"/>
      <c r="GN4" s="16"/>
      <c r="GO4" s="11" t="str">
        <f>IF(FW4&gt;0,FW4,"")</f>
        <v/>
      </c>
      <c r="GP4" s="11" t="str">
        <f>IF(FX4&gt;0,FX4,"")</f>
        <v/>
      </c>
      <c r="GQ4" s="11" t="str">
        <f>IF(SUM(FU4:FX4)-FY4&gt;0,SUM(FU4:FX4)-FY4,"")</f>
        <v/>
      </c>
      <c r="GR4" s="11" t="str">
        <f>IF(GB4&gt;0,GB4,"")</f>
        <v/>
      </c>
      <c r="GS4" s="11" t="str">
        <f>IF(GC4&gt;0,GC4,"")</f>
        <v/>
      </c>
      <c r="GT4" s="11" t="str">
        <f>IF(SUM(FZ4:GC4)-GD4&gt;0,SUM(FZ4:GC4)-GD4,"")</f>
        <v/>
      </c>
      <c r="GU4" s="11" t="str">
        <f>IF(MAX(GQ4,GT4)&gt;0,SUM(GQ4,GT4),"")</f>
        <v/>
      </c>
      <c r="GV4" s="11" t="str">
        <f>IF(GG4&gt;0,GG4,"")</f>
        <v/>
      </c>
      <c r="GW4" s="11" t="str">
        <f>IF(GH4&gt;0,GH4,"")</f>
        <v/>
      </c>
      <c r="GX4" s="11" t="str">
        <f>IF(SUM(GE4:GH4)-GI4&gt;0,SUM(GE4:GH4)-GI4,"")</f>
        <v/>
      </c>
      <c r="GY4" s="11" t="str">
        <f>IF(GL4&gt;0,GL4,"")</f>
        <v/>
      </c>
      <c r="GZ4" s="11" t="str">
        <f>IF(GM4&gt;0,GM4,"")</f>
        <v/>
      </c>
      <c r="HA4" s="11" t="str">
        <f>IF(SUM(GJ4:GM4)-GN4&gt;0,SUM(GJ4:GM4)-GN4,"")</f>
        <v/>
      </c>
      <c r="HB4" s="11" t="str">
        <f>IF(SUM(GU4,GX4,HA4)&gt;0,SUM(GU4,GX4,HA4),"")</f>
        <v/>
      </c>
      <c r="HC4" s="15"/>
      <c r="HD4" s="15"/>
      <c r="HE4" s="15"/>
      <c r="HF4" s="15"/>
      <c r="HG4" s="15"/>
      <c r="HH4" s="15"/>
      <c r="HI4" s="15"/>
      <c r="HJ4" s="15"/>
      <c r="HK4" s="15"/>
      <c r="HL4" s="15"/>
      <c r="HM4" s="15"/>
      <c r="HN4" s="15"/>
      <c r="HO4" s="15"/>
      <c r="HP4" s="15"/>
      <c r="HQ4" s="15"/>
      <c r="HR4" s="15"/>
      <c r="HS4" s="15"/>
      <c r="HT4" s="15"/>
      <c r="HU4" s="15"/>
      <c r="HV4" s="15"/>
      <c r="HW4" s="36" t="str">
        <f>IF(HE4&gt;0,HE4,"")</f>
        <v/>
      </c>
      <c r="HX4" s="36" t="str">
        <f>IF(HF4&gt;0,HF4,"")</f>
        <v/>
      </c>
      <c r="HY4" s="36" t="str">
        <f>IF(SUM(HC4:HF4)-HG4&gt;0,SUM(HC4:HF4)-HG4,"")</f>
        <v/>
      </c>
      <c r="HZ4" s="36" t="str">
        <f>IF(HJ4&gt;0,HJ4,"")</f>
        <v/>
      </c>
      <c r="IA4" s="36" t="str">
        <f>IF(HK4&gt;0,HK4,"")</f>
        <v/>
      </c>
      <c r="IB4" s="36" t="str">
        <f>IF(SUM(HH4:HK4)-HL4&gt;0,SUM(HH4:HK4)-HL4,"")</f>
        <v/>
      </c>
      <c r="IC4" s="36" t="str">
        <f>IF(MAX(HY4,IB4)&gt;0,SUM(HY4,IB4),"")</f>
        <v/>
      </c>
      <c r="ID4" s="36" t="str">
        <f>IF(HO4&gt;0,HO4,"")</f>
        <v/>
      </c>
      <c r="IE4" s="36" t="str">
        <f>IF(HP4&gt;0,HP4,"")</f>
        <v/>
      </c>
      <c r="IF4" s="36" t="str">
        <f>IF(SUM(HM4:HP4)-HQ4&gt;0,SUM(HM4:HP4)-HQ4,"")</f>
        <v/>
      </c>
      <c r="IG4" s="36" t="str">
        <f>IF(HT4&gt;0,HT4,"")</f>
        <v/>
      </c>
      <c r="IH4" s="36" t="str">
        <f>IF(HU4&gt;0,HU4,"")</f>
        <v/>
      </c>
      <c r="II4" s="36" t="str">
        <f>IF(SUM(HR4:HU4)-HV4&gt;0,SUM(HR4:HU4)-HV4,"")</f>
        <v/>
      </c>
      <c r="IJ4" s="36" t="str">
        <f>IF(SUM(IC4,IF4,II4)&gt;0,SUM(IC4,IF4,II4),"")</f>
        <v/>
      </c>
      <c r="IK4" s="16"/>
      <c r="IL4" s="16"/>
      <c r="IM4" s="16"/>
      <c r="IN4" s="16"/>
      <c r="IO4" s="16"/>
      <c r="IP4" s="16"/>
      <c r="IQ4" s="16"/>
      <c r="IR4" s="16"/>
      <c r="IS4" s="16"/>
      <c r="IT4" s="16"/>
      <c r="IU4" s="16"/>
      <c r="IV4" s="16"/>
      <c r="IW4" s="16"/>
      <c r="IX4" s="16"/>
      <c r="IY4" s="16"/>
      <c r="IZ4" s="16"/>
      <c r="JA4" s="16"/>
      <c r="JB4" s="16"/>
      <c r="JC4" s="16"/>
      <c r="JD4" s="16"/>
      <c r="JE4" s="11" t="str">
        <f>IF(IM4&gt;0,IM4,"")</f>
        <v/>
      </c>
      <c r="JF4" s="11" t="str">
        <f>IF(IN4&gt;0,IN4,"")</f>
        <v/>
      </c>
      <c r="JG4" s="11" t="str">
        <f>IF(SUM(IK4:IN4)-IO4&gt;0,SUM(IK4:IN4)-IO4,"")</f>
        <v/>
      </c>
      <c r="JH4" s="11" t="str">
        <f>IF(IR4&gt;0,IR4,"")</f>
        <v/>
      </c>
      <c r="JI4" s="11" t="str">
        <f>IF(IS4&gt;0,IS4,"")</f>
        <v/>
      </c>
      <c r="JJ4" s="11" t="str">
        <f>IF(SUM(IP4:IS4)-IT4&gt;0,SUM(IP4:IS4)-IT4,"")</f>
        <v/>
      </c>
      <c r="JK4" s="11" t="str">
        <f>IF(MAX(JG4,JJ4)&gt;0,SUM(JG4,JJ4),"")</f>
        <v/>
      </c>
      <c r="JL4" s="11" t="str">
        <f>IF(IW4&gt;0,IW4,"")</f>
        <v/>
      </c>
      <c r="JM4" s="11" t="str">
        <f>IF(IX4&gt;0,IX4,"")</f>
        <v/>
      </c>
      <c r="JN4" s="11" t="str">
        <f>IF(SUM(IU4:IX4)-IY4&gt;0,SUM(IU4:IX4)-IY4,"")</f>
        <v/>
      </c>
      <c r="JO4" s="11" t="str">
        <f>IF(JB4&gt;0,JB4,"")</f>
        <v/>
      </c>
      <c r="JP4" s="11" t="str">
        <f>IF(JC4&gt;0,JC4,"")</f>
        <v/>
      </c>
      <c r="JQ4" s="11" t="str">
        <f>IF(SUM(IZ4:JC4)-JD4&gt;0,SUM(IZ4:JC4)-JD4,"")</f>
        <v/>
      </c>
      <c r="JR4" s="11" t="str">
        <f>IF(SUM(JK4,JN4,JQ4)&gt;0,SUM(JK4,JN4,JQ4),"")</f>
        <v/>
      </c>
      <c r="JS4" s="15"/>
      <c r="JT4" s="15"/>
      <c r="JU4" s="15"/>
      <c r="JV4" s="15"/>
      <c r="JW4" s="15"/>
      <c r="JX4" s="15"/>
      <c r="JY4" s="15"/>
      <c r="JZ4" s="15"/>
      <c r="KA4" s="15"/>
      <c r="KB4" s="15"/>
      <c r="KC4" s="15"/>
      <c r="KD4" s="15"/>
      <c r="KE4" s="15"/>
      <c r="KF4" s="15"/>
      <c r="KG4" s="15"/>
      <c r="KH4" s="15"/>
      <c r="KI4" s="15"/>
      <c r="KJ4" s="15"/>
      <c r="KK4" s="15"/>
      <c r="KL4" s="15"/>
      <c r="KM4" s="36" t="str">
        <f>IF(JU4&gt;0,JU4,"")</f>
        <v/>
      </c>
      <c r="KN4" s="36" t="str">
        <f>IF(JV4&gt;0,JV4,"")</f>
        <v/>
      </c>
      <c r="KO4" s="36" t="str">
        <f>IF(SUM(JS4:JV4)-JW4&gt;0,SUM(JS4:JV4)-JW4,"")</f>
        <v/>
      </c>
      <c r="KP4" s="36" t="str">
        <f>IF(JZ4&gt;0,JZ4,"")</f>
        <v/>
      </c>
      <c r="KQ4" s="36" t="str">
        <f>IF(KA4&gt;0,KA4,"")</f>
        <v/>
      </c>
      <c r="KR4" s="36" t="str">
        <f>IF(SUM(JX4:KA4)-KB4&gt;0,SUM(JX4:KA4)-KB4,"")</f>
        <v/>
      </c>
      <c r="KS4" s="36" t="str">
        <f>IF(MAX(KO4,KR4)&gt;0,SUM(KO4,KR4),"")</f>
        <v/>
      </c>
      <c r="KT4" s="36" t="str">
        <f>IF(KE4&gt;0,KE4,"")</f>
        <v/>
      </c>
      <c r="KU4" s="36" t="str">
        <f>IF(KF4&gt;0,KF4,"")</f>
        <v/>
      </c>
      <c r="KV4" s="36" t="str">
        <f>IF(SUM(KC4:KF4)-KG4&gt;0,SUM(KC4:KF4)-KG4,"")</f>
        <v/>
      </c>
      <c r="KW4" s="36" t="str">
        <f>IF(KJ4&gt;0,KJ4,"")</f>
        <v/>
      </c>
      <c r="KX4" s="36" t="str">
        <f>IF(KK4&gt;0,KK4,"")</f>
        <v/>
      </c>
      <c r="KY4" s="36" t="str">
        <f>IF(SUM(KH4:KK4)-KL4&gt;0,SUM(KH4:KK4)-KL4,"")</f>
        <v/>
      </c>
      <c r="KZ4" s="36" t="str">
        <f>IF(SUM(KS4,KV4,KY4)&gt;0,SUM(KS4,KV4,KY4),"")</f>
        <v/>
      </c>
      <c r="LA4" s="16"/>
      <c r="LB4" s="16"/>
      <c r="LC4" s="16"/>
      <c r="LD4" s="16"/>
      <c r="LE4" s="16"/>
      <c r="LF4" s="16"/>
      <c r="LG4" s="16"/>
      <c r="LH4" s="16"/>
      <c r="LI4" s="16"/>
      <c r="LJ4" s="16"/>
      <c r="LK4" s="16"/>
      <c r="LL4" s="16"/>
      <c r="LM4" s="16"/>
      <c r="LN4" s="16"/>
      <c r="LO4" s="16"/>
      <c r="LP4" s="16"/>
      <c r="LQ4" s="16"/>
      <c r="LR4" s="16"/>
      <c r="LS4" s="16"/>
      <c r="LT4" s="16"/>
      <c r="LU4" s="11" t="str">
        <f>IF(LC4&gt;0,LC4,"")</f>
        <v/>
      </c>
      <c r="LV4" s="11" t="str">
        <f>IF(LD4&gt;0,LD4,"")</f>
        <v/>
      </c>
      <c r="LW4" s="11" t="str">
        <f>IF(SUM(LA4:LD4)-LE4&gt;0,SUM(LA4:LD4)-LE4,"")</f>
        <v/>
      </c>
      <c r="LX4" s="11" t="str">
        <f>IF(LH4&gt;0,LH4,"")</f>
        <v/>
      </c>
      <c r="LY4" s="11" t="str">
        <f>IF(LI4&gt;0,LI4,"")</f>
        <v/>
      </c>
      <c r="LZ4" s="11" t="str">
        <f>IF(SUM(LF4:LI4)-LJ4&gt;0,SUM(LF4:LI4)-LJ4,"")</f>
        <v/>
      </c>
      <c r="MA4" s="11" t="str">
        <f>IF(MAX(LW4,LZ4)&gt;0,SUM(LW4,LZ4),"")</f>
        <v/>
      </c>
      <c r="MB4" s="11" t="str">
        <f>IF(LM4&gt;0,LM4,"")</f>
        <v/>
      </c>
      <c r="MC4" s="11" t="str">
        <f>IF(LN4&gt;0,LN4,"")</f>
        <v/>
      </c>
      <c r="MD4" s="11" t="str">
        <f>IF(SUM(LK4:LN4)-LO4&gt;0,SUM(LK4:LN4)-LO4,"")</f>
        <v/>
      </c>
      <c r="ME4" s="11" t="str">
        <f>IF(LR4&gt;0,LR4,"")</f>
        <v/>
      </c>
      <c r="MF4" s="11" t="str">
        <f>IF(LS4&gt;0,LS4,"")</f>
        <v/>
      </c>
      <c r="MG4" s="11" t="str">
        <f>IF(SUM(LP4:LS4)-LT4&gt;0,SUM(LP4:LS4)-LT4,"")</f>
        <v/>
      </c>
      <c r="MH4" s="11" t="str">
        <f>IF(SUM(MA4,MD4,MG4)&gt;0,SUM(MA4,MD4,MG4),"")</f>
        <v/>
      </c>
      <c r="MI4" s="15"/>
      <c r="MJ4" s="15"/>
      <c r="MK4" s="15"/>
      <c r="ML4" s="15"/>
      <c r="MM4" s="15"/>
      <c r="MN4" s="15"/>
      <c r="MO4" s="15"/>
      <c r="MP4" s="15"/>
      <c r="MQ4" s="15"/>
      <c r="MR4" s="15"/>
      <c r="MS4" s="15"/>
      <c r="MT4" s="15"/>
      <c r="MU4" s="15"/>
      <c r="MV4" s="15"/>
      <c r="MW4" s="15"/>
      <c r="MX4" s="15"/>
      <c r="MY4" s="15"/>
      <c r="MZ4" s="15"/>
      <c r="NA4" s="15"/>
      <c r="NB4" s="15"/>
      <c r="NC4" s="36" t="str">
        <f>IF(MK4&gt;0,MK4,"")</f>
        <v/>
      </c>
      <c r="ND4" s="36" t="str">
        <f>IF(ML4&gt;0,ML4,"")</f>
        <v/>
      </c>
      <c r="NE4" s="36" t="str">
        <f>IF(SUM(MI4:ML4)-MM4&gt;0,SUM(MI4:ML4)-MM4,"")</f>
        <v/>
      </c>
      <c r="NF4" s="36" t="str">
        <f>IF(MP4&gt;0,MP4,"")</f>
        <v/>
      </c>
      <c r="NG4" s="36" t="str">
        <f>IF(MQ4&gt;0,MQ4,"")</f>
        <v/>
      </c>
      <c r="NH4" s="36" t="str">
        <f>IF(SUM(MN4:MQ4)-MR4&gt;0,SUM(MN4:MQ4)-MR4,"")</f>
        <v/>
      </c>
      <c r="NI4" s="36" t="str">
        <f>IF(MAX(NE4,NH4)&gt;0,SUM(NE4,NH4),"")</f>
        <v/>
      </c>
      <c r="NJ4" s="36" t="str">
        <f>IF(MU4&gt;0,MU4,"")</f>
        <v/>
      </c>
      <c r="NK4" s="36" t="str">
        <f>IF(MV4&gt;0,MV4,"")</f>
        <v/>
      </c>
      <c r="NL4" s="36" t="str">
        <f>IF(SUM(MS4:MV4)-MW4&gt;0,SUM(MS4:MV4)-MW4,"")</f>
        <v/>
      </c>
      <c r="NM4" s="36" t="str">
        <f>IF(MZ4&gt;0,MZ4,"")</f>
        <v/>
      </c>
      <c r="NN4" s="36" t="str">
        <f>IF(NA4&gt;0,NA4,"")</f>
        <v/>
      </c>
      <c r="NO4" s="36" t="str">
        <f>IF(SUM(MX4:NA4)-NB4&gt;0,SUM(MX4:NA4)-NB4,"")</f>
        <v/>
      </c>
      <c r="NP4" s="36" t="str">
        <f>IF(SUM(NI4,NL4,NO4)&gt;0,SUM(NI4,NL4,NO4),"")</f>
        <v/>
      </c>
      <c r="NQ4" s="16"/>
      <c r="NR4" s="16"/>
      <c r="NS4" s="16"/>
      <c r="NT4" s="16"/>
      <c r="NU4" s="16"/>
      <c r="NV4" s="16"/>
      <c r="NW4" s="16"/>
      <c r="NX4" s="16"/>
      <c r="NY4" s="16"/>
      <c r="NZ4" s="16"/>
      <c r="OA4" s="16"/>
      <c r="OB4" s="16"/>
      <c r="OC4" s="16"/>
      <c r="OD4" s="16"/>
      <c r="OE4" s="16"/>
      <c r="OF4" s="16"/>
      <c r="OG4" s="16"/>
      <c r="OH4" s="16"/>
      <c r="OI4" s="16"/>
      <c r="OJ4" s="16"/>
      <c r="OK4" s="11" t="str">
        <f>IF(NS4&gt;0,NS4,"")</f>
        <v/>
      </c>
      <c r="OL4" s="11" t="str">
        <f>IF(NT4&gt;0,NT4,"")</f>
        <v/>
      </c>
      <c r="OM4" s="11" t="str">
        <f>IF(SUM(NQ4:NT4)-NU4&gt;0,SUM(NQ4:NT4)-NU4,"")</f>
        <v/>
      </c>
      <c r="ON4" s="11" t="str">
        <f>IF(NX4&gt;0,NX4,"")</f>
        <v/>
      </c>
      <c r="OO4" s="11" t="str">
        <f>IF(NY4&gt;0,NY4,"")</f>
        <v/>
      </c>
      <c r="OP4" s="11" t="str">
        <f>IF(SUM(NV4:NY4)-NZ4&gt;0,SUM(NV4:NY4)-NZ4,"")</f>
        <v/>
      </c>
      <c r="OQ4" s="11" t="str">
        <f>IF(MAX(OM4,OP4)&gt;0,SUM(OM4,OP4),"")</f>
        <v/>
      </c>
      <c r="OR4" s="11" t="str">
        <f>IF(OC4&gt;0,OC4,"")</f>
        <v/>
      </c>
      <c r="OS4" s="11" t="str">
        <f>IF(OD4&gt;0,OD4,"")</f>
        <v/>
      </c>
      <c r="OT4" s="11" t="str">
        <f>IF(SUM(OA4:OD4)-OE4&gt;0,SUM(OA4:OD4)-OE4,"")</f>
        <v/>
      </c>
      <c r="OU4" s="11" t="str">
        <f>IF(OH4&gt;0,OH4,"")</f>
        <v/>
      </c>
      <c r="OV4" s="11" t="str">
        <f>IF(OI4&gt;0,OI4,"")</f>
        <v/>
      </c>
      <c r="OW4" s="11" t="str">
        <f>IF(SUM(OF4:OI4)-OJ4&gt;0,SUM(OF4:OI4)-OJ4,"")</f>
        <v/>
      </c>
      <c r="OX4" s="11" t="str">
        <f>IF(SUM(OQ4,OT4,OW4)&gt;0,SUM(OQ4,OT4,OW4),"")</f>
        <v/>
      </c>
      <c r="OY4" s="15"/>
      <c r="OZ4" s="15"/>
      <c r="PA4" s="15"/>
      <c r="PB4" s="15"/>
      <c r="PC4" s="15"/>
      <c r="PD4" s="15"/>
      <c r="PE4" s="15"/>
      <c r="PF4" s="15"/>
      <c r="PG4" s="15"/>
      <c r="PH4" s="15"/>
      <c r="PI4" s="15"/>
      <c r="PJ4" s="15"/>
      <c r="PK4" s="15"/>
      <c r="PL4" s="15"/>
      <c r="PM4" s="15"/>
      <c r="PN4" s="15"/>
      <c r="PO4" s="15"/>
      <c r="PP4" s="15"/>
      <c r="PQ4" s="15"/>
      <c r="PR4" s="15"/>
      <c r="PS4" s="36" t="str">
        <f>IF(PA4&gt;0,PA4,"")</f>
        <v/>
      </c>
      <c r="PT4" s="36" t="str">
        <f>IF(PB4&gt;0,PB4,"")</f>
        <v/>
      </c>
      <c r="PU4" s="36" t="str">
        <f>IF(SUM(OY4:PB4)-PC4&gt;0,SUM(OY4:PB4)-PC4,"")</f>
        <v/>
      </c>
      <c r="PV4" s="36" t="str">
        <f>IF(PF4&gt;0,PF4,"")</f>
        <v/>
      </c>
      <c r="PW4" s="36" t="str">
        <f>IF(PG4&gt;0,PG4,"")</f>
        <v/>
      </c>
      <c r="PX4" s="36" t="str">
        <f>IF(SUM(PD4:PG4)-PH4&gt;0,SUM(PD4:PG4)-PH4,"")</f>
        <v/>
      </c>
      <c r="PY4" s="36" t="str">
        <f>IF(MAX(PU4,PX4)&gt;0,SUM(PU4,PX4),"")</f>
        <v/>
      </c>
      <c r="PZ4" s="36" t="str">
        <f>IF(PK4&gt;0,PK4,"")</f>
        <v/>
      </c>
      <c r="QA4" s="36" t="str">
        <f>IF(PL4&gt;0,PL4,"")</f>
        <v/>
      </c>
      <c r="QB4" s="36" t="str">
        <f>IF(SUM(PI4:PL4)-PM4&gt;0,SUM(PI4:PL4)-PM4,"")</f>
        <v/>
      </c>
      <c r="QC4" s="36" t="str">
        <f>IF(PP4&gt;0,PP4,"")</f>
        <v/>
      </c>
      <c r="QD4" s="36" t="str">
        <f>IF(PQ4&gt;0,PQ4,"")</f>
        <v/>
      </c>
      <c r="QE4" s="36" t="str">
        <f>IF(SUM(PN4:PQ4)-PR4&gt;0,SUM(PN4:PQ4)-PR4,"")</f>
        <v/>
      </c>
      <c r="QF4" s="36" t="str">
        <f>IF(SUM(PY4,QB4,QE4)&gt;0,SUM(PY4,QB4,QE4),"")</f>
        <v/>
      </c>
      <c r="QG4" s="16"/>
      <c r="QH4" s="16"/>
      <c r="QI4" s="16"/>
      <c r="QJ4" s="16"/>
      <c r="QK4" s="16"/>
      <c r="QL4" s="16"/>
      <c r="QM4" s="16"/>
      <c r="QN4" s="16"/>
      <c r="QO4" s="16"/>
      <c r="QP4" s="16"/>
      <c r="QQ4" s="16"/>
      <c r="QR4" s="16"/>
      <c r="QS4" s="16"/>
      <c r="QT4" s="16"/>
      <c r="QU4" s="16"/>
      <c r="QV4" s="16"/>
      <c r="QW4" s="16"/>
      <c r="QX4" s="16"/>
      <c r="QY4" s="16"/>
      <c r="QZ4" s="16"/>
      <c r="RA4" s="11" t="str">
        <f>IF(QI4&gt;0,QI4,"")</f>
        <v/>
      </c>
      <c r="RB4" s="11" t="str">
        <f>IF(QJ4&gt;0,QJ4,"")</f>
        <v/>
      </c>
      <c r="RC4" s="11" t="str">
        <f>IF(SUM(QG4:QJ4)-QK4&gt;0,SUM(QG4:QJ4)-QK4,"")</f>
        <v/>
      </c>
      <c r="RD4" s="11" t="str">
        <f>IF(QN4&gt;0,QN4,"")</f>
        <v/>
      </c>
      <c r="RE4" s="11" t="str">
        <f>IF(QO4&gt;0,QO4,"")</f>
        <v/>
      </c>
      <c r="RF4" s="11" t="str">
        <f>IF(SUM(QL4:QO4)-QP4&gt;0,SUM(QL4:QO4)-QP4,"")</f>
        <v/>
      </c>
      <c r="RG4" s="11" t="str">
        <f>IF(MAX(RC4,RF4)&gt;0,SUM(RC4,RF4),"")</f>
        <v/>
      </c>
      <c r="RH4" s="11" t="str">
        <f>IF(QS4&gt;0,QS4,"")</f>
        <v/>
      </c>
      <c r="RI4" s="11" t="str">
        <f>IF(QT4&gt;0,QT4,"")</f>
        <v/>
      </c>
      <c r="RJ4" s="11" t="str">
        <f>IF(SUM(QQ4:QT4)-QU4&gt;0,SUM(QQ4:QT4)-QU4,"")</f>
        <v/>
      </c>
      <c r="RK4" s="11" t="str">
        <f>IF(QX4&gt;0,QX4,"")</f>
        <v/>
      </c>
      <c r="RL4" s="11" t="str">
        <f>IF(QY4&gt;0,QY4,"")</f>
        <v/>
      </c>
      <c r="RM4" s="11" t="str">
        <f>IF(SUM(QV4:QY4)-QZ4&gt;0,SUM(QV4:QY4)-QZ4,"")</f>
        <v/>
      </c>
      <c r="RN4" s="11" t="str">
        <f>IF(SUM(RG4,RJ4,RM4)&gt;0,SUM(RG4,RJ4,RM4),"")</f>
        <v/>
      </c>
      <c r="RO4" s="15"/>
      <c r="RP4" s="15"/>
      <c r="RQ4" s="15"/>
      <c r="RR4" s="15"/>
      <c r="RS4" s="15"/>
      <c r="RT4" s="15"/>
      <c r="RU4" s="15"/>
      <c r="RV4" s="15"/>
      <c r="RW4" s="15"/>
      <c r="RX4" s="15"/>
      <c r="RY4" s="15"/>
      <c r="RZ4" s="15"/>
      <c r="SA4" s="15"/>
      <c r="SB4" s="15"/>
      <c r="SC4" s="15"/>
      <c r="SD4" s="15"/>
      <c r="SE4" s="15"/>
      <c r="SF4" s="15"/>
      <c r="SG4" s="15"/>
      <c r="SH4" s="15"/>
      <c r="SI4" s="36" t="str">
        <f>IF(RQ4&gt;0,RQ4,"")</f>
        <v/>
      </c>
      <c r="SJ4" s="36" t="str">
        <f>IF(RR4&gt;0,RR4,"")</f>
        <v/>
      </c>
      <c r="SK4" s="36" t="str">
        <f>IF(SUM(RO4:RR4)-RS4&gt;0,SUM(RO4:RR4)-RS4,"")</f>
        <v/>
      </c>
      <c r="SL4" s="36" t="str">
        <f>IF(RV4&gt;0,RV4,"")</f>
        <v/>
      </c>
      <c r="SM4" s="36" t="str">
        <f>IF(RW4&gt;0,RW4,"")</f>
        <v/>
      </c>
      <c r="SN4" s="36" t="str">
        <f>IF(SUM(RT4:RW4)-RX4&gt;0,SUM(RT4:RW4)-RX4,"")</f>
        <v/>
      </c>
      <c r="SO4" s="36" t="str">
        <f>IF(MAX(SK4,SN4)&gt;0,SUM(SK4,SN4),"")</f>
        <v/>
      </c>
      <c r="SP4" s="36" t="str">
        <f>IF(SA4&gt;0,SA4,"")</f>
        <v/>
      </c>
      <c r="SQ4" s="36" t="str">
        <f>IF(SB4&gt;0,SB4,"")</f>
        <v/>
      </c>
      <c r="SR4" s="36" t="str">
        <f>IF(SUM(RY4:SB4)-SC4&gt;0,SUM(RY4:SB4)-SC4,"")</f>
        <v/>
      </c>
      <c r="SS4" s="36" t="str">
        <f>IF(SF4&gt;0,SF4,"")</f>
        <v/>
      </c>
      <c r="ST4" s="36" t="str">
        <f>IF(SG4&gt;0,SG4,"")</f>
        <v/>
      </c>
      <c r="SU4" s="36" t="str">
        <f>IF(SUM(SD4:SG4)-SH4&gt;0,SUM(SD4:SG4)-SH4,"")</f>
        <v/>
      </c>
      <c r="SV4" s="36" t="str">
        <f>IF(SUM(SO4,SR4,SU4)&gt;0,SUM(SO4,SR4,SU4),"")</f>
        <v/>
      </c>
      <c r="SW4" s="16"/>
      <c r="SX4" s="16"/>
      <c r="SY4" s="16"/>
      <c r="SZ4" s="16"/>
      <c r="TA4" s="16"/>
      <c r="TB4" s="16"/>
      <c r="TC4" s="16"/>
      <c r="TD4" s="16"/>
      <c r="TE4" s="16"/>
      <c r="TF4" s="16"/>
      <c r="TG4" s="16"/>
      <c r="TH4" s="16"/>
      <c r="TI4" s="16"/>
      <c r="TJ4" s="16"/>
      <c r="TK4" s="16"/>
      <c r="TL4" s="16"/>
      <c r="TM4" s="16"/>
      <c r="TN4" s="16"/>
      <c r="TO4" s="16"/>
      <c r="TP4" s="16"/>
      <c r="TQ4" s="11" t="str">
        <f>IF(SY4&gt;0,SY4,"")</f>
        <v/>
      </c>
      <c r="TR4" s="11" t="str">
        <f>IF(SZ4&gt;0,SZ4,"")</f>
        <v/>
      </c>
      <c r="TS4" s="11" t="str">
        <f>IF(SUM(SW4:SZ4)-TA4&gt;0,SUM(SW4:SZ4)-TA4,"")</f>
        <v/>
      </c>
      <c r="TT4" s="11" t="str">
        <f>IF(TD4&gt;0,TD4,"")</f>
        <v/>
      </c>
      <c r="TU4" s="11" t="str">
        <f>IF(TE4&gt;0,TE4,"")</f>
        <v/>
      </c>
      <c r="TV4" s="11" t="str">
        <f>IF(SUM(TB4:TE4)-TF4&gt;0,SUM(TB4:TE4)-TF4,"")</f>
        <v/>
      </c>
      <c r="TW4" s="11" t="str">
        <f>IF(MAX(TS4,TV4)&gt;0,SUM(TS4,TV4),"")</f>
        <v/>
      </c>
      <c r="TX4" s="11" t="str">
        <f>IF(TI4&gt;0,TI4,"")</f>
        <v/>
      </c>
      <c r="TY4" s="11" t="str">
        <f>IF(TJ4&gt;0,TJ4,"")</f>
        <v/>
      </c>
      <c r="TZ4" s="11" t="str">
        <f>IF(SUM(TG4:TJ4)-TK4&gt;0,SUM(TG4:TJ4)-TK4,"")</f>
        <v/>
      </c>
      <c r="UA4" s="11" t="str">
        <f>IF(TN4&gt;0,TN4,"")</f>
        <v/>
      </c>
      <c r="UB4" s="11" t="str">
        <f>IF(TO4&gt;0,TO4,"")</f>
        <v/>
      </c>
      <c r="UC4" s="11" t="str">
        <f>IF(SUM(TL4:TO4)-TP4&gt;0,SUM(TL4:TO4)-TP4,"")</f>
        <v/>
      </c>
      <c r="UD4" s="11" t="str">
        <f>IF(SUM(TW4,TZ4,UC4)&gt;0,SUM(TW4,TZ4,UC4),"")</f>
        <v/>
      </c>
      <c r="UE4" s="15"/>
      <c r="UF4" s="15"/>
      <c r="UG4" s="15"/>
      <c r="UH4" s="15"/>
      <c r="UI4" s="15"/>
      <c r="UJ4" s="15"/>
      <c r="UK4" s="15"/>
      <c r="UL4" s="15"/>
      <c r="UM4" s="15"/>
      <c r="UN4" s="15"/>
      <c r="UO4" s="15"/>
      <c r="UP4" s="15"/>
      <c r="UQ4" s="15"/>
      <c r="UR4" s="15"/>
      <c r="US4" s="15"/>
      <c r="UT4" s="15"/>
      <c r="UU4" s="15"/>
      <c r="UV4" s="15"/>
      <c r="UW4" s="15"/>
      <c r="UX4" s="15"/>
      <c r="UY4" s="36" t="str">
        <f>IF(UG4&gt;0,UG4,"")</f>
        <v/>
      </c>
      <c r="UZ4" s="36" t="str">
        <f>IF(UH4&gt;0,UH4,"")</f>
        <v/>
      </c>
      <c r="VA4" s="36" t="str">
        <f>IF(SUM(UE4:UH4)-UI4&gt;0,SUM(UE4:UH4)-UI4,"")</f>
        <v/>
      </c>
      <c r="VB4" s="36" t="str">
        <f>IF(UL4&gt;0,UL4,"")</f>
        <v/>
      </c>
      <c r="VC4" s="36" t="str">
        <f>IF(UM4&gt;0,UM4,"")</f>
        <v/>
      </c>
      <c r="VD4" s="36" t="str">
        <f>IF(SUM(UJ4:UM4)-UN4&gt;0,SUM(UJ4:UM4)-UN4,"")</f>
        <v/>
      </c>
      <c r="VE4" s="36" t="str">
        <f>IF(MAX(VA4,VD4)&gt;0,SUM(VA4,VD4),"")</f>
        <v/>
      </c>
      <c r="VF4" s="36" t="str">
        <f>IF(UQ4&gt;0,UQ4,"")</f>
        <v/>
      </c>
      <c r="VG4" s="36" t="str">
        <f>IF(UR4&gt;0,UR4,"")</f>
        <v/>
      </c>
      <c r="VH4" s="36" t="str">
        <f>IF(SUM(UO4:UR4)-US4&gt;0,SUM(UO4:UR4)-US4,"")</f>
        <v/>
      </c>
      <c r="VI4" s="36" t="str">
        <f>IF(UV4&gt;0,UV4,"")</f>
        <v/>
      </c>
      <c r="VJ4" s="36" t="str">
        <f>IF(UW4&gt;0,UW4,"")</f>
        <v/>
      </c>
      <c r="VK4" s="36" t="str">
        <f>IF(SUM(UT4:UW4)-UX4&gt;0,SUM(UT4:UW4)-UX4,"")</f>
        <v/>
      </c>
      <c r="VL4" s="36" t="str">
        <f>IF(SUM(VE4,VH4,VK4)&gt;0,SUM(VE4,VH4,VK4),"")</f>
        <v/>
      </c>
    </row>
    <row r="5" spans="1:584" x14ac:dyDescent="0.2">
      <c r="A5" s="4" t="str" cm="1">
        <f t="array" ref="A5">IF(AND(H5&lt;&gt;"",H5&lt;&gt;"No DD"),SUMPRODUCT((H$4:H$6&lt;&gt;"")*(H$4:H$6&lt;&gt;"No DD")*(E$4:E$6&gt;E5))+1,IF(H5="No DD",SUMPRODUCT((H$4:H$6="No DD")*(E$4:E$6&gt;E5))+1+SUMPRODUCT((H$4:H$6&lt;&gt;"")*(H$4:H$6&lt;&gt;"No DD")),""))</f>
        <v/>
      </c>
      <c r="B5" s="5" t="s">
        <v>238</v>
      </c>
      <c r="C5" s="4" t="s">
        <v>5</v>
      </c>
      <c r="D5" s="4">
        <v>2010</v>
      </c>
      <c r="E5" s="9">
        <f>J5+L5+N5+P5+(J5+L5+N5)*0.0000001+MAX(J5,L5)*0.0000000000001</f>
        <v>112.60001126000473</v>
      </c>
      <c r="F5" s="3" t="str">
        <f>IF(OR(AND(AO5&gt;=AS$12,AL5&gt;=AS$8,AO5&lt;&gt;"",AH5=""),AND(BP5&gt;=BT$12,BM5&gt;=BT$8,BP5&lt;&gt;"",BI5=""),AND(CW5&gt;=DD$12,CT5&gt;=DD$8,CW5&lt;&gt;""),AND(EE5&gt;=EL$12,EB5&gt;=EL$8,EE5&lt;&gt;""),AND(FM5&gt;=FT$12,FJ5&gt;=FT$8,FM5&lt;&gt;""),AND(GU5&gt;=HB$12,GR5&gt;=HB$8,GU5&lt;&gt;""),AND(IC5&gt;=IJ$12,HZ5&gt;=IJ$8,IC5&lt;&gt;""),AND(JK5&gt;=JR$12,JH5&gt;=JR$8,JK5&lt;&gt;""),AND(KS5&gt;=KZ$12,KP5&gt;=KZ$8,KS5&lt;&gt;""),AND(MA5&gt;=MH$12,LX5&gt;=MH$8,MA5&lt;&gt;""),AND(NI5&gt;=NP$12,NF5&gt;=NP$8,NI5&lt;&gt;""),AND(OQ5&gt;=OX$12,ON5&gt;=OX$8,OQ5&lt;&gt;""),AND(PY5&gt;=QF$12,PV5&gt;=QF$8,PY5&lt;&gt;""),AND(RG5&gt;=RN$12,RD5&gt;=RN$8,RG5&lt;&gt;""),AND(SO5&gt;=SV$12,SL5&gt;=SV$8,SO5&lt;&gt;""),AND(TW5&gt;=UD$12,TT5&gt;=UD$8,TW5&lt;&gt;""),AND(VE5&gt;=VL$12,VB5&gt;=VL$8,VE5&lt;&gt;"")),"P","")</f>
        <v/>
      </c>
      <c r="G5" s="3" t="str">
        <f>IF(OR(AND(AO5&gt;=AS$12,AO5&lt;&gt;"",AH5=""),AND(BP5&gt;=BT$12,BP5&lt;&gt;"",BI5=""),AND(CW5&gt;=DD$12,CW5&lt;&gt;""),AND(EE5&gt;=EL$12,EE5&lt;&gt;""),AND(FM5&gt;=FT$12,FM5&lt;&gt;""),AND(GU5&gt;=HB$12,GU5&lt;&gt;""),AND(IC5&gt;=IJ$12,IC5&lt;&gt;""),AND(JK5&gt;=JR$12,JK5&lt;&gt;""),AND(KS5&gt;=KZ$12,KS5&lt;&gt;""),AND(MA5&gt;=MH$12,MA5&lt;&gt;""),AND(NI5&gt;=NP$12,NI5&lt;&gt;""),AND(OQ5&gt;=OX$12,OQ5&lt;&gt;""),AND(PY5&gt;=QF$12,PY5&lt;&gt;""),AND(RG5&gt;=RN$12,RG5&lt;&gt;""),AND(SO5&gt;=SV$12,SO5&lt;&gt;""),AND(TW5&gt;=UD$12,TW5&lt;&gt;""),AND(VE5&gt;=VL$12,VE5&lt;&gt;"")),"P","")</f>
        <v/>
      </c>
      <c r="H5" s="32" t="str">
        <f>IF(AND(G5="P",F5=""),"No DD",IF(F5="P","National Team",""))</f>
        <v/>
      </c>
      <c r="I5" s="3"/>
      <c r="J5" s="8">
        <f>IF(MAX(AK5,BL5)&gt;0,MAX(AK5,BL5),0)</f>
        <v>37.47</v>
      </c>
      <c r="K5" s="8" t="str">
        <f>IF(J5="","",IF(J5=BL5,$AT$1,IF(J5=AK5,$S$1,"")))</f>
        <v>2025 Nationals</v>
      </c>
      <c r="L5" s="8">
        <f>IF(MAX(AN5,BO5)&gt;0,MAX(AN5,BO5),0)</f>
        <v>47.53</v>
      </c>
      <c r="M5" s="8" t="str">
        <f>IF(L5="","",IF(L5=BO5,$AT$1,IF(L5=AN5,$S$1,"")))</f>
        <v>2025 Nationals</v>
      </c>
      <c r="N5" s="8">
        <f>IF(L5=AN5,MAX(AR5,BO5,BS5),MAX(AN5,AR5,BS5))</f>
        <v>27.6</v>
      </c>
      <c r="O5" s="8" t="str">
        <f>IF(L5="","",IF(OR(L5=BO5,L5=BS5),$AT$1,IF(OR(L5=AN5,L5=AR5),$S$1,"")))</f>
        <v>2025 Nationals</v>
      </c>
      <c r="P5" s="8">
        <f>IF(MAX(BU5,BV5)&gt;0,MAX(BU5,BV5),0)</f>
        <v>0</v>
      </c>
      <c r="Q5" s="11" t="str">
        <f>IF(P5=0,"",IF(P5=BU5,"("&amp;BU$2&amp;")",IF(P5=BV5,"("&amp;BV$2&amp;")")))</f>
        <v/>
      </c>
      <c r="R5" s="8" t="str">
        <f>IF(P5=0,"",IF(P5=BU5,IF(P5+MIN(L5,N5)=MAX(VA5,0),$UE$1,IF(P5+MIN(L5,N5)=MAX(TS5,0),$SW$1,IF(P5+MIN(L5,N5)=MAX(SK5,0),$RO$1,IF(P5+MIN(L5,N5)=MAX(RC5,0),$QG$1,IF(P5+MIN(L5,N5)=MAX(PU5,0),$OY$1,IF(P5+MIN(L5,N5)=MAX(OM5,0),$NQ$1,IF(P5+MIN(L5,N5)=MAX(NE5,0),$MI$1,IF(P5+MIN(L5,N5)=MAX(LW5,0),$LA$1,IF(P5+MIN(L5,N5)=MAX(KO5,0),$JS$1,IF(P5+MIN(L5,N5)=MAX(JG5,0),$IK$1,IF(P5+MIN(L5,N5)=MAX(HY5,0),$HC$1,IF(P5+MIN(L5,N5)=MAX(GQ5,0),$FU$1,IF(P5+MIN(L5,N5)=MAX(FI5,0),$EM$1,IF(P5+MIN(L5,N5)=MAX(EA5,0),$DE$1,IF(P5+MIN(L5,N5)=MAX(CS5,0),$BW$1))))))))))))))),IF(P5+MIN(L5,N5)=MAX(VD5,VH5,VK5),$UE$1,IF(P5+MIN(L5,N5)=MAX(TV5,TZ5,UC5),$SW$1,IF(P5+MIN(L5,N5)=MAX(SN5,SR5,SU5),$RO$1,IF(P5+MIN(L5,N5)=MAX(RF5,RJ5,RM5),$QG$1,IF(P5+MIN(L5,N5)=MAX(PX5,QB5,QE5),$OY$1,IF(P5+MIN(L5,N5)=MAX(OP5,OT5,OW5),$NQ$1,IF(P5+MIN(L5,N5)=MAX(NH5,NL5,NO5),$MI$1,IF(P5+MIN(L5,N5)=MAX(LZ5,MD5,MG5),$LA$1,IF(P5+MIN(L5,N5)=MAX(KR5,KV5,KY5),$JS$1,IF(P5+MIN(L5,N5)=MAX(JJ5,JN5,JQ5),$IK$1,IF(P5+MIN(L5,N5)=MAX(IB5,IF5,II5),$HC$1,IF(P5+MIN(L5,N5)=MAX(GT5,GX5,HA5),$FU$1,IF(P5+MIN(L5,N5)=MAX(FL5,FP5,FS5),$EM$1,IF(P5+MIN(L5,N5)=MAX(ED5,EH5,EK5),$DE$1,IF(P5+MIN(L5,N5)=MAX(CV5,CZ5,DC5),$BW$1)))))))))))))))))</f>
        <v/>
      </c>
      <c r="S5" s="18">
        <v>15.7</v>
      </c>
      <c r="T5" s="18">
        <v>9.6</v>
      </c>
      <c r="U5" s="18">
        <v>0</v>
      </c>
      <c r="V5" s="18">
        <v>12.17</v>
      </c>
      <c r="W5" s="18">
        <v>0</v>
      </c>
      <c r="X5" s="18">
        <v>14.7</v>
      </c>
      <c r="Y5" s="18">
        <v>9.1999999999999993</v>
      </c>
      <c r="Z5" s="18">
        <v>10.1</v>
      </c>
      <c r="AA5" s="18">
        <v>13.53</v>
      </c>
      <c r="AB5" s="18">
        <v>0</v>
      </c>
      <c r="AC5" s="18">
        <v>8.1</v>
      </c>
      <c r="AD5" s="18">
        <v>5.8</v>
      </c>
      <c r="AE5" s="18">
        <v>5.6</v>
      </c>
      <c r="AF5" s="18">
        <v>8.1</v>
      </c>
      <c r="AG5" s="18">
        <v>0</v>
      </c>
      <c r="AH5" s="23"/>
      <c r="AI5" s="34" t="str">
        <f>IF(U5&gt;0,U5,"")</f>
        <v/>
      </c>
      <c r="AJ5" s="34">
        <f>IF(V5&gt;0,V5,"")</f>
        <v>12.17</v>
      </c>
      <c r="AK5" s="36">
        <f>IF(SUM(S5:V5)-W5&gt;0,SUM(S5:V5)-W5,"")</f>
        <v>37.47</v>
      </c>
      <c r="AL5" s="36">
        <f>IF(Z5&gt;0,Z5,"")</f>
        <v>10.1</v>
      </c>
      <c r="AM5" s="36">
        <f>IF(AA5&gt;0,AA5,"")</f>
        <v>13.53</v>
      </c>
      <c r="AN5" s="36">
        <f>IF(SUM(X5:AA5)-AB5&gt;0,SUM(X5:AA5)-AB5,"")</f>
        <v>47.53</v>
      </c>
      <c r="AO5" s="36">
        <f>IF(AK5="","",SUM(AK5,AN5))</f>
        <v>85</v>
      </c>
      <c r="AP5" s="36">
        <f>IF(AE5&gt;0,AE5,"")</f>
        <v>5.6</v>
      </c>
      <c r="AQ5" s="36">
        <f>IF(AF5&gt;0,AF5,"")</f>
        <v>8.1</v>
      </c>
      <c r="AR5" s="36">
        <f>IF(SUM(AC5:AF5)-AG5&gt;0,SUM(AC5:AF5)-AG5,"")</f>
        <v>27.6</v>
      </c>
      <c r="AS5" s="36">
        <f>IF(SUM(AO5,AR5)&gt;0,SUM(AO5,AR5),"")</f>
        <v>112.6</v>
      </c>
      <c r="AT5" s="22"/>
      <c r="AU5" s="22"/>
      <c r="AV5" s="22"/>
      <c r="AW5" s="22"/>
      <c r="AX5" s="22"/>
      <c r="AY5" s="22"/>
      <c r="AZ5" s="22"/>
      <c r="BA5" s="22"/>
      <c r="BB5" s="22"/>
      <c r="BC5" s="22"/>
      <c r="BD5" s="22"/>
      <c r="BE5" s="22"/>
      <c r="BF5" s="22"/>
      <c r="BG5" s="22"/>
      <c r="BH5" s="22"/>
      <c r="BI5" s="24"/>
      <c r="BJ5" s="35" t="str">
        <f>IF(AV5&gt;0,AV5,"")</f>
        <v/>
      </c>
      <c r="BK5" s="35" t="str">
        <f>IF(AW5&gt;0,AW5,"")</f>
        <v/>
      </c>
      <c r="BL5" s="11" t="str">
        <f>IF(SUM(AT5:AW5)-AX5&gt;0,SUM(AT5:AW5)-AX5,"")</f>
        <v/>
      </c>
      <c r="BM5" s="11" t="str">
        <f>IF(BA5&gt;0,BA5,"")</f>
        <v/>
      </c>
      <c r="BN5" s="11" t="str">
        <f>IF(BB5&gt;0,BB5,"")</f>
        <v/>
      </c>
      <c r="BO5" s="11" t="str">
        <f>IF(SUM(AY5:BB5)-BC5&gt;0,SUM(AY5:BB5)-BC5,"")</f>
        <v/>
      </c>
      <c r="BP5" s="11" t="str">
        <f>IF(BL5="","",SUM(BL5,BO5))</f>
        <v/>
      </c>
      <c r="BQ5" s="11" t="str">
        <f>IF(BF5&gt;0,BF5,"")</f>
        <v/>
      </c>
      <c r="BR5" s="11" t="str">
        <f>IF(BG5&gt;0,BG5,"")</f>
        <v/>
      </c>
      <c r="BS5" s="11" t="str">
        <f>IF(SUM(BD5:BG5)-BH5&gt;0,SUM(BD5:BG5)-BH5,"")</f>
        <v/>
      </c>
      <c r="BT5" s="11" t="str">
        <f>IF(SUM(BP5,BS5)&gt;0,SUM(BP5,BS5),"")</f>
        <v/>
      </c>
      <c r="BU5" s="47" t="str">
        <f>IF(MAX(CS5,EA5,FI5,GQ5,HY5,JG5,KO5,LW5,NE5,OM5,PU5,RC5,SK5,TS5,VA5)-IF(J5="",0,J5)&gt;0.001,MAX(CS5,EA5,FI5,GQ5,HY5,JG5,KO5,LW5,NE5,OM5,PU5,RC5,SK5,TS5,VA5)-IF(J5="",0,J5),"")</f>
        <v/>
      </c>
      <c r="BV5" s="47" t="str">
        <f>IF(MAX(CV5,CZ5,DC5,ED5,EH5,EK5,FL5,FP5,FS5,GT5,GX5,HA5,IB5,IF5,II5,JJ5,JN5,JQ5,KR5,KV5,KY5,LZ5,MD5,MG5,NH5,NL5,NO5,OP5,OT5,OW5,PX5,QB5,QE5,RF5,RJ5,RM5,SN5,SR5,SU5,TV5,TZ5,UC5,VD5,VH5,VK5)-MIN(L5,N5)&gt;0.001,MAX(CV5,CZ5,DC5,ED5,EH5,EK5,FL5,FP5,FS5,GT5,GX5,HA5,IB5,IF5,II5,JJ5,JN5,JQ5,KR5,KV5,KY5,LZ5,MD5,MG5,NH5,NL5,NO5,OP5,OT5,OW5,PX5,QB5,QE5,RF5,RJ5,RM5,SN5,SR5,SU5,TV5,TZ5,UC5,VD5,VH5,VK5)-MIN(L5,N5),"")</f>
        <v/>
      </c>
      <c r="BW5" s="15"/>
      <c r="BX5" s="15"/>
      <c r="BY5" s="15"/>
      <c r="BZ5" s="15"/>
      <c r="CA5" s="15"/>
      <c r="CB5" s="15"/>
      <c r="CC5" s="15"/>
      <c r="CD5" s="15"/>
      <c r="CE5" s="15"/>
      <c r="CF5" s="15"/>
      <c r="CG5" s="15"/>
      <c r="CH5" s="15"/>
      <c r="CI5" s="15"/>
      <c r="CJ5" s="15"/>
      <c r="CK5" s="15"/>
      <c r="CL5" s="15"/>
      <c r="CM5" s="15"/>
      <c r="CN5" s="15"/>
      <c r="CO5" s="15"/>
      <c r="CP5" s="15"/>
      <c r="CQ5" s="36" t="str">
        <f>IF(BY5&gt;0,BY5,"")</f>
        <v/>
      </c>
      <c r="CR5" s="36" t="str">
        <f>IF(BZ5&gt;0,BZ5,"")</f>
        <v/>
      </c>
      <c r="CS5" s="36" t="str">
        <f>IF(SUM(BW5:BZ5)-CA5&gt;0,SUM(BW5:BZ5)-CA5,"")</f>
        <v/>
      </c>
      <c r="CT5" s="36" t="str">
        <f>IF(CD5&gt;0,CD5,"")</f>
        <v/>
      </c>
      <c r="CU5" s="36" t="str">
        <f>IF(CE5&gt;0,CE5,"")</f>
        <v/>
      </c>
      <c r="CV5" s="36" t="str">
        <f>IF(SUM(CB5:CE5)-CF5&gt;0,SUM(CB5:CE5)-CF5,"")</f>
        <v/>
      </c>
      <c r="CW5" s="36" t="str">
        <f>IF(MAX(CS5,CV5)&gt;0,SUM(CS5,CV5),"")</f>
        <v/>
      </c>
      <c r="CX5" s="36" t="str">
        <f>IF(CI5&gt;0,CI5,"")</f>
        <v/>
      </c>
      <c r="CY5" s="36" t="str">
        <f>IF(CJ5&gt;0,CJ5,"")</f>
        <v/>
      </c>
      <c r="CZ5" s="36" t="str">
        <f>IF(SUM(CG5:CJ5)-CK5&gt;0,SUM(CG5:CJ5)-CK5,"")</f>
        <v/>
      </c>
      <c r="DA5" s="36" t="str">
        <f>IF(CN5&gt;0,CN5,"")</f>
        <v/>
      </c>
      <c r="DB5" s="36" t="str">
        <f>IF(CO5&gt;0,CO5,"")</f>
        <v/>
      </c>
      <c r="DC5" s="36" t="str">
        <f>IF(SUM(CL5:CO5)-CP5&gt;0,SUM(CL5:CO5)-CP5,"")</f>
        <v/>
      </c>
      <c r="DD5" s="36" t="str">
        <f>IF(SUM(CW5,CZ5,DC5)&gt;0,SUM(CW5,CZ5,DC5),"")</f>
        <v/>
      </c>
      <c r="DE5" s="16"/>
      <c r="DF5" s="16"/>
      <c r="DG5" s="16"/>
      <c r="DH5" s="16"/>
      <c r="DI5" s="16"/>
      <c r="DJ5" s="16"/>
      <c r="DK5" s="16"/>
      <c r="DL5" s="16"/>
      <c r="DM5" s="16"/>
      <c r="DN5" s="16"/>
      <c r="DO5" s="16"/>
      <c r="DP5" s="16"/>
      <c r="DQ5" s="16"/>
      <c r="DR5" s="16"/>
      <c r="DS5" s="16"/>
      <c r="DT5" s="16"/>
      <c r="DU5" s="16"/>
      <c r="DV5" s="16"/>
      <c r="DW5" s="16"/>
      <c r="DX5" s="16"/>
      <c r="DY5" s="11" t="str">
        <f>IF(DG5&gt;0,DG5,"")</f>
        <v/>
      </c>
      <c r="DZ5" s="11" t="str">
        <f>IF(DH5&gt;0,DH5,"")</f>
        <v/>
      </c>
      <c r="EA5" s="11" t="str">
        <f>IF(SUM(DE5:DH5)-DI5&gt;0,SUM(DE5:DH5)-DI5,"")</f>
        <v/>
      </c>
      <c r="EB5" s="11" t="str">
        <f>IF(DL5&gt;0,DL5,"")</f>
        <v/>
      </c>
      <c r="EC5" s="11" t="str">
        <f>IF(DM5&gt;0,DM5,"")</f>
        <v/>
      </c>
      <c r="ED5" s="11" t="str">
        <f>IF(SUM(DJ5:DM5)-DN5&gt;0,SUM(DJ5:DM5)-DN5,"")</f>
        <v/>
      </c>
      <c r="EE5" s="11" t="str">
        <f>IF(MAX(EA5,ED5)&gt;0,SUM(EA5,ED5),"")</f>
        <v/>
      </c>
      <c r="EF5" s="11" t="str">
        <f>IF(DQ5&gt;0,DQ5,"")</f>
        <v/>
      </c>
      <c r="EG5" s="11" t="str">
        <f>IF(DR5&gt;0,DR5,"")</f>
        <v/>
      </c>
      <c r="EH5" s="11" t="str">
        <f>IF(SUM(DO5:DR5)-DS5&gt;0,SUM(DO5:DR5)-DS5,"")</f>
        <v/>
      </c>
      <c r="EI5" s="11" t="str">
        <f>IF(DV5&gt;0,DV5,"")</f>
        <v/>
      </c>
      <c r="EJ5" s="11" t="str">
        <f>IF(DW5&gt;0,DW5,"")</f>
        <v/>
      </c>
      <c r="EK5" s="11" t="str">
        <f>IF(SUM(DT5:DW5)-DX5&gt;0,SUM(DT5:DW5)-DX5,"")</f>
        <v/>
      </c>
      <c r="EL5" s="11" t="str">
        <f>IF(SUM(EE5,EH5,EK5)&gt;0,SUM(EE5,EH5,EK5),"")</f>
        <v/>
      </c>
      <c r="EM5" s="15"/>
      <c r="EN5" s="15"/>
      <c r="EO5" s="15"/>
      <c r="EP5" s="15"/>
      <c r="EQ5" s="15"/>
      <c r="ER5" s="15"/>
      <c r="ES5" s="15"/>
      <c r="ET5" s="15"/>
      <c r="EU5" s="15"/>
      <c r="EV5" s="15"/>
      <c r="EW5" s="15"/>
      <c r="EX5" s="15"/>
      <c r="EY5" s="15"/>
      <c r="EZ5" s="15"/>
      <c r="FA5" s="15"/>
      <c r="FB5" s="15"/>
      <c r="FC5" s="15"/>
      <c r="FD5" s="15"/>
      <c r="FE5" s="15"/>
      <c r="FF5" s="15"/>
      <c r="FG5" s="36" t="str">
        <f>IF(EO5&gt;0,EO5,"")</f>
        <v/>
      </c>
      <c r="FH5" s="36" t="str">
        <f>IF(EP5&gt;0,EP5,"")</f>
        <v/>
      </c>
      <c r="FI5" s="36" t="str">
        <f>IF(SUM(EM5:EP5)-EQ5&gt;0,SUM(EM5:EP5)-EQ5,"")</f>
        <v/>
      </c>
      <c r="FJ5" s="36" t="str">
        <f>IF(ET5&gt;0,ET5,"")</f>
        <v/>
      </c>
      <c r="FK5" s="36" t="str">
        <f>IF(EU5&gt;0,EU5,"")</f>
        <v/>
      </c>
      <c r="FL5" s="36" t="str">
        <f>IF(SUM(ER5:EU5)-EV5&gt;0,SUM(ER5:EU5)-EV5,"")</f>
        <v/>
      </c>
      <c r="FM5" s="36" t="str">
        <f>IF(MAX(FI5,FL5)&gt;0,SUM(FI5,FL5),"")</f>
        <v/>
      </c>
      <c r="FN5" s="36" t="str">
        <f>IF(EY5&gt;0,EY5,"")</f>
        <v/>
      </c>
      <c r="FO5" s="36" t="str">
        <f>IF(EZ5&gt;0,EZ5,"")</f>
        <v/>
      </c>
      <c r="FP5" s="36" t="str">
        <f>IF(SUM(EW5:EZ5)-FA5&gt;0,SUM(EW5:EZ5)-FA5,"")</f>
        <v/>
      </c>
      <c r="FQ5" s="36" t="str">
        <f>IF(FD5&gt;0,FD5,"")</f>
        <v/>
      </c>
      <c r="FR5" s="36" t="str">
        <f>IF(FE5&gt;0,FE5,"")</f>
        <v/>
      </c>
      <c r="FS5" s="36" t="str">
        <f>IF(SUM(FB5:FE5)-FF5&gt;0,SUM(FB5:FE5)-FF5,"")</f>
        <v/>
      </c>
      <c r="FT5" s="36" t="str">
        <f>IF(SUM(FM5,FP5,FS5)&gt;0,SUM(FM5,FP5,FS5),"")</f>
        <v/>
      </c>
      <c r="FU5" s="16"/>
      <c r="FV5" s="16"/>
      <c r="FW5" s="16"/>
      <c r="FX5" s="16"/>
      <c r="FY5" s="16"/>
      <c r="FZ5" s="16"/>
      <c r="GA5" s="16"/>
      <c r="GB5" s="16"/>
      <c r="GC5" s="16"/>
      <c r="GD5" s="16"/>
      <c r="GE5" s="16"/>
      <c r="GF5" s="16"/>
      <c r="GG5" s="16"/>
      <c r="GH5" s="16"/>
      <c r="GI5" s="16"/>
      <c r="GJ5" s="16"/>
      <c r="GK5" s="16"/>
      <c r="GL5" s="16"/>
      <c r="GM5" s="16"/>
      <c r="GN5" s="16"/>
      <c r="GO5" s="11" t="str">
        <f>IF(FW5&gt;0,FW5,"")</f>
        <v/>
      </c>
      <c r="GP5" s="11" t="str">
        <f>IF(FX5&gt;0,FX5,"")</f>
        <v/>
      </c>
      <c r="GQ5" s="11" t="str">
        <f>IF(SUM(FU5:FX5)-FY5&gt;0,SUM(FU5:FX5)-FY5,"")</f>
        <v/>
      </c>
      <c r="GR5" s="11" t="str">
        <f>IF(GB5&gt;0,GB5,"")</f>
        <v/>
      </c>
      <c r="GS5" s="11" t="str">
        <f>IF(GC5&gt;0,GC5,"")</f>
        <v/>
      </c>
      <c r="GT5" s="11" t="str">
        <f>IF(SUM(FZ5:GC5)-GD5&gt;0,SUM(FZ5:GC5)-GD5,"")</f>
        <v/>
      </c>
      <c r="GU5" s="11" t="str">
        <f>IF(MAX(GQ5,GT5)&gt;0,SUM(GQ5,GT5),"")</f>
        <v/>
      </c>
      <c r="GV5" s="11" t="str">
        <f>IF(GG5&gt;0,GG5,"")</f>
        <v/>
      </c>
      <c r="GW5" s="11" t="str">
        <f>IF(GH5&gt;0,GH5,"")</f>
        <v/>
      </c>
      <c r="GX5" s="11" t="str">
        <f>IF(SUM(GE5:GH5)-GI5&gt;0,SUM(GE5:GH5)-GI5,"")</f>
        <v/>
      </c>
      <c r="GY5" s="11" t="str">
        <f>IF(GL5&gt;0,GL5,"")</f>
        <v/>
      </c>
      <c r="GZ5" s="11" t="str">
        <f>IF(GM5&gt;0,GM5,"")</f>
        <v/>
      </c>
      <c r="HA5" s="11" t="str">
        <f>IF(SUM(GJ5:GM5)-GN5&gt;0,SUM(GJ5:GM5)-GN5,"")</f>
        <v/>
      </c>
      <c r="HB5" s="11" t="str">
        <f>IF(SUM(GU5,GX5,HA5)&gt;0,SUM(GU5,GX5,HA5),"")</f>
        <v/>
      </c>
      <c r="HC5" s="15"/>
      <c r="HD5" s="15"/>
      <c r="HE5" s="15"/>
      <c r="HF5" s="15"/>
      <c r="HG5" s="15"/>
      <c r="HH5" s="15"/>
      <c r="HI5" s="15"/>
      <c r="HJ5" s="15"/>
      <c r="HK5" s="15"/>
      <c r="HL5" s="15"/>
      <c r="HM5" s="15"/>
      <c r="HN5" s="15"/>
      <c r="HO5" s="15"/>
      <c r="HP5" s="15"/>
      <c r="HQ5" s="15"/>
      <c r="HR5" s="15"/>
      <c r="HS5" s="15"/>
      <c r="HT5" s="15"/>
      <c r="HU5" s="15"/>
      <c r="HV5" s="15"/>
      <c r="HW5" s="36" t="str">
        <f>IF(HE5&gt;0,HE5,"")</f>
        <v/>
      </c>
      <c r="HX5" s="36" t="str">
        <f>IF(HF5&gt;0,HF5,"")</f>
        <v/>
      </c>
      <c r="HY5" s="36" t="str">
        <f>IF(SUM(HC5:HF5)-HG5&gt;0,SUM(HC5:HF5)-HG5,"")</f>
        <v/>
      </c>
      <c r="HZ5" s="36" t="str">
        <f>IF(HJ5&gt;0,HJ5,"")</f>
        <v/>
      </c>
      <c r="IA5" s="36" t="str">
        <f>IF(HK5&gt;0,HK5,"")</f>
        <v/>
      </c>
      <c r="IB5" s="36" t="str">
        <f>IF(SUM(HH5:HK5)-HL5&gt;0,SUM(HH5:HK5)-HL5,"")</f>
        <v/>
      </c>
      <c r="IC5" s="36" t="str">
        <f>IF(MAX(HY5,IB5)&gt;0,SUM(HY5,IB5),"")</f>
        <v/>
      </c>
      <c r="ID5" s="36" t="str">
        <f>IF(HO5&gt;0,HO5,"")</f>
        <v/>
      </c>
      <c r="IE5" s="36" t="str">
        <f>IF(HP5&gt;0,HP5,"")</f>
        <v/>
      </c>
      <c r="IF5" s="36" t="str">
        <f>IF(SUM(HM5:HP5)-HQ5&gt;0,SUM(HM5:HP5)-HQ5,"")</f>
        <v/>
      </c>
      <c r="IG5" s="36" t="str">
        <f>IF(HT5&gt;0,HT5,"")</f>
        <v/>
      </c>
      <c r="IH5" s="36" t="str">
        <f>IF(HU5&gt;0,HU5,"")</f>
        <v/>
      </c>
      <c r="II5" s="36" t="str">
        <f>IF(SUM(HR5:HU5)-HV5&gt;0,SUM(HR5:HU5)-HV5,"")</f>
        <v/>
      </c>
      <c r="IJ5" s="36" t="str">
        <f>IF(SUM(IC5,IF5,II5)&gt;0,SUM(IC5,IF5,II5),"")</f>
        <v/>
      </c>
      <c r="IK5" s="16"/>
      <c r="IL5" s="16"/>
      <c r="IM5" s="16"/>
      <c r="IN5" s="16"/>
      <c r="IO5" s="16"/>
      <c r="IP5" s="16"/>
      <c r="IQ5" s="16"/>
      <c r="IR5" s="16"/>
      <c r="IS5" s="16"/>
      <c r="IT5" s="16"/>
      <c r="IU5" s="16"/>
      <c r="IV5" s="16"/>
      <c r="IW5" s="16"/>
      <c r="IX5" s="16"/>
      <c r="IY5" s="16"/>
      <c r="IZ5" s="16"/>
      <c r="JA5" s="16"/>
      <c r="JB5" s="16"/>
      <c r="JC5" s="16"/>
      <c r="JD5" s="16"/>
      <c r="JE5" s="11" t="str">
        <f>IF(IM5&gt;0,IM5,"")</f>
        <v/>
      </c>
      <c r="JF5" s="11" t="str">
        <f>IF(IN5&gt;0,IN5,"")</f>
        <v/>
      </c>
      <c r="JG5" s="11" t="str">
        <f>IF(SUM(IK5:IN5)-IO5&gt;0,SUM(IK5:IN5)-IO5,"")</f>
        <v/>
      </c>
      <c r="JH5" s="11" t="str">
        <f>IF(IR5&gt;0,IR5,"")</f>
        <v/>
      </c>
      <c r="JI5" s="11" t="str">
        <f>IF(IS5&gt;0,IS5,"")</f>
        <v/>
      </c>
      <c r="JJ5" s="11" t="str">
        <f>IF(SUM(IP5:IS5)-IT5&gt;0,SUM(IP5:IS5)-IT5,"")</f>
        <v/>
      </c>
      <c r="JK5" s="11" t="str">
        <f>IF(MAX(JG5,JJ5)&gt;0,SUM(JG5,JJ5),"")</f>
        <v/>
      </c>
      <c r="JL5" s="11" t="str">
        <f>IF(IW5&gt;0,IW5,"")</f>
        <v/>
      </c>
      <c r="JM5" s="11" t="str">
        <f>IF(IX5&gt;0,IX5,"")</f>
        <v/>
      </c>
      <c r="JN5" s="11" t="str">
        <f>IF(SUM(IU5:IX5)-IY5&gt;0,SUM(IU5:IX5)-IY5,"")</f>
        <v/>
      </c>
      <c r="JO5" s="11" t="str">
        <f>IF(JB5&gt;0,JB5,"")</f>
        <v/>
      </c>
      <c r="JP5" s="11" t="str">
        <f>IF(JC5&gt;0,JC5,"")</f>
        <v/>
      </c>
      <c r="JQ5" s="11" t="str">
        <f>IF(SUM(IZ5:JC5)-JD5&gt;0,SUM(IZ5:JC5)-JD5,"")</f>
        <v/>
      </c>
      <c r="JR5" s="11" t="str">
        <f>IF(SUM(JK5,JN5,JQ5)&gt;0,SUM(JK5,JN5,JQ5),"")</f>
        <v/>
      </c>
      <c r="JS5" s="15"/>
      <c r="JT5" s="15"/>
      <c r="JU5" s="15"/>
      <c r="JV5" s="15"/>
      <c r="JW5" s="15"/>
      <c r="JX5" s="15"/>
      <c r="JY5" s="15"/>
      <c r="JZ5" s="15"/>
      <c r="KA5" s="15"/>
      <c r="KB5" s="15"/>
      <c r="KC5" s="15"/>
      <c r="KD5" s="15"/>
      <c r="KE5" s="15"/>
      <c r="KF5" s="15"/>
      <c r="KG5" s="15"/>
      <c r="KH5" s="15"/>
      <c r="KI5" s="15"/>
      <c r="KJ5" s="15"/>
      <c r="KK5" s="15"/>
      <c r="KL5" s="15"/>
      <c r="KM5" s="36" t="str">
        <f>IF(JU5&gt;0,JU5,"")</f>
        <v/>
      </c>
      <c r="KN5" s="36" t="str">
        <f>IF(JV5&gt;0,JV5,"")</f>
        <v/>
      </c>
      <c r="KO5" s="36" t="str">
        <f>IF(SUM(JS5:JV5)-JW5&gt;0,SUM(JS5:JV5)-JW5,"")</f>
        <v/>
      </c>
      <c r="KP5" s="36" t="str">
        <f>IF(JZ5&gt;0,JZ5,"")</f>
        <v/>
      </c>
      <c r="KQ5" s="36" t="str">
        <f>IF(KA5&gt;0,KA5,"")</f>
        <v/>
      </c>
      <c r="KR5" s="36" t="str">
        <f>IF(SUM(JX5:KA5)-KB5&gt;0,SUM(JX5:KA5)-KB5,"")</f>
        <v/>
      </c>
      <c r="KS5" s="36" t="str">
        <f>IF(MAX(KO5,KR5)&gt;0,SUM(KO5,KR5),"")</f>
        <v/>
      </c>
      <c r="KT5" s="36" t="str">
        <f>IF(KE5&gt;0,KE5,"")</f>
        <v/>
      </c>
      <c r="KU5" s="36" t="str">
        <f>IF(KF5&gt;0,KF5,"")</f>
        <v/>
      </c>
      <c r="KV5" s="36" t="str">
        <f>IF(SUM(KC5:KF5)-KG5&gt;0,SUM(KC5:KF5)-KG5,"")</f>
        <v/>
      </c>
      <c r="KW5" s="36" t="str">
        <f>IF(KJ5&gt;0,KJ5,"")</f>
        <v/>
      </c>
      <c r="KX5" s="36" t="str">
        <f>IF(KK5&gt;0,KK5,"")</f>
        <v/>
      </c>
      <c r="KY5" s="36" t="str">
        <f>IF(SUM(KH5:KK5)-KL5&gt;0,SUM(KH5:KK5)-KL5,"")</f>
        <v/>
      </c>
      <c r="KZ5" s="36" t="str">
        <f>IF(SUM(KS5,KV5,KY5)&gt;0,SUM(KS5,KV5,KY5),"")</f>
        <v/>
      </c>
      <c r="LA5" s="16"/>
      <c r="LB5" s="16"/>
      <c r="LC5" s="16"/>
      <c r="LD5" s="16"/>
      <c r="LE5" s="16"/>
      <c r="LF5" s="16"/>
      <c r="LG5" s="16"/>
      <c r="LH5" s="16"/>
      <c r="LI5" s="16"/>
      <c r="LJ5" s="16"/>
      <c r="LK5" s="16"/>
      <c r="LL5" s="16"/>
      <c r="LM5" s="16"/>
      <c r="LN5" s="16"/>
      <c r="LO5" s="16"/>
      <c r="LP5" s="16"/>
      <c r="LQ5" s="16"/>
      <c r="LR5" s="16"/>
      <c r="LS5" s="16"/>
      <c r="LT5" s="16"/>
      <c r="LU5" s="11" t="str">
        <f>IF(LC5&gt;0,LC5,"")</f>
        <v/>
      </c>
      <c r="LV5" s="11" t="str">
        <f>IF(LD5&gt;0,LD5,"")</f>
        <v/>
      </c>
      <c r="LW5" s="11" t="str">
        <f>IF(SUM(LA5:LD5)-LE5&gt;0,SUM(LA5:LD5)-LE5,"")</f>
        <v/>
      </c>
      <c r="LX5" s="11" t="str">
        <f>IF(LH5&gt;0,LH5,"")</f>
        <v/>
      </c>
      <c r="LY5" s="11" t="str">
        <f>IF(LI5&gt;0,LI5,"")</f>
        <v/>
      </c>
      <c r="LZ5" s="11" t="str">
        <f>IF(SUM(LF5:LI5)-LJ5&gt;0,SUM(LF5:LI5)-LJ5,"")</f>
        <v/>
      </c>
      <c r="MA5" s="11" t="str">
        <f>IF(MAX(LW5,LZ5)&gt;0,SUM(LW5,LZ5),"")</f>
        <v/>
      </c>
      <c r="MB5" s="11" t="str">
        <f>IF(LM5&gt;0,LM5,"")</f>
        <v/>
      </c>
      <c r="MC5" s="11" t="str">
        <f>IF(LN5&gt;0,LN5,"")</f>
        <v/>
      </c>
      <c r="MD5" s="11" t="str">
        <f>IF(SUM(LK5:LN5)-LO5&gt;0,SUM(LK5:LN5)-LO5,"")</f>
        <v/>
      </c>
      <c r="ME5" s="11" t="str">
        <f>IF(LR5&gt;0,LR5,"")</f>
        <v/>
      </c>
      <c r="MF5" s="11" t="str">
        <f>IF(LS5&gt;0,LS5,"")</f>
        <v/>
      </c>
      <c r="MG5" s="11" t="str">
        <f>IF(SUM(LP5:LS5)-LT5&gt;0,SUM(LP5:LS5)-LT5,"")</f>
        <v/>
      </c>
      <c r="MH5" s="11" t="str">
        <f>IF(SUM(MA5,MD5,MG5)&gt;0,SUM(MA5,MD5,MG5),"")</f>
        <v/>
      </c>
      <c r="MI5" s="15"/>
      <c r="MJ5" s="15"/>
      <c r="MK5" s="15"/>
      <c r="ML5" s="15"/>
      <c r="MM5" s="15"/>
      <c r="MN5" s="15"/>
      <c r="MO5" s="15"/>
      <c r="MP5" s="15"/>
      <c r="MQ5" s="15"/>
      <c r="MR5" s="15"/>
      <c r="MS5" s="15"/>
      <c r="MT5" s="15"/>
      <c r="MU5" s="15"/>
      <c r="MV5" s="15"/>
      <c r="MW5" s="15"/>
      <c r="MX5" s="15"/>
      <c r="MY5" s="15"/>
      <c r="MZ5" s="15"/>
      <c r="NA5" s="15"/>
      <c r="NB5" s="15"/>
      <c r="NC5" s="36" t="str">
        <f>IF(MK5&gt;0,MK5,"")</f>
        <v/>
      </c>
      <c r="ND5" s="36" t="str">
        <f>IF(ML5&gt;0,ML5,"")</f>
        <v/>
      </c>
      <c r="NE5" s="36" t="str">
        <f>IF(SUM(MI5:ML5)-MM5&gt;0,SUM(MI5:ML5)-MM5,"")</f>
        <v/>
      </c>
      <c r="NF5" s="36" t="str">
        <f>IF(MP5&gt;0,MP5,"")</f>
        <v/>
      </c>
      <c r="NG5" s="36" t="str">
        <f>IF(MQ5&gt;0,MQ5,"")</f>
        <v/>
      </c>
      <c r="NH5" s="36" t="str">
        <f>IF(SUM(MN5:MQ5)-MR5&gt;0,SUM(MN5:MQ5)-MR5,"")</f>
        <v/>
      </c>
      <c r="NI5" s="36" t="str">
        <f>IF(MAX(NE5,NH5)&gt;0,SUM(NE5,NH5),"")</f>
        <v/>
      </c>
      <c r="NJ5" s="36" t="str">
        <f>IF(MU5&gt;0,MU5,"")</f>
        <v/>
      </c>
      <c r="NK5" s="36" t="str">
        <f>IF(MV5&gt;0,MV5,"")</f>
        <v/>
      </c>
      <c r="NL5" s="36" t="str">
        <f>IF(SUM(MS5:MV5)-MW5&gt;0,SUM(MS5:MV5)-MW5,"")</f>
        <v/>
      </c>
      <c r="NM5" s="36" t="str">
        <f>IF(MZ5&gt;0,MZ5,"")</f>
        <v/>
      </c>
      <c r="NN5" s="36" t="str">
        <f>IF(NA5&gt;0,NA5,"")</f>
        <v/>
      </c>
      <c r="NO5" s="36" t="str">
        <f>IF(SUM(MX5:NA5)-NB5&gt;0,SUM(MX5:NA5)-NB5,"")</f>
        <v/>
      </c>
      <c r="NP5" s="36" t="str">
        <f>IF(SUM(NI5,NL5,NO5)&gt;0,SUM(NI5,NL5,NO5),"")</f>
        <v/>
      </c>
      <c r="NQ5" s="16"/>
      <c r="NR5" s="16"/>
      <c r="NS5" s="16"/>
      <c r="NT5" s="16"/>
      <c r="NU5" s="16"/>
      <c r="NV5" s="16"/>
      <c r="NW5" s="16"/>
      <c r="NX5" s="16"/>
      <c r="NY5" s="16"/>
      <c r="NZ5" s="16"/>
      <c r="OA5" s="16"/>
      <c r="OB5" s="16"/>
      <c r="OC5" s="16"/>
      <c r="OD5" s="16"/>
      <c r="OE5" s="16"/>
      <c r="OF5" s="16"/>
      <c r="OG5" s="16"/>
      <c r="OH5" s="16"/>
      <c r="OI5" s="16"/>
      <c r="OJ5" s="16"/>
      <c r="OK5" s="11" t="str">
        <f>IF(NS5&gt;0,NS5,"")</f>
        <v/>
      </c>
      <c r="OL5" s="11" t="str">
        <f>IF(NT5&gt;0,NT5,"")</f>
        <v/>
      </c>
      <c r="OM5" s="11" t="str">
        <f>IF(SUM(NQ5:NT5)-NU5&gt;0,SUM(NQ5:NT5)-NU5,"")</f>
        <v/>
      </c>
      <c r="ON5" s="11" t="str">
        <f>IF(NX5&gt;0,NX5,"")</f>
        <v/>
      </c>
      <c r="OO5" s="11" t="str">
        <f>IF(NY5&gt;0,NY5,"")</f>
        <v/>
      </c>
      <c r="OP5" s="11" t="str">
        <f>IF(SUM(NV5:NY5)-NZ5&gt;0,SUM(NV5:NY5)-NZ5,"")</f>
        <v/>
      </c>
      <c r="OQ5" s="11" t="str">
        <f>IF(MAX(OM5,OP5)&gt;0,SUM(OM5,OP5),"")</f>
        <v/>
      </c>
      <c r="OR5" s="11" t="str">
        <f>IF(OC5&gt;0,OC5,"")</f>
        <v/>
      </c>
      <c r="OS5" s="11" t="str">
        <f>IF(OD5&gt;0,OD5,"")</f>
        <v/>
      </c>
      <c r="OT5" s="11" t="str">
        <f>IF(SUM(OA5:OD5)-OE5&gt;0,SUM(OA5:OD5)-OE5,"")</f>
        <v/>
      </c>
      <c r="OU5" s="11" t="str">
        <f>IF(OH5&gt;0,OH5,"")</f>
        <v/>
      </c>
      <c r="OV5" s="11" t="str">
        <f>IF(OI5&gt;0,OI5,"")</f>
        <v/>
      </c>
      <c r="OW5" s="11" t="str">
        <f>IF(SUM(OF5:OI5)-OJ5&gt;0,SUM(OF5:OI5)-OJ5,"")</f>
        <v/>
      </c>
      <c r="OX5" s="11" t="str">
        <f>IF(SUM(OQ5,OT5,OW5)&gt;0,SUM(OQ5,OT5,OW5),"")</f>
        <v/>
      </c>
      <c r="OY5" s="15"/>
      <c r="OZ5" s="15"/>
      <c r="PA5" s="15"/>
      <c r="PB5" s="15"/>
      <c r="PC5" s="15"/>
      <c r="PD5" s="15"/>
      <c r="PE5" s="15"/>
      <c r="PF5" s="15"/>
      <c r="PG5" s="15"/>
      <c r="PH5" s="15"/>
      <c r="PI5" s="15"/>
      <c r="PJ5" s="15"/>
      <c r="PK5" s="15"/>
      <c r="PL5" s="15"/>
      <c r="PM5" s="15"/>
      <c r="PN5" s="15"/>
      <c r="PO5" s="15"/>
      <c r="PP5" s="15"/>
      <c r="PQ5" s="15"/>
      <c r="PR5" s="15"/>
      <c r="PS5" s="36" t="str">
        <f>IF(PA5&gt;0,PA5,"")</f>
        <v/>
      </c>
      <c r="PT5" s="36" t="str">
        <f>IF(PB5&gt;0,PB5,"")</f>
        <v/>
      </c>
      <c r="PU5" s="36" t="str">
        <f>IF(SUM(OY5:PB5)-PC5&gt;0,SUM(OY5:PB5)-PC5,"")</f>
        <v/>
      </c>
      <c r="PV5" s="36" t="str">
        <f>IF(PF5&gt;0,PF5,"")</f>
        <v/>
      </c>
      <c r="PW5" s="36" t="str">
        <f>IF(PG5&gt;0,PG5,"")</f>
        <v/>
      </c>
      <c r="PX5" s="36" t="str">
        <f>IF(SUM(PD5:PG5)-PH5&gt;0,SUM(PD5:PG5)-PH5,"")</f>
        <v/>
      </c>
      <c r="PY5" s="36" t="str">
        <f>IF(MAX(PU5,PX5)&gt;0,SUM(PU5,PX5),"")</f>
        <v/>
      </c>
      <c r="PZ5" s="36" t="str">
        <f>IF(PK5&gt;0,PK5,"")</f>
        <v/>
      </c>
      <c r="QA5" s="36" t="str">
        <f>IF(PL5&gt;0,PL5,"")</f>
        <v/>
      </c>
      <c r="QB5" s="36" t="str">
        <f>IF(SUM(PI5:PL5)-PM5&gt;0,SUM(PI5:PL5)-PM5,"")</f>
        <v/>
      </c>
      <c r="QC5" s="36" t="str">
        <f>IF(PP5&gt;0,PP5,"")</f>
        <v/>
      </c>
      <c r="QD5" s="36" t="str">
        <f>IF(PQ5&gt;0,PQ5,"")</f>
        <v/>
      </c>
      <c r="QE5" s="36" t="str">
        <f>IF(SUM(PN5:PQ5)-PR5&gt;0,SUM(PN5:PQ5)-PR5,"")</f>
        <v/>
      </c>
      <c r="QF5" s="36" t="str">
        <f>IF(SUM(PY5,QB5,QE5)&gt;0,SUM(PY5,QB5,QE5),"")</f>
        <v/>
      </c>
      <c r="QG5" s="16"/>
      <c r="QH5" s="16"/>
      <c r="QI5" s="16"/>
      <c r="QJ5" s="16"/>
      <c r="QK5" s="16"/>
      <c r="QL5" s="16"/>
      <c r="QM5" s="16"/>
      <c r="QN5" s="16"/>
      <c r="QO5" s="16"/>
      <c r="QP5" s="16"/>
      <c r="QQ5" s="16"/>
      <c r="QR5" s="16"/>
      <c r="QS5" s="16"/>
      <c r="QT5" s="16"/>
      <c r="QU5" s="16"/>
      <c r="QV5" s="16"/>
      <c r="QW5" s="16"/>
      <c r="QX5" s="16"/>
      <c r="QY5" s="16"/>
      <c r="QZ5" s="16"/>
      <c r="RA5" s="11" t="str">
        <f>IF(QI5&gt;0,QI5,"")</f>
        <v/>
      </c>
      <c r="RB5" s="11" t="str">
        <f>IF(QJ5&gt;0,QJ5,"")</f>
        <v/>
      </c>
      <c r="RC5" s="11" t="str">
        <f>IF(SUM(QG5:QJ5)-QK5&gt;0,SUM(QG5:QJ5)-QK5,"")</f>
        <v/>
      </c>
      <c r="RD5" s="11" t="str">
        <f>IF(QN5&gt;0,QN5,"")</f>
        <v/>
      </c>
      <c r="RE5" s="11" t="str">
        <f>IF(QO5&gt;0,QO5,"")</f>
        <v/>
      </c>
      <c r="RF5" s="11" t="str">
        <f>IF(SUM(QL5:QO5)-QP5&gt;0,SUM(QL5:QO5)-QP5,"")</f>
        <v/>
      </c>
      <c r="RG5" s="11" t="str">
        <f>IF(MAX(RC5,RF5)&gt;0,SUM(RC5,RF5),"")</f>
        <v/>
      </c>
      <c r="RH5" s="11" t="str">
        <f>IF(QS5&gt;0,QS5,"")</f>
        <v/>
      </c>
      <c r="RI5" s="11" t="str">
        <f>IF(QT5&gt;0,QT5,"")</f>
        <v/>
      </c>
      <c r="RJ5" s="11" t="str">
        <f>IF(SUM(QQ5:QT5)-QU5&gt;0,SUM(QQ5:QT5)-QU5,"")</f>
        <v/>
      </c>
      <c r="RK5" s="11" t="str">
        <f>IF(QX5&gt;0,QX5,"")</f>
        <v/>
      </c>
      <c r="RL5" s="11" t="str">
        <f>IF(QY5&gt;0,QY5,"")</f>
        <v/>
      </c>
      <c r="RM5" s="11" t="str">
        <f>IF(SUM(QV5:QY5)-QZ5&gt;0,SUM(QV5:QY5)-QZ5,"")</f>
        <v/>
      </c>
      <c r="RN5" s="11" t="str">
        <f>IF(SUM(RG5,RJ5,RM5)&gt;0,SUM(RG5,RJ5,RM5),"")</f>
        <v/>
      </c>
      <c r="RO5" s="15"/>
      <c r="RP5" s="15"/>
      <c r="RQ5" s="15"/>
      <c r="RR5" s="15"/>
      <c r="RS5" s="15"/>
      <c r="RT5" s="15"/>
      <c r="RU5" s="15"/>
      <c r="RV5" s="15"/>
      <c r="RW5" s="15"/>
      <c r="RX5" s="15"/>
      <c r="RY5" s="15"/>
      <c r="RZ5" s="15"/>
      <c r="SA5" s="15"/>
      <c r="SB5" s="15"/>
      <c r="SC5" s="15"/>
      <c r="SD5" s="15"/>
      <c r="SE5" s="15"/>
      <c r="SF5" s="15"/>
      <c r="SG5" s="15"/>
      <c r="SH5" s="15"/>
      <c r="SI5" s="36" t="str">
        <f>IF(RQ5&gt;0,RQ5,"")</f>
        <v/>
      </c>
      <c r="SJ5" s="36" t="str">
        <f>IF(RR5&gt;0,RR5,"")</f>
        <v/>
      </c>
      <c r="SK5" s="36" t="str">
        <f>IF(SUM(RO5:RR5)-RS5&gt;0,SUM(RO5:RR5)-RS5,"")</f>
        <v/>
      </c>
      <c r="SL5" s="36" t="str">
        <f>IF(RV5&gt;0,RV5,"")</f>
        <v/>
      </c>
      <c r="SM5" s="36" t="str">
        <f>IF(RW5&gt;0,RW5,"")</f>
        <v/>
      </c>
      <c r="SN5" s="36" t="str">
        <f>IF(SUM(RT5:RW5)-RX5&gt;0,SUM(RT5:RW5)-RX5,"")</f>
        <v/>
      </c>
      <c r="SO5" s="36" t="str">
        <f>IF(MAX(SK5,SN5)&gt;0,SUM(SK5,SN5),"")</f>
        <v/>
      </c>
      <c r="SP5" s="36" t="str">
        <f>IF(SA5&gt;0,SA5,"")</f>
        <v/>
      </c>
      <c r="SQ5" s="36" t="str">
        <f>IF(SB5&gt;0,SB5,"")</f>
        <v/>
      </c>
      <c r="SR5" s="36" t="str">
        <f>IF(SUM(RY5:SB5)-SC5&gt;0,SUM(RY5:SB5)-SC5,"")</f>
        <v/>
      </c>
      <c r="SS5" s="36" t="str">
        <f>IF(SF5&gt;0,SF5,"")</f>
        <v/>
      </c>
      <c r="ST5" s="36" t="str">
        <f>IF(SG5&gt;0,SG5,"")</f>
        <v/>
      </c>
      <c r="SU5" s="36" t="str">
        <f>IF(SUM(SD5:SG5)-SH5&gt;0,SUM(SD5:SG5)-SH5,"")</f>
        <v/>
      </c>
      <c r="SV5" s="36" t="str">
        <f>IF(SUM(SO5,SR5,SU5)&gt;0,SUM(SO5,SR5,SU5),"")</f>
        <v/>
      </c>
      <c r="SW5" s="16"/>
      <c r="SX5" s="16"/>
      <c r="SY5" s="16"/>
      <c r="SZ5" s="16"/>
      <c r="TA5" s="16"/>
      <c r="TB5" s="16"/>
      <c r="TC5" s="16"/>
      <c r="TD5" s="16"/>
      <c r="TE5" s="16"/>
      <c r="TF5" s="16"/>
      <c r="TG5" s="16"/>
      <c r="TH5" s="16"/>
      <c r="TI5" s="16"/>
      <c r="TJ5" s="16"/>
      <c r="TK5" s="16"/>
      <c r="TL5" s="16"/>
      <c r="TM5" s="16"/>
      <c r="TN5" s="16"/>
      <c r="TO5" s="16"/>
      <c r="TP5" s="16"/>
      <c r="TQ5" s="11" t="str">
        <f>IF(SY5&gt;0,SY5,"")</f>
        <v/>
      </c>
      <c r="TR5" s="11" t="str">
        <f>IF(SZ5&gt;0,SZ5,"")</f>
        <v/>
      </c>
      <c r="TS5" s="11" t="str">
        <f>IF(SUM(SW5:SZ5)-TA5&gt;0,SUM(SW5:SZ5)-TA5,"")</f>
        <v/>
      </c>
      <c r="TT5" s="11" t="str">
        <f>IF(TD5&gt;0,TD5,"")</f>
        <v/>
      </c>
      <c r="TU5" s="11" t="str">
        <f>IF(TE5&gt;0,TE5,"")</f>
        <v/>
      </c>
      <c r="TV5" s="11" t="str">
        <f>IF(SUM(TB5:TE5)-TF5&gt;0,SUM(TB5:TE5)-TF5,"")</f>
        <v/>
      </c>
      <c r="TW5" s="11" t="str">
        <f>IF(MAX(TS5,TV5)&gt;0,SUM(TS5,TV5),"")</f>
        <v/>
      </c>
      <c r="TX5" s="11" t="str">
        <f>IF(TI5&gt;0,TI5,"")</f>
        <v/>
      </c>
      <c r="TY5" s="11" t="str">
        <f>IF(TJ5&gt;0,TJ5,"")</f>
        <v/>
      </c>
      <c r="TZ5" s="11" t="str">
        <f>IF(SUM(TG5:TJ5)-TK5&gt;0,SUM(TG5:TJ5)-TK5,"")</f>
        <v/>
      </c>
      <c r="UA5" s="11" t="str">
        <f>IF(TN5&gt;0,TN5,"")</f>
        <v/>
      </c>
      <c r="UB5" s="11" t="str">
        <f>IF(TO5&gt;0,TO5,"")</f>
        <v/>
      </c>
      <c r="UC5" s="11" t="str">
        <f>IF(SUM(TL5:TO5)-TP5&gt;0,SUM(TL5:TO5)-TP5,"")</f>
        <v/>
      </c>
      <c r="UD5" s="11" t="str">
        <f>IF(SUM(TW5,TZ5,UC5)&gt;0,SUM(TW5,TZ5,UC5),"")</f>
        <v/>
      </c>
      <c r="UE5" s="15"/>
      <c r="UF5" s="15"/>
      <c r="UG5" s="15"/>
      <c r="UH5" s="15"/>
      <c r="UI5" s="15"/>
      <c r="UJ5" s="15"/>
      <c r="UK5" s="15"/>
      <c r="UL5" s="15"/>
      <c r="UM5" s="15"/>
      <c r="UN5" s="15"/>
      <c r="UO5" s="15"/>
      <c r="UP5" s="15"/>
      <c r="UQ5" s="15"/>
      <c r="UR5" s="15"/>
      <c r="US5" s="15"/>
      <c r="UT5" s="15"/>
      <c r="UU5" s="15"/>
      <c r="UV5" s="15"/>
      <c r="UW5" s="15"/>
      <c r="UX5" s="15"/>
      <c r="UY5" s="36" t="str">
        <f>IF(UG5&gt;0,UG5,"")</f>
        <v/>
      </c>
      <c r="UZ5" s="36" t="str">
        <f>IF(UH5&gt;0,UH5,"")</f>
        <v/>
      </c>
      <c r="VA5" s="36" t="str">
        <f>IF(SUM(UE5:UH5)-UI5&gt;0,SUM(UE5:UH5)-UI5,"")</f>
        <v/>
      </c>
      <c r="VB5" s="36" t="str">
        <f>IF(UL5&gt;0,UL5,"")</f>
        <v/>
      </c>
      <c r="VC5" s="36" t="str">
        <f>IF(UM5&gt;0,UM5,"")</f>
        <v/>
      </c>
      <c r="VD5" s="36" t="str">
        <f>IF(SUM(UJ5:UM5)-UN5&gt;0,SUM(UJ5:UM5)-UN5,"")</f>
        <v/>
      </c>
      <c r="VE5" s="36" t="str">
        <f>IF(MAX(VA5,VD5)&gt;0,SUM(VA5,VD5),"")</f>
        <v/>
      </c>
      <c r="VF5" s="36" t="str">
        <f>IF(UQ5&gt;0,UQ5,"")</f>
        <v/>
      </c>
      <c r="VG5" s="36" t="str">
        <f>IF(UR5&gt;0,UR5,"")</f>
        <v/>
      </c>
      <c r="VH5" s="36" t="str">
        <f>IF(SUM(UO5:UR5)-US5&gt;0,SUM(UO5:UR5)-US5,"")</f>
        <v/>
      </c>
      <c r="VI5" s="36" t="str">
        <f>IF(UV5&gt;0,UV5,"")</f>
        <v/>
      </c>
      <c r="VJ5" s="36" t="str">
        <f>IF(UW5&gt;0,UW5,"")</f>
        <v/>
      </c>
      <c r="VK5" s="36" t="str">
        <f>IF(SUM(UT5:UW5)-UX5&gt;0,SUM(UT5:UW5)-UX5,"")</f>
        <v/>
      </c>
      <c r="VL5" s="36" t="str">
        <f>IF(SUM(VE5,VH5,VK5)&gt;0,SUM(VE5,VH5,VK5),"")</f>
        <v/>
      </c>
    </row>
    <row r="6" spans="1:584" x14ac:dyDescent="0.2">
      <c r="B6" s="5"/>
      <c r="D6" s="1"/>
    </row>
    <row r="7" spans="1:584" x14ac:dyDescent="0.2">
      <c r="G7" s="32"/>
      <c r="I7" s="32"/>
    </row>
    <row r="8" spans="1:584" x14ac:dyDescent="0.2">
      <c r="B8" s="19" t="s">
        <v>40</v>
      </c>
      <c r="C8" s="5"/>
      <c r="G8" s="3"/>
      <c r="AL8" s="37"/>
      <c r="AM8" s="37"/>
      <c r="AN8" s="37"/>
      <c r="AP8" s="28"/>
      <c r="AQ8" s="28"/>
      <c r="AS8" s="38">
        <v>13.4</v>
      </c>
      <c r="BM8" s="37"/>
      <c r="BN8" s="37"/>
      <c r="BO8" s="37"/>
      <c r="BQ8" s="28"/>
      <c r="BR8" s="28"/>
      <c r="BT8" s="38">
        <v>13.4</v>
      </c>
      <c r="CQ8" s="5"/>
      <c r="CR8" s="5"/>
      <c r="DA8" s="2"/>
      <c r="DB8" s="2"/>
      <c r="DD8" s="38">
        <v>13.4</v>
      </c>
      <c r="DY8" s="5"/>
      <c r="DZ8" s="5"/>
      <c r="EI8" s="2"/>
      <c r="EJ8" s="2"/>
      <c r="EL8" s="38">
        <v>12.5</v>
      </c>
      <c r="FG8" s="5"/>
      <c r="FH8" s="5"/>
      <c r="FQ8" s="2"/>
      <c r="FR8" s="2"/>
      <c r="FT8" s="38">
        <v>12.5</v>
      </c>
      <c r="GO8" s="5"/>
      <c r="GP8" s="5"/>
      <c r="GY8" s="2"/>
      <c r="GZ8" s="2"/>
      <c r="HB8" s="38">
        <v>12.5</v>
      </c>
      <c r="HW8" s="5"/>
      <c r="HX8" s="5"/>
      <c r="IG8" s="2"/>
      <c r="IH8" s="2"/>
      <c r="IJ8" s="38">
        <v>12.5</v>
      </c>
      <c r="JE8" s="5"/>
      <c r="JF8" s="5"/>
      <c r="JO8" s="2"/>
      <c r="JP8" s="2"/>
      <c r="JR8" s="38">
        <v>12.5</v>
      </c>
      <c r="KM8" s="5"/>
      <c r="KN8" s="5"/>
      <c r="KW8" s="2"/>
      <c r="KX8" s="2"/>
      <c r="KZ8" s="38">
        <v>12.5</v>
      </c>
      <c r="LU8" s="5"/>
      <c r="LV8" s="5"/>
      <c r="ME8" s="2"/>
      <c r="MF8" s="2"/>
      <c r="MH8" s="38">
        <v>12.5</v>
      </c>
      <c r="NC8" s="5"/>
      <c r="ND8" s="5"/>
      <c r="NM8" s="2"/>
      <c r="NN8" s="2"/>
      <c r="NP8" s="38">
        <v>12.5</v>
      </c>
      <c r="OK8" s="5"/>
      <c r="OL8" s="5"/>
      <c r="OU8" s="2"/>
      <c r="OV8" s="2"/>
      <c r="OX8" s="38">
        <v>12.5</v>
      </c>
      <c r="PS8" s="5"/>
      <c r="PT8" s="5"/>
      <c r="QC8" s="2"/>
      <c r="QD8" s="2"/>
      <c r="QF8" s="38">
        <v>12.5</v>
      </c>
      <c r="RA8" s="5"/>
      <c r="RB8" s="5"/>
      <c r="RK8" s="2"/>
      <c r="RL8" s="2"/>
      <c r="RN8" s="38">
        <v>12.5</v>
      </c>
      <c r="SI8" s="5"/>
      <c r="SJ8" s="5"/>
      <c r="SS8" s="2"/>
      <c r="ST8" s="2"/>
      <c r="SV8" s="38">
        <v>12.5</v>
      </c>
      <c r="TQ8" s="5"/>
      <c r="TR8" s="5"/>
      <c r="UA8" s="2"/>
      <c r="UB8" s="2"/>
      <c r="UD8" s="38">
        <v>12.5</v>
      </c>
      <c r="UY8" s="5"/>
      <c r="UZ8" s="5"/>
      <c r="VI8" s="2"/>
      <c r="VJ8" s="2"/>
      <c r="VL8" s="38">
        <v>12.5</v>
      </c>
    </row>
    <row r="9" spans="1:584" hidden="1" x14ac:dyDescent="0.2">
      <c r="B9" s="26" t="s">
        <v>39</v>
      </c>
      <c r="C9" s="5"/>
      <c r="R9" s="2"/>
      <c r="AL9" s="37"/>
      <c r="AM9" s="37"/>
      <c r="AN9" s="37"/>
      <c r="AP9" s="28"/>
      <c r="AQ9" s="28"/>
      <c r="AS9" s="39">
        <v>1000</v>
      </c>
      <c r="BM9" s="37"/>
      <c r="BN9" s="37"/>
      <c r="BO9" s="37"/>
      <c r="BQ9" s="28"/>
      <c r="BR9" s="28"/>
      <c r="BT9" s="39">
        <v>1000</v>
      </c>
      <c r="CQ9" s="5"/>
      <c r="CR9" s="5"/>
      <c r="DA9" s="2"/>
      <c r="DB9" s="2"/>
      <c r="DD9" s="39">
        <v>1000</v>
      </c>
      <c r="DY9" s="5"/>
      <c r="DZ9" s="5"/>
      <c r="EI9" s="2"/>
      <c r="EJ9" s="2"/>
      <c r="EL9" s="39">
        <v>1000</v>
      </c>
      <c r="FG9" s="5"/>
      <c r="FH9" s="5"/>
      <c r="FQ9" s="2"/>
      <c r="FR9" s="2"/>
      <c r="FT9" s="39">
        <v>1000</v>
      </c>
      <c r="GO9" s="5"/>
      <c r="GP9" s="5"/>
      <c r="GY9" s="2"/>
      <c r="GZ9" s="2"/>
      <c r="HB9" s="39">
        <v>1000</v>
      </c>
      <c r="HW9" s="5"/>
      <c r="HX9" s="5"/>
      <c r="IG9" s="2"/>
      <c r="IH9" s="2"/>
      <c r="IJ9" s="39">
        <v>1000</v>
      </c>
      <c r="JE9" s="5"/>
      <c r="JF9" s="5"/>
      <c r="JO9" s="2"/>
      <c r="JP9" s="2"/>
      <c r="JR9" s="39">
        <v>1000</v>
      </c>
      <c r="KM9" s="5"/>
      <c r="KN9" s="5"/>
      <c r="KW9" s="2"/>
      <c r="KX9" s="2"/>
      <c r="KZ9" s="39">
        <v>1000</v>
      </c>
      <c r="LU9" s="5"/>
      <c r="LV9" s="5"/>
      <c r="ME9" s="2"/>
      <c r="MF9" s="2"/>
      <c r="MH9" s="39">
        <v>1000</v>
      </c>
      <c r="NC9" s="5"/>
      <c r="ND9" s="5"/>
      <c r="NM9" s="2"/>
      <c r="NN9" s="2"/>
      <c r="NP9" s="39">
        <v>1000</v>
      </c>
      <c r="OK9" s="5"/>
      <c r="OL9" s="5"/>
      <c r="OU9" s="2"/>
      <c r="OV9" s="2"/>
      <c r="OX9" s="39">
        <v>1000</v>
      </c>
      <c r="PS9" s="5"/>
      <c r="PT9" s="5"/>
      <c r="QC9" s="2"/>
      <c r="QD9" s="2"/>
      <c r="QF9" s="39">
        <v>1000</v>
      </c>
      <c r="RA9" s="5"/>
      <c r="RB9" s="5"/>
      <c r="RK9" s="2"/>
      <c r="RL9" s="2"/>
      <c r="RN9" s="39">
        <v>1000</v>
      </c>
      <c r="SI9" s="5"/>
      <c r="SJ9" s="5"/>
      <c r="SS9" s="2"/>
      <c r="ST9" s="2"/>
      <c r="SV9" s="39">
        <v>1000</v>
      </c>
      <c r="TQ9" s="5"/>
      <c r="TR9" s="5"/>
      <c r="UA9" s="2"/>
      <c r="UB9" s="2"/>
      <c r="UD9" s="39">
        <v>1000</v>
      </c>
      <c r="UY9" s="5"/>
      <c r="UZ9" s="5"/>
      <c r="VI9" s="2"/>
      <c r="VJ9" s="2"/>
      <c r="VL9" s="39">
        <v>1000</v>
      </c>
    </row>
    <row r="10" spans="1:584" hidden="1" x14ac:dyDescent="0.2">
      <c r="A10" s="5"/>
      <c r="B10" s="27" t="s">
        <v>50</v>
      </c>
      <c r="C10" s="5"/>
      <c r="E10" s="2"/>
      <c r="AL10" s="37"/>
      <c r="AM10" s="37"/>
      <c r="AN10" s="37"/>
      <c r="AO10" s="28"/>
      <c r="AP10" s="28"/>
      <c r="AQ10" s="28"/>
      <c r="AR10" s="28"/>
      <c r="AS10" s="40">
        <v>1000</v>
      </c>
      <c r="BM10" s="37"/>
      <c r="BN10" s="37"/>
      <c r="BO10" s="37"/>
      <c r="BQ10" s="28"/>
      <c r="BR10" s="28"/>
      <c r="BT10" s="40">
        <v>1000</v>
      </c>
      <c r="CQ10" s="5"/>
      <c r="CR10" s="5"/>
      <c r="DA10" s="2"/>
      <c r="DB10" s="2"/>
      <c r="DD10" s="40">
        <v>1000</v>
      </c>
      <c r="DY10" s="5"/>
      <c r="DZ10" s="5"/>
      <c r="EI10" s="2"/>
      <c r="EJ10" s="2"/>
      <c r="EL10" s="40">
        <v>0</v>
      </c>
      <c r="FG10" s="5"/>
      <c r="FH10" s="5"/>
      <c r="FQ10" s="2"/>
      <c r="FR10" s="2"/>
      <c r="FT10" s="40">
        <v>0</v>
      </c>
      <c r="GO10" s="5"/>
      <c r="GP10" s="5"/>
      <c r="GY10" s="2"/>
      <c r="GZ10" s="2"/>
      <c r="HB10" s="40">
        <v>0</v>
      </c>
      <c r="HW10" s="5"/>
      <c r="HX10" s="5"/>
      <c r="IG10" s="2"/>
      <c r="IH10" s="2"/>
      <c r="IJ10" s="40">
        <v>0</v>
      </c>
      <c r="JE10" s="5"/>
      <c r="JF10" s="5"/>
      <c r="JO10" s="2"/>
      <c r="JP10" s="2"/>
      <c r="JR10" s="40">
        <v>0</v>
      </c>
      <c r="KM10" s="5"/>
      <c r="KN10" s="5"/>
      <c r="KW10" s="2"/>
      <c r="KX10" s="2"/>
      <c r="KZ10" s="40">
        <v>0</v>
      </c>
      <c r="LU10" s="5"/>
      <c r="LV10" s="5"/>
      <c r="ME10" s="2"/>
      <c r="MF10" s="2"/>
      <c r="MH10" s="40">
        <v>0</v>
      </c>
      <c r="NC10" s="5"/>
      <c r="ND10" s="5"/>
      <c r="NM10" s="2"/>
      <c r="NN10" s="2"/>
      <c r="NP10" s="40">
        <v>0</v>
      </c>
      <c r="OK10" s="5"/>
      <c r="OL10" s="5"/>
      <c r="OU10" s="2"/>
      <c r="OV10" s="2"/>
      <c r="OX10" s="40">
        <v>0</v>
      </c>
      <c r="PS10" s="5"/>
      <c r="PT10" s="5"/>
      <c r="QC10" s="2"/>
      <c r="QD10" s="2"/>
      <c r="QF10" s="40">
        <v>0</v>
      </c>
      <c r="RA10" s="5"/>
      <c r="RB10" s="5"/>
      <c r="RK10" s="2"/>
      <c r="RL10" s="2"/>
      <c r="RN10" s="40">
        <v>0</v>
      </c>
      <c r="SI10" s="5"/>
      <c r="SJ10" s="5"/>
      <c r="SS10" s="2"/>
      <c r="ST10" s="2"/>
      <c r="SV10" s="40">
        <v>0</v>
      </c>
      <c r="TQ10" s="5"/>
      <c r="TR10" s="5"/>
      <c r="UA10" s="2"/>
      <c r="UB10" s="2"/>
      <c r="UD10" s="40">
        <v>0</v>
      </c>
      <c r="UY10" s="5"/>
      <c r="UZ10" s="5"/>
      <c r="VI10" s="2"/>
      <c r="VJ10" s="2"/>
      <c r="VL10" s="40">
        <v>0</v>
      </c>
    </row>
    <row r="11" spans="1:584" hidden="1" x14ac:dyDescent="0.2">
      <c r="A11" s="5"/>
      <c r="B11" s="31" t="s">
        <v>57</v>
      </c>
      <c r="C11" s="5"/>
      <c r="E11" s="2"/>
      <c r="AL11" s="37"/>
      <c r="AM11" s="37"/>
      <c r="AN11" s="37"/>
      <c r="AO11" s="28"/>
      <c r="AP11" s="28"/>
      <c r="AQ11" s="28"/>
      <c r="AR11" s="28"/>
      <c r="AS11" s="41">
        <v>1000</v>
      </c>
      <c r="BM11" s="37"/>
      <c r="BN11" s="37"/>
      <c r="BO11" s="37"/>
      <c r="BQ11" s="28"/>
      <c r="BR11" s="28"/>
      <c r="BT11" s="41">
        <v>1000</v>
      </c>
      <c r="CQ11" s="5"/>
      <c r="CR11" s="5"/>
      <c r="DA11" s="2"/>
      <c r="DB11" s="2"/>
      <c r="DD11" s="41">
        <v>1000</v>
      </c>
      <c r="DY11" s="5"/>
      <c r="DZ11" s="5"/>
      <c r="EI11" s="2"/>
      <c r="EJ11" s="2"/>
      <c r="EL11" s="41">
        <v>0</v>
      </c>
      <c r="FG11" s="5"/>
      <c r="FH11" s="5"/>
      <c r="FQ11" s="2"/>
      <c r="FR11" s="2"/>
      <c r="FT11" s="41">
        <v>0</v>
      </c>
      <c r="GO11" s="5"/>
      <c r="GP11" s="5"/>
      <c r="GY11" s="2"/>
      <c r="GZ11" s="2"/>
      <c r="HB11" s="41">
        <v>0</v>
      </c>
      <c r="HW11" s="5"/>
      <c r="HX11" s="5"/>
      <c r="IG11" s="2"/>
      <c r="IH11" s="2"/>
      <c r="IJ11" s="41">
        <v>0</v>
      </c>
      <c r="JE11" s="5"/>
      <c r="JF11" s="5"/>
      <c r="JO11" s="2"/>
      <c r="JP11" s="2"/>
      <c r="JR11" s="41">
        <v>0</v>
      </c>
      <c r="KM11" s="5"/>
      <c r="KN11" s="5"/>
      <c r="KW11" s="2"/>
      <c r="KX11" s="2"/>
      <c r="KZ11" s="41">
        <v>0</v>
      </c>
      <c r="LU11" s="5"/>
      <c r="LV11" s="5"/>
      <c r="ME11" s="2"/>
      <c r="MF11" s="2"/>
      <c r="MH11" s="41">
        <v>0</v>
      </c>
      <c r="NC11" s="5"/>
      <c r="ND11" s="5"/>
      <c r="NM11" s="2"/>
      <c r="NN11" s="2"/>
      <c r="NP11" s="41">
        <v>0</v>
      </c>
      <c r="OK11" s="5"/>
      <c r="OL11" s="5"/>
      <c r="OU11" s="2"/>
      <c r="OV11" s="2"/>
      <c r="OX11" s="41">
        <v>0</v>
      </c>
      <c r="PS11" s="5"/>
      <c r="PT11" s="5"/>
      <c r="QC11" s="2"/>
      <c r="QD11" s="2"/>
      <c r="QF11" s="41">
        <v>0</v>
      </c>
      <c r="RA11" s="5"/>
      <c r="RB11" s="5"/>
      <c r="RK11" s="2"/>
      <c r="RL11" s="2"/>
      <c r="RN11" s="41">
        <v>0</v>
      </c>
      <c r="SI11" s="5"/>
      <c r="SJ11" s="5"/>
      <c r="SS11" s="2"/>
      <c r="ST11" s="2"/>
      <c r="SV11" s="41">
        <v>0</v>
      </c>
      <c r="TQ11" s="5"/>
      <c r="TR11" s="5"/>
      <c r="UA11" s="2"/>
      <c r="UB11" s="2"/>
      <c r="UD11" s="41">
        <v>0</v>
      </c>
      <c r="UY11" s="5"/>
      <c r="UZ11" s="5"/>
      <c r="VI11" s="2"/>
      <c r="VJ11" s="2"/>
      <c r="VL11" s="41">
        <v>0</v>
      </c>
    </row>
    <row r="12" spans="1:584" x14ac:dyDescent="0.2">
      <c r="A12" s="5"/>
      <c r="B12" s="30" t="s">
        <v>37</v>
      </c>
      <c r="C12" s="5"/>
      <c r="AL12" s="37"/>
      <c r="AM12" s="37"/>
      <c r="AN12" s="37"/>
      <c r="AO12" s="28"/>
      <c r="AP12" s="28"/>
      <c r="AQ12" s="28"/>
      <c r="AR12" s="28"/>
      <c r="AS12" s="42">
        <v>93.9</v>
      </c>
      <c r="BM12" s="37"/>
      <c r="BN12" s="37"/>
      <c r="BO12" s="37"/>
      <c r="BQ12" s="28"/>
      <c r="BR12" s="28"/>
      <c r="BT12" s="42">
        <v>93.9</v>
      </c>
      <c r="CQ12" s="5"/>
      <c r="CR12" s="5"/>
      <c r="DA12" s="2"/>
      <c r="DB12" s="2"/>
      <c r="DD12" s="42">
        <v>93.9</v>
      </c>
      <c r="DY12" s="5"/>
      <c r="DZ12" s="5"/>
      <c r="EI12" s="2"/>
      <c r="EJ12" s="2"/>
      <c r="EL12" s="42">
        <v>91.6</v>
      </c>
      <c r="FG12" s="5"/>
      <c r="FH12" s="5"/>
      <c r="FQ12" s="2"/>
      <c r="FR12" s="2"/>
      <c r="FT12" s="42">
        <v>91.6</v>
      </c>
      <c r="GO12" s="5"/>
      <c r="GP12" s="5"/>
      <c r="GY12" s="2"/>
      <c r="GZ12" s="2"/>
      <c r="HB12" s="42">
        <v>91.6</v>
      </c>
      <c r="HW12" s="5"/>
      <c r="HX12" s="5"/>
      <c r="IG12" s="2"/>
      <c r="IH12" s="2"/>
      <c r="IJ12" s="42">
        <v>91.6</v>
      </c>
      <c r="JE12" s="5"/>
      <c r="JF12" s="5"/>
      <c r="JO12" s="2"/>
      <c r="JP12" s="2"/>
      <c r="JR12" s="42">
        <v>91.6</v>
      </c>
      <c r="KM12" s="5"/>
      <c r="KN12" s="5"/>
      <c r="KW12" s="2"/>
      <c r="KX12" s="2"/>
      <c r="KZ12" s="42">
        <v>91.6</v>
      </c>
      <c r="LU12" s="5"/>
      <c r="LV12" s="5"/>
      <c r="ME12" s="2"/>
      <c r="MF12" s="2"/>
      <c r="MH12" s="42">
        <v>91.6</v>
      </c>
      <c r="NC12" s="5"/>
      <c r="ND12" s="5"/>
      <c r="NM12" s="2"/>
      <c r="NN12" s="2"/>
      <c r="NP12" s="42">
        <v>91.6</v>
      </c>
      <c r="OK12" s="5"/>
      <c r="OL12" s="5"/>
      <c r="OU12" s="2"/>
      <c r="OV12" s="2"/>
      <c r="OX12" s="42">
        <v>91.6</v>
      </c>
      <c r="PS12" s="5"/>
      <c r="PT12" s="5"/>
      <c r="QC12" s="2"/>
      <c r="QD12" s="2"/>
      <c r="QF12" s="42">
        <v>91.6</v>
      </c>
      <c r="RA12" s="5"/>
      <c r="RB12" s="5"/>
      <c r="RK12" s="2"/>
      <c r="RL12" s="2"/>
      <c r="RN12" s="42">
        <v>91.6</v>
      </c>
      <c r="SI12" s="5"/>
      <c r="SJ12" s="5"/>
      <c r="SS12" s="2"/>
      <c r="ST12" s="2"/>
      <c r="SV12" s="42">
        <v>91.6</v>
      </c>
      <c r="TQ12" s="5"/>
      <c r="TR12" s="5"/>
      <c r="UA12" s="2"/>
      <c r="UB12" s="2"/>
      <c r="UD12" s="42">
        <v>91.6</v>
      </c>
      <c r="UY12" s="5"/>
      <c r="UZ12" s="5"/>
      <c r="VI12" s="2"/>
      <c r="VJ12" s="2"/>
      <c r="VL12" s="42">
        <v>91.6</v>
      </c>
    </row>
    <row r="13" spans="1:584" hidden="1" x14ac:dyDescent="0.2">
      <c r="A13" s="5"/>
      <c r="B13" s="20" t="s">
        <v>38</v>
      </c>
      <c r="C13" s="5"/>
      <c r="AL13" s="37"/>
      <c r="AM13" s="37"/>
      <c r="AN13" s="37"/>
      <c r="AO13" s="28"/>
      <c r="AP13" s="28"/>
      <c r="AQ13" s="28"/>
      <c r="AR13" s="28"/>
      <c r="AS13" s="43">
        <v>1000</v>
      </c>
      <c r="BM13" s="37"/>
      <c r="BN13" s="37"/>
      <c r="BO13" s="37"/>
      <c r="BQ13" s="28"/>
      <c r="BR13" s="28"/>
      <c r="BT13" s="43">
        <v>1000</v>
      </c>
      <c r="CQ13" s="5"/>
      <c r="CR13" s="5"/>
      <c r="DA13" s="2"/>
      <c r="DB13" s="2"/>
      <c r="DD13" s="43">
        <v>1000</v>
      </c>
      <c r="DY13" s="5"/>
      <c r="DZ13" s="5"/>
      <c r="EI13" s="2"/>
      <c r="EJ13" s="2"/>
      <c r="EL13" s="43">
        <v>1000</v>
      </c>
      <c r="FG13" s="5"/>
      <c r="FH13" s="5"/>
      <c r="FQ13" s="2"/>
      <c r="FR13" s="2"/>
      <c r="FT13" s="43">
        <v>1000</v>
      </c>
      <c r="GO13" s="5"/>
      <c r="GP13" s="5"/>
      <c r="GY13" s="2"/>
      <c r="GZ13" s="2"/>
      <c r="HB13" s="43">
        <v>1000</v>
      </c>
      <c r="HW13" s="5"/>
      <c r="HX13" s="5"/>
      <c r="IG13" s="2"/>
      <c r="IH13" s="2"/>
      <c r="IJ13" s="43">
        <v>1000</v>
      </c>
      <c r="JE13" s="5"/>
      <c r="JF13" s="5"/>
      <c r="JO13" s="2"/>
      <c r="JP13" s="2"/>
      <c r="JR13" s="43">
        <v>1000</v>
      </c>
      <c r="KM13" s="5"/>
      <c r="KN13" s="5"/>
      <c r="KW13" s="2"/>
      <c r="KX13" s="2"/>
      <c r="KZ13" s="43">
        <v>1000</v>
      </c>
      <c r="LU13" s="5"/>
      <c r="LV13" s="5"/>
      <c r="ME13" s="2"/>
      <c r="MF13" s="2"/>
      <c r="MH13" s="43">
        <v>1000</v>
      </c>
      <c r="NC13" s="5"/>
      <c r="ND13" s="5"/>
      <c r="NM13" s="2"/>
      <c r="NN13" s="2"/>
      <c r="NP13" s="43">
        <v>1000</v>
      </c>
      <c r="OK13" s="5"/>
      <c r="OL13" s="5"/>
      <c r="OU13" s="2"/>
      <c r="OV13" s="2"/>
      <c r="OX13" s="43">
        <v>1000</v>
      </c>
      <c r="PS13" s="5"/>
      <c r="PT13" s="5"/>
      <c r="QC13" s="2"/>
      <c r="QD13" s="2"/>
      <c r="QF13" s="43">
        <v>1000</v>
      </c>
      <c r="RA13" s="5"/>
      <c r="RB13" s="5"/>
      <c r="RK13" s="2"/>
      <c r="RL13" s="2"/>
      <c r="RN13" s="43">
        <v>1000</v>
      </c>
      <c r="SI13" s="5"/>
      <c r="SJ13" s="5"/>
      <c r="SS13" s="2"/>
      <c r="ST13" s="2"/>
      <c r="SV13" s="43">
        <v>1000</v>
      </c>
      <c r="TQ13" s="5"/>
      <c r="TR13" s="5"/>
      <c r="UA13" s="2"/>
      <c r="UB13" s="2"/>
      <c r="UD13" s="43">
        <v>1000</v>
      </c>
      <c r="UY13" s="5"/>
      <c r="UZ13" s="5"/>
      <c r="VI13" s="2"/>
      <c r="VJ13" s="2"/>
      <c r="VL13" s="43">
        <v>1000</v>
      </c>
    </row>
    <row r="14" spans="1:584" hidden="1" x14ac:dyDescent="0.2">
      <c r="A14" s="5"/>
      <c r="B14" s="29" t="s">
        <v>49</v>
      </c>
      <c r="C14" s="5"/>
      <c r="AL14" s="37"/>
      <c r="AM14" s="37"/>
      <c r="AN14" s="37"/>
      <c r="AO14" s="28"/>
      <c r="AP14" s="28"/>
      <c r="AQ14" s="28"/>
      <c r="AR14" s="28"/>
      <c r="AS14" s="44">
        <v>1000</v>
      </c>
      <c r="BM14" s="37"/>
      <c r="BN14" s="37"/>
      <c r="BO14" s="37"/>
      <c r="BQ14" s="28"/>
      <c r="BR14" s="28"/>
      <c r="BT14" s="44">
        <v>1000</v>
      </c>
      <c r="CQ14" s="5"/>
      <c r="CR14" s="5"/>
      <c r="DA14" s="2"/>
      <c r="DB14" s="2"/>
      <c r="DC14" s="33"/>
      <c r="DD14" s="44">
        <v>1000</v>
      </c>
      <c r="DY14" s="5"/>
      <c r="DZ14" s="5"/>
      <c r="EI14" s="2"/>
      <c r="EJ14" s="2"/>
      <c r="EK14" s="33"/>
      <c r="EL14" s="44">
        <v>1000</v>
      </c>
      <c r="FG14" s="5"/>
      <c r="FH14" s="5"/>
      <c r="FQ14" s="2"/>
      <c r="FR14" s="2"/>
      <c r="FS14" s="33"/>
      <c r="FT14" s="44">
        <v>1000</v>
      </c>
      <c r="GO14" s="5"/>
      <c r="GP14" s="5"/>
      <c r="GY14" s="2"/>
      <c r="GZ14" s="2"/>
      <c r="HA14" s="33"/>
      <c r="HB14" s="44">
        <v>1000</v>
      </c>
      <c r="HW14" s="5"/>
      <c r="HX14" s="5"/>
      <c r="IG14" s="2"/>
      <c r="IH14" s="2"/>
      <c r="II14" s="33"/>
      <c r="IJ14" s="44">
        <v>1000</v>
      </c>
      <c r="JE14" s="5"/>
      <c r="JF14" s="5"/>
      <c r="JO14" s="2"/>
      <c r="JP14" s="2"/>
      <c r="JQ14" s="33"/>
      <c r="JR14" s="44">
        <v>1000</v>
      </c>
      <c r="KM14" s="5"/>
      <c r="KN14" s="5"/>
      <c r="KW14" s="2"/>
      <c r="KX14" s="2"/>
      <c r="KY14" s="33"/>
      <c r="KZ14" s="44">
        <v>1000</v>
      </c>
      <c r="LU14" s="5"/>
      <c r="LV14" s="5"/>
      <c r="ME14" s="2"/>
      <c r="MF14" s="2"/>
      <c r="MG14" s="33"/>
      <c r="MH14" s="44">
        <v>1000</v>
      </c>
      <c r="NC14" s="5"/>
      <c r="ND14" s="5"/>
      <c r="NM14" s="2"/>
      <c r="NN14" s="2"/>
      <c r="NO14" s="33"/>
      <c r="NP14" s="44">
        <v>1000</v>
      </c>
      <c r="OK14" s="5"/>
      <c r="OL14" s="5"/>
      <c r="OU14" s="2"/>
      <c r="OV14" s="2"/>
      <c r="OW14" s="33"/>
      <c r="OX14" s="44">
        <v>1000</v>
      </c>
      <c r="PS14" s="5"/>
      <c r="PT14" s="5"/>
      <c r="QC14" s="2"/>
      <c r="QD14" s="2"/>
      <c r="QE14" s="33"/>
      <c r="QF14" s="44">
        <v>1000</v>
      </c>
      <c r="RA14" s="5"/>
      <c r="RB14" s="5"/>
      <c r="RK14" s="2"/>
      <c r="RL14" s="2"/>
      <c r="RM14" s="33"/>
      <c r="RN14" s="44">
        <v>1000</v>
      </c>
      <c r="SI14" s="5"/>
      <c r="SJ14" s="5"/>
      <c r="SS14" s="2"/>
      <c r="ST14" s="2"/>
      <c r="SU14" s="33"/>
      <c r="SV14" s="44">
        <v>1000</v>
      </c>
      <c r="TQ14" s="5"/>
      <c r="TR14" s="5"/>
      <c r="UA14" s="2"/>
      <c r="UB14" s="2"/>
      <c r="UC14" s="33"/>
      <c r="UD14" s="44">
        <v>1000</v>
      </c>
      <c r="UY14" s="5"/>
      <c r="UZ14" s="5"/>
      <c r="VI14" s="2"/>
      <c r="VJ14" s="2"/>
      <c r="VK14" s="33"/>
      <c r="VL14" s="44">
        <v>1000</v>
      </c>
    </row>
    <row r="15" spans="1:584" hidden="1" x14ac:dyDescent="0.2">
      <c r="A15" s="5"/>
      <c r="B15" s="21" t="s">
        <v>30</v>
      </c>
      <c r="C15" s="5"/>
      <c r="AL15" s="37"/>
      <c r="AM15" s="37"/>
      <c r="AN15" s="37"/>
      <c r="AO15" s="28"/>
      <c r="AP15" s="37"/>
      <c r="AQ15" s="37"/>
      <c r="AR15" s="28"/>
      <c r="AS15" s="45">
        <v>1000</v>
      </c>
      <c r="BM15" s="37"/>
      <c r="BN15" s="37"/>
      <c r="BO15" s="37"/>
      <c r="BQ15" s="37"/>
      <c r="BR15" s="28"/>
      <c r="BT15" s="45">
        <v>1000</v>
      </c>
      <c r="CQ15" s="5"/>
      <c r="CR15" s="5"/>
      <c r="DA15" s="37"/>
      <c r="DB15" s="2"/>
      <c r="DD15" s="45">
        <v>1000</v>
      </c>
      <c r="DY15" s="5"/>
      <c r="DZ15" s="5"/>
      <c r="EI15" s="37"/>
      <c r="EJ15" s="2"/>
      <c r="EL15" s="45">
        <v>1000</v>
      </c>
      <c r="FG15" s="5"/>
      <c r="FH15" s="5"/>
      <c r="FQ15" s="2"/>
      <c r="FR15" s="2"/>
      <c r="FT15" s="45">
        <v>1000</v>
      </c>
      <c r="GO15" s="5"/>
      <c r="GP15" s="5"/>
      <c r="GY15" s="37"/>
      <c r="GZ15" s="2"/>
      <c r="HB15" s="45">
        <v>1000</v>
      </c>
      <c r="HW15" s="5"/>
      <c r="HX15" s="5"/>
      <c r="IG15" s="2"/>
      <c r="IH15" s="2"/>
      <c r="IJ15" s="45">
        <v>1000</v>
      </c>
      <c r="JE15" s="5"/>
      <c r="JF15" s="5"/>
      <c r="JO15" s="2"/>
      <c r="JP15" s="2"/>
      <c r="JR15" s="45">
        <v>1000</v>
      </c>
      <c r="KM15" s="5"/>
      <c r="KN15" s="5"/>
      <c r="KW15" s="2"/>
      <c r="KX15" s="2"/>
      <c r="KZ15" s="45">
        <v>1000</v>
      </c>
      <c r="LU15" s="5"/>
      <c r="LV15" s="5"/>
      <c r="ME15" s="2"/>
      <c r="MF15" s="2"/>
      <c r="MH15" s="45">
        <v>1000</v>
      </c>
      <c r="NC15" s="5"/>
      <c r="ND15" s="5"/>
      <c r="NM15" s="2"/>
      <c r="NN15" s="2"/>
      <c r="NP15" s="45">
        <v>1000</v>
      </c>
      <c r="OK15" s="5"/>
      <c r="OL15" s="5"/>
      <c r="OU15" s="2"/>
      <c r="OV15" s="2"/>
      <c r="OX15" s="45">
        <v>1000</v>
      </c>
      <c r="PS15" s="5"/>
      <c r="PT15" s="5"/>
      <c r="QC15" s="2"/>
      <c r="QD15" s="2"/>
      <c r="QF15" s="45">
        <v>1000</v>
      </c>
      <c r="RA15" s="5"/>
      <c r="RB15" s="5"/>
      <c r="RK15" s="2"/>
      <c r="RL15" s="2"/>
      <c r="RN15" s="45">
        <v>1000</v>
      </c>
      <c r="SI15" s="5"/>
      <c r="SJ15" s="5"/>
      <c r="SS15" s="2"/>
      <c r="ST15" s="2"/>
      <c r="SV15" s="45">
        <v>1000</v>
      </c>
      <c r="TQ15" s="5"/>
      <c r="TR15" s="5"/>
      <c r="UA15" s="2"/>
      <c r="UB15" s="2"/>
      <c r="UD15" s="45">
        <v>1000</v>
      </c>
      <c r="UY15" s="5"/>
      <c r="UZ15" s="5"/>
      <c r="VI15" s="2"/>
      <c r="VJ15" s="2"/>
      <c r="VL15" s="45">
        <v>1000</v>
      </c>
    </row>
    <row r="16" spans="1:584" x14ac:dyDescent="0.2">
      <c r="B16" s="25" t="s">
        <v>43</v>
      </c>
      <c r="C16" s="2"/>
      <c r="AO16" s="28"/>
      <c r="AR16" s="28"/>
      <c r="EL16"/>
      <c r="FT16"/>
      <c r="HB16"/>
      <c r="IJ16"/>
    </row>
    <row r="17" spans="1:44" x14ac:dyDescent="0.2">
      <c r="A17" s="5"/>
      <c r="B17" s="5"/>
      <c r="C17" s="17"/>
      <c r="AK17" s="28"/>
      <c r="AL17" s="28"/>
      <c r="AM17" s="28"/>
      <c r="AN17" s="28"/>
      <c r="AO17" s="28"/>
      <c r="AR17" s="28"/>
    </row>
    <row r="18" spans="1:44" ht="17" x14ac:dyDescent="0.2">
      <c r="A18" s="5"/>
      <c r="B18" s="5"/>
      <c r="C18" s="17"/>
      <c r="P18" s="10"/>
      <c r="Q18" s="10"/>
      <c r="AK18" s="28"/>
      <c r="AL18" s="28"/>
      <c r="AM18" s="28"/>
      <c r="AN18" s="28"/>
      <c r="AO18" s="28"/>
      <c r="AR18" s="28"/>
    </row>
    <row r="19" spans="1:44" ht="17" x14ac:dyDescent="0.2">
      <c r="A19" s="5"/>
      <c r="B19" s="5"/>
      <c r="C19" s="17"/>
      <c r="P19" s="10"/>
      <c r="AK19" s="28"/>
      <c r="AL19" s="28"/>
      <c r="AM19" s="28"/>
      <c r="AN19" s="28"/>
      <c r="AO19" s="28"/>
      <c r="AR19" s="28"/>
    </row>
    <row r="20" spans="1:44" ht="17" x14ac:dyDescent="0.2">
      <c r="P20" s="10"/>
      <c r="Q20" s="10"/>
      <c r="AK20" s="28"/>
      <c r="AL20" s="28"/>
      <c r="AM20" s="28"/>
      <c r="AN20" s="28"/>
      <c r="AO20" s="28"/>
      <c r="AR20" s="28"/>
    </row>
    <row r="21" spans="1:44" ht="17" x14ac:dyDescent="0.2">
      <c r="P21" s="10"/>
      <c r="Q21" s="10"/>
      <c r="AK21" s="28"/>
      <c r="AL21" s="28"/>
      <c r="AM21" s="28"/>
      <c r="AN21" s="28"/>
      <c r="AO21" s="28"/>
      <c r="AR21" s="28"/>
    </row>
    <row r="22" spans="1:44" ht="17" x14ac:dyDescent="0.2">
      <c r="P22" s="10"/>
      <c r="Q22" s="10"/>
      <c r="AK22" s="28"/>
      <c r="AL22" s="28"/>
      <c r="AM22" s="28"/>
      <c r="AN22" s="28"/>
      <c r="AO22" s="28"/>
      <c r="AR22" s="28"/>
    </row>
    <row r="23" spans="1:44" ht="17" x14ac:dyDescent="0.2">
      <c r="P23" s="10"/>
      <c r="Q23" s="10"/>
      <c r="R23" s="10"/>
    </row>
    <row r="24" spans="1:44" ht="17" x14ac:dyDescent="0.2">
      <c r="P24" s="10"/>
      <c r="Q24" s="10"/>
      <c r="R24" s="10"/>
    </row>
    <row r="25" spans="1:44" ht="17" x14ac:dyDescent="0.2">
      <c r="P25" s="10"/>
      <c r="Q25" s="10"/>
      <c r="R25" s="10"/>
    </row>
    <row r="26" spans="1:44" ht="17" x14ac:dyDescent="0.2">
      <c r="P26" s="10"/>
      <c r="Q26" s="10"/>
      <c r="R26" s="10"/>
    </row>
    <row r="27" spans="1:44" ht="17" x14ac:dyDescent="0.2">
      <c r="P27" s="10"/>
      <c r="Q27" s="10"/>
      <c r="R27" s="10"/>
    </row>
    <row r="28" spans="1:44" ht="17" x14ac:dyDescent="0.2">
      <c r="P28" s="10"/>
      <c r="Q28" s="10"/>
      <c r="R28" s="10"/>
    </row>
    <row r="29" spans="1:44" ht="17" x14ac:dyDescent="0.2">
      <c r="P29" s="10"/>
      <c r="Q29" s="10"/>
      <c r="R29" s="10"/>
    </row>
    <row r="30" spans="1:44" ht="17" x14ac:dyDescent="0.2">
      <c r="P30" s="10"/>
      <c r="Q30" s="10"/>
      <c r="R30" s="10"/>
    </row>
    <row r="31" spans="1:44" ht="17" x14ac:dyDescent="0.2">
      <c r="P31" s="10"/>
      <c r="Q31" s="10"/>
      <c r="R31" s="10"/>
    </row>
    <row r="32" spans="1:44" ht="17" x14ac:dyDescent="0.2">
      <c r="P32" s="10"/>
      <c r="Q32" s="10"/>
      <c r="R32" s="10"/>
    </row>
    <row r="33" spans="16:18" ht="17" x14ac:dyDescent="0.2">
      <c r="P33" s="10"/>
      <c r="Q33" s="10"/>
      <c r="R33" s="10"/>
    </row>
    <row r="34" spans="16:18" ht="17" x14ac:dyDescent="0.2">
      <c r="P34" s="10"/>
      <c r="Q34" s="10"/>
      <c r="R34" s="10"/>
    </row>
    <row r="35" spans="16:18" ht="17" x14ac:dyDescent="0.2">
      <c r="P35" s="10"/>
      <c r="Q35" s="10"/>
      <c r="R35" s="10"/>
    </row>
    <row r="36" spans="16:18" ht="17" x14ac:dyDescent="0.2">
      <c r="P36" s="10"/>
      <c r="Q36" s="10"/>
      <c r="R36" s="10"/>
    </row>
    <row r="37" spans="16:18" ht="17" x14ac:dyDescent="0.2">
      <c r="P37" s="10"/>
      <c r="Q37" s="10"/>
      <c r="R37" s="10"/>
    </row>
  </sheetData>
  <sheetProtection sheet="1" formatCells="0" formatColumns="0" formatRows="0"/>
  <autoFilter ref="A1:VL1" xr:uid="{00000000-0001-0000-0100-000000000000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2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sortState xmlns:xlrd2="http://schemas.microsoft.com/office/spreadsheetml/2017/richdata2" ref="A5:VL6">
      <sortCondition descending="1" ref="F1:F6"/>
    </sortState>
  </autoFilter>
  <mergeCells count="102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RO1:SV1"/>
    <mergeCell ref="SW1:UD1"/>
    <mergeCell ref="UE1:VL1"/>
    <mergeCell ref="FU1:HB1"/>
    <mergeCell ref="HC1:IJ1"/>
    <mergeCell ref="IK1:JR1"/>
    <mergeCell ref="JS1:KZ1"/>
    <mergeCell ref="LA1:MH1"/>
    <mergeCell ref="MI1:NP1"/>
    <mergeCell ref="S2:W2"/>
    <mergeCell ref="X2:AB2"/>
    <mergeCell ref="AC2:AG2"/>
    <mergeCell ref="AT2:AX2"/>
    <mergeCell ref="AY2:BC2"/>
    <mergeCell ref="BD2:BH2"/>
    <mergeCell ref="NQ1:OX1"/>
    <mergeCell ref="OY1:QF1"/>
    <mergeCell ref="QG1:RN1"/>
    <mergeCell ref="S1:AS1"/>
    <mergeCell ref="AT1:BT1"/>
    <mergeCell ref="BU1:BV1"/>
    <mergeCell ref="BW1:DD1"/>
    <mergeCell ref="DE1:EL1"/>
    <mergeCell ref="EM1:FT1"/>
    <mergeCell ref="DO2:DS2"/>
    <mergeCell ref="DT2:DX2"/>
    <mergeCell ref="EM2:EQ2"/>
    <mergeCell ref="ER2:EV2"/>
    <mergeCell ref="EW2:FA2"/>
    <mergeCell ref="FB2:FF2"/>
    <mergeCell ref="BW2:CA2"/>
    <mergeCell ref="CB2:CF2"/>
    <mergeCell ref="CG2:CK2"/>
    <mergeCell ref="CL2:CP2"/>
    <mergeCell ref="DE2:DI2"/>
    <mergeCell ref="DJ2:DN2"/>
    <mergeCell ref="HM2:HQ2"/>
    <mergeCell ref="HR2:HV2"/>
    <mergeCell ref="IK2:IO2"/>
    <mergeCell ref="IP2:IT2"/>
    <mergeCell ref="IU2:IY2"/>
    <mergeCell ref="IZ2:JD2"/>
    <mergeCell ref="FU2:FY2"/>
    <mergeCell ref="FZ2:GD2"/>
    <mergeCell ref="GE2:GI2"/>
    <mergeCell ref="GJ2:GN2"/>
    <mergeCell ref="HC2:HG2"/>
    <mergeCell ref="HH2:HL2"/>
    <mergeCell ref="LK2:LO2"/>
    <mergeCell ref="LP2:LT2"/>
    <mergeCell ref="MI2:MM2"/>
    <mergeCell ref="MN2:MR2"/>
    <mergeCell ref="MS2:MW2"/>
    <mergeCell ref="MX2:NB2"/>
    <mergeCell ref="JS2:JW2"/>
    <mergeCell ref="JX2:KB2"/>
    <mergeCell ref="KC2:KG2"/>
    <mergeCell ref="KH2:KL2"/>
    <mergeCell ref="LA2:LE2"/>
    <mergeCell ref="LF2:LJ2"/>
    <mergeCell ref="PI2:PM2"/>
    <mergeCell ref="PN2:PR2"/>
    <mergeCell ref="QG2:QK2"/>
    <mergeCell ref="QL2:QP2"/>
    <mergeCell ref="QQ2:QU2"/>
    <mergeCell ref="QV2:QZ2"/>
    <mergeCell ref="NQ2:NU2"/>
    <mergeCell ref="NV2:NZ2"/>
    <mergeCell ref="OA2:OE2"/>
    <mergeCell ref="OF2:OJ2"/>
    <mergeCell ref="OY2:PC2"/>
    <mergeCell ref="PD2:PH2"/>
    <mergeCell ref="TG2:TK2"/>
    <mergeCell ref="TL2:TP2"/>
    <mergeCell ref="UE2:UI2"/>
    <mergeCell ref="UJ2:UN2"/>
    <mergeCell ref="UO2:US2"/>
    <mergeCell ref="UT2:UX2"/>
    <mergeCell ref="RO2:RS2"/>
    <mergeCell ref="RT2:RX2"/>
    <mergeCell ref="RY2:SC2"/>
    <mergeCell ref="SD2:SH2"/>
    <mergeCell ref="SW2:TA2"/>
    <mergeCell ref="TB2:TF2"/>
  </mergeCells>
  <conditionalFormatting sqref="H1:H1048576">
    <cfRule type="containsText" dxfId="413" priority="12" operator="containsText" text="No DD">
      <formula>NOT(ISERROR(SEARCH("No DD",H1)))</formula>
    </cfRule>
    <cfRule type="containsText" dxfId="412" priority="13" operator="containsText" text="Merit">
      <formula>NOT(ISERROR(SEARCH("Merit",H1)))</formula>
    </cfRule>
    <cfRule type="containsText" dxfId="411" priority="14" operator="containsText" text="Excellence">
      <formula>NOT(ISERROR(SEARCH("Excellence",H1)))</formula>
    </cfRule>
    <cfRule type="containsText" dxfId="410" priority="15" operator="containsText" text="Worlds Team">
      <formula>NOT(ISERROR(SEARCH("Worlds Team",H1)))</formula>
    </cfRule>
    <cfRule type="containsText" dxfId="409" priority="16" operator="containsText" text="National Team">
      <formula>NOT(ISERROR(SEARCH("National Team",H1)))</formula>
    </cfRule>
  </conditionalFormatting>
  <conditionalFormatting sqref="S4:AS5">
    <cfRule type="expression" dxfId="408" priority="11" stopIfTrue="1">
      <formula>IF($AH4&lt;&gt;"",1,0)</formula>
    </cfRule>
  </conditionalFormatting>
  <conditionalFormatting sqref="AT4:BT5">
    <cfRule type="expression" dxfId="407" priority="10" stopIfTrue="1">
      <formula>IF($BI4&lt;&gt;"",1,0)</formula>
    </cfRule>
  </conditionalFormatting>
  <conditionalFormatting sqref="A4:A1048576">
    <cfRule type="expression" dxfId="406" priority="7">
      <formula>AND(G4&lt;&gt;"",F4="")</formula>
    </cfRule>
    <cfRule type="expression" dxfId="405" priority="8" stopIfTrue="1">
      <formula>IF(A4&gt;4,1,0)</formula>
    </cfRule>
  </conditionalFormatting>
  <conditionalFormatting sqref="GT2">
    <cfRule type="cellIs" dxfId="404" priority="5" operator="between">
      <formula>HB$15</formula>
      <formula>1000</formula>
    </cfRule>
    <cfRule type="cellIs" dxfId="403" priority="6" operator="between">
      <formula>HB$14</formula>
      <formula>HB$15</formula>
    </cfRule>
  </conditionalFormatting>
  <conditionalFormatting sqref="K1:K1048576 M1:M1048576 O1:O1048576">
    <cfRule type="expression" dxfId="402" priority="3" stopIfTrue="1">
      <formula>IF(K1=$AT$1,1,0)</formula>
    </cfRule>
    <cfRule type="expression" dxfId="401" priority="4">
      <formula>IF(K1=$S$1,1,0)</formula>
    </cfRule>
  </conditionalFormatting>
  <conditionalFormatting sqref="AO1:AO1048576 BP1:BP1048576 CW1:CW1048576 EE1:EE1048576 FM1:FM1048576 GU1:GU1048576 IC1:IC1048576 JK1:JK1048576 KS1:KS1048576 MA1:MA1048576 NI1:NI1048576 OQ1:OQ1048576 PY1:PY1048576 RG1:RG1048576 SO1:SO1048576 TW1:TW1048576 VE1:VE1048576">
    <cfRule type="cellIs" dxfId="400" priority="175926" operator="between">
      <formula>$AS$12</formula>
      <formula>$AS$13</formula>
    </cfRule>
  </conditionalFormatting>
  <conditionalFormatting sqref="AL1:AL1048576 BM1:BM1048576 CT1:CT1048576 EB1:EB1048576 FJ1:FJ1048576 GR1:GR1048576 HZ1:HZ1048576 JH1:JH1048576 KP1:KP1048576 LX1:LX1048576 NF1:NF1048576 ON1:ON1048576 PV1:PV1048576 RD1:RD1048576 SL1:SL1048576 TT1:TT1048576 VB1:VB1048576">
    <cfRule type="cellIs" dxfId="399" priority="176010" operator="between">
      <formula>$AS$8</formula>
      <formula>$AS$9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6E604-BB96-B445-B3A7-F7FD16098DE3}">
  <sheetPr codeName="Sheet7"/>
  <dimension ref="A1:WJ51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32.6640625" bestFit="1" customWidth="1"/>
    <col min="3" max="3" width="8.1640625" bestFit="1" customWidth="1"/>
    <col min="4" max="4" width="12" customWidth="1"/>
    <col min="6" max="6" width="16.33203125" customWidth="1"/>
    <col min="7" max="7" width="10.83203125" customWidth="1"/>
    <col min="8" max="8" width="13.33203125" bestFit="1" customWidth="1"/>
    <col min="9" max="9" width="19" hidden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2" customWidth="1"/>
    <col min="44" max="59" width="10.83203125" hidden="1" customWidth="1"/>
    <col min="60" max="70" width="10.83203125" style="32" customWidth="1"/>
    <col min="71" max="86" width="10.83203125" hidden="1" customWidth="1"/>
    <col min="87" max="97" width="10.83203125" style="32" customWidth="1"/>
    <col min="98" max="98" width="12.83203125" style="32" customWidth="1"/>
    <col min="99" max="118" width="10.83203125" hidden="1" customWidth="1"/>
    <col min="119" max="131" width="10.83203125" customWidth="1"/>
    <col min="132" max="132" width="10.83203125" style="32" customWidth="1"/>
    <col min="133" max="152" width="10.83203125" hidden="1" customWidth="1"/>
    <col min="153" max="165" width="10.83203125" customWidth="1"/>
    <col min="166" max="166" width="10.83203125" style="32" customWidth="1"/>
    <col min="167" max="186" width="10.83203125" hidden="1" customWidth="1"/>
    <col min="187" max="199" width="10.83203125" customWidth="1"/>
    <col min="200" max="200" width="10.83203125" style="32" customWidth="1"/>
    <col min="201" max="220" width="10.83203125" hidden="1" customWidth="1"/>
    <col min="221" max="233" width="10.83203125" customWidth="1"/>
    <col min="234" max="234" width="10.83203125" style="32" customWidth="1"/>
    <col min="235" max="254" width="10.83203125" hidden="1" customWidth="1"/>
    <col min="255" max="267" width="10.83203125" customWidth="1"/>
    <col min="268" max="268" width="10.83203125" style="32" customWidth="1"/>
    <col min="269" max="288" width="10.83203125" hidden="1" customWidth="1"/>
    <col min="289" max="302" width="10.83203125" customWidth="1"/>
    <col min="303" max="322" width="10.83203125" hidden="1" customWidth="1"/>
    <col min="323" max="336" width="10.83203125" customWidth="1"/>
    <col min="337" max="356" width="10.83203125" hidden="1" customWidth="1"/>
    <col min="357" max="370" width="10.83203125" customWidth="1"/>
    <col min="371" max="533" width="10.83203125" hidden="1" customWidth="1"/>
    <col min="534" max="534" width="11.83203125" hidden="1" customWidth="1"/>
    <col min="535" max="535" width="12.83203125" hidden="1" customWidth="1"/>
    <col min="536" max="567" width="10.83203125" hidden="1" customWidth="1"/>
    <col min="568" max="568" width="11.83203125" hidden="1" customWidth="1"/>
    <col min="569" max="569" width="12.83203125" hidden="1" customWidth="1"/>
    <col min="570" max="601" width="10.83203125" hidden="1" customWidth="1"/>
    <col min="602" max="602" width="11.83203125" hidden="1" customWidth="1"/>
    <col min="603" max="603" width="12.83203125" hidden="1" customWidth="1"/>
    <col min="604" max="608" width="10.83203125" hidden="1" customWidth="1"/>
  </cols>
  <sheetData>
    <row r="1" spans="1:608" x14ac:dyDescent="0.2">
      <c r="A1" s="56" t="s">
        <v>1</v>
      </c>
      <c r="B1" s="56" t="s">
        <v>26</v>
      </c>
      <c r="C1" s="56" t="s">
        <v>0</v>
      </c>
      <c r="D1" s="56" t="s">
        <v>44</v>
      </c>
      <c r="E1" s="56" t="s">
        <v>2</v>
      </c>
      <c r="F1" s="60" t="s">
        <v>188</v>
      </c>
      <c r="G1" s="56" t="s">
        <v>9</v>
      </c>
      <c r="H1" s="56" t="s">
        <v>10</v>
      </c>
      <c r="I1" s="56" t="s">
        <v>61</v>
      </c>
      <c r="J1" s="57" t="s">
        <v>75</v>
      </c>
      <c r="K1" s="58" t="s">
        <v>28</v>
      </c>
      <c r="L1" s="57" t="s">
        <v>86</v>
      </c>
      <c r="M1" s="58" t="s">
        <v>28</v>
      </c>
      <c r="N1" s="61" t="s">
        <v>12</v>
      </c>
      <c r="O1" s="58" t="s">
        <v>29</v>
      </c>
      <c r="P1" s="58" t="s">
        <v>28</v>
      </c>
      <c r="Q1" s="52" t="s">
        <v>118</v>
      </c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52"/>
      <c r="AF1" s="52"/>
      <c r="AG1" s="52"/>
      <c r="AH1" s="52"/>
      <c r="AI1" s="52"/>
      <c r="AJ1" s="52"/>
      <c r="AK1" s="52"/>
      <c r="AL1" s="52"/>
      <c r="AM1" s="52"/>
      <c r="AN1" s="52"/>
      <c r="AO1" s="52"/>
      <c r="AP1" s="52"/>
      <c r="AQ1" s="52"/>
      <c r="AR1" s="53" t="s">
        <v>145</v>
      </c>
      <c r="AS1" s="53"/>
      <c r="AT1" s="53"/>
      <c r="AU1" s="53"/>
      <c r="AV1" s="53"/>
      <c r="AW1" s="53"/>
      <c r="AX1" s="53"/>
      <c r="AY1" s="53"/>
      <c r="AZ1" s="53"/>
      <c r="BA1" s="53"/>
      <c r="BB1" s="53"/>
      <c r="BC1" s="53"/>
      <c r="BD1" s="53"/>
      <c r="BE1" s="53"/>
      <c r="BF1" s="53"/>
      <c r="BG1" s="53"/>
      <c r="BH1" s="53"/>
      <c r="BI1" s="53"/>
      <c r="BJ1" s="53"/>
      <c r="BK1" s="53"/>
      <c r="BL1" s="53"/>
      <c r="BM1" s="53"/>
      <c r="BN1" s="53"/>
      <c r="BO1" s="53"/>
      <c r="BP1" s="53"/>
      <c r="BQ1" s="53"/>
      <c r="BR1" s="53"/>
      <c r="BS1" s="52" t="s">
        <v>161</v>
      </c>
      <c r="BT1" s="52"/>
      <c r="BU1" s="52"/>
      <c r="BV1" s="52"/>
      <c r="BW1" s="52"/>
      <c r="BX1" s="52"/>
      <c r="BY1" s="52"/>
      <c r="BZ1" s="52"/>
      <c r="CA1" s="52"/>
      <c r="CB1" s="52"/>
      <c r="CC1" s="52"/>
      <c r="CD1" s="52"/>
      <c r="CE1" s="52"/>
      <c r="CF1" s="52"/>
      <c r="CG1" s="52"/>
      <c r="CH1" s="52"/>
      <c r="CI1" s="52"/>
      <c r="CJ1" s="52"/>
      <c r="CK1" s="52"/>
      <c r="CL1" s="52"/>
      <c r="CM1" s="52"/>
      <c r="CN1" s="52"/>
      <c r="CO1" s="52"/>
      <c r="CP1" s="52"/>
      <c r="CQ1" s="52"/>
      <c r="CR1" s="52"/>
      <c r="CS1" s="52"/>
      <c r="CT1" s="50"/>
      <c r="CU1" s="52" t="s">
        <v>138</v>
      </c>
      <c r="CV1" s="52"/>
      <c r="CW1" s="52"/>
      <c r="CX1" s="52"/>
      <c r="CY1" s="52"/>
      <c r="CZ1" s="52"/>
      <c r="DA1" s="52"/>
      <c r="DB1" s="52"/>
      <c r="DC1" s="52"/>
      <c r="DD1" s="52"/>
      <c r="DE1" s="52"/>
      <c r="DF1" s="52"/>
      <c r="DG1" s="52"/>
      <c r="DH1" s="52"/>
      <c r="DI1" s="52"/>
      <c r="DJ1" s="52"/>
      <c r="DK1" s="52"/>
      <c r="DL1" s="52"/>
      <c r="DM1" s="52"/>
      <c r="DN1" s="52"/>
      <c r="DO1" s="52"/>
      <c r="DP1" s="52"/>
      <c r="DQ1" s="52"/>
      <c r="DR1" s="52"/>
      <c r="DS1" s="52"/>
      <c r="DT1" s="52"/>
      <c r="DU1" s="52"/>
      <c r="DV1" s="52"/>
      <c r="DW1" s="52"/>
      <c r="DX1" s="52"/>
      <c r="DY1" s="52"/>
      <c r="DZ1" s="52"/>
      <c r="EA1" s="52"/>
      <c r="EB1" s="52"/>
      <c r="EC1" s="53" t="s">
        <v>140</v>
      </c>
      <c r="ED1" s="53"/>
      <c r="EE1" s="53"/>
      <c r="EF1" s="53"/>
      <c r="EG1" s="53"/>
      <c r="EH1" s="53"/>
      <c r="EI1" s="53"/>
      <c r="EJ1" s="53"/>
      <c r="EK1" s="53"/>
      <c r="EL1" s="53"/>
      <c r="EM1" s="53"/>
      <c r="EN1" s="53"/>
      <c r="EO1" s="53"/>
      <c r="EP1" s="53"/>
      <c r="EQ1" s="53"/>
      <c r="ER1" s="53"/>
      <c r="ES1" s="53"/>
      <c r="ET1" s="53"/>
      <c r="EU1" s="53"/>
      <c r="EV1" s="53"/>
      <c r="EW1" s="53"/>
      <c r="EX1" s="53"/>
      <c r="EY1" s="53"/>
      <c r="EZ1" s="53"/>
      <c r="FA1" s="53"/>
      <c r="FB1" s="53"/>
      <c r="FC1" s="53"/>
      <c r="FD1" s="53"/>
      <c r="FE1" s="53"/>
      <c r="FF1" s="53"/>
      <c r="FG1" s="53"/>
      <c r="FH1" s="53"/>
      <c r="FI1" s="53"/>
      <c r="FJ1" s="53"/>
      <c r="FK1" s="52" t="s">
        <v>152</v>
      </c>
      <c r="FL1" s="52"/>
      <c r="FM1" s="52"/>
      <c r="FN1" s="52"/>
      <c r="FO1" s="52"/>
      <c r="FP1" s="52"/>
      <c r="FQ1" s="52"/>
      <c r="FR1" s="52"/>
      <c r="FS1" s="52"/>
      <c r="FT1" s="52"/>
      <c r="FU1" s="52"/>
      <c r="FV1" s="52"/>
      <c r="FW1" s="52"/>
      <c r="FX1" s="52"/>
      <c r="FY1" s="52"/>
      <c r="FZ1" s="52"/>
      <c r="GA1" s="52"/>
      <c r="GB1" s="52"/>
      <c r="GC1" s="52"/>
      <c r="GD1" s="52"/>
      <c r="GE1" s="52"/>
      <c r="GF1" s="52"/>
      <c r="GG1" s="52"/>
      <c r="GH1" s="52"/>
      <c r="GI1" s="52"/>
      <c r="GJ1" s="52"/>
      <c r="GK1" s="52"/>
      <c r="GL1" s="52"/>
      <c r="GM1" s="52"/>
      <c r="GN1" s="52"/>
      <c r="GO1" s="52"/>
      <c r="GP1" s="52"/>
      <c r="GQ1" s="52"/>
      <c r="GR1" s="52"/>
      <c r="GS1" s="53" t="s">
        <v>156</v>
      </c>
      <c r="GT1" s="53"/>
      <c r="GU1" s="53"/>
      <c r="GV1" s="53"/>
      <c r="GW1" s="53"/>
      <c r="GX1" s="53"/>
      <c r="GY1" s="53"/>
      <c r="GZ1" s="53"/>
      <c r="HA1" s="53"/>
      <c r="HB1" s="53"/>
      <c r="HC1" s="53"/>
      <c r="HD1" s="53"/>
      <c r="HE1" s="53"/>
      <c r="HF1" s="53"/>
      <c r="HG1" s="53"/>
      <c r="HH1" s="53"/>
      <c r="HI1" s="53"/>
      <c r="HJ1" s="53"/>
      <c r="HK1" s="53"/>
      <c r="HL1" s="53"/>
      <c r="HM1" s="53"/>
      <c r="HN1" s="53"/>
      <c r="HO1" s="53"/>
      <c r="HP1" s="53"/>
      <c r="HQ1" s="53"/>
      <c r="HR1" s="53"/>
      <c r="HS1" s="53"/>
      <c r="HT1" s="53"/>
      <c r="HU1" s="53"/>
      <c r="HV1" s="53"/>
      <c r="HW1" s="53"/>
      <c r="HX1" s="53"/>
      <c r="HY1" s="53"/>
      <c r="HZ1" s="53"/>
      <c r="IA1" s="52" t="s">
        <v>164</v>
      </c>
      <c r="IB1" s="52"/>
      <c r="IC1" s="52"/>
      <c r="ID1" s="52"/>
      <c r="IE1" s="52"/>
      <c r="IF1" s="52"/>
      <c r="IG1" s="52"/>
      <c r="IH1" s="52"/>
      <c r="II1" s="52"/>
      <c r="IJ1" s="52"/>
      <c r="IK1" s="52"/>
      <c r="IL1" s="52"/>
      <c r="IM1" s="52"/>
      <c r="IN1" s="52"/>
      <c r="IO1" s="52"/>
      <c r="IP1" s="52"/>
      <c r="IQ1" s="52"/>
      <c r="IR1" s="52"/>
      <c r="IS1" s="52"/>
      <c r="IT1" s="52"/>
      <c r="IU1" s="52"/>
      <c r="IV1" s="52"/>
      <c r="IW1" s="52"/>
      <c r="IX1" s="52"/>
      <c r="IY1" s="52"/>
      <c r="IZ1" s="52"/>
      <c r="JA1" s="52"/>
      <c r="JB1" s="52"/>
      <c r="JC1" s="52"/>
      <c r="JD1" s="52"/>
      <c r="JE1" s="52"/>
      <c r="JF1" s="52"/>
      <c r="JG1" s="52"/>
      <c r="JH1" s="52"/>
      <c r="JI1" s="53" t="s">
        <v>173</v>
      </c>
      <c r="JJ1" s="53"/>
      <c r="JK1" s="53"/>
      <c r="JL1" s="53"/>
      <c r="JM1" s="53"/>
      <c r="JN1" s="53"/>
      <c r="JO1" s="53"/>
      <c r="JP1" s="53"/>
      <c r="JQ1" s="53"/>
      <c r="JR1" s="53"/>
      <c r="JS1" s="53"/>
      <c r="JT1" s="53"/>
      <c r="JU1" s="53"/>
      <c r="JV1" s="53"/>
      <c r="JW1" s="53"/>
      <c r="JX1" s="53"/>
      <c r="JY1" s="53"/>
      <c r="JZ1" s="53"/>
      <c r="KA1" s="53"/>
      <c r="KB1" s="53"/>
      <c r="KC1" s="53"/>
      <c r="KD1" s="53"/>
      <c r="KE1" s="53"/>
      <c r="KF1" s="53"/>
      <c r="KG1" s="53"/>
      <c r="KH1" s="53"/>
      <c r="KI1" s="53"/>
      <c r="KJ1" s="53"/>
      <c r="KK1" s="53"/>
      <c r="KL1" s="53"/>
      <c r="KM1" s="53"/>
      <c r="KN1" s="53"/>
      <c r="KO1" s="53"/>
      <c r="KP1" s="53"/>
      <c r="KQ1" s="52" t="s">
        <v>176</v>
      </c>
      <c r="KR1" s="52"/>
      <c r="KS1" s="52"/>
      <c r="KT1" s="52"/>
      <c r="KU1" s="52"/>
      <c r="KV1" s="52"/>
      <c r="KW1" s="52"/>
      <c r="KX1" s="52"/>
      <c r="KY1" s="52"/>
      <c r="KZ1" s="52"/>
      <c r="LA1" s="52"/>
      <c r="LB1" s="52"/>
      <c r="LC1" s="52"/>
      <c r="LD1" s="52"/>
      <c r="LE1" s="52"/>
      <c r="LF1" s="52"/>
      <c r="LG1" s="52"/>
      <c r="LH1" s="52"/>
      <c r="LI1" s="52"/>
      <c r="LJ1" s="52"/>
      <c r="LK1" s="52"/>
      <c r="LL1" s="52"/>
      <c r="LM1" s="52"/>
      <c r="LN1" s="52"/>
      <c r="LO1" s="52"/>
      <c r="LP1" s="52"/>
      <c r="LQ1" s="52"/>
      <c r="LR1" s="52"/>
      <c r="LS1" s="52"/>
      <c r="LT1" s="52"/>
      <c r="LU1" s="52"/>
      <c r="LV1" s="52"/>
      <c r="LW1" s="52"/>
      <c r="LX1" s="52"/>
      <c r="LY1" s="53" t="s">
        <v>182</v>
      </c>
      <c r="LZ1" s="53"/>
      <c r="MA1" s="53"/>
      <c r="MB1" s="53"/>
      <c r="MC1" s="53"/>
      <c r="MD1" s="53"/>
      <c r="ME1" s="53"/>
      <c r="MF1" s="53"/>
      <c r="MG1" s="53"/>
      <c r="MH1" s="53"/>
      <c r="MI1" s="53"/>
      <c r="MJ1" s="53"/>
      <c r="MK1" s="53"/>
      <c r="ML1" s="53"/>
      <c r="MM1" s="53"/>
      <c r="MN1" s="53"/>
      <c r="MO1" s="53"/>
      <c r="MP1" s="53"/>
      <c r="MQ1" s="53"/>
      <c r="MR1" s="53"/>
      <c r="MS1" s="53"/>
      <c r="MT1" s="53"/>
      <c r="MU1" s="53"/>
      <c r="MV1" s="53"/>
      <c r="MW1" s="53"/>
      <c r="MX1" s="53"/>
      <c r="MY1" s="53"/>
      <c r="MZ1" s="53"/>
      <c r="NA1" s="53"/>
      <c r="NB1" s="53"/>
      <c r="NC1" s="53"/>
      <c r="ND1" s="53"/>
      <c r="NE1" s="53"/>
      <c r="NF1" s="53"/>
      <c r="NG1" s="52"/>
      <c r="NH1" s="52"/>
      <c r="NI1" s="52"/>
      <c r="NJ1" s="52"/>
      <c r="NK1" s="52"/>
      <c r="NL1" s="52"/>
      <c r="NM1" s="52"/>
      <c r="NN1" s="52"/>
      <c r="NO1" s="52"/>
      <c r="NP1" s="52"/>
      <c r="NQ1" s="52"/>
      <c r="NR1" s="52"/>
      <c r="NS1" s="52"/>
      <c r="NT1" s="52"/>
      <c r="NU1" s="52"/>
      <c r="NV1" s="52"/>
      <c r="NW1" s="52"/>
      <c r="NX1" s="52"/>
      <c r="NY1" s="52"/>
      <c r="NZ1" s="52"/>
      <c r="OA1" s="52"/>
      <c r="OB1" s="52"/>
      <c r="OC1" s="52"/>
      <c r="OD1" s="52"/>
      <c r="OE1" s="52"/>
      <c r="OF1" s="52"/>
      <c r="OG1" s="52"/>
      <c r="OH1" s="52"/>
      <c r="OI1" s="52"/>
      <c r="OJ1" s="52"/>
      <c r="OK1" s="52"/>
      <c r="OL1" s="52"/>
      <c r="OM1" s="52"/>
      <c r="ON1" s="52"/>
      <c r="OO1" s="53"/>
      <c r="OP1" s="53"/>
      <c r="OQ1" s="53"/>
      <c r="OR1" s="53"/>
      <c r="OS1" s="53"/>
      <c r="OT1" s="53"/>
      <c r="OU1" s="53"/>
      <c r="OV1" s="53"/>
      <c r="OW1" s="53"/>
      <c r="OX1" s="53"/>
      <c r="OY1" s="53"/>
      <c r="OZ1" s="53"/>
      <c r="PA1" s="53"/>
      <c r="PB1" s="53"/>
      <c r="PC1" s="53"/>
      <c r="PD1" s="53"/>
      <c r="PE1" s="53"/>
      <c r="PF1" s="53"/>
      <c r="PG1" s="53"/>
      <c r="PH1" s="53"/>
      <c r="PI1" s="53"/>
      <c r="PJ1" s="53"/>
      <c r="PK1" s="53"/>
      <c r="PL1" s="53"/>
      <c r="PM1" s="53"/>
      <c r="PN1" s="53"/>
      <c r="PO1" s="53"/>
      <c r="PP1" s="53"/>
      <c r="PQ1" s="53"/>
      <c r="PR1" s="53"/>
      <c r="PS1" s="53"/>
      <c r="PT1" s="53"/>
      <c r="PU1" s="53"/>
      <c r="PV1" s="53"/>
      <c r="PW1" s="52"/>
      <c r="PX1" s="52"/>
      <c r="PY1" s="52"/>
      <c r="PZ1" s="52"/>
      <c r="QA1" s="52"/>
      <c r="QB1" s="52"/>
      <c r="QC1" s="52"/>
      <c r="QD1" s="52"/>
      <c r="QE1" s="52"/>
      <c r="QF1" s="52"/>
      <c r="QG1" s="52"/>
      <c r="QH1" s="52"/>
      <c r="QI1" s="52"/>
      <c r="QJ1" s="52"/>
      <c r="QK1" s="52"/>
      <c r="QL1" s="52"/>
      <c r="QM1" s="52"/>
      <c r="QN1" s="52"/>
      <c r="QO1" s="52"/>
      <c r="QP1" s="52"/>
      <c r="QQ1" s="52"/>
      <c r="QR1" s="52"/>
      <c r="QS1" s="52"/>
      <c r="QT1" s="52"/>
      <c r="QU1" s="52"/>
      <c r="QV1" s="52"/>
      <c r="QW1" s="52"/>
      <c r="QX1" s="52"/>
      <c r="QY1" s="52"/>
      <c r="QZ1" s="52"/>
      <c r="RA1" s="52"/>
      <c r="RB1" s="52"/>
      <c r="RC1" s="52"/>
      <c r="RD1" s="52"/>
      <c r="RE1" s="53"/>
      <c r="RF1" s="53"/>
      <c r="RG1" s="53"/>
      <c r="RH1" s="53"/>
      <c r="RI1" s="53"/>
      <c r="RJ1" s="53"/>
      <c r="RK1" s="53"/>
      <c r="RL1" s="53"/>
      <c r="RM1" s="53"/>
      <c r="RN1" s="53"/>
      <c r="RO1" s="53"/>
      <c r="RP1" s="53"/>
      <c r="RQ1" s="53"/>
      <c r="RR1" s="53"/>
      <c r="RS1" s="53"/>
      <c r="RT1" s="53"/>
      <c r="RU1" s="53"/>
      <c r="RV1" s="53"/>
      <c r="RW1" s="53"/>
      <c r="RX1" s="53"/>
      <c r="RY1" s="53"/>
      <c r="RZ1" s="53"/>
      <c r="SA1" s="53"/>
      <c r="SB1" s="53"/>
      <c r="SC1" s="53"/>
      <c r="SD1" s="53"/>
      <c r="SE1" s="53"/>
      <c r="SF1" s="53"/>
      <c r="SG1" s="53"/>
      <c r="SH1" s="53"/>
      <c r="SI1" s="53"/>
      <c r="SJ1" s="53"/>
      <c r="SK1" s="53"/>
      <c r="SL1" s="53"/>
      <c r="SM1" s="52"/>
      <c r="SN1" s="52"/>
      <c r="SO1" s="52"/>
      <c r="SP1" s="52"/>
      <c r="SQ1" s="52"/>
      <c r="SR1" s="52"/>
      <c r="SS1" s="52"/>
      <c r="ST1" s="52"/>
      <c r="SU1" s="52"/>
      <c r="SV1" s="52"/>
      <c r="SW1" s="52"/>
      <c r="SX1" s="52"/>
      <c r="SY1" s="52"/>
      <c r="SZ1" s="52"/>
      <c r="TA1" s="52"/>
      <c r="TB1" s="52"/>
      <c r="TC1" s="52"/>
      <c r="TD1" s="52"/>
      <c r="TE1" s="52"/>
      <c r="TF1" s="52"/>
      <c r="TG1" s="52"/>
      <c r="TH1" s="52"/>
      <c r="TI1" s="52"/>
      <c r="TJ1" s="52"/>
      <c r="TK1" s="52"/>
      <c r="TL1" s="52"/>
      <c r="TM1" s="52"/>
      <c r="TN1" s="52"/>
      <c r="TO1" s="52"/>
      <c r="TP1" s="52"/>
      <c r="TQ1" s="52"/>
      <c r="TR1" s="52"/>
      <c r="TS1" s="52"/>
      <c r="TT1" s="52"/>
      <c r="TU1" s="53"/>
      <c r="TV1" s="53"/>
      <c r="TW1" s="53"/>
      <c r="TX1" s="53"/>
      <c r="TY1" s="53"/>
      <c r="TZ1" s="53"/>
      <c r="UA1" s="53"/>
      <c r="UB1" s="53"/>
      <c r="UC1" s="53"/>
      <c r="UD1" s="53"/>
      <c r="UE1" s="53"/>
      <c r="UF1" s="53"/>
      <c r="UG1" s="53"/>
      <c r="UH1" s="53"/>
      <c r="UI1" s="53"/>
      <c r="UJ1" s="53"/>
      <c r="UK1" s="53"/>
      <c r="UL1" s="53"/>
      <c r="UM1" s="53"/>
      <c r="UN1" s="53"/>
      <c r="UO1" s="53"/>
      <c r="UP1" s="53"/>
      <c r="UQ1" s="53"/>
      <c r="UR1" s="53"/>
      <c r="US1" s="53"/>
      <c r="UT1" s="53"/>
      <c r="UU1" s="53"/>
      <c r="UV1" s="53"/>
      <c r="UW1" s="53"/>
      <c r="UX1" s="53"/>
      <c r="UY1" s="53"/>
      <c r="UZ1" s="53"/>
      <c r="VA1" s="53"/>
      <c r="VB1" s="53"/>
      <c r="VC1" s="52"/>
      <c r="VD1" s="52"/>
      <c r="VE1" s="52"/>
      <c r="VF1" s="52"/>
      <c r="VG1" s="52"/>
      <c r="VH1" s="52"/>
      <c r="VI1" s="52"/>
      <c r="VJ1" s="52"/>
      <c r="VK1" s="52"/>
      <c r="VL1" s="52"/>
      <c r="VM1" s="52"/>
      <c r="VN1" s="52"/>
      <c r="VO1" s="52"/>
      <c r="VP1" s="52"/>
      <c r="VQ1" s="52"/>
      <c r="VR1" s="52"/>
      <c r="VS1" s="52"/>
      <c r="VT1" s="52"/>
      <c r="VU1" s="52"/>
      <c r="VV1" s="52"/>
      <c r="VW1" s="52"/>
      <c r="VX1" s="52"/>
      <c r="VY1" s="52"/>
      <c r="VZ1" s="52"/>
      <c r="WA1" s="52"/>
      <c r="WB1" s="52"/>
      <c r="WC1" s="52"/>
      <c r="WD1" s="52"/>
      <c r="WE1" s="52"/>
      <c r="WF1" s="52"/>
      <c r="WG1" s="52"/>
      <c r="WH1" s="52"/>
      <c r="WI1" s="52"/>
      <c r="WJ1" s="52"/>
    </row>
    <row r="2" spans="1:608" x14ac:dyDescent="0.2">
      <c r="A2" s="56"/>
      <c r="B2" s="56"/>
      <c r="C2" s="56"/>
      <c r="D2" s="56"/>
      <c r="E2" s="56"/>
      <c r="F2" s="60"/>
      <c r="G2" s="56"/>
      <c r="H2" s="56"/>
      <c r="I2" s="56"/>
      <c r="J2" s="57"/>
      <c r="K2" s="58"/>
      <c r="L2" s="57"/>
      <c r="M2" s="58"/>
      <c r="N2" s="61"/>
      <c r="O2" s="58"/>
      <c r="P2" s="58"/>
      <c r="Q2" s="54" t="s">
        <v>17</v>
      </c>
      <c r="R2" s="54"/>
      <c r="S2" s="54"/>
      <c r="T2" s="54"/>
      <c r="U2" s="54"/>
      <c r="V2" s="54" t="s">
        <v>18</v>
      </c>
      <c r="W2" s="54"/>
      <c r="X2" s="54"/>
      <c r="Y2" s="54"/>
      <c r="Z2" s="54"/>
      <c r="AA2" s="54" t="s">
        <v>21</v>
      </c>
      <c r="AB2" s="54"/>
      <c r="AC2" s="54"/>
      <c r="AD2" s="54"/>
      <c r="AE2" s="54"/>
      <c r="AF2" s="14"/>
      <c r="AG2" s="14" t="s">
        <v>67</v>
      </c>
      <c r="AH2" s="14" t="s">
        <v>68</v>
      </c>
      <c r="AI2" s="14" t="s">
        <v>19</v>
      </c>
      <c r="AJ2" s="14" t="s">
        <v>58</v>
      </c>
      <c r="AK2" s="14" t="s">
        <v>69</v>
      </c>
      <c r="AL2" s="14" t="s">
        <v>20</v>
      </c>
      <c r="AM2" s="14" t="s">
        <v>22</v>
      </c>
      <c r="AN2" s="14" t="s">
        <v>70</v>
      </c>
      <c r="AO2" s="14" t="s">
        <v>71</v>
      </c>
      <c r="AP2" s="14" t="s">
        <v>21</v>
      </c>
      <c r="AQ2" s="14" t="s">
        <v>16</v>
      </c>
      <c r="AR2" s="55" t="s">
        <v>17</v>
      </c>
      <c r="AS2" s="55"/>
      <c r="AT2" s="55"/>
      <c r="AU2" s="55"/>
      <c r="AV2" s="55"/>
      <c r="AW2" s="55" t="s">
        <v>18</v>
      </c>
      <c r="AX2" s="55"/>
      <c r="AY2" s="55"/>
      <c r="AZ2" s="55"/>
      <c r="BA2" s="55"/>
      <c r="BB2" s="55" t="s">
        <v>21</v>
      </c>
      <c r="BC2" s="55"/>
      <c r="BD2" s="55"/>
      <c r="BE2" s="55"/>
      <c r="BF2" s="55"/>
      <c r="BG2" s="13"/>
      <c r="BH2" s="13" t="s">
        <v>67</v>
      </c>
      <c r="BI2" s="13" t="s">
        <v>68</v>
      </c>
      <c r="BJ2" s="13" t="s">
        <v>19</v>
      </c>
      <c r="BK2" s="13" t="s">
        <v>58</v>
      </c>
      <c r="BL2" s="13" t="s">
        <v>69</v>
      </c>
      <c r="BM2" s="13" t="s">
        <v>20</v>
      </c>
      <c r="BN2" s="13" t="s">
        <v>22</v>
      </c>
      <c r="BO2" s="13" t="s">
        <v>70</v>
      </c>
      <c r="BP2" s="13" t="s">
        <v>71</v>
      </c>
      <c r="BQ2" s="13" t="s">
        <v>21</v>
      </c>
      <c r="BR2" s="13" t="s">
        <v>16</v>
      </c>
      <c r="BS2" s="54" t="s">
        <v>17</v>
      </c>
      <c r="BT2" s="54"/>
      <c r="BU2" s="54"/>
      <c r="BV2" s="54"/>
      <c r="BW2" s="54"/>
      <c r="BX2" s="54" t="s">
        <v>18</v>
      </c>
      <c r="BY2" s="54"/>
      <c r="BZ2" s="54"/>
      <c r="CA2" s="54"/>
      <c r="CB2" s="54"/>
      <c r="CC2" s="54" t="s">
        <v>21</v>
      </c>
      <c r="CD2" s="54"/>
      <c r="CE2" s="54"/>
      <c r="CF2" s="54"/>
      <c r="CG2" s="54"/>
      <c r="CH2" s="14"/>
      <c r="CI2" s="14" t="s">
        <v>67</v>
      </c>
      <c r="CJ2" s="14" t="s">
        <v>68</v>
      </c>
      <c r="CK2" s="14" t="s">
        <v>19</v>
      </c>
      <c r="CL2" s="14" t="s">
        <v>58</v>
      </c>
      <c r="CM2" s="14" t="s">
        <v>69</v>
      </c>
      <c r="CN2" s="14" t="s">
        <v>20</v>
      </c>
      <c r="CO2" s="14" t="s">
        <v>22</v>
      </c>
      <c r="CP2" s="14" t="s">
        <v>70</v>
      </c>
      <c r="CQ2" s="14" t="s">
        <v>71</v>
      </c>
      <c r="CR2" s="14" t="s">
        <v>21</v>
      </c>
      <c r="CS2" s="14" t="s">
        <v>16</v>
      </c>
      <c r="CT2" s="46" t="s">
        <v>187</v>
      </c>
      <c r="CU2" s="54" t="s">
        <v>17</v>
      </c>
      <c r="CV2" s="54"/>
      <c r="CW2" s="54"/>
      <c r="CX2" s="54"/>
      <c r="CY2" s="54"/>
      <c r="CZ2" s="54" t="s">
        <v>18</v>
      </c>
      <c r="DA2" s="54"/>
      <c r="DB2" s="54"/>
      <c r="DC2" s="54"/>
      <c r="DD2" s="54"/>
      <c r="DE2" s="54" t="s">
        <v>72</v>
      </c>
      <c r="DF2" s="54"/>
      <c r="DG2" s="54"/>
      <c r="DH2" s="54"/>
      <c r="DI2" s="54"/>
      <c r="DJ2" s="54" t="s">
        <v>21</v>
      </c>
      <c r="DK2" s="54"/>
      <c r="DL2" s="54"/>
      <c r="DM2" s="54"/>
      <c r="DN2" s="54"/>
      <c r="DO2" s="14" t="s">
        <v>67</v>
      </c>
      <c r="DP2" s="14" t="s">
        <v>68</v>
      </c>
      <c r="DQ2" s="14" t="s">
        <v>19</v>
      </c>
      <c r="DR2" s="14" t="s">
        <v>58</v>
      </c>
      <c r="DS2" s="14" t="s">
        <v>69</v>
      </c>
      <c r="DT2" s="14" t="s">
        <v>20</v>
      </c>
      <c r="DU2" s="14" t="s">
        <v>22</v>
      </c>
      <c r="DV2" s="14" t="s">
        <v>73</v>
      </c>
      <c r="DW2" s="14" t="s">
        <v>74</v>
      </c>
      <c r="DX2" s="14" t="s">
        <v>72</v>
      </c>
      <c r="DY2" s="14" t="s">
        <v>70</v>
      </c>
      <c r="DZ2" s="14" t="s">
        <v>71</v>
      </c>
      <c r="EA2" s="14" t="s">
        <v>21</v>
      </c>
      <c r="EB2" s="14" t="s">
        <v>16</v>
      </c>
      <c r="EC2" s="55" t="s">
        <v>17</v>
      </c>
      <c r="ED2" s="55"/>
      <c r="EE2" s="55"/>
      <c r="EF2" s="55"/>
      <c r="EG2" s="55"/>
      <c r="EH2" s="55" t="s">
        <v>18</v>
      </c>
      <c r="EI2" s="55"/>
      <c r="EJ2" s="55"/>
      <c r="EK2" s="55"/>
      <c r="EL2" s="55"/>
      <c r="EM2" s="55" t="s">
        <v>72</v>
      </c>
      <c r="EN2" s="55"/>
      <c r="EO2" s="55"/>
      <c r="EP2" s="55"/>
      <c r="EQ2" s="55"/>
      <c r="ER2" s="55" t="s">
        <v>21</v>
      </c>
      <c r="ES2" s="55"/>
      <c r="ET2" s="55"/>
      <c r="EU2" s="55"/>
      <c r="EV2" s="55"/>
      <c r="EW2" s="13" t="s">
        <v>67</v>
      </c>
      <c r="EX2" s="13" t="s">
        <v>68</v>
      </c>
      <c r="EY2" s="13" t="s">
        <v>19</v>
      </c>
      <c r="EZ2" s="13" t="s">
        <v>58</v>
      </c>
      <c r="FA2" s="13" t="s">
        <v>69</v>
      </c>
      <c r="FB2" s="13" t="s">
        <v>20</v>
      </c>
      <c r="FC2" s="13" t="s">
        <v>22</v>
      </c>
      <c r="FD2" s="13" t="s">
        <v>73</v>
      </c>
      <c r="FE2" s="13" t="s">
        <v>74</v>
      </c>
      <c r="FF2" s="13" t="s">
        <v>72</v>
      </c>
      <c r="FG2" s="13" t="s">
        <v>70</v>
      </c>
      <c r="FH2" s="13" t="s">
        <v>71</v>
      </c>
      <c r="FI2" s="13" t="s">
        <v>21</v>
      </c>
      <c r="FJ2" s="13" t="s">
        <v>16</v>
      </c>
      <c r="FK2" s="54" t="s">
        <v>17</v>
      </c>
      <c r="FL2" s="54"/>
      <c r="FM2" s="54"/>
      <c r="FN2" s="54"/>
      <c r="FO2" s="54"/>
      <c r="FP2" s="54" t="s">
        <v>18</v>
      </c>
      <c r="FQ2" s="54"/>
      <c r="FR2" s="54"/>
      <c r="FS2" s="54"/>
      <c r="FT2" s="54"/>
      <c r="FU2" s="54" t="s">
        <v>72</v>
      </c>
      <c r="FV2" s="54"/>
      <c r="FW2" s="54"/>
      <c r="FX2" s="54"/>
      <c r="FY2" s="54"/>
      <c r="FZ2" s="54" t="s">
        <v>21</v>
      </c>
      <c r="GA2" s="54"/>
      <c r="GB2" s="54"/>
      <c r="GC2" s="54"/>
      <c r="GD2" s="54"/>
      <c r="GE2" s="14" t="s">
        <v>67</v>
      </c>
      <c r="GF2" s="14" t="s">
        <v>68</v>
      </c>
      <c r="GG2" s="14" t="s">
        <v>19</v>
      </c>
      <c r="GH2" s="14" t="s">
        <v>58</v>
      </c>
      <c r="GI2" s="14" t="s">
        <v>69</v>
      </c>
      <c r="GJ2" s="14" t="s">
        <v>20</v>
      </c>
      <c r="GK2" s="14" t="s">
        <v>22</v>
      </c>
      <c r="GL2" s="14" t="s">
        <v>73</v>
      </c>
      <c r="GM2" s="14" t="s">
        <v>74</v>
      </c>
      <c r="GN2" s="14" t="s">
        <v>72</v>
      </c>
      <c r="GO2" s="14" t="s">
        <v>70</v>
      </c>
      <c r="GP2" s="14" t="s">
        <v>71</v>
      </c>
      <c r="GQ2" s="14" t="s">
        <v>21</v>
      </c>
      <c r="GR2" s="14" t="s">
        <v>16</v>
      </c>
      <c r="GS2" s="55" t="s">
        <v>17</v>
      </c>
      <c r="GT2" s="55"/>
      <c r="GU2" s="55"/>
      <c r="GV2" s="55"/>
      <c r="GW2" s="55"/>
      <c r="GX2" s="55" t="s">
        <v>18</v>
      </c>
      <c r="GY2" s="55"/>
      <c r="GZ2" s="55"/>
      <c r="HA2" s="55"/>
      <c r="HB2" s="55"/>
      <c r="HC2" s="55" t="s">
        <v>72</v>
      </c>
      <c r="HD2" s="55"/>
      <c r="HE2" s="55"/>
      <c r="HF2" s="55"/>
      <c r="HG2" s="55"/>
      <c r="HH2" s="55" t="s">
        <v>21</v>
      </c>
      <c r="HI2" s="55"/>
      <c r="HJ2" s="55"/>
      <c r="HK2" s="55"/>
      <c r="HL2" s="55"/>
      <c r="HM2" s="13" t="s">
        <v>67</v>
      </c>
      <c r="HN2" s="13" t="s">
        <v>68</v>
      </c>
      <c r="HO2" s="13" t="s">
        <v>19</v>
      </c>
      <c r="HP2" s="13" t="s">
        <v>58</v>
      </c>
      <c r="HQ2" s="13" t="s">
        <v>69</v>
      </c>
      <c r="HR2" s="13" t="s">
        <v>20</v>
      </c>
      <c r="HS2" s="13" t="s">
        <v>22</v>
      </c>
      <c r="HT2" s="13" t="s">
        <v>73</v>
      </c>
      <c r="HU2" s="13" t="s">
        <v>74</v>
      </c>
      <c r="HV2" s="13" t="s">
        <v>72</v>
      </c>
      <c r="HW2" s="13" t="s">
        <v>70</v>
      </c>
      <c r="HX2" s="13" t="s">
        <v>71</v>
      </c>
      <c r="HY2" s="13" t="s">
        <v>21</v>
      </c>
      <c r="HZ2" s="13" t="s">
        <v>16</v>
      </c>
      <c r="IA2" s="54" t="s">
        <v>17</v>
      </c>
      <c r="IB2" s="54"/>
      <c r="IC2" s="54"/>
      <c r="ID2" s="54"/>
      <c r="IE2" s="54"/>
      <c r="IF2" s="54" t="s">
        <v>18</v>
      </c>
      <c r="IG2" s="54"/>
      <c r="IH2" s="54"/>
      <c r="II2" s="54"/>
      <c r="IJ2" s="54"/>
      <c r="IK2" s="54" t="s">
        <v>72</v>
      </c>
      <c r="IL2" s="54"/>
      <c r="IM2" s="54"/>
      <c r="IN2" s="54"/>
      <c r="IO2" s="54"/>
      <c r="IP2" s="54" t="s">
        <v>21</v>
      </c>
      <c r="IQ2" s="54"/>
      <c r="IR2" s="54"/>
      <c r="IS2" s="54"/>
      <c r="IT2" s="54"/>
      <c r="IU2" s="14" t="s">
        <v>67</v>
      </c>
      <c r="IV2" s="14" t="s">
        <v>68</v>
      </c>
      <c r="IW2" s="14" t="s">
        <v>19</v>
      </c>
      <c r="IX2" s="14" t="s">
        <v>58</v>
      </c>
      <c r="IY2" s="14" t="s">
        <v>69</v>
      </c>
      <c r="IZ2" s="14" t="s">
        <v>20</v>
      </c>
      <c r="JA2" s="14" t="s">
        <v>22</v>
      </c>
      <c r="JB2" s="14" t="s">
        <v>73</v>
      </c>
      <c r="JC2" s="14" t="s">
        <v>74</v>
      </c>
      <c r="JD2" s="14" t="s">
        <v>72</v>
      </c>
      <c r="JE2" s="14" t="s">
        <v>70</v>
      </c>
      <c r="JF2" s="14" t="s">
        <v>71</v>
      </c>
      <c r="JG2" s="14" t="s">
        <v>21</v>
      </c>
      <c r="JH2" s="14" t="s">
        <v>16</v>
      </c>
      <c r="JI2" s="55" t="s">
        <v>17</v>
      </c>
      <c r="JJ2" s="55"/>
      <c r="JK2" s="55"/>
      <c r="JL2" s="55"/>
      <c r="JM2" s="55"/>
      <c r="JN2" s="55" t="s">
        <v>18</v>
      </c>
      <c r="JO2" s="55"/>
      <c r="JP2" s="55"/>
      <c r="JQ2" s="55"/>
      <c r="JR2" s="55"/>
      <c r="JS2" s="55" t="s">
        <v>72</v>
      </c>
      <c r="JT2" s="55"/>
      <c r="JU2" s="55"/>
      <c r="JV2" s="55"/>
      <c r="JW2" s="55"/>
      <c r="JX2" s="55" t="s">
        <v>21</v>
      </c>
      <c r="JY2" s="55"/>
      <c r="JZ2" s="55"/>
      <c r="KA2" s="55"/>
      <c r="KB2" s="55"/>
      <c r="KC2" s="13" t="s">
        <v>67</v>
      </c>
      <c r="KD2" s="13" t="s">
        <v>68</v>
      </c>
      <c r="KE2" s="13" t="s">
        <v>19</v>
      </c>
      <c r="KF2" s="13" t="s">
        <v>58</v>
      </c>
      <c r="KG2" s="13" t="s">
        <v>69</v>
      </c>
      <c r="KH2" s="13" t="s">
        <v>20</v>
      </c>
      <c r="KI2" s="13" t="s">
        <v>22</v>
      </c>
      <c r="KJ2" s="13" t="s">
        <v>73</v>
      </c>
      <c r="KK2" s="13" t="s">
        <v>74</v>
      </c>
      <c r="KL2" s="13" t="s">
        <v>72</v>
      </c>
      <c r="KM2" s="13" t="s">
        <v>70</v>
      </c>
      <c r="KN2" s="13" t="s">
        <v>71</v>
      </c>
      <c r="KO2" s="13" t="s">
        <v>21</v>
      </c>
      <c r="KP2" s="13" t="s">
        <v>16</v>
      </c>
      <c r="KQ2" s="54" t="s">
        <v>17</v>
      </c>
      <c r="KR2" s="54"/>
      <c r="KS2" s="54"/>
      <c r="KT2" s="54"/>
      <c r="KU2" s="54"/>
      <c r="KV2" s="54" t="s">
        <v>18</v>
      </c>
      <c r="KW2" s="54"/>
      <c r="KX2" s="54"/>
      <c r="KY2" s="54"/>
      <c r="KZ2" s="54"/>
      <c r="LA2" s="54" t="s">
        <v>72</v>
      </c>
      <c r="LB2" s="54"/>
      <c r="LC2" s="54"/>
      <c r="LD2" s="54"/>
      <c r="LE2" s="54"/>
      <c r="LF2" s="54" t="s">
        <v>21</v>
      </c>
      <c r="LG2" s="54"/>
      <c r="LH2" s="54"/>
      <c r="LI2" s="54"/>
      <c r="LJ2" s="54"/>
      <c r="LK2" s="14" t="s">
        <v>67</v>
      </c>
      <c r="LL2" s="14" t="s">
        <v>68</v>
      </c>
      <c r="LM2" s="14" t="s">
        <v>19</v>
      </c>
      <c r="LN2" s="14" t="s">
        <v>58</v>
      </c>
      <c r="LO2" s="14" t="s">
        <v>69</v>
      </c>
      <c r="LP2" s="14" t="s">
        <v>20</v>
      </c>
      <c r="LQ2" s="14" t="s">
        <v>22</v>
      </c>
      <c r="LR2" s="14" t="s">
        <v>73</v>
      </c>
      <c r="LS2" s="14" t="s">
        <v>74</v>
      </c>
      <c r="LT2" s="14" t="s">
        <v>72</v>
      </c>
      <c r="LU2" s="14" t="s">
        <v>70</v>
      </c>
      <c r="LV2" s="14" t="s">
        <v>71</v>
      </c>
      <c r="LW2" s="14" t="s">
        <v>21</v>
      </c>
      <c r="LX2" s="14" t="s">
        <v>16</v>
      </c>
      <c r="LY2" s="55" t="s">
        <v>17</v>
      </c>
      <c r="LZ2" s="55"/>
      <c r="MA2" s="55"/>
      <c r="MB2" s="55"/>
      <c r="MC2" s="55"/>
      <c r="MD2" s="55" t="s">
        <v>18</v>
      </c>
      <c r="ME2" s="55"/>
      <c r="MF2" s="55"/>
      <c r="MG2" s="55"/>
      <c r="MH2" s="55"/>
      <c r="MI2" s="55" t="s">
        <v>72</v>
      </c>
      <c r="MJ2" s="55"/>
      <c r="MK2" s="55"/>
      <c r="ML2" s="55"/>
      <c r="MM2" s="55"/>
      <c r="MN2" s="55" t="s">
        <v>21</v>
      </c>
      <c r="MO2" s="55"/>
      <c r="MP2" s="55"/>
      <c r="MQ2" s="55"/>
      <c r="MR2" s="55"/>
      <c r="MS2" s="13" t="s">
        <v>67</v>
      </c>
      <c r="MT2" s="13" t="s">
        <v>68</v>
      </c>
      <c r="MU2" s="13" t="s">
        <v>19</v>
      </c>
      <c r="MV2" s="13" t="s">
        <v>58</v>
      </c>
      <c r="MW2" s="13" t="s">
        <v>69</v>
      </c>
      <c r="MX2" s="13" t="s">
        <v>20</v>
      </c>
      <c r="MY2" s="13" t="s">
        <v>22</v>
      </c>
      <c r="MZ2" s="13" t="s">
        <v>73</v>
      </c>
      <c r="NA2" s="13" t="s">
        <v>74</v>
      </c>
      <c r="NB2" s="13" t="s">
        <v>72</v>
      </c>
      <c r="NC2" s="13" t="s">
        <v>70</v>
      </c>
      <c r="ND2" s="13" t="s">
        <v>71</v>
      </c>
      <c r="NE2" s="13" t="s">
        <v>21</v>
      </c>
      <c r="NF2" s="13" t="s">
        <v>16</v>
      </c>
      <c r="NG2" s="54" t="s">
        <v>17</v>
      </c>
      <c r="NH2" s="54"/>
      <c r="NI2" s="54"/>
      <c r="NJ2" s="54"/>
      <c r="NK2" s="54"/>
      <c r="NL2" s="54" t="s">
        <v>18</v>
      </c>
      <c r="NM2" s="54"/>
      <c r="NN2" s="54"/>
      <c r="NO2" s="54"/>
      <c r="NP2" s="54"/>
      <c r="NQ2" s="54" t="s">
        <v>72</v>
      </c>
      <c r="NR2" s="54"/>
      <c r="NS2" s="54"/>
      <c r="NT2" s="54"/>
      <c r="NU2" s="54"/>
      <c r="NV2" s="54" t="s">
        <v>21</v>
      </c>
      <c r="NW2" s="54"/>
      <c r="NX2" s="54"/>
      <c r="NY2" s="54"/>
      <c r="NZ2" s="54"/>
      <c r="OA2" s="14" t="s">
        <v>67</v>
      </c>
      <c r="OB2" s="14" t="s">
        <v>68</v>
      </c>
      <c r="OC2" s="14" t="s">
        <v>19</v>
      </c>
      <c r="OD2" s="14" t="s">
        <v>58</v>
      </c>
      <c r="OE2" s="14" t="s">
        <v>69</v>
      </c>
      <c r="OF2" s="14" t="s">
        <v>20</v>
      </c>
      <c r="OG2" s="14" t="s">
        <v>22</v>
      </c>
      <c r="OH2" s="14" t="s">
        <v>73</v>
      </c>
      <c r="OI2" s="14" t="s">
        <v>74</v>
      </c>
      <c r="OJ2" s="14" t="s">
        <v>72</v>
      </c>
      <c r="OK2" s="14" t="s">
        <v>70</v>
      </c>
      <c r="OL2" s="14" t="s">
        <v>71</v>
      </c>
      <c r="OM2" s="14" t="s">
        <v>21</v>
      </c>
      <c r="ON2" s="14" t="s">
        <v>16</v>
      </c>
      <c r="OO2" s="55" t="s">
        <v>17</v>
      </c>
      <c r="OP2" s="55"/>
      <c r="OQ2" s="55"/>
      <c r="OR2" s="55"/>
      <c r="OS2" s="55"/>
      <c r="OT2" s="55" t="s">
        <v>18</v>
      </c>
      <c r="OU2" s="55"/>
      <c r="OV2" s="55"/>
      <c r="OW2" s="55"/>
      <c r="OX2" s="55"/>
      <c r="OY2" s="55" t="s">
        <v>72</v>
      </c>
      <c r="OZ2" s="55"/>
      <c r="PA2" s="55"/>
      <c r="PB2" s="55"/>
      <c r="PC2" s="55"/>
      <c r="PD2" s="55" t="s">
        <v>21</v>
      </c>
      <c r="PE2" s="55"/>
      <c r="PF2" s="55"/>
      <c r="PG2" s="55"/>
      <c r="PH2" s="55"/>
      <c r="PI2" s="13" t="s">
        <v>67</v>
      </c>
      <c r="PJ2" s="13" t="s">
        <v>68</v>
      </c>
      <c r="PK2" s="13" t="s">
        <v>19</v>
      </c>
      <c r="PL2" s="13" t="s">
        <v>58</v>
      </c>
      <c r="PM2" s="13" t="s">
        <v>69</v>
      </c>
      <c r="PN2" s="13" t="s">
        <v>20</v>
      </c>
      <c r="PO2" s="13" t="s">
        <v>22</v>
      </c>
      <c r="PP2" s="13" t="s">
        <v>73</v>
      </c>
      <c r="PQ2" s="13" t="s">
        <v>74</v>
      </c>
      <c r="PR2" s="13" t="s">
        <v>72</v>
      </c>
      <c r="PS2" s="13" t="s">
        <v>70</v>
      </c>
      <c r="PT2" s="13" t="s">
        <v>71</v>
      </c>
      <c r="PU2" s="13" t="s">
        <v>21</v>
      </c>
      <c r="PV2" s="13" t="s">
        <v>16</v>
      </c>
      <c r="PW2" s="54" t="s">
        <v>17</v>
      </c>
      <c r="PX2" s="54"/>
      <c r="PY2" s="54"/>
      <c r="PZ2" s="54"/>
      <c r="QA2" s="54"/>
      <c r="QB2" s="54" t="s">
        <v>18</v>
      </c>
      <c r="QC2" s="54"/>
      <c r="QD2" s="54"/>
      <c r="QE2" s="54"/>
      <c r="QF2" s="54"/>
      <c r="QG2" s="54" t="s">
        <v>72</v>
      </c>
      <c r="QH2" s="54"/>
      <c r="QI2" s="54"/>
      <c r="QJ2" s="54"/>
      <c r="QK2" s="54"/>
      <c r="QL2" s="54" t="s">
        <v>21</v>
      </c>
      <c r="QM2" s="54"/>
      <c r="QN2" s="54"/>
      <c r="QO2" s="54"/>
      <c r="QP2" s="54"/>
      <c r="QQ2" s="14" t="s">
        <v>67</v>
      </c>
      <c r="QR2" s="14" t="s">
        <v>68</v>
      </c>
      <c r="QS2" s="14" t="s">
        <v>19</v>
      </c>
      <c r="QT2" s="14" t="s">
        <v>58</v>
      </c>
      <c r="QU2" s="14" t="s">
        <v>69</v>
      </c>
      <c r="QV2" s="14" t="s">
        <v>20</v>
      </c>
      <c r="QW2" s="14" t="s">
        <v>22</v>
      </c>
      <c r="QX2" s="14" t="s">
        <v>73</v>
      </c>
      <c r="QY2" s="14" t="s">
        <v>74</v>
      </c>
      <c r="QZ2" s="14" t="s">
        <v>72</v>
      </c>
      <c r="RA2" s="14" t="s">
        <v>70</v>
      </c>
      <c r="RB2" s="14" t="s">
        <v>71</v>
      </c>
      <c r="RC2" s="14" t="s">
        <v>21</v>
      </c>
      <c r="RD2" s="14" t="s">
        <v>16</v>
      </c>
      <c r="RE2" s="55" t="s">
        <v>17</v>
      </c>
      <c r="RF2" s="55"/>
      <c r="RG2" s="55"/>
      <c r="RH2" s="55"/>
      <c r="RI2" s="55"/>
      <c r="RJ2" s="55" t="s">
        <v>18</v>
      </c>
      <c r="RK2" s="55"/>
      <c r="RL2" s="55"/>
      <c r="RM2" s="55"/>
      <c r="RN2" s="55"/>
      <c r="RO2" s="55" t="s">
        <v>72</v>
      </c>
      <c r="RP2" s="55"/>
      <c r="RQ2" s="55"/>
      <c r="RR2" s="55"/>
      <c r="RS2" s="55"/>
      <c r="RT2" s="55" t="s">
        <v>21</v>
      </c>
      <c r="RU2" s="55"/>
      <c r="RV2" s="55"/>
      <c r="RW2" s="55"/>
      <c r="RX2" s="55"/>
      <c r="RY2" s="13" t="s">
        <v>67</v>
      </c>
      <c r="RZ2" s="13" t="s">
        <v>68</v>
      </c>
      <c r="SA2" s="13" t="s">
        <v>19</v>
      </c>
      <c r="SB2" s="13" t="s">
        <v>58</v>
      </c>
      <c r="SC2" s="13" t="s">
        <v>69</v>
      </c>
      <c r="SD2" s="13" t="s">
        <v>20</v>
      </c>
      <c r="SE2" s="13" t="s">
        <v>22</v>
      </c>
      <c r="SF2" s="13" t="s">
        <v>73</v>
      </c>
      <c r="SG2" s="13" t="s">
        <v>74</v>
      </c>
      <c r="SH2" s="13" t="s">
        <v>72</v>
      </c>
      <c r="SI2" s="13" t="s">
        <v>70</v>
      </c>
      <c r="SJ2" s="13" t="s">
        <v>71</v>
      </c>
      <c r="SK2" s="13" t="s">
        <v>21</v>
      </c>
      <c r="SL2" s="13" t="s">
        <v>16</v>
      </c>
      <c r="SM2" s="54" t="s">
        <v>17</v>
      </c>
      <c r="SN2" s="54"/>
      <c r="SO2" s="54"/>
      <c r="SP2" s="54"/>
      <c r="SQ2" s="54"/>
      <c r="SR2" s="54" t="s">
        <v>18</v>
      </c>
      <c r="SS2" s="54"/>
      <c r="ST2" s="54"/>
      <c r="SU2" s="54"/>
      <c r="SV2" s="54"/>
      <c r="SW2" s="54" t="s">
        <v>72</v>
      </c>
      <c r="SX2" s="54"/>
      <c r="SY2" s="54"/>
      <c r="SZ2" s="54"/>
      <c r="TA2" s="54"/>
      <c r="TB2" s="54" t="s">
        <v>21</v>
      </c>
      <c r="TC2" s="54"/>
      <c r="TD2" s="54"/>
      <c r="TE2" s="54"/>
      <c r="TF2" s="54"/>
      <c r="TG2" s="14" t="s">
        <v>67</v>
      </c>
      <c r="TH2" s="14" t="s">
        <v>68</v>
      </c>
      <c r="TI2" s="14" t="s">
        <v>19</v>
      </c>
      <c r="TJ2" s="14" t="s">
        <v>58</v>
      </c>
      <c r="TK2" s="14" t="s">
        <v>69</v>
      </c>
      <c r="TL2" s="14" t="s">
        <v>20</v>
      </c>
      <c r="TM2" s="14" t="s">
        <v>22</v>
      </c>
      <c r="TN2" s="14" t="s">
        <v>73</v>
      </c>
      <c r="TO2" s="14" t="s">
        <v>74</v>
      </c>
      <c r="TP2" s="14" t="s">
        <v>72</v>
      </c>
      <c r="TQ2" s="14" t="s">
        <v>70</v>
      </c>
      <c r="TR2" s="14" t="s">
        <v>71</v>
      </c>
      <c r="TS2" s="14" t="s">
        <v>21</v>
      </c>
      <c r="TT2" s="14" t="s">
        <v>16</v>
      </c>
      <c r="TU2" s="55" t="s">
        <v>17</v>
      </c>
      <c r="TV2" s="55"/>
      <c r="TW2" s="55"/>
      <c r="TX2" s="55"/>
      <c r="TY2" s="55"/>
      <c r="TZ2" s="55" t="s">
        <v>18</v>
      </c>
      <c r="UA2" s="55"/>
      <c r="UB2" s="55"/>
      <c r="UC2" s="55"/>
      <c r="UD2" s="55"/>
      <c r="UE2" s="55" t="s">
        <v>72</v>
      </c>
      <c r="UF2" s="55"/>
      <c r="UG2" s="55"/>
      <c r="UH2" s="55"/>
      <c r="UI2" s="55"/>
      <c r="UJ2" s="55" t="s">
        <v>21</v>
      </c>
      <c r="UK2" s="55"/>
      <c r="UL2" s="55"/>
      <c r="UM2" s="55"/>
      <c r="UN2" s="55"/>
      <c r="UO2" s="13" t="s">
        <v>67</v>
      </c>
      <c r="UP2" s="13" t="s">
        <v>68</v>
      </c>
      <c r="UQ2" s="13" t="s">
        <v>19</v>
      </c>
      <c r="UR2" s="13" t="s">
        <v>58</v>
      </c>
      <c r="US2" s="13" t="s">
        <v>69</v>
      </c>
      <c r="UT2" s="13" t="s">
        <v>20</v>
      </c>
      <c r="UU2" s="13" t="s">
        <v>22</v>
      </c>
      <c r="UV2" s="13" t="s">
        <v>73</v>
      </c>
      <c r="UW2" s="13" t="s">
        <v>74</v>
      </c>
      <c r="UX2" s="13" t="s">
        <v>72</v>
      </c>
      <c r="UY2" s="13" t="s">
        <v>70</v>
      </c>
      <c r="UZ2" s="13" t="s">
        <v>71</v>
      </c>
      <c r="VA2" s="13" t="s">
        <v>21</v>
      </c>
      <c r="VB2" s="13" t="s">
        <v>16</v>
      </c>
      <c r="VC2" s="54" t="s">
        <v>17</v>
      </c>
      <c r="VD2" s="54"/>
      <c r="VE2" s="54"/>
      <c r="VF2" s="54"/>
      <c r="VG2" s="54"/>
      <c r="VH2" s="54" t="s">
        <v>18</v>
      </c>
      <c r="VI2" s="54"/>
      <c r="VJ2" s="54"/>
      <c r="VK2" s="54"/>
      <c r="VL2" s="54"/>
      <c r="VM2" s="54" t="s">
        <v>72</v>
      </c>
      <c r="VN2" s="54"/>
      <c r="VO2" s="54"/>
      <c r="VP2" s="54"/>
      <c r="VQ2" s="54"/>
      <c r="VR2" s="54" t="s">
        <v>21</v>
      </c>
      <c r="VS2" s="54"/>
      <c r="VT2" s="54"/>
      <c r="VU2" s="54"/>
      <c r="VV2" s="54"/>
      <c r="VW2" s="14" t="s">
        <v>67</v>
      </c>
      <c r="VX2" s="14" t="s">
        <v>68</v>
      </c>
      <c r="VY2" s="14" t="s">
        <v>19</v>
      </c>
      <c r="VZ2" s="14" t="s">
        <v>58</v>
      </c>
      <c r="WA2" s="14" t="s">
        <v>69</v>
      </c>
      <c r="WB2" s="14" t="s">
        <v>20</v>
      </c>
      <c r="WC2" s="14" t="s">
        <v>22</v>
      </c>
      <c r="WD2" s="14" t="s">
        <v>73</v>
      </c>
      <c r="WE2" s="14" t="s">
        <v>74</v>
      </c>
      <c r="WF2" s="14" t="s">
        <v>72</v>
      </c>
      <c r="WG2" s="14" t="s">
        <v>70</v>
      </c>
      <c r="WH2" s="14" t="s">
        <v>71</v>
      </c>
      <c r="WI2" s="14" t="s">
        <v>21</v>
      </c>
      <c r="WJ2" s="14" t="s">
        <v>16</v>
      </c>
    </row>
    <row r="3" spans="1:608" x14ac:dyDescent="0.2">
      <c r="A3" s="56"/>
      <c r="B3" s="56"/>
      <c r="C3" s="56"/>
      <c r="D3" s="56"/>
      <c r="E3" s="56"/>
      <c r="F3" s="60"/>
      <c r="G3" s="56"/>
      <c r="H3" s="56"/>
      <c r="I3" s="56"/>
      <c r="J3" s="57"/>
      <c r="K3" s="58"/>
      <c r="L3" s="57"/>
      <c r="M3" s="58"/>
      <c r="N3" s="61"/>
      <c r="O3" s="58"/>
      <c r="P3" s="58"/>
      <c r="Q3" s="14" t="s">
        <v>13</v>
      </c>
      <c r="R3" s="14" t="s">
        <v>14</v>
      </c>
      <c r="S3" s="14" t="s">
        <v>8</v>
      </c>
      <c r="T3" s="14" t="s">
        <v>15</v>
      </c>
      <c r="U3" s="14" t="s">
        <v>27</v>
      </c>
      <c r="V3" s="14" t="s">
        <v>13</v>
      </c>
      <c r="W3" s="14" t="s">
        <v>14</v>
      </c>
      <c r="X3" s="14" t="s">
        <v>8</v>
      </c>
      <c r="Y3" s="14" t="s">
        <v>15</v>
      </c>
      <c r="Z3" s="14" t="s">
        <v>27</v>
      </c>
      <c r="AA3" s="14" t="s">
        <v>13</v>
      </c>
      <c r="AB3" s="14" t="s">
        <v>14</v>
      </c>
      <c r="AC3" s="14" t="s">
        <v>8</v>
      </c>
      <c r="AD3" s="14" t="s">
        <v>15</v>
      </c>
      <c r="AE3" s="14" t="s">
        <v>27</v>
      </c>
      <c r="AF3" s="14" t="s">
        <v>41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13</v>
      </c>
      <c r="AS3" s="13" t="s">
        <v>14</v>
      </c>
      <c r="AT3" s="13" t="s">
        <v>8</v>
      </c>
      <c r="AU3" s="13" t="s">
        <v>15</v>
      </c>
      <c r="AV3" s="13" t="s">
        <v>27</v>
      </c>
      <c r="AW3" s="13" t="s">
        <v>13</v>
      </c>
      <c r="AX3" s="13" t="s">
        <v>14</v>
      </c>
      <c r="AY3" s="13" t="s">
        <v>8</v>
      </c>
      <c r="AZ3" s="13" t="s">
        <v>15</v>
      </c>
      <c r="BA3" s="13" t="s">
        <v>27</v>
      </c>
      <c r="BB3" s="13" t="s">
        <v>13</v>
      </c>
      <c r="BC3" s="13" t="s">
        <v>14</v>
      </c>
      <c r="BD3" s="13" t="s">
        <v>8</v>
      </c>
      <c r="BE3" s="13" t="s">
        <v>15</v>
      </c>
      <c r="BF3" s="13" t="s">
        <v>27</v>
      </c>
      <c r="BG3" s="13" t="s">
        <v>41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13</v>
      </c>
      <c r="BT3" s="14" t="s">
        <v>14</v>
      </c>
      <c r="BU3" s="14" t="s">
        <v>8</v>
      </c>
      <c r="BV3" s="14" t="s">
        <v>15</v>
      </c>
      <c r="BW3" s="14" t="s">
        <v>27</v>
      </c>
      <c r="BX3" s="14" t="s">
        <v>13</v>
      </c>
      <c r="BY3" s="14" t="s">
        <v>14</v>
      </c>
      <c r="BZ3" s="14" t="s">
        <v>8</v>
      </c>
      <c r="CA3" s="14" t="s">
        <v>15</v>
      </c>
      <c r="CB3" s="14" t="s">
        <v>27</v>
      </c>
      <c r="CC3" s="14" t="s">
        <v>13</v>
      </c>
      <c r="CD3" s="14" t="s">
        <v>14</v>
      </c>
      <c r="CE3" s="14" t="s">
        <v>8</v>
      </c>
      <c r="CF3" s="14" t="s">
        <v>15</v>
      </c>
      <c r="CG3" s="14" t="s">
        <v>27</v>
      </c>
      <c r="CH3" s="14" t="s">
        <v>41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46"/>
      <c r="CU3" s="14" t="s">
        <v>13</v>
      </c>
      <c r="CV3" s="14" t="s">
        <v>14</v>
      </c>
      <c r="CW3" s="14" t="s">
        <v>8</v>
      </c>
      <c r="CX3" s="14" t="s">
        <v>15</v>
      </c>
      <c r="CY3" s="14" t="s">
        <v>27</v>
      </c>
      <c r="CZ3" s="14" t="s">
        <v>13</v>
      </c>
      <c r="DA3" s="14" t="s">
        <v>14</v>
      </c>
      <c r="DB3" s="14" t="s">
        <v>8</v>
      </c>
      <c r="DC3" s="14" t="s">
        <v>15</v>
      </c>
      <c r="DD3" s="14" t="s">
        <v>27</v>
      </c>
      <c r="DE3" s="14" t="s">
        <v>13</v>
      </c>
      <c r="DF3" s="14" t="s">
        <v>14</v>
      </c>
      <c r="DG3" s="14" t="s">
        <v>8</v>
      </c>
      <c r="DH3" s="14" t="s">
        <v>15</v>
      </c>
      <c r="DI3" s="14" t="s">
        <v>27</v>
      </c>
      <c r="DJ3" s="14" t="s">
        <v>13</v>
      </c>
      <c r="DK3" s="14" t="s">
        <v>14</v>
      </c>
      <c r="DL3" s="14" t="s">
        <v>8</v>
      </c>
      <c r="DM3" s="14" t="s">
        <v>15</v>
      </c>
      <c r="DN3" s="14" t="s">
        <v>27</v>
      </c>
      <c r="DO3" s="6"/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14"/>
      <c r="EC3" s="13" t="s">
        <v>13</v>
      </c>
      <c r="ED3" s="13" t="s">
        <v>14</v>
      </c>
      <c r="EE3" s="13" t="s">
        <v>8</v>
      </c>
      <c r="EF3" s="13" t="s">
        <v>15</v>
      </c>
      <c r="EG3" s="13" t="s">
        <v>27</v>
      </c>
      <c r="EH3" s="13" t="s">
        <v>13</v>
      </c>
      <c r="EI3" s="13" t="s">
        <v>14</v>
      </c>
      <c r="EJ3" s="13" t="s">
        <v>8</v>
      </c>
      <c r="EK3" s="13" t="s">
        <v>15</v>
      </c>
      <c r="EL3" s="13" t="s">
        <v>27</v>
      </c>
      <c r="EM3" s="13" t="s">
        <v>13</v>
      </c>
      <c r="EN3" s="13" t="s">
        <v>14</v>
      </c>
      <c r="EO3" s="13" t="s">
        <v>8</v>
      </c>
      <c r="EP3" s="13" t="s">
        <v>15</v>
      </c>
      <c r="EQ3" s="13" t="s">
        <v>27</v>
      </c>
      <c r="ER3" s="13" t="s">
        <v>13</v>
      </c>
      <c r="ES3" s="13" t="s">
        <v>14</v>
      </c>
      <c r="ET3" s="13" t="s">
        <v>8</v>
      </c>
      <c r="EU3" s="13" t="s">
        <v>15</v>
      </c>
      <c r="EV3" s="13" t="s">
        <v>27</v>
      </c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13"/>
      <c r="FK3" s="14" t="s">
        <v>13</v>
      </c>
      <c r="FL3" s="14" t="s">
        <v>14</v>
      </c>
      <c r="FM3" s="14" t="s">
        <v>8</v>
      </c>
      <c r="FN3" s="14" t="s">
        <v>15</v>
      </c>
      <c r="FO3" s="14" t="s">
        <v>27</v>
      </c>
      <c r="FP3" s="14" t="s">
        <v>13</v>
      </c>
      <c r="FQ3" s="14" t="s">
        <v>14</v>
      </c>
      <c r="FR3" s="14" t="s">
        <v>8</v>
      </c>
      <c r="FS3" s="14" t="s">
        <v>15</v>
      </c>
      <c r="FT3" s="14" t="s">
        <v>27</v>
      </c>
      <c r="FU3" s="14" t="s">
        <v>13</v>
      </c>
      <c r="FV3" s="14" t="s">
        <v>14</v>
      </c>
      <c r="FW3" s="14" t="s">
        <v>8</v>
      </c>
      <c r="FX3" s="14" t="s">
        <v>15</v>
      </c>
      <c r="FY3" s="14" t="s">
        <v>27</v>
      </c>
      <c r="FZ3" s="14" t="s">
        <v>13</v>
      </c>
      <c r="GA3" s="14" t="s">
        <v>14</v>
      </c>
      <c r="GB3" s="14" t="s">
        <v>8</v>
      </c>
      <c r="GC3" s="14" t="s">
        <v>15</v>
      </c>
      <c r="GD3" s="14" t="s">
        <v>27</v>
      </c>
      <c r="GE3" s="6"/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14"/>
      <c r="GS3" s="13" t="s">
        <v>13</v>
      </c>
      <c r="GT3" s="13" t="s">
        <v>14</v>
      </c>
      <c r="GU3" s="13" t="s">
        <v>8</v>
      </c>
      <c r="GV3" s="13" t="s">
        <v>15</v>
      </c>
      <c r="GW3" s="13" t="s">
        <v>27</v>
      </c>
      <c r="GX3" s="13" t="s">
        <v>13</v>
      </c>
      <c r="GY3" s="13" t="s">
        <v>14</v>
      </c>
      <c r="GZ3" s="13" t="s">
        <v>8</v>
      </c>
      <c r="HA3" s="13" t="s">
        <v>15</v>
      </c>
      <c r="HB3" s="13" t="s">
        <v>27</v>
      </c>
      <c r="HC3" s="13" t="s">
        <v>13</v>
      </c>
      <c r="HD3" s="13" t="s">
        <v>14</v>
      </c>
      <c r="HE3" s="13" t="s">
        <v>8</v>
      </c>
      <c r="HF3" s="13" t="s">
        <v>15</v>
      </c>
      <c r="HG3" s="13" t="s">
        <v>27</v>
      </c>
      <c r="HH3" s="13" t="s">
        <v>13</v>
      </c>
      <c r="HI3" s="13" t="s">
        <v>14</v>
      </c>
      <c r="HJ3" s="13" t="s">
        <v>8</v>
      </c>
      <c r="HK3" s="13" t="s">
        <v>15</v>
      </c>
      <c r="HL3" s="13" t="s">
        <v>27</v>
      </c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13"/>
      <c r="IA3" s="14" t="s">
        <v>13</v>
      </c>
      <c r="IB3" s="14" t="s">
        <v>14</v>
      </c>
      <c r="IC3" s="14" t="s">
        <v>8</v>
      </c>
      <c r="ID3" s="14" t="s">
        <v>15</v>
      </c>
      <c r="IE3" s="14" t="s">
        <v>27</v>
      </c>
      <c r="IF3" s="14" t="s">
        <v>13</v>
      </c>
      <c r="IG3" s="14" t="s">
        <v>14</v>
      </c>
      <c r="IH3" s="14" t="s">
        <v>8</v>
      </c>
      <c r="II3" s="14" t="s">
        <v>15</v>
      </c>
      <c r="IJ3" s="14" t="s">
        <v>27</v>
      </c>
      <c r="IK3" s="14" t="s">
        <v>13</v>
      </c>
      <c r="IL3" s="14" t="s">
        <v>14</v>
      </c>
      <c r="IM3" s="14" t="s">
        <v>8</v>
      </c>
      <c r="IN3" s="14" t="s">
        <v>15</v>
      </c>
      <c r="IO3" s="14" t="s">
        <v>27</v>
      </c>
      <c r="IP3" s="14" t="s">
        <v>13</v>
      </c>
      <c r="IQ3" s="14" t="s">
        <v>14</v>
      </c>
      <c r="IR3" s="14" t="s">
        <v>8</v>
      </c>
      <c r="IS3" s="14" t="s">
        <v>15</v>
      </c>
      <c r="IT3" s="14" t="s">
        <v>27</v>
      </c>
      <c r="IU3" s="6"/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14"/>
      <c r="JI3" s="13" t="s">
        <v>13</v>
      </c>
      <c r="JJ3" s="13" t="s">
        <v>14</v>
      </c>
      <c r="JK3" s="13" t="s">
        <v>8</v>
      </c>
      <c r="JL3" s="13" t="s">
        <v>15</v>
      </c>
      <c r="JM3" s="13" t="s">
        <v>27</v>
      </c>
      <c r="JN3" s="13" t="s">
        <v>13</v>
      </c>
      <c r="JO3" s="13" t="s">
        <v>14</v>
      </c>
      <c r="JP3" s="13" t="s">
        <v>8</v>
      </c>
      <c r="JQ3" s="13" t="s">
        <v>15</v>
      </c>
      <c r="JR3" s="13" t="s">
        <v>27</v>
      </c>
      <c r="JS3" s="13" t="s">
        <v>13</v>
      </c>
      <c r="JT3" s="13" t="s">
        <v>14</v>
      </c>
      <c r="JU3" s="13" t="s">
        <v>8</v>
      </c>
      <c r="JV3" s="13" t="s">
        <v>15</v>
      </c>
      <c r="JW3" s="13" t="s">
        <v>27</v>
      </c>
      <c r="JX3" s="13" t="s">
        <v>13</v>
      </c>
      <c r="JY3" s="13" t="s">
        <v>14</v>
      </c>
      <c r="JZ3" s="13" t="s">
        <v>8</v>
      </c>
      <c r="KA3" s="13" t="s">
        <v>15</v>
      </c>
      <c r="KB3" s="13" t="s">
        <v>27</v>
      </c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14" t="s">
        <v>13</v>
      </c>
      <c r="KR3" s="14" t="s">
        <v>14</v>
      </c>
      <c r="KS3" s="14" t="s">
        <v>8</v>
      </c>
      <c r="KT3" s="14" t="s">
        <v>15</v>
      </c>
      <c r="KU3" s="14" t="s">
        <v>27</v>
      </c>
      <c r="KV3" s="14" t="s">
        <v>13</v>
      </c>
      <c r="KW3" s="14" t="s">
        <v>14</v>
      </c>
      <c r="KX3" s="14" t="s">
        <v>8</v>
      </c>
      <c r="KY3" s="14" t="s">
        <v>15</v>
      </c>
      <c r="KZ3" s="14" t="s">
        <v>27</v>
      </c>
      <c r="LA3" s="14" t="s">
        <v>13</v>
      </c>
      <c r="LB3" s="14" t="s">
        <v>14</v>
      </c>
      <c r="LC3" s="14" t="s">
        <v>8</v>
      </c>
      <c r="LD3" s="14" t="s">
        <v>15</v>
      </c>
      <c r="LE3" s="14" t="s">
        <v>27</v>
      </c>
      <c r="LF3" s="14" t="s">
        <v>13</v>
      </c>
      <c r="LG3" s="14" t="s">
        <v>14</v>
      </c>
      <c r="LH3" s="14" t="s">
        <v>8</v>
      </c>
      <c r="LI3" s="14" t="s">
        <v>15</v>
      </c>
      <c r="LJ3" s="14" t="s">
        <v>27</v>
      </c>
      <c r="LK3" s="6"/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13" t="s">
        <v>13</v>
      </c>
      <c r="LZ3" s="13" t="s">
        <v>14</v>
      </c>
      <c r="MA3" s="13" t="s">
        <v>8</v>
      </c>
      <c r="MB3" s="13" t="s">
        <v>15</v>
      </c>
      <c r="MC3" s="13" t="s">
        <v>27</v>
      </c>
      <c r="MD3" s="13" t="s">
        <v>13</v>
      </c>
      <c r="ME3" s="13" t="s">
        <v>14</v>
      </c>
      <c r="MF3" s="13" t="s">
        <v>8</v>
      </c>
      <c r="MG3" s="13" t="s">
        <v>15</v>
      </c>
      <c r="MH3" s="13" t="s">
        <v>27</v>
      </c>
      <c r="MI3" s="13" t="s">
        <v>13</v>
      </c>
      <c r="MJ3" s="13" t="s">
        <v>14</v>
      </c>
      <c r="MK3" s="13" t="s">
        <v>8</v>
      </c>
      <c r="ML3" s="13" t="s">
        <v>15</v>
      </c>
      <c r="MM3" s="13" t="s">
        <v>27</v>
      </c>
      <c r="MN3" s="13" t="s">
        <v>13</v>
      </c>
      <c r="MO3" s="13" t="s">
        <v>14</v>
      </c>
      <c r="MP3" s="13" t="s">
        <v>8</v>
      </c>
      <c r="MQ3" s="13" t="s">
        <v>15</v>
      </c>
      <c r="MR3" s="13" t="s">
        <v>27</v>
      </c>
      <c r="MS3" s="7"/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14" t="s">
        <v>13</v>
      </c>
      <c r="NH3" s="14" t="s">
        <v>14</v>
      </c>
      <c r="NI3" s="14" t="s">
        <v>8</v>
      </c>
      <c r="NJ3" s="14" t="s">
        <v>15</v>
      </c>
      <c r="NK3" s="14" t="s">
        <v>27</v>
      </c>
      <c r="NL3" s="14" t="s">
        <v>13</v>
      </c>
      <c r="NM3" s="14" t="s">
        <v>14</v>
      </c>
      <c r="NN3" s="14" t="s">
        <v>8</v>
      </c>
      <c r="NO3" s="14" t="s">
        <v>15</v>
      </c>
      <c r="NP3" s="14" t="s">
        <v>27</v>
      </c>
      <c r="NQ3" s="14" t="s">
        <v>13</v>
      </c>
      <c r="NR3" s="14" t="s">
        <v>14</v>
      </c>
      <c r="NS3" s="14" t="s">
        <v>8</v>
      </c>
      <c r="NT3" s="14" t="s">
        <v>15</v>
      </c>
      <c r="NU3" s="14" t="s">
        <v>27</v>
      </c>
      <c r="NV3" s="14" t="s">
        <v>13</v>
      </c>
      <c r="NW3" s="14" t="s">
        <v>14</v>
      </c>
      <c r="NX3" s="14" t="s">
        <v>8</v>
      </c>
      <c r="NY3" s="14" t="s">
        <v>15</v>
      </c>
      <c r="NZ3" s="14" t="s">
        <v>27</v>
      </c>
      <c r="OA3" s="6"/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13" t="s">
        <v>13</v>
      </c>
      <c r="OP3" s="13" t="s">
        <v>14</v>
      </c>
      <c r="OQ3" s="13" t="s">
        <v>8</v>
      </c>
      <c r="OR3" s="13" t="s">
        <v>15</v>
      </c>
      <c r="OS3" s="13" t="s">
        <v>27</v>
      </c>
      <c r="OT3" s="13" t="s">
        <v>13</v>
      </c>
      <c r="OU3" s="13" t="s">
        <v>14</v>
      </c>
      <c r="OV3" s="13" t="s">
        <v>8</v>
      </c>
      <c r="OW3" s="13" t="s">
        <v>15</v>
      </c>
      <c r="OX3" s="13" t="s">
        <v>27</v>
      </c>
      <c r="OY3" s="13" t="s">
        <v>13</v>
      </c>
      <c r="OZ3" s="13" t="s">
        <v>14</v>
      </c>
      <c r="PA3" s="13" t="s">
        <v>8</v>
      </c>
      <c r="PB3" s="13" t="s">
        <v>15</v>
      </c>
      <c r="PC3" s="13" t="s">
        <v>27</v>
      </c>
      <c r="PD3" s="13" t="s">
        <v>13</v>
      </c>
      <c r="PE3" s="13" t="s">
        <v>14</v>
      </c>
      <c r="PF3" s="13" t="s">
        <v>8</v>
      </c>
      <c r="PG3" s="13" t="s">
        <v>15</v>
      </c>
      <c r="PH3" s="13" t="s">
        <v>27</v>
      </c>
      <c r="PI3" s="7"/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14" t="s">
        <v>13</v>
      </c>
      <c r="PX3" s="14" t="s">
        <v>14</v>
      </c>
      <c r="PY3" s="14" t="s">
        <v>8</v>
      </c>
      <c r="PZ3" s="14" t="s">
        <v>15</v>
      </c>
      <c r="QA3" s="14" t="s">
        <v>27</v>
      </c>
      <c r="QB3" s="14" t="s">
        <v>13</v>
      </c>
      <c r="QC3" s="14" t="s">
        <v>14</v>
      </c>
      <c r="QD3" s="14" t="s">
        <v>8</v>
      </c>
      <c r="QE3" s="14" t="s">
        <v>15</v>
      </c>
      <c r="QF3" s="14" t="s">
        <v>27</v>
      </c>
      <c r="QG3" s="14" t="s">
        <v>13</v>
      </c>
      <c r="QH3" s="14" t="s">
        <v>14</v>
      </c>
      <c r="QI3" s="14" t="s">
        <v>8</v>
      </c>
      <c r="QJ3" s="14" t="s">
        <v>15</v>
      </c>
      <c r="QK3" s="14" t="s">
        <v>27</v>
      </c>
      <c r="QL3" s="14" t="s">
        <v>13</v>
      </c>
      <c r="QM3" s="14" t="s">
        <v>14</v>
      </c>
      <c r="QN3" s="14" t="s">
        <v>8</v>
      </c>
      <c r="QO3" s="14" t="s">
        <v>15</v>
      </c>
      <c r="QP3" s="14" t="s">
        <v>27</v>
      </c>
      <c r="QQ3" s="6"/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13" t="s">
        <v>13</v>
      </c>
      <c r="RF3" s="13" t="s">
        <v>14</v>
      </c>
      <c r="RG3" s="13" t="s">
        <v>8</v>
      </c>
      <c r="RH3" s="13" t="s">
        <v>15</v>
      </c>
      <c r="RI3" s="13" t="s">
        <v>27</v>
      </c>
      <c r="RJ3" s="13" t="s">
        <v>13</v>
      </c>
      <c r="RK3" s="13" t="s">
        <v>14</v>
      </c>
      <c r="RL3" s="13" t="s">
        <v>8</v>
      </c>
      <c r="RM3" s="13" t="s">
        <v>15</v>
      </c>
      <c r="RN3" s="13" t="s">
        <v>27</v>
      </c>
      <c r="RO3" s="13" t="s">
        <v>13</v>
      </c>
      <c r="RP3" s="13" t="s">
        <v>14</v>
      </c>
      <c r="RQ3" s="13" t="s">
        <v>8</v>
      </c>
      <c r="RR3" s="13" t="s">
        <v>15</v>
      </c>
      <c r="RS3" s="13" t="s">
        <v>27</v>
      </c>
      <c r="RT3" s="13" t="s">
        <v>13</v>
      </c>
      <c r="RU3" s="13" t="s">
        <v>14</v>
      </c>
      <c r="RV3" s="13" t="s">
        <v>8</v>
      </c>
      <c r="RW3" s="13" t="s">
        <v>15</v>
      </c>
      <c r="RX3" s="13" t="s">
        <v>27</v>
      </c>
      <c r="RY3" s="7"/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14" t="s">
        <v>13</v>
      </c>
      <c r="SN3" s="14" t="s">
        <v>14</v>
      </c>
      <c r="SO3" s="14" t="s">
        <v>8</v>
      </c>
      <c r="SP3" s="14" t="s">
        <v>15</v>
      </c>
      <c r="SQ3" s="14" t="s">
        <v>27</v>
      </c>
      <c r="SR3" s="14" t="s">
        <v>13</v>
      </c>
      <c r="SS3" s="14" t="s">
        <v>14</v>
      </c>
      <c r="ST3" s="14" t="s">
        <v>8</v>
      </c>
      <c r="SU3" s="14" t="s">
        <v>15</v>
      </c>
      <c r="SV3" s="14" t="s">
        <v>27</v>
      </c>
      <c r="SW3" s="14" t="s">
        <v>13</v>
      </c>
      <c r="SX3" s="14" t="s">
        <v>14</v>
      </c>
      <c r="SY3" s="14" t="s">
        <v>8</v>
      </c>
      <c r="SZ3" s="14" t="s">
        <v>15</v>
      </c>
      <c r="TA3" s="14" t="s">
        <v>27</v>
      </c>
      <c r="TB3" s="14" t="s">
        <v>13</v>
      </c>
      <c r="TC3" s="14" t="s">
        <v>14</v>
      </c>
      <c r="TD3" s="14" t="s">
        <v>8</v>
      </c>
      <c r="TE3" s="14" t="s">
        <v>15</v>
      </c>
      <c r="TF3" s="14" t="s">
        <v>27</v>
      </c>
      <c r="TG3" s="6"/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13" t="s">
        <v>13</v>
      </c>
      <c r="TV3" s="13" t="s">
        <v>14</v>
      </c>
      <c r="TW3" s="13" t="s">
        <v>8</v>
      </c>
      <c r="TX3" s="13" t="s">
        <v>15</v>
      </c>
      <c r="TY3" s="13" t="s">
        <v>27</v>
      </c>
      <c r="TZ3" s="13" t="s">
        <v>13</v>
      </c>
      <c r="UA3" s="13" t="s">
        <v>14</v>
      </c>
      <c r="UB3" s="13" t="s">
        <v>8</v>
      </c>
      <c r="UC3" s="13" t="s">
        <v>15</v>
      </c>
      <c r="UD3" s="13" t="s">
        <v>27</v>
      </c>
      <c r="UE3" s="13" t="s">
        <v>13</v>
      </c>
      <c r="UF3" s="13" t="s">
        <v>14</v>
      </c>
      <c r="UG3" s="13" t="s">
        <v>8</v>
      </c>
      <c r="UH3" s="13" t="s">
        <v>15</v>
      </c>
      <c r="UI3" s="13" t="s">
        <v>27</v>
      </c>
      <c r="UJ3" s="13" t="s">
        <v>13</v>
      </c>
      <c r="UK3" s="13" t="s">
        <v>14</v>
      </c>
      <c r="UL3" s="13" t="s">
        <v>8</v>
      </c>
      <c r="UM3" s="13" t="s">
        <v>15</v>
      </c>
      <c r="UN3" s="13" t="s">
        <v>27</v>
      </c>
      <c r="UO3" s="7"/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14" t="s">
        <v>13</v>
      </c>
      <c r="VD3" s="14" t="s">
        <v>14</v>
      </c>
      <c r="VE3" s="14" t="s">
        <v>8</v>
      </c>
      <c r="VF3" s="14" t="s">
        <v>15</v>
      </c>
      <c r="VG3" s="14" t="s">
        <v>27</v>
      </c>
      <c r="VH3" s="14" t="s">
        <v>13</v>
      </c>
      <c r="VI3" s="14" t="s">
        <v>14</v>
      </c>
      <c r="VJ3" s="14" t="s">
        <v>8</v>
      </c>
      <c r="VK3" s="14" t="s">
        <v>15</v>
      </c>
      <c r="VL3" s="14" t="s">
        <v>27</v>
      </c>
      <c r="VM3" s="14" t="s">
        <v>13</v>
      </c>
      <c r="VN3" s="14" t="s">
        <v>14</v>
      </c>
      <c r="VO3" s="14" t="s">
        <v>8</v>
      </c>
      <c r="VP3" s="14" t="s">
        <v>15</v>
      </c>
      <c r="VQ3" s="14" t="s">
        <v>27</v>
      </c>
      <c r="VR3" s="14" t="s">
        <v>13</v>
      </c>
      <c r="VS3" s="14" t="s">
        <v>14</v>
      </c>
      <c r="VT3" s="14" t="s">
        <v>8</v>
      </c>
      <c r="VU3" s="14" t="s">
        <v>15</v>
      </c>
      <c r="VV3" s="14" t="s">
        <v>27</v>
      </c>
      <c r="VW3" s="6"/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</row>
    <row r="4" spans="1:608" x14ac:dyDescent="0.2">
      <c r="A4" s="4" cm="1">
        <f t="array" ref="A4">IF(AND(H4&lt;&gt;"",H4&lt;&gt;"No DD"),SUMPRODUCT((H$4:H$20&lt;&gt;"")*(H$4:H$20&lt;&gt;"No DD")*(E$4:E$20&gt;E4))+1,IF(H4="No DD",SUMPRODUCT((H$4:H$20="No DD")*(E$4:E$20&gt;E4))+1+SUMPRODUCT((H$4:H$20&lt;&gt;"")*(H$4:H$20&lt;&gt;"No DD")),""))</f>
        <v>1</v>
      </c>
      <c r="B4" s="5" t="s">
        <v>101</v>
      </c>
      <c r="C4" s="4" t="s">
        <v>7</v>
      </c>
      <c r="D4" s="4" t="s">
        <v>102</v>
      </c>
      <c r="E4" s="9">
        <f t="shared" ref="E4:E19" si="0">J4+L4+N4+(J4+L4)*0.0000001+MAX(J4,L4)*0.0000000000001</f>
        <v>97.160009523004774</v>
      </c>
      <c r="F4" s="3" t="str">
        <f t="shared" ref="F4:F19" si="1">IF(OR(AND(AG4&gt;=AQ$22,AG4&lt;&gt;"",AI4&gt;=AQ$26,AI4&lt;&gt;"",AF4=""),AND(AJ4&gt;=AQ$22,AJ4&lt;&gt;"",AL4&gt;=AQ$26,AL4&lt;&gt;"",AF4=""),AND(AN4&gt;=AQ$22,AN4&lt;&gt;"",AP4&gt;=AQ$26,AP4&lt;&gt;"",AF4=""),AND(BH4&gt;=BR$22,BH4&lt;&gt;"",BJ4&gt;=BR$26,BJ4&lt;&gt;"",BG4=""),AND(BK4&gt;=BR$22,BK4&lt;&gt;"",BM4&gt;=BR$26,BM4&lt;&gt;"",BG4=""),AND(BO4&gt;=BR$22,BO4&lt;&gt;"",BQ4&gt;=BR$26,BQ4&lt;&gt;"",BG4=""),AND(CI4&gt;=CS$22,CI4&lt;&gt;"",CK4&gt;=CS$26,CK4&lt;&gt;"",CH4=""),AND(CL4&gt;=CS$22,CL4&lt;&gt;"",CN4&gt;=CS$26,CN4&lt;&gt;"",CH4=""),AND(CP4&gt;=CS$22,CP4&lt;&gt;"",CR4&gt;=CS$26,CR4&lt;&gt;"",CH4=""),AND(DO4&gt;=EB$22,DO4&lt;&gt;"",DQ4&gt;=EB$26,DQ4&lt;&gt;""),AND(DR4&gt;=EB$22,DR4&lt;&gt;"",DT4&gt;=EB$26,DT4&lt;&gt;""),AND(DV4&gt;=EB$22,DV4&lt;&gt;"",DX4&gt;=EB$26,DX4&lt;&gt;""),AND(DY4&gt;=EB$22,DY4&lt;&gt;"",EA4&gt;=EB$26,EA4&lt;&gt;""),AND(EW4&gt;=FJ$22,EW4&lt;&gt;"",EY4&gt;=FJ$26,EY4&lt;&gt;""),AND(EZ4&gt;=FJ$22,EZ4&lt;&gt;"",FB4&gt;=FJ$26,FB4&lt;&gt;""),AND(FD4&gt;=FJ$22,FD4&lt;&gt;"",FF4&gt;=FJ$26,FF4&lt;&gt;""),AND(FG4&gt;=FJ$22,FG4&lt;&gt;"",FI4&gt;=FJ$26,FI4&lt;&gt;""),AND(GE4&gt;=GR$22,GE4&lt;&gt;"",GG4&gt;=GR$26,GG4&lt;&gt;""),AND(GH4&gt;=GR$22,GH4&lt;&gt;"",GJ4&gt;=GR$26,GJ4&lt;&gt;""),AND(GL4&gt;=GR$22,GL4&lt;&gt;"",GN4&gt;=GR$26,GN4&lt;&gt;""),AND(GO4&gt;=GR$22,GO4&lt;&gt;"",GQ4&gt;=GR$26,GQ4&lt;&gt;""),AND(HM4&gt;=HZ$22,HM4&lt;&gt;"",HO4&gt;=HZ$26,HO4&lt;&gt;""),AND(HP4&gt;=HZ$22,HP4&lt;&gt;"",HR4&gt;=HZ$26,HR4&lt;&gt;""),AND(HT4&gt;=HZ$22,HT4&lt;&gt;"",HV4&gt;=HZ$26,HV4&lt;&gt;""),AND(HW4&gt;=HZ$22,HW4&lt;&gt;"",HY4&gt;=HZ$26,HY4&lt;&gt;""),AND(IU4&gt;=JH$22,IU4&lt;&gt;"",IW4&gt;=JH$26,IW4&lt;&gt;""),AND(IX4&gt;=JH$22,IX4&lt;&gt;"",IZ4&gt;=JH$26,IZ4&lt;&gt;""),AND(JB4&gt;=JH$22,JB4&lt;&gt;"",JD4&gt;=JH$26,JD4&lt;&gt;""),AND(JE4&gt;=JH$22,JE4&lt;&gt;"",JG4&gt;=JH$26,JG4&lt;&gt;""),AND(KC4&gt;=KP$22,KC4&lt;&gt;"",KE4&gt;=KP$26,KE4&lt;&gt;""),AND(KF4&gt;=KP$22,KF4&lt;&gt;"",KH4&gt;=KP$26,KH4&lt;&gt;""),AND(KJ4&gt;=KP$22,KJ4&lt;&gt;"",KL4&gt;=KP$26,KL4&lt;&gt;""),AND(KM4&gt;=KP$22,KM4&lt;&gt;"",KO4&gt;=KP$26,KO4&lt;&gt;""),AND(LK4&gt;=LX$22,LK4&lt;&gt;"",LM4&gt;=LX$26,LM4&lt;&gt;""),AND(LN4&gt;=LX$22,LN4&lt;&gt;"",LP4&gt;=LX$26,LP4&lt;&gt;""),AND(LR4&gt;=LX$22,LR4&lt;&gt;"",LT4&gt;=LX$26,LT4&lt;&gt;""),AND(LU4&gt;=LX$22,LU4&lt;&gt;"",LW4&gt;=LX$26,LW4&lt;&gt;""),AND(MS4&gt;=NF$22,MS4&lt;&gt;"",MU4&gt;=NF$26,MU4&lt;&gt;""),AND(MV4&gt;=NF$22,MV4&lt;&gt;"",MX4&gt;=NF$26,MX4&lt;&gt;""),AND(MZ4&gt;=NF$22,MZ4&lt;&gt;"",NB4&gt;=NF$26,NB4&lt;&gt;""),AND(NC4&gt;=NF$22,NC4&lt;&gt;"",NE4&gt;=NF$26,NE4&lt;&gt;""),AND(OA4&gt;=ON$22,OA4&lt;&gt;"",OC4&gt;=ON$26,OC4&lt;&gt;""),AND(OD4&gt;=ON$22,OD4&lt;&gt;"",OF4&gt;=ON$26,OF4&lt;&gt;""),AND(OH4&gt;=ON$22,OH4&lt;&gt;"",OJ4&gt;=ON$26,OJ4&lt;&gt;""),AND(OK4&gt;=ON$22,OK4&lt;&gt;"",OM4&gt;=ON$26,OM4&lt;&gt;""),AND(PI4&gt;=PV$22,PI4&lt;&gt;"",PK4&gt;=PV$26,PK4&lt;&gt;""),AND(PL4&gt;=PV$22,PL4&lt;&gt;"",PN4&gt;=PV$26,PN4&lt;&gt;""),AND(PP4&gt;=PV$22,PP4&lt;&gt;"",PR4&gt;=PV$26,PR4&lt;&gt;""),AND(PS4&gt;=PV$22,PS4&lt;&gt;"",PU4&gt;=PV$26,PU4&lt;&gt;""),AND(QQ4&gt;=RD$22,QQ4&lt;&gt;"",QS4&gt;=RD$26,QS4&lt;&gt;""),AND(QT4&gt;=RD$22,QT4&lt;&gt;"",QV4&gt;=RD$26,QV4&lt;&gt;""),AND(QX4&gt;=RD$22,QX4&lt;&gt;"",QZ4&gt;=RD$26,QZ4&lt;&gt;""),AND(RA4&gt;=RD$22,RA4&lt;&gt;"",RC4&gt;=RD$26,RC4&lt;&gt;""),AND(RY4&gt;=SL$22,RY4&lt;&gt;"",SA4&gt;=SL$26,SA4&lt;&gt;""),AND(SB4&gt;=SL$22,SB4&lt;&gt;"",SD4&gt;=SL$26,SD4&lt;&gt;""),AND(SF4&gt;=SL$22,SF4&lt;&gt;"",SH4&gt;=SL$26,SH4&lt;&gt;""),AND(SI4&gt;=SL$22,SI4&lt;&gt;"",SK4&gt;=SL$26,SK4&lt;&gt;""),AND(TG4&gt;=TT$22,TG4&lt;&gt;"",TI4&gt;=TT$26,TI4&lt;&gt;""),AND(TJ4&gt;=TT$22,TJ4&lt;&gt;"",TL4&gt;=TT$26,TL4&lt;&gt;""),AND(TN4&gt;=TT$22,TN4&lt;&gt;"",TP4&gt;=TT$26,TXN4&lt;&gt;""),AND(TQ4&gt;=TT$22,TQ4&lt;&gt;"",TS4&gt;=TT$26,TS4&lt;&gt;""),AND(UO4&gt;=VB$22,UO4&lt;&gt;"",UQ4&gt;=VB$26,UQ4&lt;&gt;""),AND(UR4&gt;=VB$22,UR4&lt;&gt;"",UT4&gt;=VB$26,UT4&lt;&gt;""),AND(UV4&gt;=VB$22,UV4&lt;&gt;"",UX4&gt;=VB$26,UX4&lt;&gt;""),AND(UY4&gt;=VB$22,UY4&lt;&gt;"",VA4&gt;=VB$26,VA4&lt;&gt;""),AND(VW4&gt;=WJ$22,VW4&lt;&gt;"",VY4&gt;=WJ$26,VY4&lt;&gt;""),AND(VZ4&gt;=WJ$22,VZ4&lt;&gt;"",WB4&gt;=WJ$26,WB4&lt;&gt;""),AND(WD4&gt;=WJ$22,WD4&lt;&gt;"",WF4&gt;=WJ$26,WF4&lt;&gt;""),AND(WG4&gt;=WJ$22,WG4&lt;&gt;"",WI4&gt;=WJ$26,WI4&lt;&gt;"")),"P","")</f>
        <v>P</v>
      </c>
      <c r="G4" s="3" t="str">
        <f t="shared" ref="G4:G19" si="2">IF(OR(AND(AI4&gt;=AQ$26,AI4&lt;&gt;"",AF4=""),AND(AL4&gt;=AQ$26,AL4&lt;&gt;"",AF4=""),AND(AP4&gt;=AQ$26,AP4&lt;&gt;"",AF4=""),AND(BJ4&gt;=BR$26,BJ4&lt;&gt;"",BG4=""),AND(BM4&gt;=BR$26,BM4&lt;&gt;"",BG4=""),AND(BQ4&gt;=BR$26,BQ4&lt;&gt;"",BG4=""),AND(CK4&gt;=CS$26,CK4&lt;&gt;"",CH4=""),AND(CN4&gt;=CS$26,CN4&lt;&gt;"",CH4=""),AND(CR4&gt;=CS$26,CR4&lt;&gt;"",CH4=""),AND(DQ4&gt;=EB$26,DQ4&lt;&gt;""),AND(DT4&gt;=EB$26,DT4&lt;&gt;""),AND(DX4&gt;=EB$26,DX4&lt;&gt;""),AND(EA4&gt;=EB$26,EA4&lt;&gt;""),AND(EY4&gt;=FJ$26,EY4&lt;&gt;""),AND(FB4&gt;=FJ$26,FB4&lt;&gt;""),AND(FF4&gt;=FJ$26,FF4&lt;&gt;""),AND(FI4&gt;=FJ$26,FI4&lt;&gt;""),AND(GG4&gt;=GR$26,GG4&lt;&gt;""),AND(GJ4&gt;=GR$26,GJ4&lt;&gt;""),AND(GN4&gt;=GR$26,GN4&lt;&gt;""),AND(GQ4&gt;=GR$26,GQ4&lt;&gt;""),AND(HO4&gt;=HZ$26,HO4&lt;&gt;""),AND(HR4&gt;=HZ$26,HR4&lt;&gt;""),AND(HV4&gt;=HZ$26,HV4&lt;&gt;""),AND(HY4&gt;=HZ$26,HY4&lt;&gt;""),AND(IW4&gt;=JH$26,IW4&lt;&gt;""),AND(IZ4&gt;=JH$26,IZ4&lt;&gt;""),AND(JD4&gt;=JH$26,JD4&lt;&gt;""),AND(JG4&gt;=JH$26,JG4&lt;&gt;""),AND(KE4&gt;=KP$26,KE4&lt;&gt;""),AND(KH4&gt;=KP$26,KH4&lt;&gt;""),AND(KL4&gt;=KP$26,KL4&lt;&gt;""),AND(KO4&gt;=KP$26,KO4&lt;&gt;""),AND(LM4&gt;=LX$26,LM4&lt;&gt;""),AND(LP4&gt;=LX$26,LP4&lt;&gt;""),AND(LT4&gt;=LX$26,LT4&lt;&gt;""),AND(LW4&gt;=LX$26,LW4&lt;&gt;""),AND(MU4&gt;=NF$26,MU4&lt;&gt;""),AND(MX4&gt;=NF$26,MX4&lt;&gt;""),AND(NB4&gt;=NF$26,NB4&lt;&gt;""),AND(NE4&gt;=NF$26,NE4&lt;&gt;""),AND(OC4&gt;=ON$26,OC4&lt;&gt;""),AND(OF4&gt;=ON$26,OF4&lt;&gt;""),AND(OJ4&gt;=ON$26,OJ4&lt;&gt;""),AND(OM4&gt;=ON$26,OM4&lt;&gt;""),AND(PK4&gt;=PV$26,PK4&lt;&gt;""),AND(PN4&gt;=PV$26,PN4&lt;&gt;""),AND(PR4&gt;=PV$26,PR4&lt;&gt;""),AND(PU4&gt;=PV$26,PU4&lt;&gt;""),AND(QS4&gt;=RD$26,QS4&lt;&gt;""),AND(QV4&gt;=RD$26,QV4&lt;&gt;""),AND(QZ4&gt;=RD$26,QZ4&lt;&gt;""),AND(RC4&gt;=RD$26,RC4&lt;&gt;""),AND(SA4&gt;=SL$26,SA4&lt;&gt;""),AND(SD4&gt;=SL$26,SD4&lt;&gt;""),AND(SH4&gt;=SL$26,SH4&lt;&gt;""),AND(SK4&gt;=SL$26,SK4&lt;&gt;""),AND(TI4&gt;=TT$26,TI4&lt;&gt;""),AND(TL4&gt;=TT$26,TL4&lt;&gt;""),AND(TP4&gt;=TT$26,TXN4&lt;&gt;""),AND(TS4&gt;=TT$26,TS4&lt;&gt;""),AND(UQ4&gt;=VB$26,UQ4&lt;&gt;""),AND(UT4&gt;=VB$26,UT4&lt;&gt;""),AND(UX4&gt;=VB$26,UX4&lt;&gt;""),AND(VA4&gt;=VB$26,VA4&lt;&gt;""),AND(VY4&gt;=WJ$26,VY4&lt;&gt;""),AND(WB4&gt;=WJ$26,WB4&lt;&gt;""),AND(WF4&gt;=WJ$26,WF4&lt;&gt;""),AND(WI4&gt;=WJ$26,WI4&lt;&gt;"")),"P","")</f>
        <v>P</v>
      </c>
      <c r="H4" s="32" t="str">
        <f t="shared" ref="H4:H19" si="3">IF(AND(G4="P",F4=""),"No DD",IF(OR(AND(AG4&gt;=AQ$25,AG4&lt;&gt;"",AI4&gt;=AQ$29,AI4&lt;&gt;"",AF4=""),AND(AJ4&gt;=AQ$25,AJ4&lt;&gt;"",AL4&gt;=AQ$29,AL4&lt;&gt;"",AF4=""),AND(AN4&gt;=AQ$25,AN4&lt;&gt;"",AP4&gt;=AQ$29,AP4&lt;&gt;"",AF4=""),AND(BH4&gt;=BR$25,BH4&lt;&gt;"",BJ4&gt;=BR$29,BJ4&lt;&gt;"",BG4=""),AND(BK4&gt;=BR$25,BK4&lt;&gt;"",BM4&gt;=BR$29,BM4&lt;&gt;"",BG4=""),AND(BO4&gt;=BR$25,BO4&lt;&gt;"",BQ4&gt;=BR$29,BQ4&lt;&gt;"",BG4=""),AND(CI4&gt;=CS$25,CI4&lt;&gt;"",CK4&gt;=CS$29,CK4&lt;&gt;"",CH4=""),AND(CL4&gt;=CS$25,CL4&lt;&gt;"",CN4&gt;=CS$29,CN4&lt;&gt;"",CH4=""),AND(CP4&gt;=CS$25,CP4&lt;&gt;"",CR4&gt;=CS$29,CR4&lt;&gt;"",CH4=""),AND(DO4&gt;=EB$25,DO4&lt;&gt;"",DQ4&gt;=EB$29,DQ4&lt;&gt;""),AND(DR4&gt;=EB$25,DR4&lt;&gt;"",DT4&gt;=EB$29,DT4&lt;&gt;""),AND(DV4&gt;=EB$25,DV4&lt;&gt;"",DX4&gt;=EB$29,DX4&lt;&gt;""),AND(DY4&gt;=EB$25,DY4&lt;&gt;"",EA4&gt;=EB$29,EA4&lt;&gt;""),AND(EW4&gt;=FJ$25,EW4&lt;&gt;"",EY4&gt;=FJ$29,EY4&lt;&gt;""),AND(EZ4&gt;=FJ$25,EZ4&lt;&gt;"",FB4&gt;=FJ$29,FB4&lt;&gt;""),AND(FD4&gt;=FJ$25,FD4&lt;&gt;"",FF4&gt;=FJ$29,FF4&lt;&gt;""),AND(FG4&gt;=FJ$25,FG4&lt;&gt;"",FI4&gt;=FJ$29,FI4&lt;&gt;""),AND(GE4&gt;=GR$25,GE4&lt;&gt;"",GG4&gt;=GR$29,GG4&lt;&gt;""),AND(GH4&gt;=GR$25,GH4&lt;&gt;"",GJ4&gt;=GR$29,GJ4&lt;&gt;""),AND(GL4&gt;=GR$25,GL4&lt;&gt;"",GN4&gt;=GR$29,GN4&lt;&gt;""),AND(GO4&gt;=GR$25,GO4&lt;&gt;"",GQ4&gt;=GR$29,GQ4&lt;&gt;""),AND(HM4&gt;=HZ$25,HM4&lt;&gt;"",HO4&gt;=HZ$29,HO4&lt;&gt;""),AND(HP4&gt;=HZ$25,HP4&lt;&gt;"",HR4&gt;=HZ$29,HR4&lt;&gt;""),AND(HT4&gt;=HZ$25,HT4&lt;&gt;"",HV4&gt;=HZ$29,HV4&lt;&gt;""),AND(HW4&gt;=HZ$25,HW4&lt;&gt;"",HY4&gt;=HZ$29,HY4&lt;&gt;""),AND(IU4&gt;=JH$25,IU4&lt;&gt;"",IW4&gt;=JH$29,IW4&lt;&gt;""),AND(IX4&gt;=JH$25,IX4&lt;&gt;"",IZ4&gt;=JH$29,IZ4&lt;&gt;""),AND(JB4&gt;=JH$25,JB4&lt;&gt;"",JD4&gt;=JH$29,JD4&lt;&gt;""),AND(JE4&gt;=JH$25,JE4&lt;&gt;"",JG4&gt;=JH$29,JG4&lt;&gt;""),AND(KC4&gt;=KP$25,KC4&lt;&gt;"",KE4&gt;=KP$29,KE4&lt;&gt;""),AND(KF4&gt;=KP$25,KF4&lt;&gt;"",KH4&gt;=KP$29,KH4&lt;&gt;""),AND(KJ4&gt;=KP$25,KJ4&lt;&gt;"",KL4&gt;=KP$29,KL4&lt;&gt;""),AND(KM4&gt;=KP$25,KM4&lt;&gt;"",KO4&gt;=KP$29,KO4&lt;&gt;""),AND(LK4&gt;=LX$25,LK4&lt;&gt;"",LM4&gt;=LX$29,LM4&lt;&gt;""),AND(LN4&gt;=LX$25,LN4&lt;&gt;"",LP4&gt;=LX$29,LP4&lt;&gt;""),AND(LR4&gt;=LX$25,LR4&lt;&gt;"",LT4&gt;=LX$29,LT4&lt;&gt;""),AND(LU4&gt;=LX$25,LU4&lt;&gt;"",LW4&gt;=LX$29,LW4&lt;&gt;""),AND(MS4&gt;=NF$25,MS4&lt;&gt;"",MU4&gt;=NF$29,MU4&lt;&gt;""),AND(MV4&gt;=NF$25,MV4&lt;&gt;"",MX4&gt;=NF$29,MX4&lt;&gt;""),AND(MZ4&gt;=NF$25,MZ4&lt;&gt;"",NB4&gt;=NF$29,NB4&lt;&gt;""),AND(NC4&gt;=NF$25,NC4&lt;&gt;"",NE4&gt;=NF$29,NE4&lt;&gt;""),AND(OA4&gt;=ON$25,OA4&lt;&gt;"",OC4&gt;=ON$29,OC4&lt;&gt;""),AND(OD4&gt;=ON$25,OD4&lt;&gt;"",OF4&gt;=ON$29,OF4&lt;&gt;""),AND(OH4&gt;=ON$25,OH4&lt;&gt;"",OJ4&gt;=ON$29,OJ4&lt;&gt;""),AND(OK4&gt;=ON$25,OK4&lt;&gt;"",OM4&gt;=ON$29,OM4&lt;&gt;""),AND(PI4&gt;=PV$25,PI4&lt;&gt;"",PK4&gt;=PV$29,PK4&lt;&gt;""),AND(PL4&gt;=PV$25,PL4&lt;&gt;"",PN4&gt;=PV$29,PN4&lt;&gt;""),AND(PP4&gt;=PV$25,PP4&lt;&gt;"",PR4&gt;=PV$29,PR4&lt;&gt;""),AND(PS4&gt;=PV$25,PS4&lt;&gt;"",PU4&gt;=PV$29,PU4&lt;&gt;""),AND(QQ4&gt;=RD$25,QQ4&lt;&gt;"",QS4&gt;=RD$29,QS4&lt;&gt;""),AND(QT4&gt;=RD$25,QT4&lt;&gt;"",QV4&gt;=RD$29,QV4&lt;&gt;""),AND(QX4&gt;=RD$25,QX4&lt;&gt;"",QZ4&gt;=RD$29,QZ4&lt;&gt;""),AND(RA4&gt;=RD$25,RA4&lt;&gt;"",RC4&gt;=RD$29,RC4&lt;&gt;""),AND(RY4&gt;=SL$25,RY4&lt;&gt;"",SA4&gt;=SL$29,SA4&lt;&gt;""),AND(SB4&gt;=SL$25,SB4&lt;&gt;"",SD4&gt;=SL$29,SD4&lt;&gt;""),AND(SF4&gt;=SL$25,SF4&lt;&gt;"",SH4&gt;=SL$29,SH4&lt;&gt;""),AND(SI4&gt;=SL$25,SI4&lt;&gt;"",SK4&gt;=SL$29,SK4&lt;&gt;""),AND(TG4&gt;=TT$25,TG4&lt;&gt;"",TI4&gt;=TT$29,TI4&lt;&gt;""),AND(TJ4&gt;=TT$25,TJ4&lt;&gt;"",TL4&gt;=TT$29,TL4&lt;&gt;""),AND(TN4&gt;=TT$25,TN4&lt;&gt;"",TP4&gt;=TT$349,TXN4&lt;&gt;""),AND(TQ4&gt;=TT$25,TQ4&lt;&gt;"",TS4&gt;=TT$29,TS4&lt;&gt;""),AND(UO4&gt;=VB$25,UO4&lt;&gt;"",UQ4&gt;=VB$29,UQ4&lt;&gt;""),AND(UR4&gt;=VB$25,UR4&lt;&gt;"",UT4&gt;=VB$29,UT4&lt;&gt;""),AND(UV4&gt;=VB$25,UV4&lt;&gt;"",UX4&gt;=VB$29,UX4&lt;&gt;""),AND(UY4&gt;=VB$25,UY4&lt;&gt;"",VA4&gt;=VB$29,VA4&lt;&gt;""),AND(VW4&gt;=WJ$25,VW4&lt;&gt;"",VY4&gt;=WJ$29,VY4&lt;&gt;""),AND(VZ4&gt;=WJ$25,VZ4&lt;&gt;"",WB4&gt;=WJ$29,WB4&lt;&gt;""),AND(WD4&gt;=WJ$25,WD4&lt;&gt;"",WF4&gt;=WJ$29,WF4&lt;&gt;""),AND(WG4&gt;=WJ$25,WG4&lt;&gt;"",WI4&gt;=WJ$29,WI4&lt;&gt;"")),"Merit",IF(OR(AND(AG4&gt;=AQ$24,AG4&lt;&gt;"",AI4&gt;=AQ$28,AI4&lt;&gt;"",AF4=""),AND(AJ4&gt;=AQ$24,AJ4&lt;&gt;"",AL4&gt;=AQ$28,AL4&lt;&gt;"",AF4=""),AND(AN4&gt;=AQ$24,AN4&lt;&gt;"",AP4&gt;=AQ$28,AP4&lt;&gt;"",AF4=""),AND(BH4&gt;=BR$24,BH4&lt;&gt;"",BJ4&gt;=BR$28,BJ4&lt;&gt;"",BG4=""),AND(BK4&gt;=BR$24,BK4&lt;&gt;"",BM4&gt;=BR$28,BM4&lt;&gt;"",BG4=""),AND(BO4&gt;=BR$24,BO4&lt;&gt;"",BQ4&gt;=BR$28,BQ4&lt;&gt;"",BG4=""),AND(CI4&gt;=CS$24,CI4&lt;&gt;"",CK4&gt;=CS$28,CK4&lt;&gt;"",CH4=""),AND(CL4&gt;=CS$24,CL4&lt;&gt;"",CN4&gt;=CS$28,CN4&lt;&gt;"",CH4=""),AND(CP4&gt;=CS$24,CP4&lt;&gt;"",CR4&gt;=CS$28,CR4&lt;&gt;"",CH4=""),AND(DO4&gt;=EB$24,DO4&lt;&gt;"",DQ4&gt;=EB$28,DQ4&lt;&gt;""),AND(DR4&gt;=EB$24,DR4&lt;&gt;"",DT4&gt;=EB$28,DT4&lt;&gt;""),AND(DV4&gt;=EB$24,DV4&lt;&gt;"",DX4&gt;=EB$28,DX4&lt;&gt;""),AND(DY4&gt;=EB$24,DY4&lt;&gt;"",EA4&gt;=EB$28,EA4&lt;&gt;""),AND(EW4&gt;=FJ$24,EW4&lt;&gt;"",EY4&gt;=FJ$28,EY4&lt;&gt;""),AND(EZ4&gt;=FJ$24,EZ4&lt;&gt;"",FB4&gt;=FJ$28,FB4&lt;&gt;""),AND(FD4&gt;=FJ$24,FD4&lt;&gt;"",FF4&gt;=FJ$28,FF4&lt;&gt;""),AND(FG4&gt;=FJ$24,FG4&lt;&gt;"",FI4&gt;=FJ$28,FI4&lt;&gt;""),AND(GE4&gt;=GR$24,GE4&lt;&gt;"",GG4&gt;=GR$28,GG4&lt;&gt;""),AND(GH4&gt;=GR$24,GH4&lt;&gt;"",GJ4&gt;=GR$28,GJ4&lt;&gt;""),AND(GL4&gt;=GR$24,GL4&lt;&gt;"",GN4&gt;=GR$28,GN4&lt;&gt;""),AND(GO4&gt;=GR$24,GO4&lt;&gt;"",GQ4&gt;=GR$28,GQ4&lt;&gt;""),AND(HM4&gt;=HZ$24,HM4&lt;&gt;"",HO4&gt;=HZ$28,HO4&lt;&gt;""),AND(HP4&gt;=HZ$24,HP4&lt;&gt;"",HR4&gt;=HZ$28,HR4&lt;&gt;""),AND(HT4&gt;=HZ$24,HT4&lt;&gt;"",HV4&gt;=HZ$28,HV4&lt;&gt;""),AND(HW4&gt;=HZ$24,HW4&lt;&gt;"",HY4&gt;=HZ$28,HY4&lt;&gt;""),AND(IU4&gt;=JH$24,IU4&lt;&gt;"",IW4&gt;=JH$28,IW4&lt;&gt;""),AND(IX4&gt;=JH$24,IX4&lt;&gt;"",IZ4&gt;=JH$28,IZ4&lt;&gt;""),AND(JB4&gt;=JH$24,JB4&lt;&gt;"",JD4&gt;=JH$28,JD4&lt;&gt;""),AND(JE4&gt;=JH$24,JE4&lt;&gt;"",JG4&gt;=JH$28,JG4&lt;&gt;""),AND(KC4&gt;=KP$24,KC4&lt;&gt;"",KE4&gt;=KP$28,KE4&lt;&gt;""),AND(KF4&gt;=KP$24,KF4&lt;&gt;"",KH4&gt;=KP$28,KH4&lt;&gt;""),AND(KJ4&gt;=KP$24,KJ4&lt;&gt;"",KL4&gt;=KP$28,KL4&lt;&gt;""),AND(KM4&gt;=KP$24,KM4&lt;&gt;"",KO4&gt;=KP$28,KO4&lt;&gt;""),AND(LK4&gt;=LX$24,LK4&lt;&gt;"",LM4&gt;=LX$28,LM4&lt;&gt;""),AND(LN4&gt;=LX$24,LN4&lt;&gt;"",LP4&gt;=LX$28,LP4&lt;&gt;""),AND(LR4&gt;=LX$24,LR4&lt;&gt;"",LT4&gt;=LX$28,LT4&lt;&gt;""),AND(LU4&gt;=LX$24,LU4&lt;&gt;"",LW4&gt;=LX$28,LW4&lt;&gt;""),AND(MS4&gt;=NF$24,MS4&lt;&gt;"",MU4&gt;=NF$28,MU4&lt;&gt;""),AND(MV4&gt;=NF$24,MV4&lt;&gt;"",MX4&gt;=NF$28,MX4&lt;&gt;""),AND(MZ4&gt;=NF$24,MZ4&lt;&gt;"",NB4&gt;=NF$28,NB4&lt;&gt;""),AND(NC4&gt;=NF$24,NC4&lt;&gt;"",NE4&gt;=NF$28,NE4&lt;&gt;""),AND(OA4&gt;=ON$24,OA4&lt;&gt;"",OC4&gt;=ON$28,OC4&lt;&gt;""),AND(OD4&gt;=ON$24,OD4&lt;&gt;"",OF4&gt;=ON$28,OF4&lt;&gt;""),AND(OH4&gt;=ON$24,OH4&lt;&gt;"",OJ4&gt;=ON$28,OJ4&lt;&gt;""),AND(OK4&gt;=ON$24,OK4&lt;&gt;"",OM4&gt;=ON$28,OM4&lt;&gt;""),AND(PI4&gt;=PV$24,PI4&lt;&gt;"",PK4&gt;=PV$28,PK4&lt;&gt;""),AND(PL4&gt;=PV$24,PL4&lt;&gt;"",PN4&gt;=PV$28,PN4&lt;&gt;""),AND(PP4&gt;=PV$24,PP4&lt;&gt;"",PR4&gt;=PV$28,PR4&lt;&gt;""),AND(PS4&gt;=PV$24,PS4&lt;&gt;"",PU4&gt;=PV$28,PU4&lt;&gt;""),AND(QQ4&gt;=RD$24,QQ4&lt;&gt;"",QS4&gt;=RD$28,QS4&lt;&gt;""),AND(QT4&gt;=RD$24,QT4&lt;&gt;"",QV4&gt;=RD$28,QV4&lt;&gt;""),AND(QX4&gt;=RD$24,QX4&lt;&gt;"",QZ4&gt;=RD$28,QZ4&lt;&gt;""),AND(RA4&gt;=RD$24,RA4&lt;&gt;"",RC4&gt;=RD$28,RC4&lt;&gt;""),AND(RY4&gt;=SL$24,RY4&lt;&gt;"",SA4&gt;=SL$28,SA4&lt;&gt;""),AND(SB4&gt;=SL$24,SB4&lt;&gt;"",SD4&gt;=SL$28,SD4&lt;&gt;""),AND(SF4&gt;=SL$24,SF4&lt;&gt;"",SH4&gt;=SL$28,SH4&lt;&gt;""),AND(SI4&gt;=SL$24,SI4&lt;&gt;"",SK4&gt;=SL$28,SK4&lt;&gt;""),AND(TG4&gt;=TT$24,TG4&lt;&gt;"",TI4&gt;=TT$28,TI4&lt;&gt;""),AND(TJ4&gt;=TT$24,TJ4&lt;&gt;"",TL4&gt;=TT$28,TL4&lt;&gt;""),AND(TN4&gt;=TT$24,TN4&lt;&gt;"",TP4&gt;=TT$28,TXN4&lt;&gt;""),AND(TQ4&gt;=TT$24,TQ4&lt;&gt;"",TS4&gt;=TT$28,TS4&lt;&gt;""),AND(UO4&gt;=VB$24,UO4&lt;&gt;"",UQ4&gt;=VB$28,UQ4&lt;&gt;""),AND(UR4&gt;=VB$24,UR4&lt;&gt;"",UT4&gt;=VB$28,UT4&lt;&gt;""),AND(UV4&gt;=VB$24,UV4&lt;&gt;"",UX4&gt;=VB$28,UX4&lt;&gt;""),AND(UY4&gt;=VB$24,UY4&lt;&gt;"",VA4&gt;=VB$28,VA4&lt;&gt;""),AND(VW4&gt;=WJ$24,VW4&lt;&gt;"",VY4&gt;=WJ$28,VY4&lt;&gt;""),AND(VZ4&gt;=WJ$24,VZ4&lt;&gt;"",WB4&gt;=WJ$28,WB4&lt;&gt;""),AND(WD4&gt;=WJ$24,WD4&lt;&gt;"",WF4&gt;=WJ$28,WF4&lt;&gt;""),AND(WG4&gt;=WJ$24,WG4&lt;&gt;"",WI4&gt;=WJ$28,WI4&lt;&gt;"")),"Excellence",IF(I4="P","Worlds Team",IF(F4="P","National Team","")))))</f>
        <v>National Team</v>
      </c>
      <c r="I4" s="3" t="str">
        <f t="shared" ref="I4:I19" si="4">IF(OR(AND(AG4&gt;=AQ$23,AG4&lt;&gt;"",AI4&gt;=AQ$27,AI4&lt;&gt;"",AF4=""),AND(AJ4&gt;=AQ$23,AJ4&lt;&gt;"",AL4&gt;=AQ$27,AL4&lt;&gt;"",AF4=""),AND(AN4&gt;=AQ$23,AN4&lt;&gt;"",AP4&gt;=AQ$27,AP4&lt;&gt;"",AF4=""),AND(BH4&gt;=BR$23,BH4&lt;&gt;"",BJ4&gt;=BR$27,BJ4&lt;&gt;"",BG4=""),AND(BK4&gt;=BR$23,BK4&lt;&gt;"",BM4&gt;=BR$27,BM4&lt;&gt;"",BG4=""),AND(BO4&gt;=BR$23,BO4&lt;&gt;"",BQ4&gt;=BR$27,BQ4&lt;&gt;"",BG4=""),AND(CI4&gt;=CS$23,CI4&lt;&gt;"",CK4&gt;=CS$27,CK4&lt;&gt;"",CH4=""),AND(CL4&gt;=CS$23,CL4&lt;&gt;"",CN4&gt;=CS$27,CN4&lt;&gt;"",CH4=""),AND(CP4&gt;=CS$23,CP4&lt;&gt;"",CR4&gt;=CS$27,CR4&lt;&gt;"",CH4=""),AND(DO4&gt;=EB$23,DO4&lt;&gt;"",DQ4&gt;=EB$27,DQ4&lt;&gt;""),AND(DR4&gt;=EB$23,DR4&lt;&gt;"",DT4&gt;=EB$27,DT4&lt;&gt;""),AND(DV4&gt;=EB$23,DV4&lt;&gt;"",DX4&gt;=EB$27,DX4&lt;&gt;""),AND(DY4&gt;=EB$23,DY4&lt;&gt;"",EA4&gt;=EB$27,EA4&lt;&gt;""),AND(EW4&gt;=FJ$23,EW4&lt;&gt;"",EY4&gt;=FJ$27,EY4&lt;&gt;""),AND(EZ4&gt;=FJ$23,EZ4&lt;&gt;"",FB4&gt;=FJ$27,FB4&lt;&gt;""),AND(FD4&gt;=FJ$23,FD4&lt;&gt;"",FF4&gt;=FJ$27,FF4&lt;&gt;""),AND(FG4&gt;=FJ$23,FG4&lt;&gt;"",FI4&gt;=FJ$27,FI4&lt;&gt;""),AND(GE4&gt;=GR$23,GE4&lt;&gt;"",GG4&gt;=GR$27,GG4&lt;&gt;""),AND(GH4&gt;=GR$23,GH4&lt;&gt;"",GJ4&gt;=GR$27,GJ4&lt;&gt;""),AND(GL4&gt;=GR$23,GL4&lt;&gt;"",GN4&gt;=GR$27,GN4&lt;&gt;""),AND(GO4&gt;=GR$23,GO4&lt;&gt;"",GQ4&gt;=GR$27,GQ4&lt;&gt;""),AND(HM4&gt;=HZ$23,HM4&lt;&gt;"",HO4&gt;=HZ$27,HO4&lt;&gt;""),AND(HP4&gt;=HZ$23,HP4&lt;&gt;"",HR4&gt;=HZ$27,HR4&lt;&gt;""),AND(HT4&gt;=HZ$23,HT4&lt;&gt;"",HV4&gt;=HZ$27,HV4&lt;&gt;""),AND(HW4&gt;=HZ$23,HW4&lt;&gt;"",HY4&gt;=HZ$27,HY4&lt;&gt;""),AND(IU4&gt;=JH$23,IU4&lt;&gt;"",IW4&gt;=JH$27,IW4&lt;&gt;""),AND(IX4&gt;=JH$23,IX4&lt;&gt;"",IZ4&gt;=JH$27,IZ4&lt;&gt;""),AND(JB4&gt;=JH$23,JB4&lt;&gt;"",JD4&gt;=JH$27,JD4&lt;&gt;""),AND(JE4&gt;=JH$23,JE4&lt;&gt;"",JG4&gt;=JH$27,JG4&lt;&gt;""),AND(KC4&gt;=KP$23,KC4&lt;&gt;"",KE4&gt;=KP$27,KE4&lt;&gt;""),AND(KF4&gt;=KP$23,KF4&lt;&gt;"",KH4&gt;=KP$27,KH4&lt;&gt;""),AND(KJ4&gt;=KP$23,KJ4&lt;&gt;"",KL4&gt;=KP$27,KL4&lt;&gt;""),AND(KM4&gt;=KP$23,KM4&lt;&gt;"",KO4&gt;=KP$27,KO4&lt;&gt;""),AND(LK4&gt;=LX$23,LK4&lt;&gt;"",LM4&gt;=LX$27,LM4&lt;&gt;""),AND(LN4&gt;=LX$23,LN4&lt;&gt;"",LP4&gt;=LX$27,LP4&lt;&gt;""),AND(LR4&gt;=LX$23,LR4&lt;&gt;"",LT4&gt;=LX$27,LT4&lt;&gt;""),AND(LU4&gt;=LX$23,LU4&lt;&gt;"",LW4&gt;=LX$27,LW4&lt;&gt;""),AND(MS4&gt;=NF$23,MS4&lt;&gt;"",MU4&gt;=NF$27,MU4&lt;&gt;""),AND(MV4&gt;=NF$23,MV4&lt;&gt;"",MX4&gt;=NF$27,MX4&lt;&gt;""),AND(MZ4&gt;=NF$23,MZ4&lt;&gt;"",NB4&gt;=NF$27,NB4&lt;&gt;""),AND(NC4&gt;=NF$23,NC4&lt;&gt;"",NE4&gt;=NF$27,NE4&lt;&gt;""),AND(OA4&gt;=ON$23,OA4&lt;&gt;"",OC4&gt;=ON$27,OC4&lt;&gt;""),AND(OD4&gt;=ON$23,OD4&lt;&gt;"",OF4&gt;=ON$27,OF4&lt;&gt;""),AND(OH4&gt;=ON$23,OH4&lt;&gt;"",OJ4&gt;=ON$27,OJ4&lt;&gt;""),AND(OK4&gt;=ON$23,OK4&lt;&gt;"",OM4&gt;=ON$27,OM4&lt;&gt;""),AND(PI4&gt;=PV$23,PI4&lt;&gt;"",PK4&gt;=PV$27,PK4&lt;&gt;""),AND(PL4&gt;=PV$23,PL4&lt;&gt;"",PN4&gt;=PV$27,PN4&lt;&gt;""),AND(PP4&gt;=PV$23,PP4&lt;&gt;"",PR4&gt;=PV$27,PR4&lt;&gt;""),AND(PS4&gt;=PV$23,PS4&lt;&gt;"",PU4&gt;=PV$27,PU4&lt;&gt;""),AND(QQ4&gt;=RD$23,QQ4&lt;&gt;"",QS4&gt;=RD$27,QS4&lt;&gt;""),AND(QT4&gt;=RD$23,QT4&lt;&gt;"",QV4&gt;=RD$27,QV4&lt;&gt;""),AND(QX4&gt;=RD$23,QX4&lt;&gt;"",QZ4&gt;=RD$27,QZ4&lt;&gt;""),AND(RA4&gt;=RD$23,RA4&lt;&gt;"",RC4&gt;=RD$27,RC4&lt;&gt;""),AND(RY4&gt;=SL$23,RY4&lt;&gt;"",SA4&gt;=SL$27,SA4&lt;&gt;""),AND(SB4&gt;=SL$23,SB4&lt;&gt;"",SD4&gt;=SL$27,SD4&lt;&gt;""),AND(SF4&gt;=SL$23,SF4&lt;&gt;"",SH4&gt;=SL$27,SH4&lt;&gt;""),AND(SI4&gt;=SL$23,SI4&lt;&gt;"",SK4&gt;=SL$27,SK4&lt;&gt;""),AND(TG4&gt;=TT$23,TG4&lt;&gt;"",TI4&gt;=TT$27,TI4&lt;&gt;""),AND(TJ4&gt;=TT$23,TJ4&lt;&gt;"",TL4&gt;=TT$27,TL4&lt;&gt;""),AND(TN4&gt;=TT$23,TN4&lt;&gt;"",TP4&gt;=TT$27,TXN4&lt;&gt;""),AND(TQ4&gt;=TT$23,TQ4&lt;&gt;"",TS4&gt;=TT$27,TS4&lt;&gt;""),AND(UO4&gt;=VB$23,UO4&lt;&gt;"",UQ4&gt;=VB$27,UQ4&lt;&gt;""),AND(UR4&gt;=VB$23,UR4&lt;&gt;"",UT4&gt;=VB$27,UT4&lt;&gt;""),AND(UV4&gt;=VB$23,UV4&lt;&gt;"",UX4&gt;=VB$27,UX4&lt;&gt;""),AND(UY4&gt;=VB$23,UY4&lt;&gt;"",VA4&gt;=VB$27,VA4&lt;&gt;""),AND(VW4&gt;=WJ$23,VW4&lt;&gt;"",VY4&gt;=WJ$27,VY4&lt;&gt;""),AND(VZ4&gt;=WJ$23,VZ4&lt;&gt;"",WB4&gt;=WJ$27,WB4&lt;&gt;""),AND(WD4&gt;=WJ$23,WD4&lt;&gt;"",WF4&gt;=WJ$27,WF4&lt;&gt;""),AND(WG4&gt;=WJ$23,WG4&lt;&gt;"",WI4&gt;=WJ$27,WI4&lt;&gt;"")),"P","")</f>
        <v/>
      </c>
      <c r="J4" s="8">
        <f t="shared" ref="J4:J19" si="5">MAX(AI4,AL4,AP4,BJ4,BM4,BQ4,CK4,CN4,CR4)</f>
        <v>47.7</v>
      </c>
      <c r="K4" s="8" t="str">
        <f t="shared" ref="K4:K19" si="6">IF(J4="","",IF(OR(J4=CK4,J4=CN4,J4=CR4),$BS$1,IF(OR(J4=BJ4,J4=BM4,J4=BQ4),$AR$1,IF(OR(J4=AI4,J4=AL4,J4=AP4),$Q$1,""))))</f>
        <v>2025 Elite Canada</v>
      </c>
      <c r="L4" s="8">
        <f>IFERROR(LARGE((AI4,AL4,AP4,BJ4,BM4,BQ4,CK4,CN4,CR4),2),0)</f>
        <v>47.53</v>
      </c>
      <c r="M4" s="8" t="str">
        <f t="shared" ref="M4:M19" si="7">IF(L4="","",IF(OR(L4=CK4,L4=CN4,L4=CR4),$BS$1,IF(OR(L4=BJ4,L4=BM4,L4=BQ4),$AR$1,IF(OR(L4=AI4,L4=AL4,L4=AP4),$Q$1,""))))</f>
        <v>2025 Elite Canada</v>
      </c>
      <c r="N4" s="8">
        <f t="shared" ref="N4:N19" si="8">IF(MAX(CT4,0)&gt;0,MAX(CT4,0),0)</f>
        <v>1.9299999999999926</v>
      </c>
      <c r="O4" s="11" t="str">
        <f t="shared" ref="O4:O19" si="9">IF(N4=0,"",IF(N4=CT4,"("&amp;CT$2&amp;")"))</f>
        <v>(Any)</v>
      </c>
      <c r="P4" s="8" t="str">
        <f t="shared" ref="P4:P19" si="10">IF(N4=0,"",IF(N4+MAX(L4,0)=MAX(WC4,WF4,WI4),$VC$1,IF(N4+MAX(L4,0)=MAX(UU4,UX4,VA4),$TU$1,IF(N4+MAX(L4,0)=MAX(TM4,TP4,TS4),$SM$1,IF(N4+MAX(L4,0)=MAX(SE4,SH4,SK4),$RE$1,IF(N4+MAX(L4,0)=MAX(QW4,QZ4,RC4),$PW$1,IF(N4+MAX(L4,0)=MAX(PO4,PR4,PU4),$OO$1,IF(N4+MAX(L4,0)=MAX(OG4,OJ4,OM4),$NG$1,IF(N4+MAX(L4,0)=MAX(MY4,NB4,NE4),$LY$1,IF(N4+MAX(L4,0)=MAX(LQ4,LT4,LW4),$KQ$1,IF(N4+MAX(L4,0)=MAX(KI4,KL4,KO4),$JI$1,IF(N4+MAX(L4,0)=MAX(JA4,JD4,JG4),$IA$1,IF(N4+MAX(L4,0)=MAX(HS4,HV4,HY4),$GS$1,IF(N4+MAX(L4,0)=MAX(GK4,GN4,GQ4),$FK$1,IF(N4+MAX(L4,0)=MAX(FC4,FF4,FI4),$EC$1,IF(N4+MAX(L4,0)=MAX(DU4,DX4,EA4),$CU$1))))))))))))))))</f>
        <v>2025 World Cup POR (July 6)</v>
      </c>
      <c r="Q4" s="18">
        <v>7.7</v>
      </c>
      <c r="R4" s="18">
        <v>9.0500000000000007</v>
      </c>
      <c r="S4" s="18">
        <v>14.3</v>
      </c>
      <c r="T4" s="18">
        <v>16.48</v>
      </c>
      <c r="U4" s="18">
        <v>0</v>
      </c>
      <c r="V4" s="18">
        <v>0.75</v>
      </c>
      <c r="W4" s="18">
        <v>0.95</v>
      </c>
      <c r="X4" s="18">
        <v>2</v>
      </c>
      <c r="Y4" s="18">
        <v>1.58</v>
      </c>
      <c r="Z4" s="18">
        <v>0</v>
      </c>
      <c r="AA4" s="18">
        <v>8.43</v>
      </c>
      <c r="AB4" s="18">
        <v>9.25</v>
      </c>
      <c r="AC4" s="18">
        <v>11.6</v>
      </c>
      <c r="AD4" s="18">
        <v>18.420000000000002</v>
      </c>
      <c r="AE4" s="18">
        <v>0</v>
      </c>
      <c r="AF4" s="23"/>
      <c r="AG4" s="34">
        <f t="shared" ref="AG4:AG19" si="11">IF(S4&gt;0,S4,"")</f>
        <v>14.3</v>
      </c>
      <c r="AH4" s="34">
        <f t="shared" ref="AH4:AH19" si="12">IF(T4&gt;0,T4,"")</f>
        <v>16.48</v>
      </c>
      <c r="AI4" s="36">
        <f t="shared" ref="AI4:AI19" si="13">IF(SUM(Q4:T4)-U4&gt;0,SUM(Q4:T4)-U4,"")</f>
        <v>47.53</v>
      </c>
      <c r="AJ4" s="36">
        <f t="shared" ref="AJ4:AJ19" si="14">IF(X4&gt;0,X4,"")</f>
        <v>2</v>
      </c>
      <c r="AK4" s="36">
        <f t="shared" ref="AK4:AK19" si="15">IF(Y4&gt;0,Y4,"")</f>
        <v>1.58</v>
      </c>
      <c r="AL4" s="36">
        <f t="shared" ref="AL4:AL19" si="16">IF(SUM(V4:Y4)-Z4&gt;0,SUM(V4:Y4)-Z4,"")</f>
        <v>5.28</v>
      </c>
      <c r="AM4" s="36">
        <f t="shared" ref="AM4:AM19" si="17">IF(AI4="","",MAX(AI4,AL4))</f>
        <v>47.53</v>
      </c>
      <c r="AN4" s="36">
        <f t="shared" ref="AN4:AN19" si="18">IF(AC4&gt;0,AC4,"")</f>
        <v>11.6</v>
      </c>
      <c r="AO4" s="36">
        <f t="shared" ref="AO4:AO19" si="19">IF(AD4&gt;0,AD4,"")</f>
        <v>18.420000000000002</v>
      </c>
      <c r="AP4" s="36">
        <f t="shared" ref="AP4:AP19" si="20">IF(SUM(AA4:AD4)-AE4&gt;0,SUM(AA4:AD4)-AE4,"")</f>
        <v>47.7</v>
      </c>
      <c r="AQ4" s="36">
        <f t="shared" ref="AQ4:AQ19" si="21">IF(SUM(AM4,AP4)&gt;0,SUM(AM4,AP4),"")</f>
        <v>95.23</v>
      </c>
      <c r="AR4" s="22">
        <v>3.28</v>
      </c>
      <c r="AS4" s="22">
        <v>3.75</v>
      </c>
      <c r="AT4" s="22">
        <v>5.2</v>
      </c>
      <c r="AU4" s="22">
        <v>7.66</v>
      </c>
      <c r="AV4" s="22">
        <v>0</v>
      </c>
      <c r="AW4" s="22">
        <v>8.4499999999999993</v>
      </c>
      <c r="AX4" s="22">
        <v>9.0500000000000007</v>
      </c>
      <c r="AY4" s="22">
        <v>11.6</v>
      </c>
      <c r="AZ4" s="22">
        <v>16.88</v>
      </c>
      <c r="BA4" s="22">
        <v>0.4</v>
      </c>
      <c r="BB4" s="22">
        <v>8.3800000000000008</v>
      </c>
      <c r="BC4" s="22">
        <v>9.35</v>
      </c>
      <c r="BD4" s="22">
        <v>11.6</v>
      </c>
      <c r="BE4" s="22">
        <v>18.04</v>
      </c>
      <c r="BF4" s="22">
        <v>0.4</v>
      </c>
      <c r="BG4" s="24"/>
      <c r="BH4" s="35">
        <f t="shared" ref="BH4:BH19" si="22">IF(AT4&gt;0,AT4,"")</f>
        <v>5.2</v>
      </c>
      <c r="BI4" s="35">
        <f t="shared" ref="BI4:BI19" si="23">IF(AU4&gt;0,AU4,"")</f>
        <v>7.66</v>
      </c>
      <c r="BJ4" s="11">
        <f t="shared" ref="BJ4:BJ19" si="24">IF(SUM(AR4:AU4)-AV4&gt;0,SUM(AR4:AU4)-AV4,"")</f>
        <v>19.89</v>
      </c>
      <c r="BK4" s="11">
        <f t="shared" ref="BK4:BK19" si="25">IF(AY4&gt;0,AY4,"")</f>
        <v>11.6</v>
      </c>
      <c r="BL4" s="11">
        <f t="shared" ref="BL4:BL19" si="26">IF(AZ4&gt;0,AZ4,"")</f>
        <v>16.88</v>
      </c>
      <c r="BM4" s="11">
        <f t="shared" ref="BM4:BM19" si="27">IF(SUM(AW4:AZ4)-BA4&gt;0,SUM(AW4:AZ4)-BA4,"")</f>
        <v>45.580000000000005</v>
      </c>
      <c r="BN4" s="11">
        <f t="shared" ref="BN4:BN19" si="28">IF(BJ4="","",MAX(BJ4,BM4))</f>
        <v>45.580000000000005</v>
      </c>
      <c r="BO4" s="11">
        <f t="shared" ref="BO4:BO19" si="29">IF(BD4&gt;0,BD4,"")</f>
        <v>11.6</v>
      </c>
      <c r="BP4" s="11">
        <f t="shared" ref="BP4:BP19" si="30">IF(BE4&gt;0,BE4,"")</f>
        <v>18.04</v>
      </c>
      <c r="BQ4" s="11">
        <f t="shared" ref="BQ4:BQ19" si="31">IF(SUM(BB4:BE4)-BF4&gt;0,SUM(BB4:BE4)-BF4,"")</f>
        <v>46.97</v>
      </c>
      <c r="BR4" s="11">
        <f t="shared" ref="BR4:BR19" si="32">IF(SUM(BN4,BQ4)&gt;0,SUM(BN4,BQ4),"")</f>
        <v>92.550000000000011</v>
      </c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23"/>
      <c r="CI4" s="34" t="str">
        <f t="shared" ref="CI4:CI19" si="33">IF(BU4&gt;0,BU4,"")</f>
        <v/>
      </c>
      <c r="CJ4" s="34" t="str">
        <f t="shared" ref="CJ4:CJ19" si="34">IF(BV4&gt;0,BV4,"")</f>
        <v/>
      </c>
      <c r="CK4" s="36" t="str">
        <f t="shared" ref="CK4:CK19" si="35">IF(SUM(BS4:BV4)-BW4&gt;0,SUM(BS4:BV4)-BW4,"")</f>
        <v/>
      </c>
      <c r="CL4" s="36" t="str">
        <f t="shared" ref="CL4:CL19" si="36">IF(BZ4&gt;0,BZ4,"")</f>
        <v/>
      </c>
      <c r="CM4" s="36" t="str">
        <f t="shared" ref="CM4:CM19" si="37">IF(CA4&gt;0,CA4,"")</f>
        <v/>
      </c>
      <c r="CN4" s="36" t="str">
        <f t="shared" ref="CN4:CN19" si="38">IF(SUM(BX4:CA4)-CB4&gt;0,SUM(BX4:CA4)-CB4,"")</f>
        <v/>
      </c>
      <c r="CO4" s="36" t="str">
        <f t="shared" ref="CO4:CO19" si="39">IF(CK4="","",MAX(CK4,CN4))</f>
        <v/>
      </c>
      <c r="CP4" s="36" t="str">
        <f t="shared" ref="CP4:CP19" si="40">IF(CE4&gt;0,CE4,"")</f>
        <v/>
      </c>
      <c r="CQ4" s="36" t="str">
        <f t="shared" ref="CQ4:CQ19" si="41">IF(CF4&gt;0,CF4,"")</f>
        <v/>
      </c>
      <c r="CR4" s="36" t="str">
        <f t="shared" ref="CR4:CR19" si="42">IF(SUM(CC4:CF4)-CG4&gt;0,SUM(CC4:CF4)-CG4,"")</f>
        <v/>
      </c>
      <c r="CS4" s="36" t="str">
        <f t="shared" ref="CS4:CS19" si="43">IF(SUM(CO4,CR4)&gt;0,SUM(CO4,CR4),"")</f>
        <v/>
      </c>
      <c r="CT4" s="47">
        <f t="shared" ref="CT4:CT19" si="44">IF(MAX(DU4,DX4,EA4,FC4,FF4,FI4,GK4,GN4,GQ4,HS4,HV4,HY4,JA4,JD4,JG4,KI4,KL4,KO4,LQ4,LT4,LW4,MY4,NB4,NE4,OG4,OJ4,OM4,PO4,PR4,PU4,QW4,QZ4,RC4,SE4,SH4,SK4,TM4,TP4,TS4,UU4,UX4,VA4,WC4,WF4,WI4)-MAX(L4,0)&gt;0.001,MAX(DU4,DX4,EA4,FC4,FF4,FI4,GK4,GN4,GQ4,HS4,HV4,HY4,JA4,JD4,JG4,KI4,KL4,KO4,LQ4,LT4,LW4,MY4,NB4,NE4,OG4,OJ4,OM4,PO4,PR4,PU4,QW4,QZ4,RC4,SE4,SH4,SK4,TM4,TP4,TS4,UU4,UX4,VA4,WC4,WF4,WI4)-MAX(L4,0),"")</f>
        <v>1.9299999999999926</v>
      </c>
      <c r="CU4" s="15"/>
      <c r="CV4" s="15"/>
      <c r="CW4" s="15"/>
      <c r="CX4" s="15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5"/>
      <c r="DJ4" s="15"/>
      <c r="DK4" s="15"/>
      <c r="DL4" s="15"/>
      <c r="DM4" s="15"/>
      <c r="DN4" s="15"/>
      <c r="DO4" s="36" t="str">
        <f t="shared" ref="DO4:DO19" si="45">IF(CW4&gt;0,CW4,"")</f>
        <v/>
      </c>
      <c r="DP4" s="36" t="str">
        <f t="shared" ref="DP4:DP19" si="46">IF(CX4&gt;0,CX4,"")</f>
        <v/>
      </c>
      <c r="DQ4" s="36" t="str">
        <f t="shared" ref="DQ4:DQ19" si="47">IF(SUM(CU4:CX4)-CY4&gt;0,SUM(CU4:CX4)-CY4,"")</f>
        <v/>
      </c>
      <c r="DR4" s="36" t="str">
        <f t="shared" ref="DR4:DR19" si="48">IF(DB4&gt;0,DB4,"")</f>
        <v/>
      </c>
      <c r="DS4" s="36" t="str">
        <f t="shared" ref="DS4:DS19" si="49">IF(DC4&gt;0,DC4,"")</f>
        <v/>
      </c>
      <c r="DT4" s="36" t="str">
        <f t="shared" ref="DT4:DT19" si="50">IF(SUM(CZ4:DC4)-DD4&gt;0,SUM(CZ4:DC4)-DD4,"")</f>
        <v/>
      </c>
      <c r="DU4" s="36" t="str">
        <f t="shared" ref="DU4:DU19" si="51">IF(MAX(DQ4,DT4)&gt;0,MAX(DQ4,DT4),"")</f>
        <v/>
      </c>
      <c r="DV4" s="36" t="str">
        <f t="shared" ref="DV4:DV19" si="52">IF(DG4&gt;0,DG4,"")</f>
        <v/>
      </c>
      <c r="DW4" s="36" t="str">
        <f t="shared" ref="DW4:DW19" si="53">IF(DH4&gt;0,DH4,"")</f>
        <v/>
      </c>
      <c r="DX4" s="36" t="str">
        <f t="shared" ref="DX4:DX19" si="54">IF(SUM(DE4:DH4)-DI4&gt;0,SUM(DE4:DH4)-DI4,"")</f>
        <v/>
      </c>
      <c r="DY4" s="36" t="str">
        <f t="shared" ref="DY4:DY19" si="55">IF(DL4&gt;0,DL4,"")</f>
        <v/>
      </c>
      <c r="DZ4" s="36" t="str">
        <f t="shared" ref="DZ4:DZ19" si="56">IF(DM4&gt;0,DM4,"")</f>
        <v/>
      </c>
      <c r="EA4" s="36" t="str">
        <f t="shared" ref="EA4:EA19" si="57">IF(SUM(DJ4:DM4)-DN4&gt;0,SUM(DJ4:DM4)-DN4,"")</f>
        <v/>
      </c>
      <c r="EB4" s="36" t="str">
        <f t="shared" ref="EB4:EB19" si="58">IF(SUM(DU4,DX4,EA4)&gt;0,SUM(DU4,DX4,EA4),"")</f>
        <v/>
      </c>
      <c r="EC4" s="16"/>
      <c r="ED4" s="16"/>
      <c r="EE4" s="16"/>
      <c r="EF4" s="16"/>
      <c r="EG4" s="16"/>
      <c r="EH4" s="16"/>
      <c r="EI4" s="16"/>
      <c r="EJ4" s="16"/>
      <c r="EK4" s="16"/>
      <c r="EL4" s="16"/>
      <c r="EM4" s="16"/>
      <c r="EN4" s="16"/>
      <c r="EO4" s="16"/>
      <c r="EP4" s="16"/>
      <c r="EQ4" s="16"/>
      <c r="ER4" s="16"/>
      <c r="ES4" s="16"/>
      <c r="ET4" s="16"/>
      <c r="EU4" s="16"/>
      <c r="EV4" s="16"/>
      <c r="EW4" s="11" t="str">
        <f t="shared" ref="EW4:EW19" si="59">IF(EE4&gt;0,EE4,"")</f>
        <v/>
      </c>
      <c r="EX4" s="11" t="str">
        <f t="shared" ref="EX4:EX19" si="60">IF(EF4&gt;0,EF4,"")</f>
        <v/>
      </c>
      <c r="EY4" s="11" t="str">
        <f t="shared" ref="EY4:EY19" si="61">IF(SUM(EC4:EF4)-EG4&gt;0,SUM(EC4:EF4)-EG4,"")</f>
        <v/>
      </c>
      <c r="EZ4" s="11" t="str">
        <f t="shared" ref="EZ4:EZ19" si="62">IF(EJ4&gt;0,EJ4,"")</f>
        <v/>
      </c>
      <c r="FA4" s="11" t="str">
        <f t="shared" ref="FA4:FA19" si="63">IF(EK4&gt;0,EK4,"")</f>
        <v/>
      </c>
      <c r="FB4" s="11" t="str">
        <f t="shared" ref="FB4:FB19" si="64">IF(SUM(EH4:EK4)-EL4&gt;0,SUM(EH4:EK4)-EL4,"")</f>
        <v/>
      </c>
      <c r="FC4" s="11" t="str">
        <f t="shared" ref="FC4:FC19" si="65">IF(MAX(EY4,FB4)&gt;0,MAX(EY4,FB4),"")</f>
        <v/>
      </c>
      <c r="FD4" s="11" t="str">
        <f t="shared" ref="FD4:FD19" si="66">IF(EO4&gt;0,EO4,"")</f>
        <v/>
      </c>
      <c r="FE4" s="11" t="str">
        <f t="shared" ref="FE4:FE19" si="67">IF(EP4&gt;0,EP4,"")</f>
        <v/>
      </c>
      <c r="FF4" s="11" t="str">
        <f t="shared" ref="FF4:FF19" si="68">IF(SUM(EM4:EP4)-EQ4&gt;0,SUM(EM4:EP4)-EQ4,"")</f>
        <v/>
      </c>
      <c r="FG4" s="11" t="str">
        <f t="shared" ref="FG4:FG19" si="69">IF(ET4&gt;0,ET4,"")</f>
        <v/>
      </c>
      <c r="FH4" s="11" t="str">
        <f t="shared" ref="FH4:FH19" si="70">IF(EU4&gt;0,EU4,"")</f>
        <v/>
      </c>
      <c r="FI4" s="11" t="str">
        <f t="shared" ref="FI4:FI19" si="71">IF(SUM(ER4:EU4)-EV4&gt;0,SUM(ER4:EU4)-EV4,"")</f>
        <v/>
      </c>
      <c r="FJ4" s="11" t="str">
        <f t="shared" ref="FJ4:FJ19" si="72">IF(SUM(FC4,FF4,FI4)&gt;0,SUM(FC4,FF4,FI4),"")</f>
        <v/>
      </c>
      <c r="FK4" s="15">
        <v>7.35</v>
      </c>
      <c r="FL4" s="15">
        <v>9.15</v>
      </c>
      <c r="FM4" s="15">
        <v>14.9</v>
      </c>
      <c r="FN4" s="15">
        <v>18.059999999999999</v>
      </c>
      <c r="FO4" s="15">
        <v>0</v>
      </c>
      <c r="FP4" s="15">
        <v>0.8</v>
      </c>
      <c r="FQ4" s="15">
        <v>1</v>
      </c>
      <c r="FR4" s="15">
        <v>2</v>
      </c>
      <c r="FS4" s="15">
        <v>1.76</v>
      </c>
      <c r="FT4" s="15">
        <v>0</v>
      </c>
      <c r="FU4" s="15"/>
      <c r="FV4" s="15"/>
      <c r="FW4" s="15"/>
      <c r="FX4" s="15"/>
      <c r="FY4" s="15"/>
      <c r="FZ4" s="15"/>
      <c r="GA4" s="15"/>
      <c r="GB4" s="15"/>
      <c r="GC4" s="15"/>
      <c r="GD4" s="15"/>
      <c r="GE4" s="36">
        <f t="shared" ref="GE4:GE19" si="73">IF(FM4&gt;0,FM4,"")</f>
        <v>14.9</v>
      </c>
      <c r="GF4" s="36">
        <f t="shared" ref="GF4:GF19" si="74">IF(FN4&gt;0,FN4,"")</f>
        <v>18.059999999999999</v>
      </c>
      <c r="GG4" s="36">
        <f t="shared" ref="GG4:GG19" si="75">IF(SUM(FK4:FN4)-FO4&gt;0,SUM(FK4:FN4)-FO4,"")</f>
        <v>49.459999999999994</v>
      </c>
      <c r="GH4" s="36">
        <f t="shared" ref="GH4:GH19" si="76">IF(FR4&gt;0,FR4,"")</f>
        <v>2</v>
      </c>
      <c r="GI4" s="36">
        <f t="shared" ref="GI4:GI19" si="77">IF(FS4&gt;0,FS4,"")</f>
        <v>1.76</v>
      </c>
      <c r="GJ4" s="36">
        <f t="shared" ref="GJ4:GJ19" si="78">IF(SUM(FP4:FS4)-FT4&gt;0,SUM(FP4:FS4)-FT4,"")</f>
        <v>5.56</v>
      </c>
      <c r="GK4" s="36">
        <f t="shared" ref="GK4:GK19" si="79">IF(MAX(GG4,GJ4)&gt;0,MAX(GG4,GJ4),"")</f>
        <v>49.459999999999994</v>
      </c>
      <c r="GL4" s="36" t="str">
        <f t="shared" ref="GL4:GL19" si="80">IF(FW4&gt;0,FW4,"")</f>
        <v/>
      </c>
      <c r="GM4" s="36" t="str">
        <f t="shared" ref="GM4:GM19" si="81">IF(FX4&gt;0,FX4,"")</f>
        <v/>
      </c>
      <c r="GN4" s="36" t="str">
        <f t="shared" ref="GN4:GN19" si="82">IF(SUM(FU4:FX4)-FY4&gt;0,SUM(FU4:FX4)-FY4,"")</f>
        <v/>
      </c>
      <c r="GO4" s="36" t="str">
        <f t="shared" ref="GO4:GO19" si="83">IF(GB4&gt;0,GB4,"")</f>
        <v/>
      </c>
      <c r="GP4" s="36" t="str">
        <f t="shared" ref="GP4:GP19" si="84">IF(GC4&gt;0,GC4,"")</f>
        <v/>
      </c>
      <c r="GQ4" s="36" t="str">
        <f t="shared" ref="GQ4:GQ19" si="85">IF(SUM(FZ4:GC4)-GD4&gt;0,SUM(FZ4:GC4)-GD4,"")</f>
        <v/>
      </c>
      <c r="GR4" s="36">
        <f t="shared" ref="GR4:GR19" si="86">IF(SUM(GK4,GN4,GQ4)&gt;0,SUM(GK4,GN4,GQ4),"")</f>
        <v>49.459999999999994</v>
      </c>
      <c r="GS4" s="16"/>
      <c r="GT4" s="16"/>
      <c r="GU4" s="16"/>
      <c r="GV4" s="16"/>
      <c r="GW4" s="16"/>
      <c r="GX4" s="16"/>
      <c r="GY4" s="16"/>
      <c r="GZ4" s="16"/>
      <c r="HA4" s="16"/>
      <c r="HB4" s="16"/>
      <c r="HC4" s="16"/>
      <c r="HD4" s="16"/>
      <c r="HE4" s="16"/>
      <c r="HF4" s="16"/>
      <c r="HG4" s="16"/>
      <c r="HH4" s="16"/>
      <c r="HI4" s="16"/>
      <c r="HJ4" s="16"/>
      <c r="HK4" s="16"/>
      <c r="HL4" s="16"/>
      <c r="HM4" s="11" t="str">
        <f t="shared" ref="HM4:HM19" si="87">IF(GU4&gt;0,GU4,"")</f>
        <v/>
      </c>
      <c r="HN4" s="11" t="str">
        <f t="shared" ref="HN4:HN19" si="88">IF(GV4&gt;0,GV4,"")</f>
        <v/>
      </c>
      <c r="HO4" s="11" t="str">
        <f t="shared" ref="HO4:HO19" si="89">IF(SUM(GS4:GV4)-GW4&gt;0,SUM(GS4:GV4)-GW4,"")</f>
        <v/>
      </c>
      <c r="HP4" s="11" t="str">
        <f t="shared" ref="HP4:HP19" si="90">IF(GZ4&gt;0,GZ4,"")</f>
        <v/>
      </c>
      <c r="HQ4" s="11" t="str">
        <f t="shared" ref="HQ4:HQ19" si="91">IF(HA4&gt;0,HA4,"")</f>
        <v/>
      </c>
      <c r="HR4" s="11" t="str">
        <f t="shared" ref="HR4:HR19" si="92">IF(SUM(GX4:HA4)-HB4&gt;0,SUM(GX4:HA4)-HB4,"")</f>
        <v/>
      </c>
      <c r="HS4" s="11" t="str">
        <f t="shared" ref="HS4:HS19" si="93">IF(MAX(HO4,HR4)&gt;0,MAX(HO4,HR4),"")</f>
        <v/>
      </c>
      <c r="HT4" s="11" t="str">
        <f t="shared" ref="HT4:HT19" si="94">IF(HE4&gt;0,HE4,"")</f>
        <v/>
      </c>
      <c r="HU4" s="11" t="str">
        <f t="shared" ref="HU4:HU19" si="95">IF(HF4&gt;0,HF4,"")</f>
        <v/>
      </c>
      <c r="HV4" s="11" t="str">
        <f t="shared" ref="HV4:HV19" si="96">IF(SUM(HC4:HF4)-HG4&gt;0,SUM(HC4:HF4)-HG4,"")</f>
        <v/>
      </c>
      <c r="HW4" s="11" t="str">
        <f t="shared" ref="HW4:HW19" si="97">IF(HJ4&gt;0,HJ4,"")</f>
        <v/>
      </c>
      <c r="HX4" s="11" t="str">
        <f t="shared" ref="HX4:HX19" si="98">IF(HK4&gt;0,HK4,"")</f>
        <v/>
      </c>
      <c r="HY4" s="11" t="str">
        <f t="shared" ref="HY4:HY19" si="99">IF(SUM(HH4:HK4)-HL4&gt;0,SUM(HH4:HK4)-HL4,"")</f>
        <v/>
      </c>
      <c r="HZ4" s="11" t="str">
        <f t="shared" ref="HZ4:HZ19" si="100">IF(SUM(HS4,HV4,HY4)&gt;0,SUM(HS4,HV4,HY4),"")</f>
        <v/>
      </c>
      <c r="IA4" s="15"/>
      <c r="IB4" s="15"/>
      <c r="IC4" s="15"/>
      <c r="ID4" s="15"/>
      <c r="IE4" s="15"/>
      <c r="IF4" s="15"/>
      <c r="IG4" s="15"/>
      <c r="IH4" s="15"/>
      <c r="II4" s="15"/>
      <c r="IJ4" s="15"/>
      <c r="IK4" s="15"/>
      <c r="IL4" s="15"/>
      <c r="IM4" s="15"/>
      <c r="IN4" s="15"/>
      <c r="IO4" s="15"/>
      <c r="IP4" s="15"/>
      <c r="IQ4" s="15"/>
      <c r="IR4" s="15"/>
      <c r="IS4" s="15"/>
      <c r="IT4" s="15"/>
      <c r="IU4" s="36" t="str">
        <f t="shared" ref="IU4:IU19" si="101">IF(IC4&gt;0,IC4,"")</f>
        <v/>
      </c>
      <c r="IV4" s="36" t="str">
        <f t="shared" ref="IV4:IV19" si="102">IF(ID4&gt;0,ID4,"")</f>
        <v/>
      </c>
      <c r="IW4" s="36" t="str">
        <f t="shared" ref="IW4:IW19" si="103">IF(SUM(IA4:ID4)-IE4&gt;0,SUM(IA4:ID4)-IE4,"")</f>
        <v/>
      </c>
      <c r="IX4" s="36" t="str">
        <f t="shared" ref="IX4:IX19" si="104">IF(IH4&gt;0,IH4,"")</f>
        <v/>
      </c>
      <c r="IY4" s="36" t="str">
        <f t="shared" ref="IY4:IY19" si="105">IF(II4&gt;0,II4,"")</f>
        <v/>
      </c>
      <c r="IZ4" s="36" t="str">
        <f t="shared" ref="IZ4:IZ19" si="106">IF(SUM(IF4:II4)-IJ4&gt;0,SUM(IF4:II4)-IJ4,"")</f>
        <v/>
      </c>
      <c r="JA4" s="36" t="str">
        <f t="shared" ref="JA4:JA19" si="107">IF(MAX(IW4,IZ4)&gt;0,MAX(IW4,IZ4),"")</f>
        <v/>
      </c>
      <c r="JB4" s="36" t="str">
        <f t="shared" ref="JB4:JB19" si="108">IF(IM4&gt;0,IM4,"")</f>
        <v/>
      </c>
      <c r="JC4" s="36" t="str">
        <f t="shared" ref="JC4:JC19" si="109">IF(IN4&gt;0,IN4,"")</f>
        <v/>
      </c>
      <c r="JD4" s="36" t="str">
        <f t="shared" ref="JD4:JD19" si="110">IF(SUM(IK4:IN4)-IO4&gt;0,SUM(IK4:IN4)-IO4,"")</f>
        <v/>
      </c>
      <c r="JE4" s="36" t="str">
        <f t="shared" ref="JE4:JE19" si="111">IF(IR4&gt;0,IR4,"")</f>
        <v/>
      </c>
      <c r="JF4" s="36" t="str">
        <f t="shared" ref="JF4:JF19" si="112">IF(IS4&gt;0,IS4,"")</f>
        <v/>
      </c>
      <c r="JG4" s="36" t="str">
        <f t="shared" ref="JG4:JG19" si="113">IF(SUM(IP4:IS4)-IT4&gt;0,SUM(IP4:IS4)-IT4,"")</f>
        <v/>
      </c>
      <c r="JH4" s="36" t="str">
        <f t="shared" ref="JH4:JH19" si="114">IF(SUM(JA4,JD4,JG4)&gt;0,SUM(JA4,JD4,JG4),"")</f>
        <v/>
      </c>
      <c r="JI4" s="16"/>
      <c r="JJ4" s="16"/>
      <c r="JK4" s="16"/>
      <c r="JL4" s="16"/>
      <c r="JM4" s="16"/>
      <c r="JN4" s="16"/>
      <c r="JO4" s="16"/>
      <c r="JP4" s="16"/>
      <c r="JQ4" s="16"/>
      <c r="JR4" s="16"/>
      <c r="JS4" s="16"/>
      <c r="JT4" s="16"/>
      <c r="JU4" s="16"/>
      <c r="JV4" s="16"/>
      <c r="JW4" s="16"/>
      <c r="JX4" s="16"/>
      <c r="JY4" s="16"/>
      <c r="JZ4" s="16"/>
      <c r="KA4" s="16"/>
      <c r="KB4" s="16"/>
      <c r="KC4" s="11" t="str">
        <f t="shared" ref="KC4:KC19" si="115">IF(JK4&gt;0,JK4,"")</f>
        <v/>
      </c>
      <c r="KD4" s="11" t="str">
        <f t="shared" ref="KD4:KD19" si="116">IF(JL4&gt;0,JL4,"")</f>
        <v/>
      </c>
      <c r="KE4" s="11" t="str">
        <f t="shared" ref="KE4:KE19" si="117">IF(SUM(JI4:JL4)-JM4&gt;0,SUM(JI4:JL4)-JM4,"")</f>
        <v/>
      </c>
      <c r="KF4" s="11" t="str">
        <f t="shared" ref="KF4:KF19" si="118">IF(JP4&gt;0,JP4,"")</f>
        <v/>
      </c>
      <c r="KG4" s="11" t="str">
        <f t="shared" ref="KG4:KG19" si="119">IF(JQ4&gt;0,JQ4,"")</f>
        <v/>
      </c>
      <c r="KH4" s="11" t="str">
        <f t="shared" ref="KH4:KH19" si="120">IF(SUM(JN4:JQ4)-JR4&gt;0,SUM(JN4:JQ4)-JR4,"")</f>
        <v/>
      </c>
      <c r="KI4" s="11" t="str">
        <f t="shared" ref="KI4:KI19" si="121">IF(MAX(KE4,KH4)&gt;0,MAX(KE4,KH4),"")</f>
        <v/>
      </c>
      <c r="KJ4" s="11" t="str">
        <f t="shared" ref="KJ4:KJ19" si="122">IF(JU4&gt;0,JU4,"")</f>
        <v/>
      </c>
      <c r="KK4" s="11" t="str">
        <f t="shared" ref="KK4:KK19" si="123">IF(JV4&gt;0,JV4,"")</f>
        <v/>
      </c>
      <c r="KL4" s="11" t="str">
        <f t="shared" ref="KL4:KL19" si="124">IF(SUM(JS4:JV4)-JW4&gt;0,SUM(JS4:JV4)-JW4,"")</f>
        <v/>
      </c>
      <c r="KM4" s="11" t="str">
        <f t="shared" ref="KM4:KM19" si="125">IF(JZ4&gt;0,JZ4,"")</f>
        <v/>
      </c>
      <c r="KN4" s="11" t="str">
        <f t="shared" ref="KN4:KN19" si="126">IF(KA4&gt;0,KA4,"")</f>
        <v/>
      </c>
      <c r="KO4" s="11" t="str">
        <f t="shared" ref="KO4:KO19" si="127">IF(SUM(JX4:KA4)-KB4&gt;0,SUM(JX4:KA4)-KB4,"")</f>
        <v/>
      </c>
      <c r="KP4" s="11" t="str">
        <f t="shared" ref="KP4:KP19" si="128">IF(SUM(KI4,KL4,KO4)&gt;0,SUM(KI4,KL4,KO4),"")</f>
        <v/>
      </c>
      <c r="KQ4" s="15"/>
      <c r="KR4" s="15"/>
      <c r="KS4" s="15"/>
      <c r="KT4" s="15"/>
      <c r="KU4" s="15"/>
      <c r="KV4" s="15"/>
      <c r="KW4" s="15"/>
      <c r="KX4" s="15"/>
      <c r="KY4" s="15"/>
      <c r="KZ4" s="15"/>
      <c r="LA4" s="15"/>
      <c r="LB4" s="15"/>
      <c r="LC4" s="15"/>
      <c r="LD4" s="15"/>
      <c r="LE4" s="15"/>
      <c r="LF4" s="15"/>
      <c r="LG4" s="15"/>
      <c r="LH4" s="15"/>
      <c r="LI4" s="15"/>
      <c r="LJ4" s="15"/>
      <c r="LK4" s="36" t="str">
        <f t="shared" ref="LK4:LK19" si="129">IF(KS4&gt;0,KS4,"")</f>
        <v/>
      </c>
      <c r="LL4" s="36" t="str">
        <f t="shared" ref="LL4:LL19" si="130">IF(KT4&gt;0,KT4,"")</f>
        <v/>
      </c>
      <c r="LM4" s="36" t="str">
        <f t="shared" ref="LM4:LM19" si="131">IF(SUM(KQ4:KT4)-KU4&gt;0,SUM(KQ4:KT4)-KU4,"")</f>
        <v/>
      </c>
      <c r="LN4" s="36" t="str">
        <f t="shared" ref="LN4:LN19" si="132">IF(KX4&gt;0,KX4,"")</f>
        <v/>
      </c>
      <c r="LO4" s="36" t="str">
        <f t="shared" ref="LO4:LO19" si="133">IF(KY4&gt;0,KY4,"")</f>
        <v/>
      </c>
      <c r="LP4" s="36" t="str">
        <f t="shared" ref="LP4:LP19" si="134">IF(SUM(KV4:KY4)-KZ4&gt;0,SUM(KV4:KY4)-KZ4,"")</f>
        <v/>
      </c>
      <c r="LQ4" s="36" t="str">
        <f t="shared" ref="LQ4:LQ19" si="135">IF(MAX(LM4,LP4)&gt;0,MAX(LM4,LP4),"")</f>
        <v/>
      </c>
      <c r="LR4" s="36" t="str">
        <f t="shared" ref="LR4:LR19" si="136">IF(LC4&gt;0,LC4,"")</f>
        <v/>
      </c>
      <c r="LS4" s="36" t="str">
        <f t="shared" ref="LS4:LS19" si="137">IF(LD4&gt;0,LD4,"")</f>
        <v/>
      </c>
      <c r="LT4" s="36" t="str">
        <f t="shared" ref="LT4:LT19" si="138">IF(SUM(LA4:LD4)-LE4&gt;0,SUM(LA4:LD4)-LE4,"")</f>
        <v/>
      </c>
      <c r="LU4" s="36" t="str">
        <f t="shared" ref="LU4:LU19" si="139">IF(LH4&gt;0,LH4,"")</f>
        <v/>
      </c>
      <c r="LV4" s="36" t="str">
        <f t="shared" ref="LV4:LV19" si="140">IF(LI4&gt;0,LI4,"")</f>
        <v/>
      </c>
      <c r="LW4" s="36" t="str">
        <f t="shared" ref="LW4:LW19" si="141">IF(SUM(LF4:LI4)-LJ4&gt;0,SUM(LF4:LI4)-LJ4,"")</f>
        <v/>
      </c>
      <c r="LX4" s="36" t="str">
        <f t="shared" ref="LX4:LX19" si="142">IF(SUM(LQ4,LT4,LW4)&gt;0,SUM(LQ4,LT4,LW4),"")</f>
        <v/>
      </c>
      <c r="LY4" s="16"/>
      <c r="LZ4" s="16"/>
      <c r="MA4" s="16"/>
      <c r="MB4" s="16"/>
      <c r="MC4" s="16"/>
      <c r="MD4" s="16"/>
      <c r="ME4" s="16"/>
      <c r="MF4" s="16"/>
      <c r="MG4" s="16"/>
      <c r="MH4" s="16"/>
      <c r="MI4" s="16"/>
      <c r="MJ4" s="16"/>
      <c r="MK4" s="16"/>
      <c r="ML4" s="16"/>
      <c r="MM4" s="16"/>
      <c r="MN4" s="16"/>
      <c r="MO4" s="16"/>
      <c r="MP4" s="16"/>
      <c r="MQ4" s="16"/>
      <c r="MR4" s="16"/>
      <c r="MS4" s="11" t="str">
        <f t="shared" ref="MS4:MS19" si="143">IF(MA4&gt;0,MA4,"")</f>
        <v/>
      </c>
      <c r="MT4" s="11" t="str">
        <f t="shared" ref="MT4:MT19" si="144">IF(MB4&gt;0,MB4,"")</f>
        <v/>
      </c>
      <c r="MU4" s="11" t="str">
        <f t="shared" ref="MU4:MU19" si="145">IF(SUM(LY4:MB4)-MC4&gt;0,SUM(LY4:MB4)-MC4,"")</f>
        <v/>
      </c>
      <c r="MV4" s="11" t="str">
        <f t="shared" ref="MV4:MV19" si="146">IF(MF4&gt;0,MF4,"")</f>
        <v/>
      </c>
      <c r="MW4" s="11" t="str">
        <f t="shared" ref="MW4:MW19" si="147">IF(MG4&gt;0,MG4,"")</f>
        <v/>
      </c>
      <c r="MX4" s="11" t="str">
        <f t="shared" ref="MX4:MX19" si="148">IF(SUM(MD4:MG4)-MH4&gt;0,SUM(MD4:MG4)-MH4,"")</f>
        <v/>
      </c>
      <c r="MY4" s="11" t="str">
        <f t="shared" ref="MY4:MY19" si="149">IF(MAX(MU4,MX4)&gt;0,MAX(MU4,MX4),"")</f>
        <v/>
      </c>
      <c r="MZ4" s="11" t="str">
        <f t="shared" ref="MZ4:MZ19" si="150">IF(MK4&gt;0,MK4,"")</f>
        <v/>
      </c>
      <c r="NA4" s="11" t="str">
        <f t="shared" ref="NA4:NA19" si="151">IF(ML4&gt;0,ML4,"")</f>
        <v/>
      </c>
      <c r="NB4" s="11" t="str">
        <f t="shared" ref="NB4:NB19" si="152">IF(SUM(MI4:ML4)-MM4&gt;0,SUM(MI4:ML4)-MM4,"")</f>
        <v/>
      </c>
      <c r="NC4" s="11" t="str">
        <f t="shared" ref="NC4:NC19" si="153">IF(MP4&gt;0,MP4,"")</f>
        <v/>
      </c>
      <c r="ND4" s="11" t="str">
        <f t="shared" ref="ND4:ND19" si="154">IF(MQ4&gt;0,MQ4,"")</f>
        <v/>
      </c>
      <c r="NE4" s="11" t="str">
        <f t="shared" ref="NE4:NE19" si="155">IF(SUM(MN4:MQ4)-MR4&gt;0,SUM(MN4:MQ4)-MR4,"")</f>
        <v/>
      </c>
      <c r="NF4" s="11" t="str">
        <f t="shared" ref="NF4:NF19" si="156">IF(SUM(MY4,NB4,NE4)&gt;0,SUM(MY4,NB4,NE4),"")</f>
        <v/>
      </c>
      <c r="NG4" s="15"/>
      <c r="NH4" s="15"/>
      <c r="NI4" s="15"/>
      <c r="NJ4" s="15"/>
      <c r="NK4" s="15"/>
      <c r="NL4" s="15"/>
      <c r="NM4" s="15"/>
      <c r="NN4" s="15"/>
      <c r="NO4" s="15"/>
      <c r="NP4" s="15"/>
      <c r="NQ4" s="15"/>
      <c r="NR4" s="15"/>
      <c r="NS4" s="15"/>
      <c r="NT4" s="15"/>
      <c r="NU4" s="15"/>
      <c r="NV4" s="15"/>
      <c r="NW4" s="15"/>
      <c r="NX4" s="15"/>
      <c r="NY4" s="15"/>
      <c r="NZ4" s="15"/>
      <c r="OA4" s="36" t="str">
        <f t="shared" ref="OA4:OA19" si="157">IF(NI4&gt;0,NI4,"")</f>
        <v/>
      </c>
      <c r="OB4" s="36" t="str">
        <f t="shared" ref="OB4:OB19" si="158">IF(NJ4&gt;0,NJ4,"")</f>
        <v/>
      </c>
      <c r="OC4" s="36" t="str">
        <f t="shared" ref="OC4:OC19" si="159">IF(SUM(NG4:NJ4)-NK4&gt;0,SUM(NG4:NJ4)-NK4,"")</f>
        <v/>
      </c>
      <c r="OD4" s="36" t="str">
        <f t="shared" ref="OD4:OD19" si="160">IF(NN4&gt;0,NN4,"")</f>
        <v/>
      </c>
      <c r="OE4" s="36" t="str">
        <f t="shared" ref="OE4:OE19" si="161">IF(NO4&gt;0,NO4,"")</f>
        <v/>
      </c>
      <c r="OF4" s="36" t="str">
        <f t="shared" ref="OF4:OF19" si="162">IF(SUM(NL4:NO4)-NP4&gt;0,SUM(NL4:NO4)-NP4,"")</f>
        <v/>
      </c>
      <c r="OG4" s="36" t="str">
        <f t="shared" ref="OG4:OG19" si="163">IF(MAX(OC4,OF4)&gt;0,MAX(OC4,OF4),"")</f>
        <v/>
      </c>
      <c r="OH4" s="36" t="str">
        <f t="shared" ref="OH4:OH19" si="164">IF(NS4&gt;0,NS4,"")</f>
        <v/>
      </c>
      <c r="OI4" s="36" t="str">
        <f t="shared" ref="OI4:OI19" si="165">IF(NT4&gt;0,NT4,"")</f>
        <v/>
      </c>
      <c r="OJ4" s="36" t="str">
        <f t="shared" ref="OJ4:OJ19" si="166">IF(SUM(NQ4:NT4)-NU4&gt;0,SUM(NQ4:NT4)-NU4,"")</f>
        <v/>
      </c>
      <c r="OK4" s="36" t="str">
        <f t="shared" ref="OK4:OK19" si="167">IF(NX4&gt;0,NX4,"")</f>
        <v/>
      </c>
      <c r="OL4" s="36" t="str">
        <f t="shared" ref="OL4:OL19" si="168">IF(NY4&gt;0,NY4,"")</f>
        <v/>
      </c>
      <c r="OM4" s="36" t="str">
        <f t="shared" ref="OM4:OM19" si="169">IF(SUM(NV4:NY4)-NZ4&gt;0,SUM(NV4:NY4)-NZ4,"")</f>
        <v/>
      </c>
      <c r="ON4" s="36" t="str">
        <f t="shared" ref="ON4:ON19" si="170">IF(SUM(OG4,OJ4,OM4)&gt;0,SUM(OG4,OJ4,OM4),"")</f>
        <v/>
      </c>
      <c r="OO4" s="16"/>
      <c r="OP4" s="16"/>
      <c r="OQ4" s="16"/>
      <c r="OR4" s="16"/>
      <c r="OS4" s="16"/>
      <c r="OT4" s="16"/>
      <c r="OU4" s="16"/>
      <c r="OV4" s="16"/>
      <c r="OW4" s="16"/>
      <c r="OX4" s="16"/>
      <c r="OY4" s="16"/>
      <c r="OZ4" s="16"/>
      <c r="PA4" s="16"/>
      <c r="PB4" s="16"/>
      <c r="PC4" s="16"/>
      <c r="PD4" s="16"/>
      <c r="PE4" s="16"/>
      <c r="PF4" s="16"/>
      <c r="PG4" s="16"/>
      <c r="PH4" s="16"/>
      <c r="PI4" s="11" t="str">
        <f t="shared" ref="PI4:PI19" si="171">IF(OQ4&gt;0,OQ4,"")</f>
        <v/>
      </c>
      <c r="PJ4" s="11" t="str">
        <f t="shared" ref="PJ4:PJ19" si="172">IF(OR4&gt;0,OR4,"")</f>
        <v/>
      </c>
      <c r="PK4" s="11" t="str">
        <f t="shared" ref="PK4:PK19" si="173">IF(SUM(OO4:OR4)-OS4&gt;0,SUM(OO4:OR4)-OS4,"")</f>
        <v/>
      </c>
      <c r="PL4" s="11" t="str">
        <f t="shared" ref="PL4:PL19" si="174">IF(OV4&gt;0,OV4,"")</f>
        <v/>
      </c>
      <c r="PM4" s="11" t="str">
        <f t="shared" ref="PM4:PM19" si="175">IF(OW4&gt;0,OW4,"")</f>
        <v/>
      </c>
      <c r="PN4" s="11" t="str">
        <f t="shared" ref="PN4:PN19" si="176">IF(SUM(OT4:OW4)-OX4&gt;0,SUM(OT4:OW4)-OX4,"")</f>
        <v/>
      </c>
      <c r="PO4" s="11" t="str">
        <f t="shared" ref="PO4:PO19" si="177">IF(MAX(PK4,PN4)&gt;0,MAX(PK4,PN4),"")</f>
        <v/>
      </c>
      <c r="PP4" s="11" t="str">
        <f t="shared" ref="PP4:PP19" si="178">IF(PA4&gt;0,PA4,"")</f>
        <v/>
      </c>
      <c r="PQ4" s="11" t="str">
        <f t="shared" ref="PQ4:PQ19" si="179">IF(PB4&gt;0,PB4,"")</f>
        <v/>
      </c>
      <c r="PR4" s="11" t="str">
        <f t="shared" ref="PR4:PR19" si="180">IF(SUM(OY4:PB4)-PC4&gt;0,SUM(OY4:PB4)-PC4,"")</f>
        <v/>
      </c>
      <c r="PS4" s="11" t="str">
        <f t="shared" ref="PS4:PS19" si="181">IF(PF4&gt;0,PF4,"")</f>
        <v/>
      </c>
      <c r="PT4" s="11" t="str">
        <f t="shared" ref="PT4:PT19" si="182">IF(PG4&gt;0,PG4,"")</f>
        <v/>
      </c>
      <c r="PU4" s="11" t="str">
        <f t="shared" ref="PU4:PU19" si="183">IF(SUM(PD4:PG4)-PH4&gt;0,SUM(PD4:PG4)-PH4,"")</f>
        <v/>
      </c>
      <c r="PV4" s="11" t="str">
        <f t="shared" ref="PV4:PV19" si="184">IF(SUM(PO4,PR4,PU4)&gt;0,SUM(PO4,PR4,PU4),"")</f>
        <v/>
      </c>
      <c r="PW4" s="15"/>
      <c r="PX4" s="15"/>
      <c r="PY4" s="15"/>
      <c r="PZ4" s="15"/>
      <c r="QA4" s="15"/>
      <c r="QB4" s="15"/>
      <c r="QC4" s="15"/>
      <c r="QD4" s="15"/>
      <c r="QE4" s="15"/>
      <c r="QF4" s="15"/>
      <c r="QG4" s="15"/>
      <c r="QH4" s="15"/>
      <c r="QI4" s="15"/>
      <c r="QJ4" s="15"/>
      <c r="QK4" s="15"/>
      <c r="QL4" s="15"/>
      <c r="QM4" s="15"/>
      <c r="QN4" s="15"/>
      <c r="QO4" s="15"/>
      <c r="QP4" s="15"/>
      <c r="QQ4" s="36" t="str">
        <f t="shared" ref="QQ4:QQ19" si="185">IF(PY4&gt;0,PY4,"")</f>
        <v/>
      </c>
      <c r="QR4" s="36" t="str">
        <f t="shared" ref="QR4:QR19" si="186">IF(PZ4&gt;0,PZ4,"")</f>
        <v/>
      </c>
      <c r="QS4" s="36" t="str">
        <f t="shared" ref="QS4:QS19" si="187">IF(SUM(PW4:PZ4)-QA4&gt;0,SUM(PW4:PZ4)-QA4,"")</f>
        <v/>
      </c>
      <c r="QT4" s="36" t="str">
        <f t="shared" ref="QT4:QT19" si="188">IF(QD4&gt;0,QD4,"")</f>
        <v/>
      </c>
      <c r="QU4" s="36" t="str">
        <f t="shared" ref="QU4:QU19" si="189">IF(QE4&gt;0,QE4,"")</f>
        <v/>
      </c>
      <c r="QV4" s="36" t="str">
        <f t="shared" ref="QV4:QV19" si="190">IF(SUM(QB4:QE4)-QF4&gt;0,SUM(QB4:QE4)-QF4,"")</f>
        <v/>
      </c>
      <c r="QW4" s="36" t="str">
        <f t="shared" ref="QW4:QW19" si="191">IF(MAX(QS4,QV4)&gt;0,MAX(QS4,QV4),"")</f>
        <v/>
      </c>
      <c r="QX4" s="36" t="str">
        <f t="shared" ref="QX4:QX19" si="192">IF(QI4&gt;0,QI4,"")</f>
        <v/>
      </c>
      <c r="QY4" s="36" t="str">
        <f t="shared" ref="QY4:QY19" si="193">IF(QJ4&gt;0,QJ4,"")</f>
        <v/>
      </c>
      <c r="QZ4" s="36" t="str">
        <f t="shared" ref="QZ4:QZ19" si="194">IF(SUM(QG4:QJ4)-QK4&gt;0,SUM(QG4:QJ4)-QK4,"")</f>
        <v/>
      </c>
      <c r="RA4" s="36" t="str">
        <f t="shared" ref="RA4:RA19" si="195">IF(QN4&gt;0,QN4,"")</f>
        <v/>
      </c>
      <c r="RB4" s="36" t="str">
        <f t="shared" ref="RB4:RB19" si="196">IF(QO4&gt;0,QO4,"")</f>
        <v/>
      </c>
      <c r="RC4" s="36" t="str">
        <f t="shared" ref="RC4:RC19" si="197">IF(SUM(QL4:QO4)-QP4&gt;0,SUM(QL4:QO4)-QP4,"")</f>
        <v/>
      </c>
      <c r="RD4" s="36" t="str">
        <f t="shared" ref="RD4:RD19" si="198">IF(SUM(QW4,QZ4,RC4)&gt;0,SUM(QW4,QZ4,RC4),"")</f>
        <v/>
      </c>
      <c r="RE4" s="16"/>
      <c r="RF4" s="16"/>
      <c r="RG4" s="16"/>
      <c r="RH4" s="16"/>
      <c r="RI4" s="16"/>
      <c r="RJ4" s="16"/>
      <c r="RK4" s="16"/>
      <c r="RL4" s="16"/>
      <c r="RM4" s="16"/>
      <c r="RN4" s="16"/>
      <c r="RO4" s="16"/>
      <c r="RP4" s="16"/>
      <c r="RQ4" s="16"/>
      <c r="RR4" s="16"/>
      <c r="RS4" s="16"/>
      <c r="RT4" s="16"/>
      <c r="RU4" s="16"/>
      <c r="RV4" s="16"/>
      <c r="RW4" s="16"/>
      <c r="RX4" s="16"/>
      <c r="RY4" s="11" t="str">
        <f t="shared" ref="RY4:RY19" si="199">IF(RG4&gt;0,RG4,"")</f>
        <v/>
      </c>
      <c r="RZ4" s="11" t="str">
        <f t="shared" ref="RZ4:RZ19" si="200">IF(RH4&gt;0,RH4,"")</f>
        <v/>
      </c>
      <c r="SA4" s="11" t="str">
        <f t="shared" ref="SA4:SA19" si="201">IF(SUM(RE4:RH4)-RI4&gt;0,SUM(RE4:RH4)-RI4,"")</f>
        <v/>
      </c>
      <c r="SB4" s="11" t="str">
        <f t="shared" ref="SB4:SB19" si="202">IF(RL4&gt;0,RL4,"")</f>
        <v/>
      </c>
      <c r="SC4" s="11" t="str">
        <f t="shared" ref="SC4:SC19" si="203">IF(RM4&gt;0,RM4,"")</f>
        <v/>
      </c>
      <c r="SD4" s="11" t="str">
        <f t="shared" ref="SD4:SD19" si="204">IF(SUM(RJ4:RM4)-RN4&gt;0,SUM(RJ4:RM4)-RN4,"")</f>
        <v/>
      </c>
      <c r="SE4" s="11" t="str">
        <f t="shared" ref="SE4:SE19" si="205">IF(MAX(SA4,SD4)&gt;0,MAX(SA4,SD4),"")</f>
        <v/>
      </c>
      <c r="SF4" s="11" t="str">
        <f t="shared" ref="SF4:SF19" si="206">IF(RQ4&gt;0,RQ4,"")</f>
        <v/>
      </c>
      <c r="SG4" s="11" t="str">
        <f t="shared" ref="SG4:SG19" si="207">IF(RR4&gt;0,RR4,"")</f>
        <v/>
      </c>
      <c r="SH4" s="11" t="str">
        <f t="shared" ref="SH4:SH19" si="208">IF(SUM(RO4:RR4)-RS4&gt;0,SUM(RO4:RR4)-RS4,"")</f>
        <v/>
      </c>
      <c r="SI4" s="11" t="str">
        <f t="shared" ref="SI4:SI19" si="209">IF(RV4&gt;0,RV4,"")</f>
        <v/>
      </c>
      <c r="SJ4" s="11" t="str">
        <f t="shared" ref="SJ4:SJ19" si="210">IF(RW4&gt;0,RW4,"")</f>
        <v/>
      </c>
      <c r="SK4" s="11" t="str">
        <f t="shared" ref="SK4:SK19" si="211">IF(SUM(RT4:RW4)-RX4&gt;0,SUM(RT4:RW4)-RX4,"")</f>
        <v/>
      </c>
      <c r="SL4" s="11" t="str">
        <f t="shared" ref="SL4:SL19" si="212">IF(SUM(SE4,SH4,SK4)&gt;0,SUM(SE4,SH4,SK4),"")</f>
        <v/>
      </c>
      <c r="SM4" s="15"/>
      <c r="SN4" s="15"/>
      <c r="SO4" s="15"/>
      <c r="SP4" s="15"/>
      <c r="SQ4" s="15"/>
      <c r="SR4" s="15"/>
      <c r="SS4" s="15"/>
      <c r="ST4" s="15"/>
      <c r="SU4" s="15"/>
      <c r="SV4" s="15"/>
      <c r="SW4" s="15"/>
      <c r="SX4" s="15"/>
      <c r="SY4" s="15"/>
      <c r="SZ4" s="15"/>
      <c r="TA4" s="15"/>
      <c r="TB4" s="15"/>
      <c r="TC4" s="15"/>
      <c r="TD4" s="15"/>
      <c r="TE4" s="15"/>
      <c r="TF4" s="15"/>
      <c r="TG4" s="36" t="str">
        <f t="shared" ref="TG4:TG19" si="213">IF(SO4&gt;0,SO4,"")</f>
        <v/>
      </c>
      <c r="TH4" s="36" t="str">
        <f t="shared" ref="TH4:TH19" si="214">IF(SP4&gt;0,SP4,"")</f>
        <v/>
      </c>
      <c r="TI4" s="36" t="str">
        <f t="shared" ref="TI4:TI19" si="215">IF(SUM(SM4:SP4)-SQ4&gt;0,SUM(SM4:SP4)-SQ4,"")</f>
        <v/>
      </c>
      <c r="TJ4" s="36" t="str">
        <f t="shared" ref="TJ4:TJ19" si="216">IF(ST4&gt;0,ST4,"")</f>
        <v/>
      </c>
      <c r="TK4" s="36" t="str">
        <f t="shared" ref="TK4:TK19" si="217">IF(SU4&gt;0,SU4,"")</f>
        <v/>
      </c>
      <c r="TL4" s="36" t="str">
        <f t="shared" ref="TL4:TL19" si="218">IF(SUM(SR4:SU4)-SV4&gt;0,SUM(SR4:SU4)-SV4,"")</f>
        <v/>
      </c>
      <c r="TM4" s="36" t="str">
        <f t="shared" ref="TM4:TM19" si="219">IF(MAX(TI4,TL4)&gt;0,MAX(TI4,TL4),"")</f>
        <v/>
      </c>
      <c r="TN4" s="36" t="str">
        <f t="shared" ref="TN4:TN19" si="220">IF(SY4&gt;0,SY4,"")</f>
        <v/>
      </c>
      <c r="TO4" s="36" t="str">
        <f t="shared" ref="TO4:TO19" si="221">IF(SZ4&gt;0,SZ4,"")</f>
        <v/>
      </c>
      <c r="TP4" s="36" t="str">
        <f t="shared" ref="TP4:TP19" si="222">IF(SUM(SW4:SZ4)-TA4&gt;0,SUM(SW4:SZ4)-TA4,"")</f>
        <v/>
      </c>
      <c r="TQ4" s="36" t="str">
        <f t="shared" ref="TQ4:TQ19" si="223">IF(TD4&gt;0,TD4,"")</f>
        <v/>
      </c>
      <c r="TR4" s="36" t="str">
        <f t="shared" ref="TR4:TR19" si="224">IF(TE4&gt;0,TE4,"")</f>
        <v/>
      </c>
      <c r="TS4" s="36" t="str">
        <f t="shared" ref="TS4:TS19" si="225">IF(SUM(TB4:TE4)-TF4&gt;0,SUM(TB4:TE4)-TF4,"")</f>
        <v/>
      </c>
      <c r="TT4" s="36" t="str">
        <f t="shared" ref="TT4:TT19" si="226">IF(SUM(TM4,TP4,TS4)&gt;0,SUM(TM4,TP4,TS4),"")</f>
        <v/>
      </c>
      <c r="TU4" s="16"/>
      <c r="TV4" s="16"/>
      <c r="TW4" s="16"/>
      <c r="TX4" s="16"/>
      <c r="TY4" s="16"/>
      <c r="TZ4" s="16"/>
      <c r="UA4" s="16"/>
      <c r="UB4" s="16"/>
      <c r="UC4" s="16"/>
      <c r="UD4" s="16"/>
      <c r="UE4" s="16"/>
      <c r="UF4" s="16"/>
      <c r="UG4" s="16"/>
      <c r="UH4" s="16"/>
      <c r="UI4" s="16"/>
      <c r="UJ4" s="16"/>
      <c r="UK4" s="16"/>
      <c r="UL4" s="16"/>
      <c r="UM4" s="16"/>
      <c r="UN4" s="16"/>
      <c r="UO4" s="11" t="str">
        <f t="shared" ref="UO4:UO19" si="227">IF(TW4&gt;0,TW4,"")</f>
        <v/>
      </c>
      <c r="UP4" s="11" t="str">
        <f t="shared" ref="UP4:UP19" si="228">IF(TX4&gt;0,TX4,"")</f>
        <v/>
      </c>
      <c r="UQ4" s="11" t="str">
        <f t="shared" ref="UQ4:UQ19" si="229">IF(SUM(TU4:TX4)-TY4&gt;0,SUM(TU4:TX4)-TY4,"")</f>
        <v/>
      </c>
      <c r="UR4" s="11" t="str">
        <f t="shared" ref="UR4:UR19" si="230">IF(UB4&gt;0,UB4,"")</f>
        <v/>
      </c>
      <c r="US4" s="11" t="str">
        <f t="shared" ref="US4:US19" si="231">IF(UC4&gt;0,UC4,"")</f>
        <v/>
      </c>
      <c r="UT4" s="11" t="str">
        <f t="shared" ref="UT4:UT19" si="232">IF(SUM(TZ4:UC4)-UD4&gt;0,SUM(TZ4:UC4)-UD4,"")</f>
        <v/>
      </c>
      <c r="UU4" s="11" t="str">
        <f t="shared" ref="UU4:UU19" si="233">IF(MAX(UQ4,UT4)&gt;0,MAX(UQ4,UT4),"")</f>
        <v/>
      </c>
      <c r="UV4" s="11" t="str">
        <f t="shared" ref="UV4:UV19" si="234">IF(UG4&gt;0,UG4,"")</f>
        <v/>
      </c>
      <c r="UW4" s="11" t="str">
        <f t="shared" ref="UW4:UW19" si="235">IF(UH4&gt;0,UH4,"")</f>
        <v/>
      </c>
      <c r="UX4" s="11" t="str">
        <f t="shared" ref="UX4:UX19" si="236">IF(SUM(UE4:UH4)-UI4&gt;0,SUM(UE4:UH4)-UI4,"")</f>
        <v/>
      </c>
      <c r="UY4" s="11" t="str">
        <f t="shared" ref="UY4:UY19" si="237">IF(UL4&gt;0,UL4,"")</f>
        <v/>
      </c>
      <c r="UZ4" s="11" t="str">
        <f t="shared" ref="UZ4:UZ19" si="238">IF(UM4&gt;0,UM4,"")</f>
        <v/>
      </c>
      <c r="VA4" s="11" t="str">
        <f t="shared" ref="VA4:VA19" si="239">IF(SUM(UJ4:UM4)-UN4&gt;0,SUM(UJ4:UM4)-UN4,"")</f>
        <v/>
      </c>
      <c r="VB4" s="11" t="str">
        <f t="shared" ref="VB4:VB19" si="240">IF(SUM(UU4,UX4,VA4)&gt;0,SUM(UU4,UX4,VA4),"")</f>
        <v/>
      </c>
      <c r="VC4" s="15"/>
      <c r="VD4" s="15"/>
      <c r="VE4" s="15"/>
      <c r="VF4" s="15"/>
      <c r="VG4" s="15"/>
      <c r="VH4" s="15"/>
      <c r="VI4" s="15"/>
      <c r="VJ4" s="15"/>
      <c r="VK4" s="15"/>
      <c r="VL4" s="15"/>
      <c r="VM4" s="15"/>
      <c r="VN4" s="15"/>
      <c r="VO4" s="15"/>
      <c r="VP4" s="15"/>
      <c r="VQ4" s="15"/>
      <c r="VR4" s="15"/>
      <c r="VS4" s="15"/>
      <c r="VT4" s="15"/>
      <c r="VU4" s="15"/>
      <c r="VV4" s="15"/>
      <c r="VW4" s="36" t="str">
        <f t="shared" ref="VW4:VW19" si="241">IF(VE4&gt;0,VE4,"")</f>
        <v/>
      </c>
      <c r="VX4" s="36" t="str">
        <f t="shared" ref="VX4:VX19" si="242">IF(VF4&gt;0,VF4,"")</f>
        <v/>
      </c>
      <c r="VY4" s="36" t="str">
        <f t="shared" ref="VY4:VY19" si="243">IF(SUM(VC4:VF4)-VG4&gt;0,SUM(VC4:VF4)-VG4,"")</f>
        <v/>
      </c>
      <c r="VZ4" s="36" t="str">
        <f t="shared" ref="VZ4:VZ19" si="244">IF(VJ4&gt;0,VJ4,"")</f>
        <v/>
      </c>
      <c r="WA4" s="36" t="str">
        <f t="shared" ref="WA4:WA19" si="245">IF(VK4&gt;0,VK4,"")</f>
        <v/>
      </c>
      <c r="WB4" s="36" t="str">
        <f t="shared" ref="WB4:WB19" si="246">IF(SUM(VH4:VK4)-VL4&gt;0,SUM(VH4:VK4)-VL4,"")</f>
        <v/>
      </c>
      <c r="WC4" s="36" t="str">
        <f t="shared" ref="WC4:WC19" si="247">IF(MAX(VY4,WB4)&gt;0,MAX(VY4,WB4),"")</f>
        <v/>
      </c>
      <c r="WD4" s="36" t="str">
        <f t="shared" ref="WD4:WD19" si="248">IF(VO4&gt;0,VO4,"")</f>
        <v/>
      </c>
      <c r="WE4" s="36" t="str">
        <f t="shared" ref="WE4:WE19" si="249">IF(VP4&gt;0,VP4,"")</f>
        <v/>
      </c>
      <c r="WF4" s="36" t="str">
        <f t="shared" ref="WF4:WF19" si="250">IF(SUM(VM4:VP4)-VQ4&gt;0,SUM(VM4:VP4)-VQ4,"")</f>
        <v/>
      </c>
      <c r="WG4" s="36" t="str">
        <f t="shared" ref="WG4:WG19" si="251">IF(VT4&gt;0,VT4,"")</f>
        <v/>
      </c>
      <c r="WH4" s="36" t="str">
        <f t="shared" ref="WH4:WH19" si="252">IF(VU4&gt;0,VU4,"")</f>
        <v/>
      </c>
      <c r="WI4" s="36" t="str">
        <f t="shared" ref="WI4:WI19" si="253">IF(SUM(VR4:VU4)-VV4&gt;0,SUM(VR4:VU4)-VV4,"")</f>
        <v/>
      </c>
      <c r="WJ4" s="36" t="str">
        <f t="shared" ref="WJ4:WJ19" si="254">IF(SUM(WC4,WF4,WI4)&gt;0,SUM(WC4,WF4,WI4),"")</f>
        <v/>
      </c>
    </row>
    <row r="5" spans="1:608" x14ac:dyDescent="0.2">
      <c r="A5" s="4" cm="1">
        <f t="array" ref="A5">IF(AND(H5&lt;&gt;"",H5&lt;&gt;"No DD"),SUMPRODUCT((H$4:H$20&lt;&gt;"")*(H$4:H$20&lt;&gt;"No DD")*(E$4:E$20&gt;E5))+1,IF(H5="No DD",SUMPRODUCT((H$4:H$20="No DD")*(E$4:E$20&gt;E5))+1+SUMPRODUCT((H$4:H$20&lt;&gt;"")*(H$4:H$20&lt;&gt;"No DD")),""))</f>
        <v>2</v>
      </c>
      <c r="B5" s="5" t="s">
        <v>175</v>
      </c>
      <c r="C5" s="4" t="s">
        <v>131</v>
      </c>
      <c r="D5" s="4" t="s">
        <v>174</v>
      </c>
      <c r="E5" s="9">
        <f t="shared" si="0"/>
        <v>48.53</v>
      </c>
      <c r="F5" s="3" t="str">
        <f t="shared" si="1"/>
        <v>P</v>
      </c>
      <c r="G5" s="3" t="str">
        <f t="shared" si="2"/>
        <v>P</v>
      </c>
      <c r="H5" s="32" t="str">
        <f t="shared" si="3"/>
        <v>National Team</v>
      </c>
      <c r="I5" s="3" t="str">
        <f t="shared" si="4"/>
        <v/>
      </c>
      <c r="J5" s="8">
        <f t="shared" si="5"/>
        <v>0</v>
      </c>
      <c r="K5" s="8" t="str">
        <f t="shared" si="6"/>
        <v/>
      </c>
      <c r="L5" s="8">
        <f>IFERROR(LARGE((AI5,AL5,AP5,BJ5,BM5,BQ5,CK5,CN5,CR5),2),0)</f>
        <v>0</v>
      </c>
      <c r="M5" s="8" t="str">
        <f t="shared" si="7"/>
        <v/>
      </c>
      <c r="N5" s="8">
        <f t="shared" si="8"/>
        <v>48.53</v>
      </c>
      <c r="O5" s="11" t="str">
        <f t="shared" si="9"/>
        <v>(Any)</v>
      </c>
      <c r="P5" s="8" t="str">
        <f t="shared" si="10"/>
        <v>2025 Worlds (Nov 9)</v>
      </c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23"/>
      <c r="AG5" s="34" t="str">
        <f t="shared" si="11"/>
        <v/>
      </c>
      <c r="AH5" s="34" t="str">
        <f t="shared" si="12"/>
        <v/>
      </c>
      <c r="AI5" s="36" t="str">
        <f t="shared" si="13"/>
        <v/>
      </c>
      <c r="AJ5" s="36" t="str">
        <f t="shared" si="14"/>
        <v/>
      </c>
      <c r="AK5" s="36" t="str">
        <f t="shared" si="15"/>
        <v/>
      </c>
      <c r="AL5" s="36" t="str">
        <f t="shared" si="16"/>
        <v/>
      </c>
      <c r="AM5" s="36" t="str">
        <f t="shared" si="17"/>
        <v/>
      </c>
      <c r="AN5" s="36" t="str">
        <f t="shared" si="18"/>
        <v/>
      </c>
      <c r="AO5" s="36" t="str">
        <f t="shared" si="19"/>
        <v/>
      </c>
      <c r="AP5" s="36" t="str">
        <f t="shared" si="20"/>
        <v/>
      </c>
      <c r="AQ5" s="36" t="str">
        <f t="shared" si="21"/>
        <v/>
      </c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  <c r="BC5" s="22"/>
      <c r="BD5" s="22"/>
      <c r="BE5" s="22"/>
      <c r="BF5" s="22"/>
      <c r="BG5" s="24"/>
      <c r="BH5" s="35" t="str">
        <f t="shared" si="22"/>
        <v/>
      </c>
      <c r="BI5" s="35" t="str">
        <f t="shared" si="23"/>
        <v/>
      </c>
      <c r="BJ5" s="11" t="str">
        <f t="shared" si="24"/>
        <v/>
      </c>
      <c r="BK5" s="11" t="str">
        <f t="shared" si="25"/>
        <v/>
      </c>
      <c r="BL5" s="11" t="str">
        <f t="shared" si="26"/>
        <v/>
      </c>
      <c r="BM5" s="11" t="str">
        <f t="shared" si="27"/>
        <v/>
      </c>
      <c r="BN5" s="11" t="str">
        <f t="shared" si="28"/>
        <v/>
      </c>
      <c r="BO5" s="11" t="str">
        <f t="shared" si="29"/>
        <v/>
      </c>
      <c r="BP5" s="11" t="str">
        <f t="shared" si="30"/>
        <v/>
      </c>
      <c r="BQ5" s="11" t="str">
        <f t="shared" si="31"/>
        <v/>
      </c>
      <c r="BR5" s="11" t="str">
        <f t="shared" si="32"/>
        <v/>
      </c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23"/>
      <c r="CI5" s="34" t="str">
        <f t="shared" si="33"/>
        <v/>
      </c>
      <c r="CJ5" s="34" t="str">
        <f t="shared" si="34"/>
        <v/>
      </c>
      <c r="CK5" s="36" t="str">
        <f t="shared" si="35"/>
        <v/>
      </c>
      <c r="CL5" s="36" t="str">
        <f t="shared" si="36"/>
        <v/>
      </c>
      <c r="CM5" s="36" t="str">
        <f t="shared" si="37"/>
        <v/>
      </c>
      <c r="CN5" s="36" t="str">
        <f t="shared" si="38"/>
        <v/>
      </c>
      <c r="CO5" s="36" t="str">
        <f t="shared" si="39"/>
        <v/>
      </c>
      <c r="CP5" s="36" t="str">
        <f t="shared" si="40"/>
        <v/>
      </c>
      <c r="CQ5" s="36" t="str">
        <f t="shared" si="41"/>
        <v/>
      </c>
      <c r="CR5" s="36" t="str">
        <f t="shared" si="42"/>
        <v/>
      </c>
      <c r="CS5" s="36" t="str">
        <f t="shared" si="43"/>
        <v/>
      </c>
      <c r="CT5" s="47">
        <f t="shared" si="44"/>
        <v>48.53</v>
      </c>
      <c r="CU5" s="15"/>
      <c r="CV5" s="15"/>
      <c r="CW5" s="15"/>
      <c r="CX5" s="15"/>
      <c r="CY5" s="15"/>
      <c r="CZ5" s="15"/>
      <c r="DA5" s="15"/>
      <c r="DB5" s="15"/>
      <c r="DC5" s="15"/>
      <c r="DD5" s="15"/>
      <c r="DE5" s="15"/>
      <c r="DF5" s="15"/>
      <c r="DG5" s="15"/>
      <c r="DH5" s="15"/>
      <c r="DI5" s="15"/>
      <c r="DJ5" s="15"/>
      <c r="DK5" s="15"/>
      <c r="DL5" s="15"/>
      <c r="DM5" s="15"/>
      <c r="DN5" s="15"/>
      <c r="DO5" s="36" t="str">
        <f t="shared" si="45"/>
        <v/>
      </c>
      <c r="DP5" s="36" t="str">
        <f t="shared" si="46"/>
        <v/>
      </c>
      <c r="DQ5" s="36" t="str">
        <f t="shared" si="47"/>
        <v/>
      </c>
      <c r="DR5" s="36" t="str">
        <f t="shared" si="48"/>
        <v/>
      </c>
      <c r="DS5" s="36" t="str">
        <f t="shared" si="49"/>
        <v/>
      </c>
      <c r="DT5" s="36" t="str">
        <f t="shared" si="50"/>
        <v/>
      </c>
      <c r="DU5" s="36" t="str">
        <f t="shared" si="51"/>
        <v/>
      </c>
      <c r="DV5" s="36" t="str">
        <f t="shared" si="52"/>
        <v/>
      </c>
      <c r="DW5" s="36" t="str">
        <f t="shared" si="53"/>
        <v/>
      </c>
      <c r="DX5" s="36" t="str">
        <f t="shared" si="54"/>
        <v/>
      </c>
      <c r="DY5" s="36" t="str">
        <f t="shared" si="55"/>
        <v/>
      </c>
      <c r="DZ5" s="36" t="str">
        <f t="shared" si="56"/>
        <v/>
      </c>
      <c r="EA5" s="36" t="str">
        <f t="shared" si="57"/>
        <v/>
      </c>
      <c r="EB5" s="36" t="str">
        <f t="shared" si="58"/>
        <v/>
      </c>
      <c r="EC5" s="16"/>
      <c r="ED5" s="16"/>
      <c r="EE5" s="16"/>
      <c r="EF5" s="16"/>
      <c r="EG5" s="16"/>
      <c r="EH5" s="16"/>
      <c r="EI5" s="16"/>
      <c r="EJ5" s="16"/>
      <c r="EK5" s="16"/>
      <c r="EL5" s="16"/>
      <c r="EM5" s="16"/>
      <c r="EN5" s="16"/>
      <c r="EO5" s="16"/>
      <c r="EP5" s="16"/>
      <c r="EQ5" s="16"/>
      <c r="ER5" s="16"/>
      <c r="ES5" s="16"/>
      <c r="ET5" s="16"/>
      <c r="EU5" s="16"/>
      <c r="EV5" s="16"/>
      <c r="EW5" s="11" t="str">
        <f t="shared" si="59"/>
        <v/>
      </c>
      <c r="EX5" s="11" t="str">
        <f t="shared" si="60"/>
        <v/>
      </c>
      <c r="EY5" s="11" t="str">
        <f t="shared" si="61"/>
        <v/>
      </c>
      <c r="EZ5" s="11" t="str">
        <f t="shared" si="62"/>
        <v/>
      </c>
      <c r="FA5" s="11" t="str">
        <f t="shared" si="63"/>
        <v/>
      </c>
      <c r="FB5" s="11" t="str">
        <f t="shared" si="64"/>
        <v/>
      </c>
      <c r="FC5" s="11" t="str">
        <f t="shared" si="65"/>
        <v/>
      </c>
      <c r="FD5" s="11" t="str">
        <f t="shared" si="66"/>
        <v/>
      </c>
      <c r="FE5" s="11" t="str">
        <f t="shared" si="67"/>
        <v/>
      </c>
      <c r="FF5" s="11" t="str">
        <f t="shared" si="68"/>
        <v/>
      </c>
      <c r="FG5" s="11" t="str">
        <f t="shared" si="69"/>
        <v/>
      </c>
      <c r="FH5" s="11" t="str">
        <f t="shared" si="70"/>
        <v/>
      </c>
      <c r="FI5" s="11" t="str">
        <f t="shared" si="71"/>
        <v/>
      </c>
      <c r="FJ5" s="11" t="str">
        <f t="shared" si="72"/>
        <v/>
      </c>
      <c r="FK5" s="15"/>
      <c r="FL5" s="15"/>
      <c r="FM5" s="15"/>
      <c r="FN5" s="15"/>
      <c r="FO5" s="15"/>
      <c r="FP5" s="15"/>
      <c r="FQ5" s="15"/>
      <c r="FR5" s="15"/>
      <c r="FS5" s="15"/>
      <c r="FT5" s="15"/>
      <c r="FU5" s="15"/>
      <c r="FV5" s="15"/>
      <c r="FW5" s="15"/>
      <c r="FX5" s="15"/>
      <c r="FY5" s="15"/>
      <c r="FZ5" s="15"/>
      <c r="GA5" s="15"/>
      <c r="GB5" s="15"/>
      <c r="GC5" s="15"/>
      <c r="GD5" s="15"/>
      <c r="GE5" s="36" t="str">
        <f t="shared" si="73"/>
        <v/>
      </c>
      <c r="GF5" s="36" t="str">
        <f t="shared" si="74"/>
        <v/>
      </c>
      <c r="GG5" s="36" t="str">
        <f t="shared" si="75"/>
        <v/>
      </c>
      <c r="GH5" s="36" t="str">
        <f t="shared" si="76"/>
        <v/>
      </c>
      <c r="GI5" s="36" t="str">
        <f t="shared" si="77"/>
        <v/>
      </c>
      <c r="GJ5" s="36" t="str">
        <f t="shared" si="78"/>
        <v/>
      </c>
      <c r="GK5" s="36" t="str">
        <f t="shared" si="79"/>
        <v/>
      </c>
      <c r="GL5" s="36" t="str">
        <f t="shared" si="80"/>
        <v/>
      </c>
      <c r="GM5" s="36" t="str">
        <f t="shared" si="81"/>
        <v/>
      </c>
      <c r="GN5" s="36" t="str">
        <f t="shared" si="82"/>
        <v/>
      </c>
      <c r="GO5" s="36" t="str">
        <f t="shared" si="83"/>
        <v/>
      </c>
      <c r="GP5" s="36" t="str">
        <f t="shared" si="84"/>
        <v/>
      </c>
      <c r="GQ5" s="36" t="str">
        <f t="shared" si="85"/>
        <v/>
      </c>
      <c r="GR5" s="36" t="str">
        <f t="shared" si="86"/>
        <v/>
      </c>
      <c r="GS5" s="16"/>
      <c r="GT5" s="16"/>
      <c r="GU5" s="16"/>
      <c r="GV5" s="16"/>
      <c r="GW5" s="16"/>
      <c r="GX5" s="16"/>
      <c r="GY5" s="16"/>
      <c r="GZ5" s="16"/>
      <c r="HA5" s="16"/>
      <c r="HB5" s="16"/>
      <c r="HC5" s="16"/>
      <c r="HD5" s="16"/>
      <c r="HE5" s="16"/>
      <c r="HF5" s="16"/>
      <c r="HG5" s="16"/>
      <c r="HH5" s="16"/>
      <c r="HI5" s="16"/>
      <c r="HJ5" s="16"/>
      <c r="HK5" s="16"/>
      <c r="HL5" s="16"/>
      <c r="HM5" s="11" t="str">
        <f t="shared" si="87"/>
        <v/>
      </c>
      <c r="HN5" s="11" t="str">
        <f t="shared" si="88"/>
        <v/>
      </c>
      <c r="HO5" s="11" t="str">
        <f t="shared" si="89"/>
        <v/>
      </c>
      <c r="HP5" s="11" t="str">
        <f t="shared" si="90"/>
        <v/>
      </c>
      <c r="HQ5" s="11" t="str">
        <f t="shared" si="91"/>
        <v/>
      </c>
      <c r="HR5" s="11" t="str">
        <f t="shared" si="92"/>
        <v/>
      </c>
      <c r="HS5" s="11" t="str">
        <f t="shared" si="93"/>
        <v/>
      </c>
      <c r="HT5" s="11" t="str">
        <f t="shared" si="94"/>
        <v/>
      </c>
      <c r="HU5" s="11" t="str">
        <f t="shared" si="95"/>
        <v/>
      </c>
      <c r="HV5" s="11" t="str">
        <f t="shared" si="96"/>
        <v/>
      </c>
      <c r="HW5" s="11" t="str">
        <f t="shared" si="97"/>
        <v/>
      </c>
      <c r="HX5" s="11" t="str">
        <f t="shared" si="98"/>
        <v/>
      </c>
      <c r="HY5" s="11" t="str">
        <f t="shared" si="99"/>
        <v/>
      </c>
      <c r="HZ5" s="11" t="str">
        <f t="shared" si="100"/>
        <v/>
      </c>
      <c r="IA5" s="15"/>
      <c r="IB5" s="15"/>
      <c r="IC5" s="15"/>
      <c r="ID5" s="15"/>
      <c r="IE5" s="15"/>
      <c r="IF5" s="15"/>
      <c r="IG5" s="15"/>
      <c r="IH5" s="15"/>
      <c r="II5" s="15"/>
      <c r="IJ5" s="15"/>
      <c r="IK5" s="15"/>
      <c r="IL5" s="15"/>
      <c r="IM5" s="15"/>
      <c r="IN5" s="15"/>
      <c r="IO5" s="15"/>
      <c r="IP5" s="15"/>
      <c r="IQ5" s="15"/>
      <c r="IR5" s="15"/>
      <c r="IS5" s="15"/>
      <c r="IT5" s="15"/>
      <c r="IU5" s="36" t="str">
        <f t="shared" si="101"/>
        <v/>
      </c>
      <c r="IV5" s="36" t="str">
        <f t="shared" si="102"/>
        <v/>
      </c>
      <c r="IW5" s="36" t="str">
        <f t="shared" si="103"/>
        <v/>
      </c>
      <c r="IX5" s="36" t="str">
        <f t="shared" si="104"/>
        <v/>
      </c>
      <c r="IY5" s="36" t="str">
        <f t="shared" si="105"/>
        <v/>
      </c>
      <c r="IZ5" s="36" t="str">
        <f t="shared" si="106"/>
        <v/>
      </c>
      <c r="JA5" s="36" t="str">
        <f t="shared" si="107"/>
        <v/>
      </c>
      <c r="JB5" s="36" t="str">
        <f t="shared" si="108"/>
        <v/>
      </c>
      <c r="JC5" s="36" t="str">
        <f t="shared" si="109"/>
        <v/>
      </c>
      <c r="JD5" s="36" t="str">
        <f t="shared" si="110"/>
        <v/>
      </c>
      <c r="JE5" s="36" t="str">
        <f t="shared" si="111"/>
        <v/>
      </c>
      <c r="JF5" s="36" t="str">
        <f t="shared" si="112"/>
        <v/>
      </c>
      <c r="JG5" s="36" t="str">
        <f t="shared" si="113"/>
        <v/>
      </c>
      <c r="JH5" s="36" t="str">
        <f t="shared" si="114"/>
        <v/>
      </c>
      <c r="JI5" s="16">
        <v>3</v>
      </c>
      <c r="JJ5" s="16">
        <v>3.55</v>
      </c>
      <c r="JK5" s="16">
        <v>6.3</v>
      </c>
      <c r="JL5" s="16">
        <v>6.98</v>
      </c>
      <c r="JM5" s="16">
        <v>0</v>
      </c>
      <c r="JN5" s="16">
        <v>7.45</v>
      </c>
      <c r="JO5" s="16">
        <v>9</v>
      </c>
      <c r="JP5" s="16">
        <v>14.9</v>
      </c>
      <c r="JQ5" s="16">
        <v>16.440000000000001</v>
      </c>
      <c r="JR5" s="16">
        <v>0</v>
      </c>
      <c r="JS5" s="16"/>
      <c r="JT5" s="16"/>
      <c r="JU5" s="16"/>
      <c r="JV5" s="16"/>
      <c r="JW5" s="16"/>
      <c r="JX5" s="16"/>
      <c r="JY5" s="16"/>
      <c r="JZ5" s="16"/>
      <c r="KA5" s="16"/>
      <c r="KB5" s="16"/>
      <c r="KC5" s="11">
        <f t="shared" si="115"/>
        <v>6.3</v>
      </c>
      <c r="KD5" s="11">
        <f t="shared" si="116"/>
        <v>6.98</v>
      </c>
      <c r="KE5" s="11">
        <f t="shared" si="117"/>
        <v>19.829999999999998</v>
      </c>
      <c r="KF5" s="11">
        <f t="shared" si="118"/>
        <v>14.9</v>
      </c>
      <c r="KG5" s="11">
        <f t="shared" si="119"/>
        <v>16.440000000000001</v>
      </c>
      <c r="KH5" s="11">
        <f t="shared" si="120"/>
        <v>47.790000000000006</v>
      </c>
      <c r="KI5" s="11">
        <f t="shared" si="121"/>
        <v>47.790000000000006</v>
      </c>
      <c r="KJ5" s="11" t="str">
        <f t="shared" si="122"/>
        <v/>
      </c>
      <c r="KK5" s="11" t="str">
        <f t="shared" si="123"/>
        <v/>
      </c>
      <c r="KL5" s="11" t="str">
        <f t="shared" si="124"/>
        <v/>
      </c>
      <c r="KM5" s="11" t="str">
        <f t="shared" si="125"/>
        <v/>
      </c>
      <c r="KN5" s="11" t="str">
        <f t="shared" si="126"/>
        <v/>
      </c>
      <c r="KO5" s="11" t="str">
        <f t="shared" si="127"/>
        <v/>
      </c>
      <c r="KP5" s="11">
        <f t="shared" si="128"/>
        <v>47.790000000000006</v>
      </c>
      <c r="KQ5" s="15">
        <v>7.85</v>
      </c>
      <c r="KR5" s="15">
        <v>9.4</v>
      </c>
      <c r="KS5" s="15">
        <v>14.9</v>
      </c>
      <c r="KT5" s="15">
        <v>16.78</v>
      </c>
      <c r="KU5" s="15">
        <v>0.4</v>
      </c>
      <c r="KV5" s="15">
        <v>1.6</v>
      </c>
      <c r="KW5" s="15">
        <v>1.65</v>
      </c>
      <c r="KX5" s="15">
        <v>3.5</v>
      </c>
      <c r="KY5" s="15">
        <v>2.82</v>
      </c>
      <c r="KZ5" s="15">
        <v>0</v>
      </c>
      <c r="LA5" s="15">
        <v>7.75</v>
      </c>
      <c r="LB5" s="15">
        <v>9.1</v>
      </c>
      <c r="LC5" s="15">
        <v>14.9</v>
      </c>
      <c r="LD5" s="15">
        <v>14.32</v>
      </c>
      <c r="LE5" s="15"/>
      <c r="LF5" s="15"/>
      <c r="LG5" s="15"/>
      <c r="LH5" s="15"/>
      <c r="LI5" s="15"/>
      <c r="LJ5" s="15"/>
      <c r="LK5" s="36">
        <f t="shared" si="129"/>
        <v>14.9</v>
      </c>
      <c r="LL5" s="36">
        <f t="shared" si="130"/>
        <v>16.78</v>
      </c>
      <c r="LM5" s="36">
        <f t="shared" si="131"/>
        <v>48.53</v>
      </c>
      <c r="LN5" s="36">
        <f t="shared" si="132"/>
        <v>3.5</v>
      </c>
      <c r="LO5" s="36">
        <f t="shared" si="133"/>
        <v>2.82</v>
      </c>
      <c r="LP5" s="36">
        <f t="shared" si="134"/>
        <v>9.57</v>
      </c>
      <c r="LQ5" s="36">
        <f t="shared" si="135"/>
        <v>48.53</v>
      </c>
      <c r="LR5" s="36">
        <f t="shared" si="136"/>
        <v>14.9</v>
      </c>
      <c r="LS5" s="36">
        <f t="shared" si="137"/>
        <v>14.32</v>
      </c>
      <c r="LT5" s="36">
        <f t="shared" si="138"/>
        <v>46.07</v>
      </c>
      <c r="LU5" s="36" t="str">
        <f t="shared" si="139"/>
        <v/>
      </c>
      <c r="LV5" s="36" t="str">
        <f t="shared" si="140"/>
        <v/>
      </c>
      <c r="LW5" s="36" t="str">
        <f t="shared" si="141"/>
        <v/>
      </c>
      <c r="LX5" s="36">
        <f t="shared" si="142"/>
        <v>94.6</v>
      </c>
      <c r="LY5" s="16"/>
      <c r="LZ5" s="16"/>
      <c r="MA5" s="16"/>
      <c r="MB5" s="16"/>
      <c r="MC5" s="16"/>
      <c r="MD5" s="16"/>
      <c r="ME5" s="16"/>
      <c r="MF5" s="16"/>
      <c r="MG5" s="16"/>
      <c r="MH5" s="16"/>
      <c r="MI5" s="16"/>
      <c r="MJ5" s="16"/>
      <c r="MK5" s="16"/>
      <c r="ML5" s="16"/>
      <c r="MM5" s="16"/>
      <c r="MN5" s="16"/>
      <c r="MO5" s="16"/>
      <c r="MP5" s="16"/>
      <c r="MQ5" s="16"/>
      <c r="MR5" s="16"/>
      <c r="MS5" s="11" t="str">
        <f t="shared" si="143"/>
        <v/>
      </c>
      <c r="MT5" s="11" t="str">
        <f t="shared" si="144"/>
        <v/>
      </c>
      <c r="MU5" s="11" t="str">
        <f t="shared" si="145"/>
        <v/>
      </c>
      <c r="MV5" s="11" t="str">
        <f t="shared" si="146"/>
        <v/>
      </c>
      <c r="MW5" s="11" t="str">
        <f t="shared" si="147"/>
        <v/>
      </c>
      <c r="MX5" s="11" t="str">
        <f t="shared" si="148"/>
        <v/>
      </c>
      <c r="MY5" s="11" t="str">
        <f t="shared" si="149"/>
        <v/>
      </c>
      <c r="MZ5" s="11" t="str">
        <f t="shared" si="150"/>
        <v/>
      </c>
      <c r="NA5" s="11" t="str">
        <f t="shared" si="151"/>
        <v/>
      </c>
      <c r="NB5" s="11" t="str">
        <f t="shared" si="152"/>
        <v/>
      </c>
      <c r="NC5" s="11" t="str">
        <f t="shared" si="153"/>
        <v/>
      </c>
      <c r="ND5" s="11" t="str">
        <f t="shared" si="154"/>
        <v/>
      </c>
      <c r="NE5" s="11" t="str">
        <f t="shared" si="155"/>
        <v/>
      </c>
      <c r="NF5" s="11" t="str">
        <f t="shared" si="156"/>
        <v/>
      </c>
      <c r="NG5" s="15"/>
      <c r="NH5" s="15"/>
      <c r="NI5" s="15"/>
      <c r="NJ5" s="15"/>
      <c r="NK5" s="15"/>
      <c r="NL5" s="15"/>
      <c r="NM5" s="15"/>
      <c r="NN5" s="15"/>
      <c r="NO5" s="15"/>
      <c r="NP5" s="15"/>
      <c r="NQ5" s="15"/>
      <c r="NR5" s="15"/>
      <c r="NS5" s="15"/>
      <c r="NT5" s="15"/>
      <c r="NU5" s="15"/>
      <c r="NV5" s="15"/>
      <c r="NW5" s="15"/>
      <c r="NX5" s="15"/>
      <c r="NY5" s="15"/>
      <c r="NZ5" s="15"/>
      <c r="OA5" s="36" t="str">
        <f t="shared" si="157"/>
        <v/>
      </c>
      <c r="OB5" s="36" t="str">
        <f t="shared" si="158"/>
        <v/>
      </c>
      <c r="OC5" s="36" t="str">
        <f t="shared" si="159"/>
        <v/>
      </c>
      <c r="OD5" s="36" t="str">
        <f t="shared" si="160"/>
        <v/>
      </c>
      <c r="OE5" s="36" t="str">
        <f t="shared" si="161"/>
        <v/>
      </c>
      <c r="OF5" s="36" t="str">
        <f t="shared" si="162"/>
        <v/>
      </c>
      <c r="OG5" s="36" t="str">
        <f t="shared" si="163"/>
        <v/>
      </c>
      <c r="OH5" s="36" t="str">
        <f t="shared" si="164"/>
        <v/>
      </c>
      <c r="OI5" s="36" t="str">
        <f t="shared" si="165"/>
        <v/>
      </c>
      <c r="OJ5" s="36" t="str">
        <f t="shared" si="166"/>
        <v/>
      </c>
      <c r="OK5" s="36" t="str">
        <f t="shared" si="167"/>
        <v/>
      </c>
      <c r="OL5" s="36" t="str">
        <f t="shared" si="168"/>
        <v/>
      </c>
      <c r="OM5" s="36" t="str">
        <f t="shared" si="169"/>
        <v/>
      </c>
      <c r="ON5" s="36" t="str">
        <f t="shared" si="170"/>
        <v/>
      </c>
      <c r="OO5" s="16"/>
      <c r="OP5" s="16"/>
      <c r="OQ5" s="16"/>
      <c r="OR5" s="16"/>
      <c r="OS5" s="16"/>
      <c r="OT5" s="16"/>
      <c r="OU5" s="16"/>
      <c r="OV5" s="16"/>
      <c r="OW5" s="16"/>
      <c r="OX5" s="16"/>
      <c r="OY5" s="16"/>
      <c r="OZ5" s="16"/>
      <c r="PA5" s="16"/>
      <c r="PB5" s="16"/>
      <c r="PC5" s="16"/>
      <c r="PD5" s="16"/>
      <c r="PE5" s="16"/>
      <c r="PF5" s="16"/>
      <c r="PG5" s="16"/>
      <c r="PH5" s="16"/>
      <c r="PI5" s="11" t="str">
        <f t="shared" si="171"/>
        <v/>
      </c>
      <c r="PJ5" s="11" t="str">
        <f t="shared" si="172"/>
        <v/>
      </c>
      <c r="PK5" s="11" t="str">
        <f t="shared" si="173"/>
        <v/>
      </c>
      <c r="PL5" s="11" t="str">
        <f t="shared" si="174"/>
        <v/>
      </c>
      <c r="PM5" s="11" t="str">
        <f t="shared" si="175"/>
        <v/>
      </c>
      <c r="PN5" s="11" t="str">
        <f t="shared" si="176"/>
        <v/>
      </c>
      <c r="PO5" s="11" t="str">
        <f t="shared" si="177"/>
        <v/>
      </c>
      <c r="PP5" s="11" t="str">
        <f t="shared" si="178"/>
        <v/>
      </c>
      <c r="PQ5" s="11" t="str">
        <f t="shared" si="179"/>
        <v/>
      </c>
      <c r="PR5" s="11" t="str">
        <f t="shared" si="180"/>
        <v/>
      </c>
      <c r="PS5" s="11" t="str">
        <f t="shared" si="181"/>
        <v/>
      </c>
      <c r="PT5" s="11" t="str">
        <f t="shared" si="182"/>
        <v/>
      </c>
      <c r="PU5" s="11" t="str">
        <f t="shared" si="183"/>
        <v/>
      </c>
      <c r="PV5" s="11" t="str">
        <f t="shared" si="184"/>
        <v/>
      </c>
      <c r="PW5" s="15"/>
      <c r="PX5" s="15"/>
      <c r="PY5" s="15"/>
      <c r="PZ5" s="15"/>
      <c r="QA5" s="15"/>
      <c r="QB5" s="15"/>
      <c r="QC5" s="15"/>
      <c r="QD5" s="15"/>
      <c r="QE5" s="15"/>
      <c r="QF5" s="15"/>
      <c r="QG5" s="15"/>
      <c r="QH5" s="15"/>
      <c r="QI5" s="15"/>
      <c r="QJ5" s="15"/>
      <c r="QK5" s="15"/>
      <c r="QL5" s="15"/>
      <c r="QM5" s="15"/>
      <c r="QN5" s="15"/>
      <c r="QO5" s="15"/>
      <c r="QP5" s="15"/>
      <c r="QQ5" s="36" t="str">
        <f t="shared" si="185"/>
        <v/>
      </c>
      <c r="QR5" s="36" t="str">
        <f t="shared" si="186"/>
        <v/>
      </c>
      <c r="QS5" s="36" t="str">
        <f t="shared" si="187"/>
        <v/>
      </c>
      <c r="QT5" s="36" t="str">
        <f t="shared" si="188"/>
        <v/>
      </c>
      <c r="QU5" s="36" t="str">
        <f t="shared" si="189"/>
        <v/>
      </c>
      <c r="QV5" s="36" t="str">
        <f t="shared" si="190"/>
        <v/>
      </c>
      <c r="QW5" s="36" t="str">
        <f t="shared" si="191"/>
        <v/>
      </c>
      <c r="QX5" s="36" t="str">
        <f t="shared" si="192"/>
        <v/>
      </c>
      <c r="QY5" s="36" t="str">
        <f t="shared" si="193"/>
        <v/>
      </c>
      <c r="QZ5" s="36" t="str">
        <f t="shared" si="194"/>
        <v/>
      </c>
      <c r="RA5" s="36" t="str">
        <f t="shared" si="195"/>
        <v/>
      </c>
      <c r="RB5" s="36" t="str">
        <f t="shared" si="196"/>
        <v/>
      </c>
      <c r="RC5" s="36" t="str">
        <f t="shared" si="197"/>
        <v/>
      </c>
      <c r="RD5" s="36" t="str">
        <f t="shared" si="198"/>
        <v/>
      </c>
      <c r="RE5" s="16"/>
      <c r="RF5" s="16"/>
      <c r="RG5" s="16"/>
      <c r="RH5" s="16"/>
      <c r="RI5" s="16"/>
      <c r="RJ5" s="16"/>
      <c r="RK5" s="16"/>
      <c r="RL5" s="16"/>
      <c r="RM5" s="16"/>
      <c r="RN5" s="16"/>
      <c r="RO5" s="16"/>
      <c r="RP5" s="16"/>
      <c r="RQ5" s="16"/>
      <c r="RR5" s="16"/>
      <c r="RS5" s="16"/>
      <c r="RT5" s="16"/>
      <c r="RU5" s="16"/>
      <c r="RV5" s="16"/>
      <c r="RW5" s="16"/>
      <c r="RX5" s="16"/>
      <c r="RY5" s="11" t="str">
        <f t="shared" si="199"/>
        <v/>
      </c>
      <c r="RZ5" s="11" t="str">
        <f t="shared" si="200"/>
        <v/>
      </c>
      <c r="SA5" s="11" t="str">
        <f t="shared" si="201"/>
        <v/>
      </c>
      <c r="SB5" s="11" t="str">
        <f t="shared" si="202"/>
        <v/>
      </c>
      <c r="SC5" s="11" t="str">
        <f t="shared" si="203"/>
        <v/>
      </c>
      <c r="SD5" s="11" t="str">
        <f t="shared" si="204"/>
        <v/>
      </c>
      <c r="SE5" s="11" t="str">
        <f t="shared" si="205"/>
        <v/>
      </c>
      <c r="SF5" s="11" t="str">
        <f t="shared" si="206"/>
        <v/>
      </c>
      <c r="SG5" s="11" t="str">
        <f t="shared" si="207"/>
        <v/>
      </c>
      <c r="SH5" s="11" t="str">
        <f t="shared" si="208"/>
        <v/>
      </c>
      <c r="SI5" s="11" t="str">
        <f t="shared" si="209"/>
        <v/>
      </c>
      <c r="SJ5" s="11" t="str">
        <f t="shared" si="210"/>
        <v/>
      </c>
      <c r="SK5" s="11" t="str">
        <f t="shared" si="211"/>
        <v/>
      </c>
      <c r="SL5" s="11" t="str">
        <f t="shared" si="212"/>
        <v/>
      </c>
      <c r="SM5" s="15"/>
      <c r="SN5" s="15"/>
      <c r="SO5" s="15"/>
      <c r="SP5" s="15"/>
      <c r="SQ5" s="15"/>
      <c r="SR5" s="15"/>
      <c r="SS5" s="15"/>
      <c r="ST5" s="15"/>
      <c r="SU5" s="15"/>
      <c r="SV5" s="15"/>
      <c r="SW5" s="15"/>
      <c r="SX5" s="15"/>
      <c r="SY5" s="15"/>
      <c r="SZ5" s="15"/>
      <c r="TA5" s="15"/>
      <c r="TB5" s="15"/>
      <c r="TC5" s="15"/>
      <c r="TD5" s="15"/>
      <c r="TE5" s="15"/>
      <c r="TF5" s="15"/>
      <c r="TG5" s="36" t="str">
        <f t="shared" si="213"/>
        <v/>
      </c>
      <c r="TH5" s="36" t="str">
        <f t="shared" si="214"/>
        <v/>
      </c>
      <c r="TI5" s="36" t="str">
        <f t="shared" si="215"/>
        <v/>
      </c>
      <c r="TJ5" s="36" t="str">
        <f t="shared" si="216"/>
        <v/>
      </c>
      <c r="TK5" s="36" t="str">
        <f t="shared" si="217"/>
        <v/>
      </c>
      <c r="TL5" s="36" t="str">
        <f t="shared" si="218"/>
        <v/>
      </c>
      <c r="TM5" s="36" t="str">
        <f t="shared" si="219"/>
        <v/>
      </c>
      <c r="TN5" s="36" t="str">
        <f t="shared" si="220"/>
        <v/>
      </c>
      <c r="TO5" s="36" t="str">
        <f t="shared" si="221"/>
        <v/>
      </c>
      <c r="TP5" s="36" t="str">
        <f t="shared" si="222"/>
        <v/>
      </c>
      <c r="TQ5" s="36" t="str">
        <f t="shared" si="223"/>
        <v/>
      </c>
      <c r="TR5" s="36" t="str">
        <f t="shared" si="224"/>
        <v/>
      </c>
      <c r="TS5" s="36" t="str">
        <f t="shared" si="225"/>
        <v/>
      </c>
      <c r="TT5" s="36" t="str">
        <f t="shared" si="226"/>
        <v/>
      </c>
      <c r="TU5" s="16"/>
      <c r="TV5" s="16"/>
      <c r="TW5" s="16"/>
      <c r="TX5" s="16"/>
      <c r="TY5" s="16"/>
      <c r="TZ5" s="16"/>
      <c r="UA5" s="16"/>
      <c r="UB5" s="16"/>
      <c r="UC5" s="16"/>
      <c r="UD5" s="16"/>
      <c r="UE5" s="16"/>
      <c r="UF5" s="16"/>
      <c r="UG5" s="16"/>
      <c r="UH5" s="16"/>
      <c r="UI5" s="16"/>
      <c r="UJ5" s="16"/>
      <c r="UK5" s="16"/>
      <c r="UL5" s="16"/>
      <c r="UM5" s="16"/>
      <c r="UN5" s="16"/>
      <c r="UO5" s="11" t="str">
        <f t="shared" si="227"/>
        <v/>
      </c>
      <c r="UP5" s="11" t="str">
        <f t="shared" si="228"/>
        <v/>
      </c>
      <c r="UQ5" s="11" t="str">
        <f t="shared" si="229"/>
        <v/>
      </c>
      <c r="UR5" s="11" t="str">
        <f t="shared" si="230"/>
        <v/>
      </c>
      <c r="US5" s="11" t="str">
        <f t="shared" si="231"/>
        <v/>
      </c>
      <c r="UT5" s="11" t="str">
        <f t="shared" si="232"/>
        <v/>
      </c>
      <c r="UU5" s="11" t="str">
        <f t="shared" si="233"/>
        <v/>
      </c>
      <c r="UV5" s="11" t="str">
        <f t="shared" si="234"/>
        <v/>
      </c>
      <c r="UW5" s="11" t="str">
        <f t="shared" si="235"/>
        <v/>
      </c>
      <c r="UX5" s="11" t="str">
        <f t="shared" si="236"/>
        <v/>
      </c>
      <c r="UY5" s="11" t="str">
        <f t="shared" si="237"/>
        <v/>
      </c>
      <c r="UZ5" s="11" t="str">
        <f t="shared" si="238"/>
        <v/>
      </c>
      <c r="VA5" s="11" t="str">
        <f t="shared" si="239"/>
        <v/>
      </c>
      <c r="VB5" s="11" t="str">
        <f t="shared" si="240"/>
        <v/>
      </c>
      <c r="VC5" s="15"/>
      <c r="VD5" s="15"/>
      <c r="VE5" s="15"/>
      <c r="VF5" s="15"/>
      <c r="VG5" s="15"/>
      <c r="VH5" s="15"/>
      <c r="VI5" s="15"/>
      <c r="VJ5" s="15"/>
      <c r="VK5" s="15"/>
      <c r="VL5" s="15"/>
      <c r="VM5" s="15"/>
      <c r="VN5" s="15"/>
      <c r="VO5" s="15"/>
      <c r="VP5" s="15"/>
      <c r="VQ5" s="15"/>
      <c r="VR5" s="15"/>
      <c r="VS5" s="15"/>
      <c r="VT5" s="15"/>
      <c r="VU5" s="15"/>
      <c r="VV5" s="15"/>
      <c r="VW5" s="36" t="str">
        <f t="shared" si="241"/>
        <v/>
      </c>
      <c r="VX5" s="36" t="str">
        <f t="shared" si="242"/>
        <v/>
      </c>
      <c r="VY5" s="36" t="str">
        <f t="shared" si="243"/>
        <v/>
      </c>
      <c r="VZ5" s="36" t="str">
        <f t="shared" si="244"/>
        <v/>
      </c>
      <c r="WA5" s="36" t="str">
        <f t="shared" si="245"/>
        <v/>
      </c>
      <c r="WB5" s="36" t="str">
        <f t="shared" si="246"/>
        <v/>
      </c>
      <c r="WC5" s="36" t="str">
        <f t="shared" si="247"/>
        <v/>
      </c>
      <c r="WD5" s="36" t="str">
        <f t="shared" si="248"/>
        <v/>
      </c>
      <c r="WE5" s="36" t="str">
        <f t="shared" si="249"/>
        <v/>
      </c>
      <c r="WF5" s="36" t="str">
        <f t="shared" si="250"/>
        <v/>
      </c>
      <c r="WG5" s="36" t="str">
        <f t="shared" si="251"/>
        <v/>
      </c>
      <c r="WH5" s="36" t="str">
        <f t="shared" si="252"/>
        <v/>
      </c>
      <c r="WI5" s="36" t="str">
        <f t="shared" si="253"/>
        <v/>
      </c>
      <c r="WJ5" s="36" t="str">
        <f t="shared" si="254"/>
        <v/>
      </c>
    </row>
    <row r="6" spans="1:608" x14ac:dyDescent="0.2">
      <c r="A6" s="4" t="str" cm="1">
        <f t="array" ref="A6">IF(AND(H6&lt;&gt;"",H6&lt;&gt;"No DD"),SUMPRODUCT((H$4:H$20&lt;&gt;"")*(H$4:H$20&lt;&gt;"No DD")*(E$4:E$20&gt;E6))+1,IF(H6="No DD",SUMPRODUCT((H$4:H$20="No DD")*(E$4:E$20&gt;E6))+1+SUMPRODUCT((H$4:H$20&lt;&gt;"")*(H$4:H$20&lt;&gt;"No DD")),""))</f>
        <v/>
      </c>
      <c r="B6" s="5" t="s">
        <v>104</v>
      </c>
      <c r="C6" s="4" t="s">
        <v>5</v>
      </c>
      <c r="D6" s="4" t="s">
        <v>103</v>
      </c>
      <c r="E6" s="9">
        <f t="shared" si="0"/>
        <v>67.100006710003825</v>
      </c>
      <c r="F6" s="3" t="str">
        <f t="shared" si="1"/>
        <v/>
      </c>
      <c r="G6" s="3" t="str">
        <f t="shared" si="2"/>
        <v/>
      </c>
      <c r="H6" s="32" t="str">
        <f t="shared" si="3"/>
        <v/>
      </c>
      <c r="I6" s="3" t="str">
        <f t="shared" si="4"/>
        <v/>
      </c>
      <c r="J6" s="8">
        <f t="shared" si="5"/>
        <v>38.33</v>
      </c>
      <c r="K6" s="8" t="str">
        <f t="shared" si="6"/>
        <v>2025 Elite Canada</v>
      </c>
      <c r="L6" s="8">
        <f>IFERROR(LARGE((AI6,AL6,AP6,BJ6,BM6,BQ6,CK6,CN6,CR6),2),0)</f>
        <v>28.77</v>
      </c>
      <c r="M6" s="8" t="str">
        <f t="shared" si="7"/>
        <v>2025 Elite Canada</v>
      </c>
      <c r="N6" s="8">
        <f t="shared" si="8"/>
        <v>0</v>
      </c>
      <c r="O6" s="11" t="str">
        <f t="shared" si="9"/>
        <v/>
      </c>
      <c r="P6" s="8" t="str">
        <f t="shared" si="10"/>
        <v/>
      </c>
      <c r="Q6" s="18">
        <v>4.5999999999999996</v>
      </c>
      <c r="R6" s="18">
        <v>6.45</v>
      </c>
      <c r="S6" s="18">
        <v>10.199999999999999</v>
      </c>
      <c r="T6" s="18">
        <v>7.72</v>
      </c>
      <c r="U6" s="18">
        <v>0.2</v>
      </c>
      <c r="V6" s="18">
        <v>5.35</v>
      </c>
      <c r="W6" s="18">
        <v>7.5</v>
      </c>
      <c r="X6" s="18">
        <v>11.3</v>
      </c>
      <c r="Y6" s="18">
        <v>14.18</v>
      </c>
      <c r="Z6" s="18">
        <v>0</v>
      </c>
      <c r="AA6" s="18">
        <v>0.68</v>
      </c>
      <c r="AB6" s="18">
        <v>0.95</v>
      </c>
      <c r="AC6" s="18">
        <v>2</v>
      </c>
      <c r="AD6" s="18">
        <v>1.36</v>
      </c>
      <c r="AE6" s="18">
        <v>0</v>
      </c>
      <c r="AF6" s="23"/>
      <c r="AG6" s="34">
        <f t="shared" si="11"/>
        <v>10.199999999999999</v>
      </c>
      <c r="AH6" s="34">
        <f t="shared" si="12"/>
        <v>7.72</v>
      </c>
      <c r="AI6" s="36">
        <f t="shared" si="13"/>
        <v>28.77</v>
      </c>
      <c r="AJ6" s="36">
        <f t="shared" si="14"/>
        <v>11.3</v>
      </c>
      <c r="AK6" s="36">
        <f t="shared" si="15"/>
        <v>14.18</v>
      </c>
      <c r="AL6" s="36">
        <f t="shared" si="16"/>
        <v>38.33</v>
      </c>
      <c r="AM6" s="36">
        <f t="shared" si="17"/>
        <v>38.33</v>
      </c>
      <c r="AN6" s="36">
        <f t="shared" si="18"/>
        <v>2</v>
      </c>
      <c r="AO6" s="36">
        <f t="shared" si="19"/>
        <v>1.36</v>
      </c>
      <c r="AP6" s="36">
        <f t="shared" si="20"/>
        <v>4.99</v>
      </c>
      <c r="AQ6" s="36">
        <f t="shared" si="21"/>
        <v>43.32</v>
      </c>
      <c r="AR6" s="22">
        <v>0</v>
      </c>
      <c r="AS6" s="22">
        <v>0</v>
      </c>
      <c r="AT6" s="22">
        <v>0</v>
      </c>
      <c r="AU6" s="22">
        <v>0</v>
      </c>
      <c r="AV6" s="22">
        <v>0</v>
      </c>
      <c r="AW6" s="22">
        <v>0</v>
      </c>
      <c r="AX6" s="22">
        <v>0</v>
      </c>
      <c r="AY6" s="22">
        <v>0</v>
      </c>
      <c r="AZ6" s="22">
        <v>0</v>
      </c>
      <c r="BA6" s="22">
        <v>0</v>
      </c>
      <c r="BB6" s="22">
        <v>1.78</v>
      </c>
      <c r="BC6" s="22">
        <v>2.7</v>
      </c>
      <c r="BD6" s="22">
        <v>5</v>
      </c>
      <c r="BE6" s="22">
        <v>5.0199999999999996</v>
      </c>
      <c r="BF6" s="22">
        <v>0</v>
      </c>
      <c r="BG6" s="24"/>
      <c r="BH6" s="35" t="str">
        <f t="shared" si="22"/>
        <v/>
      </c>
      <c r="BI6" s="35" t="str">
        <f t="shared" si="23"/>
        <v/>
      </c>
      <c r="BJ6" s="11" t="str">
        <f t="shared" si="24"/>
        <v/>
      </c>
      <c r="BK6" s="11" t="str">
        <f t="shared" si="25"/>
        <v/>
      </c>
      <c r="BL6" s="11" t="str">
        <f t="shared" si="26"/>
        <v/>
      </c>
      <c r="BM6" s="11" t="str">
        <f t="shared" si="27"/>
        <v/>
      </c>
      <c r="BN6" s="11" t="str">
        <f t="shared" si="28"/>
        <v/>
      </c>
      <c r="BO6" s="11">
        <f t="shared" si="29"/>
        <v>5</v>
      </c>
      <c r="BP6" s="11">
        <f t="shared" si="30"/>
        <v>5.0199999999999996</v>
      </c>
      <c r="BQ6" s="11">
        <f t="shared" si="31"/>
        <v>14.5</v>
      </c>
      <c r="BR6" s="11">
        <f t="shared" si="32"/>
        <v>14.5</v>
      </c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23"/>
      <c r="CI6" s="34" t="str">
        <f t="shared" si="33"/>
        <v/>
      </c>
      <c r="CJ6" s="34" t="str">
        <f t="shared" si="34"/>
        <v/>
      </c>
      <c r="CK6" s="36" t="str">
        <f t="shared" si="35"/>
        <v/>
      </c>
      <c r="CL6" s="36" t="str">
        <f t="shared" si="36"/>
        <v/>
      </c>
      <c r="CM6" s="36" t="str">
        <f t="shared" si="37"/>
        <v/>
      </c>
      <c r="CN6" s="36" t="str">
        <f t="shared" si="38"/>
        <v/>
      </c>
      <c r="CO6" s="36" t="str">
        <f t="shared" si="39"/>
        <v/>
      </c>
      <c r="CP6" s="36" t="str">
        <f t="shared" si="40"/>
        <v/>
      </c>
      <c r="CQ6" s="36" t="str">
        <f t="shared" si="41"/>
        <v/>
      </c>
      <c r="CR6" s="36" t="str">
        <f t="shared" si="42"/>
        <v/>
      </c>
      <c r="CS6" s="36" t="str">
        <f t="shared" si="43"/>
        <v/>
      </c>
      <c r="CT6" s="47" t="str">
        <f t="shared" si="44"/>
        <v/>
      </c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  <c r="DJ6" s="15"/>
      <c r="DK6" s="15"/>
      <c r="DL6" s="15"/>
      <c r="DM6" s="15"/>
      <c r="DN6" s="15"/>
      <c r="DO6" s="36" t="str">
        <f t="shared" si="45"/>
        <v/>
      </c>
      <c r="DP6" s="36" t="str">
        <f t="shared" si="46"/>
        <v/>
      </c>
      <c r="DQ6" s="36" t="str">
        <f t="shared" si="47"/>
        <v/>
      </c>
      <c r="DR6" s="36" t="str">
        <f t="shared" si="48"/>
        <v/>
      </c>
      <c r="DS6" s="36" t="str">
        <f t="shared" si="49"/>
        <v/>
      </c>
      <c r="DT6" s="36" t="str">
        <f t="shared" si="50"/>
        <v/>
      </c>
      <c r="DU6" s="36" t="str">
        <f t="shared" si="51"/>
        <v/>
      </c>
      <c r="DV6" s="36" t="str">
        <f t="shared" si="52"/>
        <v/>
      </c>
      <c r="DW6" s="36" t="str">
        <f t="shared" si="53"/>
        <v/>
      </c>
      <c r="DX6" s="36" t="str">
        <f t="shared" si="54"/>
        <v/>
      </c>
      <c r="DY6" s="36" t="str">
        <f t="shared" si="55"/>
        <v/>
      </c>
      <c r="DZ6" s="36" t="str">
        <f t="shared" si="56"/>
        <v/>
      </c>
      <c r="EA6" s="36" t="str">
        <f t="shared" si="57"/>
        <v/>
      </c>
      <c r="EB6" s="36" t="str">
        <f t="shared" si="58"/>
        <v/>
      </c>
      <c r="EC6" s="16"/>
      <c r="ED6" s="16"/>
      <c r="EE6" s="16"/>
      <c r="EF6" s="16"/>
      <c r="EG6" s="16"/>
      <c r="EH6" s="16"/>
      <c r="EI6" s="16"/>
      <c r="EJ6" s="16"/>
      <c r="EK6" s="16"/>
      <c r="EL6" s="16"/>
      <c r="EM6" s="16"/>
      <c r="EN6" s="16"/>
      <c r="EO6" s="16"/>
      <c r="EP6" s="16"/>
      <c r="EQ6" s="16"/>
      <c r="ER6" s="16"/>
      <c r="ES6" s="16"/>
      <c r="ET6" s="16"/>
      <c r="EU6" s="16"/>
      <c r="EV6" s="16"/>
      <c r="EW6" s="11" t="str">
        <f t="shared" si="59"/>
        <v/>
      </c>
      <c r="EX6" s="11" t="str">
        <f t="shared" si="60"/>
        <v/>
      </c>
      <c r="EY6" s="11" t="str">
        <f t="shared" si="61"/>
        <v/>
      </c>
      <c r="EZ6" s="11" t="str">
        <f t="shared" si="62"/>
        <v/>
      </c>
      <c r="FA6" s="11" t="str">
        <f t="shared" si="63"/>
        <v/>
      </c>
      <c r="FB6" s="11" t="str">
        <f t="shared" si="64"/>
        <v/>
      </c>
      <c r="FC6" s="11" t="str">
        <f t="shared" si="65"/>
        <v/>
      </c>
      <c r="FD6" s="11" t="str">
        <f t="shared" si="66"/>
        <v/>
      </c>
      <c r="FE6" s="11" t="str">
        <f t="shared" si="67"/>
        <v/>
      </c>
      <c r="FF6" s="11" t="str">
        <f t="shared" si="68"/>
        <v/>
      </c>
      <c r="FG6" s="11" t="str">
        <f t="shared" si="69"/>
        <v/>
      </c>
      <c r="FH6" s="11" t="str">
        <f t="shared" si="70"/>
        <v/>
      </c>
      <c r="FI6" s="11" t="str">
        <f t="shared" si="71"/>
        <v/>
      </c>
      <c r="FJ6" s="11" t="str">
        <f t="shared" si="72"/>
        <v/>
      </c>
      <c r="FK6" s="15"/>
      <c r="FL6" s="15"/>
      <c r="FM6" s="15"/>
      <c r="FN6" s="15"/>
      <c r="FO6" s="15"/>
      <c r="FP6" s="15"/>
      <c r="FQ6" s="15"/>
      <c r="FR6" s="15"/>
      <c r="FS6" s="15"/>
      <c r="FT6" s="15"/>
      <c r="FU6" s="15"/>
      <c r="FV6" s="15"/>
      <c r="FW6" s="15"/>
      <c r="FX6" s="15"/>
      <c r="FY6" s="15"/>
      <c r="FZ6" s="15"/>
      <c r="GA6" s="15"/>
      <c r="GB6" s="15"/>
      <c r="GC6" s="15"/>
      <c r="GD6" s="15"/>
      <c r="GE6" s="36" t="str">
        <f t="shared" si="73"/>
        <v/>
      </c>
      <c r="GF6" s="36" t="str">
        <f t="shared" si="74"/>
        <v/>
      </c>
      <c r="GG6" s="36" t="str">
        <f t="shared" si="75"/>
        <v/>
      </c>
      <c r="GH6" s="36" t="str">
        <f t="shared" si="76"/>
        <v/>
      </c>
      <c r="GI6" s="36" t="str">
        <f t="shared" si="77"/>
        <v/>
      </c>
      <c r="GJ6" s="36" t="str">
        <f t="shared" si="78"/>
        <v/>
      </c>
      <c r="GK6" s="36" t="str">
        <f t="shared" si="79"/>
        <v/>
      </c>
      <c r="GL6" s="36" t="str">
        <f t="shared" si="80"/>
        <v/>
      </c>
      <c r="GM6" s="36" t="str">
        <f t="shared" si="81"/>
        <v/>
      </c>
      <c r="GN6" s="36" t="str">
        <f t="shared" si="82"/>
        <v/>
      </c>
      <c r="GO6" s="36" t="str">
        <f t="shared" si="83"/>
        <v/>
      </c>
      <c r="GP6" s="36" t="str">
        <f t="shared" si="84"/>
        <v/>
      </c>
      <c r="GQ6" s="36" t="str">
        <f t="shared" si="85"/>
        <v/>
      </c>
      <c r="GR6" s="36" t="str">
        <f t="shared" si="86"/>
        <v/>
      </c>
      <c r="GS6" s="16"/>
      <c r="GT6" s="16"/>
      <c r="GU6" s="16"/>
      <c r="GV6" s="16"/>
      <c r="GW6" s="16"/>
      <c r="GX6" s="16"/>
      <c r="GY6" s="16"/>
      <c r="GZ6" s="16"/>
      <c r="HA6" s="16"/>
      <c r="HB6" s="16"/>
      <c r="HC6" s="16"/>
      <c r="HD6" s="16"/>
      <c r="HE6" s="16"/>
      <c r="HF6" s="16"/>
      <c r="HG6" s="16"/>
      <c r="HH6" s="16"/>
      <c r="HI6" s="16"/>
      <c r="HJ6" s="16"/>
      <c r="HK6" s="16"/>
      <c r="HL6" s="16"/>
      <c r="HM6" s="11" t="str">
        <f t="shared" si="87"/>
        <v/>
      </c>
      <c r="HN6" s="11" t="str">
        <f t="shared" si="88"/>
        <v/>
      </c>
      <c r="HO6" s="11" t="str">
        <f t="shared" si="89"/>
        <v/>
      </c>
      <c r="HP6" s="11" t="str">
        <f t="shared" si="90"/>
        <v/>
      </c>
      <c r="HQ6" s="11" t="str">
        <f t="shared" si="91"/>
        <v/>
      </c>
      <c r="HR6" s="11" t="str">
        <f t="shared" si="92"/>
        <v/>
      </c>
      <c r="HS6" s="11" t="str">
        <f t="shared" si="93"/>
        <v/>
      </c>
      <c r="HT6" s="11" t="str">
        <f t="shared" si="94"/>
        <v/>
      </c>
      <c r="HU6" s="11" t="str">
        <f t="shared" si="95"/>
        <v/>
      </c>
      <c r="HV6" s="11" t="str">
        <f t="shared" si="96"/>
        <v/>
      </c>
      <c r="HW6" s="11" t="str">
        <f t="shared" si="97"/>
        <v/>
      </c>
      <c r="HX6" s="11" t="str">
        <f t="shared" si="98"/>
        <v/>
      </c>
      <c r="HY6" s="11" t="str">
        <f t="shared" si="99"/>
        <v/>
      </c>
      <c r="HZ6" s="11" t="str">
        <f t="shared" si="100"/>
        <v/>
      </c>
      <c r="IA6" s="15"/>
      <c r="IB6" s="15"/>
      <c r="IC6" s="15"/>
      <c r="ID6" s="15"/>
      <c r="IE6" s="15"/>
      <c r="IF6" s="15"/>
      <c r="IG6" s="15"/>
      <c r="IH6" s="15"/>
      <c r="II6" s="15"/>
      <c r="IJ6" s="15"/>
      <c r="IK6" s="15"/>
      <c r="IL6" s="15"/>
      <c r="IM6" s="15"/>
      <c r="IN6" s="15"/>
      <c r="IO6" s="15"/>
      <c r="IP6" s="15"/>
      <c r="IQ6" s="15"/>
      <c r="IR6" s="15"/>
      <c r="IS6" s="15"/>
      <c r="IT6" s="15"/>
      <c r="IU6" s="36" t="str">
        <f t="shared" si="101"/>
        <v/>
      </c>
      <c r="IV6" s="36" t="str">
        <f t="shared" si="102"/>
        <v/>
      </c>
      <c r="IW6" s="36" t="str">
        <f t="shared" si="103"/>
        <v/>
      </c>
      <c r="IX6" s="36" t="str">
        <f t="shared" si="104"/>
        <v/>
      </c>
      <c r="IY6" s="36" t="str">
        <f t="shared" si="105"/>
        <v/>
      </c>
      <c r="IZ6" s="36" t="str">
        <f t="shared" si="106"/>
        <v/>
      </c>
      <c r="JA6" s="36" t="str">
        <f t="shared" si="107"/>
        <v/>
      </c>
      <c r="JB6" s="36" t="str">
        <f t="shared" si="108"/>
        <v/>
      </c>
      <c r="JC6" s="36" t="str">
        <f t="shared" si="109"/>
        <v/>
      </c>
      <c r="JD6" s="36" t="str">
        <f t="shared" si="110"/>
        <v/>
      </c>
      <c r="JE6" s="36" t="str">
        <f t="shared" si="111"/>
        <v/>
      </c>
      <c r="JF6" s="36" t="str">
        <f t="shared" si="112"/>
        <v/>
      </c>
      <c r="JG6" s="36" t="str">
        <f t="shared" si="113"/>
        <v/>
      </c>
      <c r="JH6" s="36" t="str">
        <f t="shared" si="114"/>
        <v/>
      </c>
      <c r="JI6" s="16"/>
      <c r="JJ6" s="16"/>
      <c r="JK6" s="16"/>
      <c r="JL6" s="16"/>
      <c r="JM6" s="16"/>
      <c r="JN6" s="16"/>
      <c r="JO6" s="16"/>
      <c r="JP6" s="16"/>
      <c r="JQ6" s="16"/>
      <c r="JR6" s="16"/>
      <c r="JS6" s="16"/>
      <c r="JT6" s="16"/>
      <c r="JU6" s="16"/>
      <c r="JV6" s="16"/>
      <c r="JW6" s="16"/>
      <c r="JX6" s="16"/>
      <c r="JY6" s="16"/>
      <c r="JZ6" s="16"/>
      <c r="KA6" s="16"/>
      <c r="KB6" s="16"/>
      <c r="KC6" s="11" t="str">
        <f t="shared" si="115"/>
        <v/>
      </c>
      <c r="KD6" s="11" t="str">
        <f t="shared" si="116"/>
        <v/>
      </c>
      <c r="KE6" s="11" t="str">
        <f t="shared" si="117"/>
        <v/>
      </c>
      <c r="KF6" s="11" t="str">
        <f t="shared" si="118"/>
        <v/>
      </c>
      <c r="KG6" s="11" t="str">
        <f t="shared" si="119"/>
        <v/>
      </c>
      <c r="KH6" s="11" t="str">
        <f t="shared" si="120"/>
        <v/>
      </c>
      <c r="KI6" s="11" t="str">
        <f t="shared" si="121"/>
        <v/>
      </c>
      <c r="KJ6" s="11" t="str">
        <f t="shared" si="122"/>
        <v/>
      </c>
      <c r="KK6" s="11" t="str">
        <f t="shared" si="123"/>
        <v/>
      </c>
      <c r="KL6" s="11" t="str">
        <f t="shared" si="124"/>
        <v/>
      </c>
      <c r="KM6" s="11" t="str">
        <f t="shared" si="125"/>
        <v/>
      </c>
      <c r="KN6" s="11" t="str">
        <f t="shared" si="126"/>
        <v/>
      </c>
      <c r="KO6" s="11" t="str">
        <f t="shared" si="127"/>
        <v/>
      </c>
      <c r="KP6" s="11" t="str">
        <f t="shared" si="128"/>
        <v/>
      </c>
      <c r="KQ6" s="15"/>
      <c r="KR6" s="15"/>
      <c r="KS6" s="15"/>
      <c r="KT6" s="15"/>
      <c r="KU6" s="15"/>
      <c r="KV6" s="15"/>
      <c r="KW6" s="15"/>
      <c r="KX6" s="15"/>
      <c r="KY6" s="15"/>
      <c r="KZ6" s="15"/>
      <c r="LA6" s="15"/>
      <c r="LB6" s="15"/>
      <c r="LC6" s="15"/>
      <c r="LD6" s="15"/>
      <c r="LE6" s="15"/>
      <c r="LF6" s="15"/>
      <c r="LG6" s="15"/>
      <c r="LH6" s="15"/>
      <c r="LI6" s="15"/>
      <c r="LJ6" s="15"/>
      <c r="LK6" s="36" t="str">
        <f t="shared" si="129"/>
        <v/>
      </c>
      <c r="LL6" s="36" t="str">
        <f t="shared" si="130"/>
        <v/>
      </c>
      <c r="LM6" s="36" t="str">
        <f t="shared" si="131"/>
        <v/>
      </c>
      <c r="LN6" s="36" t="str">
        <f t="shared" si="132"/>
        <v/>
      </c>
      <c r="LO6" s="36" t="str">
        <f t="shared" si="133"/>
        <v/>
      </c>
      <c r="LP6" s="36" t="str">
        <f t="shared" si="134"/>
        <v/>
      </c>
      <c r="LQ6" s="36" t="str">
        <f t="shared" si="135"/>
        <v/>
      </c>
      <c r="LR6" s="36" t="str">
        <f t="shared" si="136"/>
        <v/>
      </c>
      <c r="LS6" s="36" t="str">
        <f t="shared" si="137"/>
        <v/>
      </c>
      <c r="LT6" s="36" t="str">
        <f t="shared" si="138"/>
        <v/>
      </c>
      <c r="LU6" s="36" t="str">
        <f t="shared" si="139"/>
        <v/>
      </c>
      <c r="LV6" s="36" t="str">
        <f t="shared" si="140"/>
        <v/>
      </c>
      <c r="LW6" s="36" t="str">
        <f t="shared" si="141"/>
        <v/>
      </c>
      <c r="LX6" s="36" t="str">
        <f t="shared" si="142"/>
        <v/>
      </c>
      <c r="LY6" s="16"/>
      <c r="LZ6" s="16"/>
      <c r="MA6" s="16"/>
      <c r="MB6" s="16"/>
      <c r="MC6" s="16"/>
      <c r="MD6" s="16"/>
      <c r="ME6" s="16"/>
      <c r="MF6" s="16"/>
      <c r="MG6" s="16"/>
      <c r="MH6" s="16"/>
      <c r="MI6" s="16"/>
      <c r="MJ6" s="16"/>
      <c r="MK6" s="16"/>
      <c r="ML6" s="16"/>
      <c r="MM6" s="16"/>
      <c r="MN6" s="16"/>
      <c r="MO6" s="16"/>
      <c r="MP6" s="16"/>
      <c r="MQ6" s="16"/>
      <c r="MR6" s="16"/>
      <c r="MS6" s="11" t="str">
        <f t="shared" si="143"/>
        <v/>
      </c>
      <c r="MT6" s="11" t="str">
        <f t="shared" si="144"/>
        <v/>
      </c>
      <c r="MU6" s="11" t="str">
        <f t="shared" si="145"/>
        <v/>
      </c>
      <c r="MV6" s="11" t="str">
        <f t="shared" si="146"/>
        <v/>
      </c>
      <c r="MW6" s="11" t="str">
        <f t="shared" si="147"/>
        <v/>
      </c>
      <c r="MX6" s="11" t="str">
        <f t="shared" si="148"/>
        <v/>
      </c>
      <c r="MY6" s="11" t="str">
        <f t="shared" si="149"/>
        <v/>
      </c>
      <c r="MZ6" s="11" t="str">
        <f t="shared" si="150"/>
        <v/>
      </c>
      <c r="NA6" s="11" t="str">
        <f t="shared" si="151"/>
        <v/>
      </c>
      <c r="NB6" s="11" t="str">
        <f t="shared" si="152"/>
        <v/>
      </c>
      <c r="NC6" s="11" t="str">
        <f t="shared" si="153"/>
        <v/>
      </c>
      <c r="ND6" s="11" t="str">
        <f t="shared" si="154"/>
        <v/>
      </c>
      <c r="NE6" s="11" t="str">
        <f t="shared" si="155"/>
        <v/>
      </c>
      <c r="NF6" s="11" t="str">
        <f t="shared" si="156"/>
        <v/>
      </c>
      <c r="NG6" s="15"/>
      <c r="NH6" s="15"/>
      <c r="NI6" s="15"/>
      <c r="NJ6" s="15"/>
      <c r="NK6" s="15"/>
      <c r="NL6" s="15"/>
      <c r="NM6" s="15"/>
      <c r="NN6" s="15"/>
      <c r="NO6" s="15"/>
      <c r="NP6" s="15"/>
      <c r="NQ6" s="15"/>
      <c r="NR6" s="15"/>
      <c r="NS6" s="15"/>
      <c r="NT6" s="15"/>
      <c r="NU6" s="15"/>
      <c r="NV6" s="15"/>
      <c r="NW6" s="15"/>
      <c r="NX6" s="15"/>
      <c r="NY6" s="15"/>
      <c r="NZ6" s="15"/>
      <c r="OA6" s="36" t="str">
        <f t="shared" si="157"/>
        <v/>
      </c>
      <c r="OB6" s="36" t="str">
        <f t="shared" si="158"/>
        <v/>
      </c>
      <c r="OC6" s="36" t="str">
        <f t="shared" si="159"/>
        <v/>
      </c>
      <c r="OD6" s="36" t="str">
        <f t="shared" si="160"/>
        <v/>
      </c>
      <c r="OE6" s="36" t="str">
        <f t="shared" si="161"/>
        <v/>
      </c>
      <c r="OF6" s="36" t="str">
        <f t="shared" si="162"/>
        <v/>
      </c>
      <c r="OG6" s="36" t="str">
        <f t="shared" si="163"/>
        <v/>
      </c>
      <c r="OH6" s="36" t="str">
        <f t="shared" si="164"/>
        <v/>
      </c>
      <c r="OI6" s="36" t="str">
        <f t="shared" si="165"/>
        <v/>
      </c>
      <c r="OJ6" s="36" t="str">
        <f t="shared" si="166"/>
        <v/>
      </c>
      <c r="OK6" s="36" t="str">
        <f t="shared" si="167"/>
        <v/>
      </c>
      <c r="OL6" s="36" t="str">
        <f t="shared" si="168"/>
        <v/>
      </c>
      <c r="OM6" s="36" t="str">
        <f t="shared" si="169"/>
        <v/>
      </c>
      <c r="ON6" s="36" t="str">
        <f t="shared" si="170"/>
        <v/>
      </c>
      <c r="OO6" s="16"/>
      <c r="OP6" s="16"/>
      <c r="OQ6" s="16"/>
      <c r="OR6" s="16"/>
      <c r="OS6" s="16"/>
      <c r="OT6" s="16"/>
      <c r="OU6" s="16"/>
      <c r="OV6" s="16"/>
      <c r="OW6" s="16"/>
      <c r="OX6" s="16"/>
      <c r="OY6" s="16"/>
      <c r="OZ6" s="16"/>
      <c r="PA6" s="16"/>
      <c r="PB6" s="16"/>
      <c r="PC6" s="16"/>
      <c r="PD6" s="16"/>
      <c r="PE6" s="16"/>
      <c r="PF6" s="16"/>
      <c r="PG6" s="16"/>
      <c r="PH6" s="16"/>
      <c r="PI6" s="11" t="str">
        <f t="shared" si="171"/>
        <v/>
      </c>
      <c r="PJ6" s="11" t="str">
        <f t="shared" si="172"/>
        <v/>
      </c>
      <c r="PK6" s="11" t="str">
        <f t="shared" si="173"/>
        <v/>
      </c>
      <c r="PL6" s="11" t="str">
        <f t="shared" si="174"/>
        <v/>
      </c>
      <c r="PM6" s="11" t="str">
        <f t="shared" si="175"/>
        <v/>
      </c>
      <c r="PN6" s="11" t="str">
        <f t="shared" si="176"/>
        <v/>
      </c>
      <c r="PO6" s="11" t="str">
        <f t="shared" si="177"/>
        <v/>
      </c>
      <c r="PP6" s="11" t="str">
        <f t="shared" si="178"/>
        <v/>
      </c>
      <c r="PQ6" s="11" t="str">
        <f t="shared" si="179"/>
        <v/>
      </c>
      <c r="PR6" s="11" t="str">
        <f t="shared" si="180"/>
        <v/>
      </c>
      <c r="PS6" s="11" t="str">
        <f t="shared" si="181"/>
        <v/>
      </c>
      <c r="PT6" s="11" t="str">
        <f t="shared" si="182"/>
        <v/>
      </c>
      <c r="PU6" s="11" t="str">
        <f t="shared" si="183"/>
        <v/>
      </c>
      <c r="PV6" s="11" t="str">
        <f t="shared" si="184"/>
        <v/>
      </c>
      <c r="PW6" s="15"/>
      <c r="PX6" s="15"/>
      <c r="PY6" s="15"/>
      <c r="PZ6" s="15"/>
      <c r="QA6" s="15"/>
      <c r="QB6" s="15"/>
      <c r="QC6" s="15"/>
      <c r="QD6" s="15"/>
      <c r="QE6" s="15"/>
      <c r="QF6" s="15"/>
      <c r="QG6" s="15"/>
      <c r="QH6" s="15"/>
      <c r="QI6" s="15"/>
      <c r="QJ6" s="15"/>
      <c r="QK6" s="15"/>
      <c r="QL6" s="15"/>
      <c r="QM6" s="15"/>
      <c r="QN6" s="15"/>
      <c r="QO6" s="15"/>
      <c r="QP6" s="15"/>
      <c r="QQ6" s="36" t="str">
        <f t="shared" si="185"/>
        <v/>
      </c>
      <c r="QR6" s="36" t="str">
        <f t="shared" si="186"/>
        <v/>
      </c>
      <c r="QS6" s="36" t="str">
        <f t="shared" si="187"/>
        <v/>
      </c>
      <c r="QT6" s="36" t="str">
        <f t="shared" si="188"/>
        <v/>
      </c>
      <c r="QU6" s="36" t="str">
        <f t="shared" si="189"/>
        <v/>
      </c>
      <c r="QV6" s="36" t="str">
        <f t="shared" si="190"/>
        <v/>
      </c>
      <c r="QW6" s="36" t="str">
        <f t="shared" si="191"/>
        <v/>
      </c>
      <c r="QX6" s="36" t="str">
        <f t="shared" si="192"/>
        <v/>
      </c>
      <c r="QY6" s="36" t="str">
        <f t="shared" si="193"/>
        <v/>
      </c>
      <c r="QZ6" s="36" t="str">
        <f t="shared" si="194"/>
        <v/>
      </c>
      <c r="RA6" s="36" t="str">
        <f t="shared" si="195"/>
        <v/>
      </c>
      <c r="RB6" s="36" t="str">
        <f t="shared" si="196"/>
        <v/>
      </c>
      <c r="RC6" s="36" t="str">
        <f t="shared" si="197"/>
        <v/>
      </c>
      <c r="RD6" s="36" t="str">
        <f t="shared" si="198"/>
        <v/>
      </c>
      <c r="RE6" s="16"/>
      <c r="RF6" s="16"/>
      <c r="RG6" s="16"/>
      <c r="RH6" s="16"/>
      <c r="RI6" s="16"/>
      <c r="RJ6" s="16"/>
      <c r="RK6" s="16"/>
      <c r="RL6" s="16"/>
      <c r="RM6" s="16"/>
      <c r="RN6" s="16"/>
      <c r="RO6" s="16"/>
      <c r="RP6" s="16"/>
      <c r="RQ6" s="16"/>
      <c r="RR6" s="16"/>
      <c r="RS6" s="16"/>
      <c r="RT6" s="16"/>
      <c r="RU6" s="16"/>
      <c r="RV6" s="16"/>
      <c r="RW6" s="16"/>
      <c r="RX6" s="16"/>
      <c r="RY6" s="11" t="str">
        <f t="shared" si="199"/>
        <v/>
      </c>
      <c r="RZ6" s="11" t="str">
        <f t="shared" si="200"/>
        <v/>
      </c>
      <c r="SA6" s="11" t="str">
        <f t="shared" si="201"/>
        <v/>
      </c>
      <c r="SB6" s="11" t="str">
        <f t="shared" si="202"/>
        <v/>
      </c>
      <c r="SC6" s="11" t="str">
        <f t="shared" si="203"/>
        <v/>
      </c>
      <c r="SD6" s="11" t="str">
        <f t="shared" si="204"/>
        <v/>
      </c>
      <c r="SE6" s="11" t="str">
        <f t="shared" si="205"/>
        <v/>
      </c>
      <c r="SF6" s="11" t="str">
        <f t="shared" si="206"/>
        <v/>
      </c>
      <c r="SG6" s="11" t="str">
        <f t="shared" si="207"/>
        <v/>
      </c>
      <c r="SH6" s="11" t="str">
        <f t="shared" si="208"/>
        <v/>
      </c>
      <c r="SI6" s="11" t="str">
        <f t="shared" si="209"/>
        <v/>
      </c>
      <c r="SJ6" s="11" t="str">
        <f t="shared" si="210"/>
        <v/>
      </c>
      <c r="SK6" s="11" t="str">
        <f t="shared" si="211"/>
        <v/>
      </c>
      <c r="SL6" s="11" t="str">
        <f t="shared" si="212"/>
        <v/>
      </c>
      <c r="SM6" s="15"/>
      <c r="SN6" s="15"/>
      <c r="SO6" s="15"/>
      <c r="SP6" s="15"/>
      <c r="SQ6" s="15"/>
      <c r="SR6" s="15"/>
      <c r="SS6" s="15"/>
      <c r="ST6" s="15"/>
      <c r="SU6" s="15"/>
      <c r="SV6" s="15"/>
      <c r="SW6" s="15"/>
      <c r="SX6" s="15"/>
      <c r="SY6" s="15"/>
      <c r="SZ6" s="15"/>
      <c r="TA6" s="15"/>
      <c r="TB6" s="15"/>
      <c r="TC6" s="15"/>
      <c r="TD6" s="15"/>
      <c r="TE6" s="15"/>
      <c r="TF6" s="15"/>
      <c r="TG6" s="36" t="str">
        <f t="shared" si="213"/>
        <v/>
      </c>
      <c r="TH6" s="36" t="str">
        <f t="shared" si="214"/>
        <v/>
      </c>
      <c r="TI6" s="36" t="str">
        <f t="shared" si="215"/>
        <v/>
      </c>
      <c r="TJ6" s="36" t="str">
        <f t="shared" si="216"/>
        <v/>
      </c>
      <c r="TK6" s="36" t="str">
        <f t="shared" si="217"/>
        <v/>
      </c>
      <c r="TL6" s="36" t="str">
        <f t="shared" si="218"/>
        <v/>
      </c>
      <c r="TM6" s="36" t="str">
        <f t="shared" si="219"/>
        <v/>
      </c>
      <c r="TN6" s="36" t="str">
        <f t="shared" si="220"/>
        <v/>
      </c>
      <c r="TO6" s="36" t="str">
        <f t="shared" si="221"/>
        <v/>
      </c>
      <c r="TP6" s="36" t="str">
        <f t="shared" si="222"/>
        <v/>
      </c>
      <c r="TQ6" s="36" t="str">
        <f t="shared" si="223"/>
        <v/>
      </c>
      <c r="TR6" s="36" t="str">
        <f t="shared" si="224"/>
        <v/>
      </c>
      <c r="TS6" s="36" t="str">
        <f t="shared" si="225"/>
        <v/>
      </c>
      <c r="TT6" s="36" t="str">
        <f t="shared" si="226"/>
        <v/>
      </c>
      <c r="TU6" s="16"/>
      <c r="TV6" s="16"/>
      <c r="TW6" s="16"/>
      <c r="TX6" s="16"/>
      <c r="TY6" s="16"/>
      <c r="TZ6" s="16"/>
      <c r="UA6" s="16"/>
      <c r="UB6" s="16"/>
      <c r="UC6" s="16"/>
      <c r="UD6" s="16"/>
      <c r="UE6" s="16"/>
      <c r="UF6" s="16"/>
      <c r="UG6" s="16"/>
      <c r="UH6" s="16"/>
      <c r="UI6" s="16"/>
      <c r="UJ6" s="16"/>
      <c r="UK6" s="16"/>
      <c r="UL6" s="16"/>
      <c r="UM6" s="16"/>
      <c r="UN6" s="16"/>
      <c r="UO6" s="11" t="str">
        <f t="shared" si="227"/>
        <v/>
      </c>
      <c r="UP6" s="11" t="str">
        <f t="shared" si="228"/>
        <v/>
      </c>
      <c r="UQ6" s="11" t="str">
        <f t="shared" si="229"/>
        <v/>
      </c>
      <c r="UR6" s="11" t="str">
        <f t="shared" si="230"/>
        <v/>
      </c>
      <c r="US6" s="11" t="str">
        <f t="shared" si="231"/>
        <v/>
      </c>
      <c r="UT6" s="11" t="str">
        <f t="shared" si="232"/>
        <v/>
      </c>
      <c r="UU6" s="11" t="str">
        <f t="shared" si="233"/>
        <v/>
      </c>
      <c r="UV6" s="11" t="str">
        <f t="shared" si="234"/>
        <v/>
      </c>
      <c r="UW6" s="11" t="str">
        <f t="shared" si="235"/>
        <v/>
      </c>
      <c r="UX6" s="11" t="str">
        <f t="shared" si="236"/>
        <v/>
      </c>
      <c r="UY6" s="11" t="str">
        <f t="shared" si="237"/>
        <v/>
      </c>
      <c r="UZ6" s="11" t="str">
        <f t="shared" si="238"/>
        <v/>
      </c>
      <c r="VA6" s="11" t="str">
        <f t="shared" si="239"/>
        <v/>
      </c>
      <c r="VB6" s="11" t="str">
        <f t="shared" si="240"/>
        <v/>
      </c>
      <c r="VC6" s="15"/>
      <c r="VD6" s="15"/>
      <c r="VE6" s="15"/>
      <c r="VF6" s="15"/>
      <c r="VG6" s="15"/>
      <c r="VH6" s="15"/>
      <c r="VI6" s="15"/>
      <c r="VJ6" s="15"/>
      <c r="VK6" s="15"/>
      <c r="VL6" s="15"/>
      <c r="VM6" s="15"/>
      <c r="VN6" s="15"/>
      <c r="VO6" s="15"/>
      <c r="VP6" s="15"/>
      <c r="VQ6" s="15"/>
      <c r="VR6" s="15"/>
      <c r="VS6" s="15"/>
      <c r="VT6" s="15"/>
      <c r="VU6" s="15"/>
      <c r="VV6" s="15"/>
      <c r="VW6" s="36" t="str">
        <f t="shared" si="241"/>
        <v/>
      </c>
      <c r="VX6" s="36" t="str">
        <f t="shared" si="242"/>
        <v/>
      </c>
      <c r="VY6" s="36" t="str">
        <f t="shared" si="243"/>
        <v/>
      </c>
      <c r="VZ6" s="36" t="str">
        <f t="shared" si="244"/>
        <v/>
      </c>
      <c r="WA6" s="36" t="str">
        <f t="shared" si="245"/>
        <v/>
      </c>
      <c r="WB6" s="36" t="str">
        <f t="shared" si="246"/>
        <v/>
      </c>
      <c r="WC6" s="36" t="str">
        <f t="shared" si="247"/>
        <v/>
      </c>
      <c r="WD6" s="36" t="str">
        <f t="shared" si="248"/>
        <v/>
      </c>
      <c r="WE6" s="36" t="str">
        <f t="shared" si="249"/>
        <v/>
      </c>
      <c r="WF6" s="36" t="str">
        <f t="shared" si="250"/>
        <v/>
      </c>
      <c r="WG6" s="36" t="str">
        <f t="shared" si="251"/>
        <v/>
      </c>
      <c r="WH6" s="36" t="str">
        <f t="shared" si="252"/>
        <v/>
      </c>
      <c r="WI6" s="36" t="str">
        <f t="shared" si="253"/>
        <v/>
      </c>
      <c r="WJ6" s="36" t="str">
        <f t="shared" si="254"/>
        <v/>
      </c>
    </row>
    <row r="7" spans="1:608" x14ac:dyDescent="0.2">
      <c r="A7" s="4" t="str" cm="1">
        <f t="array" ref="A7">IF(AND(H7&lt;&gt;"",H7&lt;&gt;"No DD"),SUMPRODUCT((H$4:H$20&lt;&gt;"")*(H$4:H$20&lt;&gt;"No DD")*(E$4:E$20&gt;E7))+1,IF(H7="No DD",SUMPRODUCT((H$4:H$20="No DD")*(E$4:E$20&gt;E7))+1+SUMPRODUCT((H$4:H$20&lt;&gt;"")*(H$4:H$20&lt;&gt;"No DD")),""))</f>
        <v/>
      </c>
      <c r="B7" s="5" t="s">
        <v>151</v>
      </c>
      <c r="C7" s="4" t="s">
        <v>5</v>
      </c>
      <c r="D7" s="4" t="s">
        <v>150</v>
      </c>
      <c r="E7" s="9">
        <f t="shared" si="0"/>
        <v>62.680006268004533</v>
      </c>
      <c r="F7" s="3" t="str">
        <f t="shared" si="1"/>
        <v/>
      </c>
      <c r="G7" s="3" t="str">
        <f t="shared" si="2"/>
        <v/>
      </c>
      <c r="H7" s="32" t="str">
        <f t="shared" si="3"/>
        <v/>
      </c>
      <c r="I7" s="3" t="str">
        <f t="shared" si="4"/>
        <v/>
      </c>
      <c r="J7" s="8">
        <f t="shared" si="5"/>
        <v>45.35</v>
      </c>
      <c r="K7" s="8" t="str">
        <f t="shared" si="6"/>
        <v>2025 Nationals</v>
      </c>
      <c r="L7" s="8">
        <f>IFERROR(LARGE((AI7,AL7,AP7,BJ7,BM7,BQ7,CK7,CN7,CR7),2),0)</f>
        <v>17.329999999999998</v>
      </c>
      <c r="M7" s="8" t="str">
        <f t="shared" si="7"/>
        <v>2025 Nationals</v>
      </c>
      <c r="N7" s="8">
        <f t="shared" si="8"/>
        <v>0</v>
      </c>
      <c r="O7" s="11" t="str">
        <f t="shared" si="9"/>
        <v/>
      </c>
      <c r="P7" s="8" t="str">
        <f t="shared" si="10"/>
        <v/>
      </c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23"/>
      <c r="AG7" s="34" t="str">
        <f t="shared" si="11"/>
        <v/>
      </c>
      <c r="AH7" s="34" t="str">
        <f t="shared" si="12"/>
        <v/>
      </c>
      <c r="AI7" s="36" t="str">
        <f t="shared" si="13"/>
        <v/>
      </c>
      <c r="AJ7" s="36" t="str">
        <f t="shared" si="14"/>
        <v/>
      </c>
      <c r="AK7" s="36" t="str">
        <f t="shared" si="15"/>
        <v/>
      </c>
      <c r="AL7" s="36" t="str">
        <f t="shared" si="16"/>
        <v/>
      </c>
      <c r="AM7" s="36" t="str">
        <f t="shared" si="17"/>
        <v/>
      </c>
      <c r="AN7" s="36" t="str">
        <f t="shared" si="18"/>
        <v/>
      </c>
      <c r="AO7" s="36" t="str">
        <f t="shared" si="19"/>
        <v/>
      </c>
      <c r="AP7" s="36" t="str">
        <f t="shared" si="20"/>
        <v/>
      </c>
      <c r="AQ7" s="36" t="str">
        <f t="shared" si="21"/>
        <v/>
      </c>
      <c r="AR7" s="22">
        <v>7</v>
      </c>
      <c r="AS7" s="22">
        <v>9.25</v>
      </c>
      <c r="AT7" s="22">
        <v>13.2</v>
      </c>
      <c r="AU7" s="22">
        <v>16.3</v>
      </c>
      <c r="AV7" s="22">
        <v>0.4</v>
      </c>
      <c r="AW7" s="22">
        <v>2.83</v>
      </c>
      <c r="AX7" s="22">
        <v>3.5</v>
      </c>
      <c r="AY7" s="22">
        <v>4.8</v>
      </c>
      <c r="AZ7" s="22">
        <v>6.2</v>
      </c>
      <c r="BA7" s="22">
        <v>0</v>
      </c>
      <c r="BB7" s="22">
        <v>0.73</v>
      </c>
      <c r="BC7" s="22">
        <v>1</v>
      </c>
      <c r="BD7" s="22">
        <v>2</v>
      </c>
      <c r="BE7" s="22">
        <v>1.78</v>
      </c>
      <c r="BF7" s="22">
        <v>0</v>
      </c>
      <c r="BG7" s="24"/>
      <c r="BH7" s="35">
        <f t="shared" si="22"/>
        <v>13.2</v>
      </c>
      <c r="BI7" s="35">
        <f t="shared" si="23"/>
        <v>16.3</v>
      </c>
      <c r="BJ7" s="11">
        <f t="shared" si="24"/>
        <v>45.35</v>
      </c>
      <c r="BK7" s="11">
        <f t="shared" si="25"/>
        <v>4.8</v>
      </c>
      <c r="BL7" s="11">
        <f t="shared" si="26"/>
        <v>6.2</v>
      </c>
      <c r="BM7" s="11">
        <f t="shared" si="27"/>
        <v>17.329999999999998</v>
      </c>
      <c r="BN7" s="11">
        <f t="shared" si="28"/>
        <v>45.35</v>
      </c>
      <c r="BO7" s="11">
        <f t="shared" si="29"/>
        <v>2</v>
      </c>
      <c r="BP7" s="11">
        <f t="shared" si="30"/>
        <v>1.78</v>
      </c>
      <c r="BQ7" s="11">
        <f t="shared" si="31"/>
        <v>5.51</v>
      </c>
      <c r="BR7" s="11">
        <f t="shared" si="32"/>
        <v>50.86</v>
      </c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23"/>
      <c r="CI7" s="34" t="str">
        <f t="shared" si="33"/>
        <v/>
      </c>
      <c r="CJ7" s="34" t="str">
        <f t="shared" si="34"/>
        <v/>
      </c>
      <c r="CK7" s="36" t="str">
        <f t="shared" si="35"/>
        <v/>
      </c>
      <c r="CL7" s="36" t="str">
        <f t="shared" si="36"/>
        <v/>
      </c>
      <c r="CM7" s="36" t="str">
        <f t="shared" si="37"/>
        <v/>
      </c>
      <c r="CN7" s="36" t="str">
        <f t="shared" si="38"/>
        <v/>
      </c>
      <c r="CO7" s="36" t="str">
        <f t="shared" si="39"/>
        <v/>
      </c>
      <c r="CP7" s="36" t="str">
        <f t="shared" si="40"/>
        <v/>
      </c>
      <c r="CQ7" s="36" t="str">
        <f t="shared" si="41"/>
        <v/>
      </c>
      <c r="CR7" s="36" t="str">
        <f t="shared" si="42"/>
        <v/>
      </c>
      <c r="CS7" s="36" t="str">
        <f t="shared" si="43"/>
        <v/>
      </c>
      <c r="CT7" s="47" t="str">
        <f t="shared" si="44"/>
        <v/>
      </c>
      <c r="CU7" s="15"/>
      <c r="CV7" s="15"/>
      <c r="CW7" s="15"/>
      <c r="CX7" s="15"/>
      <c r="CY7" s="15"/>
      <c r="CZ7" s="15"/>
      <c r="DA7" s="15"/>
      <c r="DB7" s="15"/>
      <c r="DC7" s="15"/>
      <c r="DD7" s="15"/>
      <c r="DE7" s="15"/>
      <c r="DF7" s="15"/>
      <c r="DG7" s="15"/>
      <c r="DH7" s="15"/>
      <c r="DI7" s="15"/>
      <c r="DJ7" s="15"/>
      <c r="DK7" s="15"/>
      <c r="DL7" s="15"/>
      <c r="DM7" s="15"/>
      <c r="DN7" s="15"/>
      <c r="DO7" s="36" t="str">
        <f t="shared" si="45"/>
        <v/>
      </c>
      <c r="DP7" s="36" t="str">
        <f t="shared" si="46"/>
        <v/>
      </c>
      <c r="DQ7" s="36" t="str">
        <f t="shared" si="47"/>
        <v/>
      </c>
      <c r="DR7" s="36" t="str">
        <f t="shared" si="48"/>
        <v/>
      </c>
      <c r="DS7" s="36" t="str">
        <f t="shared" si="49"/>
        <v/>
      </c>
      <c r="DT7" s="36" t="str">
        <f t="shared" si="50"/>
        <v/>
      </c>
      <c r="DU7" s="36" t="str">
        <f t="shared" si="51"/>
        <v/>
      </c>
      <c r="DV7" s="36" t="str">
        <f t="shared" si="52"/>
        <v/>
      </c>
      <c r="DW7" s="36" t="str">
        <f t="shared" si="53"/>
        <v/>
      </c>
      <c r="DX7" s="36" t="str">
        <f t="shared" si="54"/>
        <v/>
      </c>
      <c r="DY7" s="36" t="str">
        <f t="shared" si="55"/>
        <v/>
      </c>
      <c r="DZ7" s="36" t="str">
        <f t="shared" si="56"/>
        <v/>
      </c>
      <c r="EA7" s="36" t="str">
        <f t="shared" si="57"/>
        <v/>
      </c>
      <c r="EB7" s="36" t="str">
        <f t="shared" si="58"/>
        <v/>
      </c>
      <c r="EC7" s="16"/>
      <c r="ED7" s="16"/>
      <c r="EE7" s="16"/>
      <c r="EF7" s="16"/>
      <c r="EG7" s="16"/>
      <c r="EH7" s="16"/>
      <c r="EI7" s="16"/>
      <c r="EJ7" s="16"/>
      <c r="EK7" s="16"/>
      <c r="EL7" s="16"/>
      <c r="EM7" s="16"/>
      <c r="EN7" s="16"/>
      <c r="EO7" s="16"/>
      <c r="EP7" s="16"/>
      <c r="EQ7" s="16"/>
      <c r="ER7" s="16"/>
      <c r="ES7" s="16"/>
      <c r="ET7" s="16"/>
      <c r="EU7" s="16"/>
      <c r="EV7" s="16"/>
      <c r="EW7" s="11" t="str">
        <f t="shared" si="59"/>
        <v/>
      </c>
      <c r="EX7" s="11" t="str">
        <f t="shared" si="60"/>
        <v/>
      </c>
      <c r="EY7" s="11" t="str">
        <f t="shared" si="61"/>
        <v/>
      </c>
      <c r="EZ7" s="11" t="str">
        <f t="shared" si="62"/>
        <v/>
      </c>
      <c r="FA7" s="11" t="str">
        <f t="shared" si="63"/>
        <v/>
      </c>
      <c r="FB7" s="11" t="str">
        <f t="shared" si="64"/>
        <v/>
      </c>
      <c r="FC7" s="11" t="str">
        <f t="shared" si="65"/>
        <v/>
      </c>
      <c r="FD7" s="11" t="str">
        <f t="shared" si="66"/>
        <v/>
      </c>
      <c r="FE7" s="11" t="str">
        <f t="shared" si="67"/>
        <v/>
      </c>
      <c r="FF7" s="11" t="str">
        <f t="shared" si="68"/>
        <v/>
      </c>
      <c r="FG7" s="11" t="str">
        <f t="shared" si="69"/>
        <v/>
      </c>
      <c r="FH7" s="11" t="str">
        <f t="shared" si="70"/>
        <v/>
      </c>
      <c r="FI7" s="11" t="str">
        <f t="shared" si="71"/>
        <v/>
      </c>
      <c r="FJ7" s="11" t="str">
        <f t="shared" si="72"/>
        <v/>
      </c>
      <c r="FK7" s="15"/>
      <c r="FL7" s="15"/>
      <c r="FM7" s="15"/>
      <c r="FN7" s="15"/>
      <c r="FO7" s="15"/>
      <c r="FP7" s="15"/>
      <c r="FQ7" s="15"/>
      <c r="FR7" s="15"/>
      <c r="FS7" s="15"/>
      <c r="FT7" s="15"/>
      <c r="FU7" s="15"/>
      <c r="FV7" s="15"/>
      <c r="FW7" s="15"/>
      <c r="FX7" s="15"/>
      <c r="FY7" s="15"/>
      <c r="FZ7" s="15"/>
      <c r="GA7" s="15"/>
      <c r="GB7" s="15"/>
      <c r="GC7" s="15"/>
      <c r="GD7" s="15"/>
      <c r="GE7" s="36" t="str">
        <f t="shared" si="73"/>
        <v/>
      </c>
      <c r="GF7" s="36" t="str">
        <f t="shared" si="74"/>
        <v/>
      </c>
      <c r="GG7" s="36" t="str">
        <f t="shared" si="75"/>
        <v/>
      </c>
      <c r="GH7" s="36" t="str">
        <f t="shared" si="76"/>
        <v/>
      </c>
      <c r="GI7" s="36" t="str">
        <f t="shared" si="77"/>
        <v/>
      </c>
      <c r="GJ7" s="36" t="str">
        <f t="shared" si="78"/>
        <v/>
      </c>
      <c r="GK7" s="36" t="str">
        <f t="shared" si="79"/>
        <v/>
      </c>
      <c r="GL7" s="36" t="str">
        <f t="shared" si="80"/>
        <v/>
      </c>
      <c r="GM7" s="36" t="str">
        <f t="shared" si="81"/>
        <v/>
      </c>
      <c r="GN7" s="36" t="str">
        <f t="shared" si="82"/>
        <v/>
      </c>
      <c r="GO7" s="36" t="str">
        <f t="shared" si="83"/>
        <v/>
      </c>
      <c r="GP7" s="36" t="str">
        <f t="shared" si="84"/>
        <v/>
      </c>
      <c r="GQ7" s="36" t="str">
        <f t="shared" si="85"/>
        <v/>
      </c>
      <c r="GR7" s="36" t="str">
        <f t="shared" si="86"/>
        <v/>
      </c>
      <c r="GS7" s="16"/>
      <c r="GT7" s="16"/>
      <c r="GU7" s="16"/>
      <c r="GV7" s="16"/>
      <c r="GW7" s="16"/>
      <c r="GX7" s="16"/>
      <c r="GY7" s="16"/>
      <c r="GZ7" s="16"/>
      <c r="HA7" s="16"/>
      <c r="HB7" s="16"/>
      <c r="HC7" s="16"/>
      <c r="HD7" s="16"/>
      <c r="HE7" s="16"/>
      <c r="HF7" s="16"/>
      <c r="HG7" s="16"/>
      <c r="HH7" s="16"/>
      <c r="HI7" s="16"/>
      <c r="HJ7" s="16"/>
      <c r="HK7" s="16"/>
      <c r="HL7" s="16"/>
      <c r="HM7" s="11" t="str">
        <f t="shared" si="87"/>
        <v/>
      </c>
      <c r="HN7" s="11" t="str">
        <f t="shared" si="88"/>
        <v/>
      </c>
      <c r="HO7" s="11" t="str">
        <f t="shared" si="89"/>
        <v/>
      </c>
      <c r="HP7" s="11" t="str">
        <f t="shared" si="90"/>
        <v/>
      </c>
      <c r="HQ7" s="11" t="str">
        <f t="shared" si="91"/>
        <v/>
      </c>
      <c r="HR7" s="11" t="str">
        <f t="shared" si="92"/>
        <v/>
      </c>
      <c r="HS7" s="11" t="str">
        <f t="shared" si="93"/>
        <v/>
      </c>
      <c r="HT7" s="11" t="str">
        <f t="shared" si="94"/>
        <v/>
      </c>
      <c r="HU7" s="11" t="str">
        <f t="shared" si="95"/>
        <v/>
      </c>
      <c r="HV7" s="11" t="str">
        <f t="shared" si="96"/>
        <v/>
      </c>
      <c r="HW7" s="11" t="str">
        <f t="shared" si="97"/>
        <v/>
      </c>
      <c r="HX7" s="11" t="str">
        <f t="shared" si="98"/>
        <v/>
      </c>
      <c r="HY7" s="11" t="str">
        <f t="shared" si="99"/>
        <v/>
      </c>
      <c r="HZ7" s="11" t="str">
        <f t="shared" si="100"/>
        <v/>
      </c>
      <c r="IA7" s="15"/>
      <c r="IB7" s="15"/>
      <c r="IC7" s="15"/>
      <c r="ID7" s="15"/>
      <c r="IE7" s="15"/>
      <c r="IF7" s="15"/>
      <c r="IG7" s="15"/>
      <c r="IH7" s="15"/>
      <c r="II7" s="15"/>
      <c r="IJ7" s="15"/>
      <c r="IK7" s="15"/>
      <c r="IL7" s="15"/>
      <c r="IM7" s="15"/>
      <c r="IN7" s="15"/>
      <c r="IO7" s="15"/>
      <c r="IP7" s="15"/>
      <c r="IQ7" s="15"/>
      <c r="IR7" s="15"/>
      <c r="IS7" s="15"/>
      <c r="IT7" s="15"/>
      <c r="IU7" s="36" t="str">
        <f t="shared" si="101"/>
        <v/>
      </c>
      <c r="IV7" s="36" t="str">
        <f t="shared" si="102"/>
        <v/>
      </c>
      <c r="IW7" s="36" t="str">
        <f t="shared" si="103"/>
        <v/>
      </c>
      <c r="IX7" s="36" t="str">
        <f t="shared" si="104"/>
        <v/>
      </c>
      <c r="IY7" s="36" t="str">
        <f t="shared" si="105"/>
        <v/>
      </c>
      <c r="IZ7" s="36" t="str">
        <f t="shared" si="106"/>
        <v/>
      </c>
      <c r="JA7" s="36" t="str">
        <f t="shared" si="107"/>
        <v/>
      </c>
      <c r="JB7" s="36" t="str">
        <f t="shared" si="108"/>
        <v/>
      </c>
      <c r="JC7" s="36" t="str">
        <f t="shared" si="109"/>
        <v/>
      </c>
      <c r="JD7" s="36" t="str">
        <f t="shared" si="110"/>
        <v/>
      </c>
      <c r="JE7" s="36" t="str">
        <f t="shared" si="111"/>
        <v/>
      </c>
      <c r="JF7" s="36" t="str">
        <f t="shared" si="112"/>
        <v/>
      </c>
      <c r="JG7" s="36" t="str">
        <f t="shared" si="113"/>
        <v/>
      </c>
      <c r="JH7" s="36" t="str">
        <f t="shared" si="114"/>
        <v/>
      </c>
      <c r="JI7" s="16"/>
      <c r="JJ7" s="16"/>
      <c r="JK7" s="16"/>
      <c r="JL7" s="16"/>
      <c r="JM7" s="16"/>
      <c r="JN7" s="16"/>
      <c r="JO7" s="16"/>
      <c r="JP7" s="16"/>
      <c r="JQ7" s="16"/>
      <c r="JR7" s="16"/>
      <c r="JS7" s="16"/>
      <c r="JT7" s="16"/>
      <c r="JU7" s="16"/>
      <c r="JV7" s="16"/>
      <c r="JW7" s="16"/>
      <c r="JX7" s="16"/>
      <c r="JY7" s="16"/>
      <c r="JZ7" s="16"/>
      <c r="KA7" s="16"/>
      <c r="KB7" s="16"/>
      <c r="KC7" s="11" t="str">
        <f t="shared" si="115"/>
        <v/>
      </c>
      <c r="KD7" s="11" t="str">
        <f t="shared" si="116"/>
        <v/>
      </c>
      <c r="KE7" s="11" t="str">
        <f t="shared" si="117"/>
        <v/>
      </c>
      <c r="KF7" s="11" t="str">
        <f t="shared" si="118"/>
        <v/>
      </c>
      <c r="KG7" s="11" t="str">
        <f t="shared" si="119"/>
        <v/>
      </c>
      <c r="KH7" s="11" t="str">
        <f t="shared" si="120"/>
        <v/>
      </c>
      <c r="KI7" s="11" t="str">
        <f t="shared" si="121"/>
        <v/>
      </c>
      <c r="KJ7" s="11" t="str">
        <f t="shared" si="122"/>
        <v/>
      </c>
      <c r="KK7" s="11" t="str">
        <f t="shared" si="123"/>
        <v/>
      </c>
      <c r="KL7" s="11" t="str">
        <f t="shared" si="124"/>
        <v/>
      </c>
      <c r="KM7" s="11" t="str">
        <f t="shared" si="125"/>
        <v/>
      </c>
      <c r="KN7" s="11" t="str">
        <f t="shared" si="126"/>
        <v/>
      </c>
      <c r="KO7" s="11" t="str">
        <f t="shared" si="127"/>
        <v/>
      </c>
      <c r="KP7" s="11" t="str">
        <f t="shared" si="128"/>
        <v/>
      </c>
      <c r="KQ7" s="15"/>
      <c r="KR7" s="15"/>
      <c r="KS7" s="15"/>
      <c r="KT7" s="15"/>
      <c r="KU7" s="15"/>
      <c r="KV7" s="15"/>
      <c r="KW7" s="15"/>
      <c r="KX7" s="15"/>
      <c r="KY7" s="15"/>
      <c r="KZ7" s="15"/>
      <c r="LA7" s="15"/>
      <c r="LB7" s="15"/>
      <c r="LC7" s="15"/>
      <c r="LD7" s="15"/>
      <c r="LE7" s="15"/>
      <c r="LF7" s="15"/>
      <c r="LG7" s="15"/>
      <c r="LH7" s="15"/>
      <c r="LI7" s="15"/>
      <c r="LJ7" s="15"/>
      <c r="LK7" s="36" t="str">
        <f t="shared" si="129"/>
        <v/>
      </c>
      <c r="LL7" s="36" t="str">
        <f t="shared" si="130"/>
        <v/>
      </c>
      <c r="LM7" s="36" t="str">
        <f t="shared" si="131"/>
        <v/>
      </c>
      <c r="LN7" s="36" t="str">
        <f t="shared" si="132"/>
        <v/>
      </c>
      <c r="LO7" s="36" t="str">
        <f t="shared" si="133"/>
        <v/>
      </c>
      <c r="LP7" s="36" t="str">
        <f t="shared" si="134"/>
        <v/>
      </c>
      <c r="LQ7" s="36" t="str">
        <f t="shared" si="135"/>
        <v/>
      </c>
      <c r="LR7" s="36" t="str">
        <f t="shared" si="136"/>
        <v/>
      </c>
      <c r="LS7" s="36" t="str">
        <f t="shared" si="137"/>
        <v/>
      </c>
      <c r="LT7" s="36" t="str">
        <f t="shared" si="138"/>
        <v/>
      </c>
      <c r="LU7" s="36" t="str">
        <f t="shared" si="139"/>
        <v/>
      </c>
      <c r="LV7" s="36" t="str">
        <f t="shared" si="140"/>
        <v/>
      </c>
      <c r="LW7" s="36" t="str">
        <f t="shared" si="141"/>
        <v/>
      </c>
      <c r="LX7" s="36" t="str">
        <f t="shared" si="142"/>
        <v/>
      </c>
      <c r="LY7" s="16"/>
      <c r="LZ7" s="16"/>
      <c r="MA7" s="16"/>
      <c r="MB7" s="16"/>
      <c r="MC7" s="16"/>
      <c r="MD7" s="16"/>
      <c r="ME7" s="16"/>
      <c r="MF7" s="16"/>
      <c r="MG7" s="16"/>
      <c r="MH7" s="16"/>
      <c r="MI7" s="16"/>
      <c r="MJ7" s="16"/>
      <c r="MK7" s="16"/>
      <c r="ML7" s="16"/>
      <c r="MM7" s="16"/>
      <c r="MN7" s="16"/>
      <c r="MO7" s="16"/>
      <c r="MP7" s="16"/>
      <c r="MQ7" s="16"/>
      <c r="MR7" s="16"/>
      <c r="MS7" s="11" t="str">
        <f t="shared" si="143"/>
        <v/>
      </c>
      <c r="MT7" s="11" t="str">
        <f t="shared" si="144"/>
        <v/>
      </c>
      <c r="MU7" s="11" t="str">
        <f t="shared" si="145"/>
        <v/>
      </c>
      <c r="MV7" s="11" t="str">
        <f t="shared" si="146"/>
        <v/>
      </c>
      <c r="MW7" s="11" t="str">
        <f t="shared" si="147"/>
        <v/>
      </c>
      <c r="MX7" s="11" t="str">
        <f t="shared" si="148"/>
        <v/>
      </c>
      <c r="MY7" s="11" t="str">
        <f t="shared" si="149"/>
        <v/>
      </c>
      <c r="MZ7" s="11" t="str">
        <f t="shared" si="150"/>
        <v/>
      </c>
      <c r="NA7" s="11" t="str">
        <f t="shared" si="151"/>
        <v/>
      </c>
      <c r="NB7" s="11" t="str">
        <f t="shared" si="152"/>
        <v/>
      </c>
      <c r="NC7" s="11" t="str">
        <f t="shared" si="153"/>
        <v/>
      </c>
      <c r="ND7" s="11" t="str">
        <f t="shared" si="154"/>
        <v/>
      </c>
      <c r="NE7" s="11" t="str">
        <f t="shared" si="155"/>
        <v/>
      </c>
      <c r="NF7" s="11" t="str">
        <f t="shared" si="156"/>
        <v/>
      </c>
      <c r="NG7" s="15"/>
      <c r="NH7" s="15"/>
      <c r="NI7" s="15"/>
      <c r="NJ7" s="15"/>
      <c r="NK7" s="15"/>
      <c r="NL7" s="15"/>
      <c r="NM7" s="15"/>
      <c r="NN7" s="15"/>
      <c r="NO7" s="15"/>
      <c r="NP7" s="15"/>
      <c r="NQ7" s="15"/>
      <c r="NR7" s="15"/>
      <c r="NS7" s="15"/>
      <c r="NT7" s="15"/>
      <c r="NU7" s="15"/>
      <c r="NV7" s="15"/>
      <c r="NW7" s="15"/>
      <c r="NX7" s="15"/>
      <c r="NY7" s="15"/>
      <c r="NZ7" s="15"/>
      <c r="OA7" s="36" t="str">
        <f t="shared" si="157"/>
        <v/>
      </c>
      <c r="OB7" s="36" t="str">
        <f t="shared" si="158"/>
        <v/>
      </c>
      <c r="OC7" s="36" t="str">
        <f t="shared" si="159"/>
        <v/>
      </c>
      <c r="OD7" s="36" t="str">
        <f t="shared" si="160"/>
        <v/>
      </c>
      <c r="OE7" s="36" t="str">
        <f t="shared" si="161"/>
        <v/>
      </c>
      <c r="OF7" s="36" t="str">
        <f t="shared" si="162"/>
        <v/>
      </c>
      <c r="OG7" s="36" t="str">
        <f t="shared" si="163"/>
        <v/>
      </c>
      <c r="OH7" s="36" t="str">
        <f t="shared" si="164"/>
        <v/>
      </c>
      <c r="OI7" s="36" t="str">
        <f t="shared" si="165"/>
        <v/>
      </c>
      <c r="OJ7" s="36" t="str">
        <f t="shared" si="166"/>
        <v/>
      </c>
      <c r="OK7" s="36" t="str">
        <f t="shared" si="167"/>
        <v/>
      </c>
      <c r="OL7" s="36" t="str">
        <f t="shared" si="168"/>
        <v/>
      </c>
      <c r="OM7" s="36" t="str">
        <f t="shared" si="169"/>
        <v/>
      </c>
      <c r="ON7" s="36" t="str">
        <f t="shared" si="170"/>
        <v/>
      </c>
      <c r="OO7" s="16"/>
      <c r="OP7" s="16"/>
      <c r="OQ7" s="16"/>
      <c r="OR7" s="16"/>
      <c r="OS7" s="16"/>
      <c r="OT7" s="16"/>
      <c r="OU7" s="16"/>
      <c r="OV7" s="16"/>
      <c r="OW7" s="16"/>
      <c r="OX7" s="16"/>
      <c r="OY7" s="16"/>
      <c r="OZ7" s="16"/>
      <c r="PA7" s="16"/>
      <c r="PB7" s="16"/>
      <c r="PC7" s="16"/>
      <c r="PD7" s="16"/>
      <c r="PE7" s="16"/>
      <c r="PF7" s="16"/>
      <c r="PG7" s="16"/>
      <c r="PH7" s="16"/>
      <c r="PI7" s="11" t="str">
        <f t="shared" si="171"/>
        <v/>
      </c>
      <c r="PJ7" s="11" t="str">
        <f t="shared" si="172"/>
        <v/>
      </c>
      <c r="PK7" s="11" t="str">
        <f t="shared" si="173"/>
        <v/>
      </c>
      <c r="PL7" s="11" t="str">
        <f t="shared" si="174"/>
        <v/>
      </c>
      <c r="PM7" s="11" t="str">
        <f t="shared" si="175"/>
        <v/>
      </c>
      <c r="PN7" s="11" t="str">
        <f t="shared" si="176"/>
        <v/>
      </c>
      <c r="PO7" s="11" t="str">
        <f t="shared" si="177"/>
        <v/>
      </c>
      <c r="PP7" s="11" t="str">
        <f t="shared" si="178"/>
        <v/>
      </c>
      <c r="PQ7" s="11" t="str">
        <f t="shared" si="179"/>
        <v/>
      </c>
      <c r="PR7" s="11" t="str">
        <f t="shared" si="180"/>
        <v/>
      </c>
      <c r="PS7" s="11" t="str">
        <f t="shared" si="181"/>
        <v/>
      </c>
      <c r="PT7" s="11" t="str">
        <f t="shared" si="182"/>
        <v/>
      </c>
      <c r="PU7" s="11" t="str">
        <f t="shared" si="183"/>
        <v/>
      </c>
      <c r="PV7" s="11" t="str">
        <f t="shared" si="184"/>
        <v/>
      </c>
      <c r="PW7" s="15"/>
      <c r="PX7" s="15"/>
      <c r="PY7" s="15"/>
      <c r="PZ7" s="15"/>
      <c r="QA7" s="15"/>
      <c r="QB7" s="15"/>
      <c r="QC7" s="15"/>
      <c r="QD7" s="15"/>
      <c r="QE7" s="15"/>
      <c r="QF7" s="15"/>
      <c r="QG7" s="15"/>
      <c r="QH7" s="15"/>
      <c r="QI7" s="15"/>
      <c r="QJ7" s="15"/>
      <c r="QK7" s="15"/>
      <c r="QL7" s="15"/>
      <c r="QM7" s="15"/>
      <c r="QN7" s="15"/>
      <c r="QO7" s="15"/>
      <c r="QP7" s="15"/>
      <c r="QQ7" s="36" t="str">
        <f t="shared" si="185"/>
        <v/>
      </c>
      <c r="QR7" s="36" t="str">
        <f t="shared" si="186"/>
        <v/>
      </c>
      <c r="QS7" s="36" t="str">
        <f t="shared" si="187"/>
        <v/>
      </c>
      <c r="QT7" s="36" t="str">
        <f t="shared" si="188"/>
        <v/>
      </c>
      <c r="QU7" s="36" t="str">
        <f t="shared" si="189"/>
        <v/>
      </c>
      <c r="QV7" s="36" t="str">
        <f t="shared" si="190"/>
        <v/>
      </c>
      <c r="QW7" s="36" t="str">
        <f t="shared" si="191"/>
        <v/>
      </c>
      <c r="QX7" s="36" t="str">
        <f t="shared" si="192"/>
        <v/>
      </c>
      <c r="QY7" s="36" t="str">
        <f t="shared" si="193"/>
        <v/>
      </c>
      <c r="QZ7" s="36" t="str">
        <f t="shared" si="194"/>
        <v/>
      </c>
      <c r="RA7" s="36" t="str">
        <f t="shared" si="195"/>
        <v/>
      </c>
      <c r="RB7" s="36" t="str">
        <f t="shared" si="196"/>
        <v/>
      </c>
      <c r="RC7" s="36" t="str">
        <f t="shared" si="197"/>
        <v/>
      </c>
      <c r="RD7" s="36" t="str">
        <f t="shared" si="198"/>
        <v/>
      </c>
      <c r="RE7" s="16"/>
      <c r="RF7" s="16"/>
      <c r="RG7" s="16"/>
      <c r="RH7" s="16"/>
      <c r="RI7" s="16"/>
      <c r="RJ7" s="16"/>
      <c r="RK7" s="16"/>
      <c r="RL7" s="16"/>
      <c r="RM7" s="16"/>
      <c r="RN7" s="16"/>
      <c r="RO7" s="16"/>
      <c r="RP7" s="16"/>
      <c r="RQ7" s="16"/>
      <c r="RR7" s="16"/>
      <c r="RS7" s="16"/>
      <c r="RT7" s="16"/>
      <c r="RU7" s="16"/>
      <c r="RV7" s="16"/>
      <c r="RW7" s="16"/>
      <c r="RX7" s="16"/>
      <c r="RY7" s="11" t="str">
        <f t="shared" si="199"/>
        <v/>
      </c>
      <c r="RZ7" s="11" t="str">
        <f t="shared" si="200"/>
        <v/>
      </c>
      <c r="SA7" s="11" t="str">
        <f t="shared" si="201"/>
        <v/>
      </c>
      <c r="SB7" s="11" t="str">
        <f t="shared" si="202"/>
        <v/>
      </c>
      <c r="SC7" s="11" t="str">
        <f t="shared" si="203"/>
        <v/>
      </c>
      <c r="SD7" s="11" t="str">
        <f t="shared" si="204"/>
        <v/>
      </c>
      <c r="SE7" s="11" t="str">
        <f t="shared" si="205"/>
        <v/>
      </c>
      <c r="SF7" s="11" t="str">
        <f t="shared" si="206"/>
        <v/>
      </c>
      <c r="SG7" s="11" t="str">
        <f t="shared" si="207"/>
        <v/>
      </c>
      <c r="SH7" s="11" t="str">
        <f t="shared" si="208"/>
        <v/>
      </c>
      <c r="SI7" s="11" t="str">
        <f t="shared" si="209"/>
        <v/>
      </c>
      <c r="SJ7" s="11" t="str">
        <f t="shared" si="210"/>
        <v/>
      </c>
      <c r="SK7" s="11" t="str">
        <f t="shared" si="211"/>
        <v/>
      </c>
      <c r="SL7" s="11" t="str">
        <f t="shared" si="212"/>
        <v/>
      </c>
      <c r="SM7" s="15"/>
      <c r="SN7" s="15"/>
      <c r="SO7" s="15"/>
      <c r="SP7" s="15"/>
      <c r="SQ7" s="15"/>
      <c r="SR7" s="15"/>
      <c r="SS7" s="15"/>
      <c r="ST7" s="15"/>
      <c r="SU7" s="15"/>
      <c r="SV7" s="15"/>
      <c r="SW7" s="15"/>
      <c r="SX7" s="15"/>
      <c r="SY7" s="15"/>
      <c r="SZ7" s="15"/>
      <c r="TA7" s="15"/>
      <c r="TB7" s="15"/>
      <c r="TC7" s="15"/>
      <c r="TD7" s="15"/>
      <c r="TE7" s="15"/>
      <c r="TF7" s="15"/>
      <c r="TG7" s="36" t="str">
        <f t="shared" si="213"/>
        <v/>
      </c>
      <c r="TH7" s="36" t="str">
        <f t="shared" si="214"/>
        <v/>
      </c>
      <c r="TI7" s="36" t="str">
        <f t="shared" si="215"/>
        <v/>
      </c>
      <c r="TJ7" s="36" t="str">
        <f t="shared" si="216"/>
        <v/>
      </c>
      <c r="TK7" s="36" t="str">
        <f t="shared" si="217"/>
        <v/>
      </c>
      <c r="TL7" s="36" t="str">
        <f t="shared" si="218"/>
        <v/>
      </c>
      <c r="TM7" s="36" t="str">
        <f t="shared" si="219"/>
        <v/>
      </c>
      <c r="TN7" s="36" t="str">
        <f t="shared" si="220"/>
        <v/>
      </c>
      <c r="TO7" s="36" t="str">
        <f t="shared" si="221"/>
        <v/>
      </c>
      <c r="TP7" s="36" t="str">
        <f t="shared" si="222"/>
        <v/>
      </c>
      <c r="TQ7" s="36" t="str">
        <f t="shared" si="223"/>
        <v/>
      </c>
      <c r="TR7" s="36" t="str">
        <f t="shared" si="224"/>
        <v/>
      </c>
      <c r="TS7" s="36" t="str">
        <f t="shared" si="225"/>
        <v/>
      </c>
      <c r="TT7" s="36" t="str">
        <f t="shared" si="226"/>
        <v/>
      </c>
      <c r="TU7" s="16"/>
      <c r="TV7" s="16"/>
      <c r="TW7" s="16"/>
      <c r="TX7" s="16"/>
      <c r="TY7" s="16"/>
      <c r="TZ7" s="16"/>
      <c r="UA7" s="16"/>
      <c r="UB7" s="16"/>
      <c r="UC7" s="16"/>
      <c r="UD7" s="16"/>
      <c r="UE7" s="16"/>
      <c r="UF7" s="16"/>
      <c r="UG7" s="16"/>
      <c r="UH7" s="16"/>
      <c r="UI7" s="16"/>
      <c r="UJ7" s="16"/>
      <c r="UK7" s="16"/>
      <c r="UL7" s="16"/>
      <c r="UM7" s="16"/>
      <c r="UN7" s="16"/>
      <c r="UO7" s="11" t="str">
        <f t="shared" si="227"/>
        <v/>
      </c>
      <c r="UP7" s="11" t="str">
        <f t="shared" si="228"/>
        <v/>
      </c>
      <c r="UQ7" s="11" t="str">
        <f t="shared" si="229"/>
        <v/>
      </c>
      <c r="UR7" s="11" t="str">
        <f t="shared" si="230"/>
        <v/>
      </c>
      <c r="US7" s="11" t="str">
        <f t="shared" si="231"/>
        <v/>
      </c>
      <c r="UT7" s="11" t="str">
        <f t="shared" si="232"/>
        <v/>
      </c>
      <c r="UU7" s="11" t="str">
        <f t="shared" si="233"/>
        <v/>
      </c>
      <c r="UV7" s="11" t="str">
        <f t="shared" si="234"/>
        <v/>
      </c>
      <c r="UW7" s="11" t="str">
        <f t="shared" si="235"/>
        <v/>
      </c>
      <c r="UX7" s="11" t="str">
        <f t="shared" si="236"/>
        <v/>
      </c>
      <c r="UY7" s="11" t="str">
        <f t="shared" si="237"/>
        <v/>
      </c>
      <c r="UZ7" s="11" t="str">
        <f t="shared" si="238"/>
        <v/>
      </c>
      <c r="VA7" s="11" t="str">
        <f t="shared" si="239"/>
        <v/>
      </c>
      <c r="VB7" s="11" t="str">
        <f t="shared" si="240"/>
        <v/>
      </c>
      <c r="VC7" s="15"/>
      <c r="VD7" s="15"/>
      <c r="VE7" s="15"/>
      <c r="VF7" s="15"/>
      <c r="VG7" s="15"/>
      <c r="VH7" s="15"/>
      <c r="VI7" s="15"/>
      <c r="VJ7" s="15"/>
      <c r="VK7" s="15"/>
      <c r="VL7" s="15"/>
      <c r="VM7" s="15"/>
      <c r="VN7" s="15"/>
      <c r="VO7" s="15"/>
      <c r="VP7" s="15"/>
      <c r="VQ7" s="15"/>
      <c r="VR7" s="15"/>
      <c r="VS7" s="15"/>
      <c r="VT7" s="15"/>
      <c r="VU7" s="15"/>
      <c r="VV7" s="15"/>
      <c r="VW7" s="36" t="str">
        <f t="shared" si="241"/>
        <v/>
      </c>
      <c r="VX7" s="36" t="str">
        <f t="shared" si="242"/>
        <v/>
      </c>
      <c r="VY7" s="36" t="str">
        <f t="shared" si="243"/>
        <v/>
      </c>
      <c r="VZ7" s="36" t="str">
        <f t="shared" si="244"/>
        <v/>
      </c>
      <c r="WA7" s="36" t="str">
        <f t="shared" si="245"/>
        <v/>
      </c>
      <c r="WB7" s="36" t="str">
        <f t="shared" si="246"/>
        <v/>
      </c>
      <c r="WC7" s="36" t="str">
        <f t="shared" si="247"/>
        <v/>
      </c>
      <c r="WD7" s="36" t="str">
        <f t="shared" si="248"/>
        <v/>
      </c>
      <c r="WE7" s="36" t="str">
        <f t="shared" si="249"/>
        <v/>
      </c>
      <c r="WF7" s="36" t="str">
        <f t="shared" si="250"/>
        <v/>
      </c>
      <c r="WG7" s="36" t="str">
        <f t="shared" si="251"/>
        <v/>
      </c>
      <c r="WH7" s="36" t="str">
        <f t="shared" si="252"/>
        <v/>
      </c>
      <c r="WI7" s="36" t="str">
        <f t="shared" si="253"/>
        <v/>
      </c>
      <c r="WJ7" s="36" t="str">
        <f t="shared" si="254"/>
        <v/>
      </c>
    </row>
    <row r="8" spans="1:608" x14ac:dyDescent="0.2">
      <c r="A8" s="4" t="str" cm="1">
        <f t="array" ref="A8">IF(AND(H8&lt;&gt;"",H8&lt;&gt;"No DD"),SUMPRODUCT((H$4:H$20&lt;&gt;"")*(H$4:H$20&lt;&gt;"No DD")*(E$4:E$20&gt;E8))+1,IF(H8="No DD",SUMPRODUCT((H$4:H$20="No DD")*(E$4:E$20&gt;E8))+1+SUMPRODUCT((H$4:H$20&lt;&gt;"")*(H$4:H$20&lt;&gt;"No DD")),""))</f>
        <v/>
      </c>
      <c r="B8" s="5" t="s">
        <v>122</v>
      </c>
      <c r="C8" s="4" t="s">
        <v>7</v>
      </c>
      <c r="D8" s="4" t="s">
        <v>125</v>
      </c>
      <c r="E8" s="9">
        <f t="shared" si="0"/>
        <v>59.000005900004503</v>
      </c>
      <c r="F8" s="3" t="str">
        <f t="shared" si="1"/>
        <v/>
      </c>
      <c r="G8" s="3" t="str">
        <f t="shared" si="2"/>
        <v/>
      </c>
      <c r="H8" s="32" t="str">
        <f t="shared" si="3"/>
        <v/>
      </c>
      <c r="I8" s="3" t="str">
        <f t="shared" si="4"/>
        <v/>
      </c>
      <c r="J8" s="8">
        <f t="shared" si="5"/>
        <v>45.02</v>
      </c>
      <c r="K8" s="8" t="str">
        <f t="shared" si="6"/>
        <v>2025 Nationals</v>
      </c>
      <c r="L8" s="8">
        <f>IFERROR(LARGE((AI8,AL8,AP8,BJ8,BM8,BQ8,CK8,CN8,CR8),2),0)</f>
        <v>13.98</v>
      </c>
      <c r="M8" s="8" t="str">
        <f t="shared" si="7"/>
        <v>2025 Elite Canada</v>
      </c>
      <c r="N8" s="8">
        <f t="shared" si="8"/>
        <v>0</v>
      </c>
      <c r="O8" s="11" t="str">
        <f t="shared" si="9"/>
        <v/>
      </c>
      <c r="P8" s="8" t="str">
        <f t="shared" si="10"/>
        <v/>
      </c>
      <c r="Q8" s="18">
        <v>2.2999999999999998</v>
      </c>
      <c r="R8" s="18">
        <v>2.7</v>
      </c>
      <c r="S8" s="18">
        <v>4.3</v>
      </c>
      <c r="T8" s="18">
        <v>4.68</v>
      </c>
      <c r="U8" s="18">
        <v>0</v>
      </c>
      <c r="V8" s="18">
        <v>0.75</v>
      </c>
      <c r="W8" s="18">
        <v>0.8</v>
      </c>
      <c r="X8" s="18">
        <v>1.7</v>
      </c>
      <c r="Y8" s="18">
        <v>1.3</v>
      </c>
      <c r="Z8" s="18">
        <v>0</v>
      </c>
      <c r="AA8" s="18"/>
      <c r="AB8" s="18"/>
      <c r="AC8" s="18"/>
      <c r="AD8" s="18"/>
      <c r="AE8" s="18"/>
      <c r="AF8" s="23"/>
      <c r="AG8" s="34">
        <f t="shared" si="11"/>
        <v>4.3</v>
      </c>
      <c r="AH8" s="34">
        <f t="shared" si="12"/>
        <v>4.68</v>
      </c>
      <c r="AI8" s="36">
        <f t="shared" si="13"/>
        <v>13.98</v>
      </c>
      <c r="AJ8" s="36">
        <f t="shared" si="14"/>
        <v>1.7</v>
      </c>
      <c r="AK8" s="36">
        <f t="shared" si="15"/>
        <v>1.3</v>
      </c>
      <c r="AL8" s="36">
        <f t="shared" si="16"/>
        <v>4.55</v>
      </c>
      <c r="AM8" s="36">
        <f t="shared" si="17"/>
        <v>13.98</v>
      </c>
      <c r="AN8" s="36" t="str">
        <f t="shared" si="18"/>
        <v/>
      </c>
      <c r="AO8" s="36" t="str">
        <f t="shared" si="19"/>
        <v/>
      </c>
      <c r="AP8" s="36" t="str">
        <f t="shared" si="20"/>
        <v/>
      </c>
      <c r="AQ8" s="36">
        <f t="shared" si="21"/>
        <v>13.98</v>
      </c>
      <c r="AR8" s="22">
        <v>0.8</v>
      </c>
      <c r="AS8" s="22">
        <v>0.95</v>
      </c>
      <c r="AT8" s="22">
        <v>1.7</v>
      </c>
      <c r="AU8" s="22">
        <v>1.9</v>
      </c>
      <c r="AV8" s="22">
        <v>0</v>
      </c>
      <c r="AW8" s="22">
        <v>7.7</v>
      </c>
      <c r="AX8" s="22">
        <v>9.1</v>
      </c>
      <c r="AY8" s="22">
        <v>12.8</v>
      </c>
      <c r="AZ8" s="22">
        <v>15.42</v>
      </c>
      <c r="BA8" s="22">
        <v>0</v>
      </c>
      <c r="BB8" s="22">
        <v>1.58</v>
      </c>
      <c r="BC8" s="22">
        <v>2</v>
      </c>
      <c r="BD8" s="22">
        <v>2.8</v>
      </c>
      <c r="BE8" s="22">
        <v>3.9</v>
      </c>
      <c r="BF8" s="22">
        <v>0</v>
      </c>
      <c r="BG8" s="24"/>
      <c r="BH8" s="35">
        <f t="shared" si="22"/>
        <v>1.7</v>
      </c>
      <c r="BI8" s="35">
        <f t="shared" si="23"/>
        <v>1.9</v>
      </c>
      <c r="BJ8" s="11">
        <f t="shared" si="24"/>
        <v>5.35</v>
      </c>
      <c r="BK8" s="11">
        <f t="shared" si="25"/>
        <v>12.8</v>
      </c>
      <c r="BL8" s="11">
        <f t="shared" si="26"/>
        <v>15.42</v>
      </c>
      <c r="BM8" s="11">
        <f t="shared" si="27"/>
        <v>45.02</v>
      </c>
      <c r="BN8" s="11">
        <f t="shared" si="28"/>
        <v>45.02</v>
      </c>
      <c r="BO8" s="11">
        <f t="shared" si="29"/>
        <v>2.8</v>
      </c>
      <c r="BP8" s="11">
        <f t="shared" si="30"/>
        <v>3.9</v>
      </c>
      <c r="BQ8" s="11">
        <f t="shared" si="31"/>
        <v>10.28</v>
      </c>
      <c r="BR8" s="11">
        <f t="shared" si="32"/>
        <v>55.300000000000004</v>
      </c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23"/>
      <c r="CI8" s="34" t="str">
        <f t="shared" si="33"/>
        <v/>
      </c>
      <c r="CJ8" s="34" t="str">
        <f t="shared" si="34"/>
        <v/>
      </c>
      <c r="CK8" s="36" t="str">
        <f t="shared" si="35"/>
        <v/>
      </c>
      <c r="CL8" s="36" t="str">
        <f t="shared" si="36"/>
        <v/>
      </c>
      <c r="CM8" s="36" t="str">
        <f t="shared" si="37"/>
        <v/>
      </c>
      <c r="CN8" s="36" t="str">
        <f t="shared" si="38"/>
        <v/>
      </c>
      <c r="CO8" s="36" t="str">
        <f t="shared" si="39"/>
        <v/>
      </c>
      <c r="CP8" s="36" t="str">
        <f t="shared" si="40"/>
        <v/>
      </c>
      <c r="CQ8" s="36" t="str">
        <f t="shared" si="41"/>
        <v/>
      </c>
      <c r="CR8" s="36" t="str">
        <f t="shared" si="42"/>
        <v/>
      </c>
      <c r="CS8" s="36" t="str">
        <f t="shared" si="43"/>
        <v/>
      </c>
      <c r="CT8" s="47" t="str">
        <f t="shared" si="44"/>
        <v/>
      </c>
      <c r="CU8" s="15"/>
      <c r="CV8" s="15"/>
      <c r="CW8" s="15"/>
      <c r="CX8" s="15"/>
      <c r="CY8" s="15"/>
      <c r="CZ8" s="15"/>
      <c r="DA8" s="15"/>
      <c r="DB8" s="15"/>
      <c r="DC8" s="15"/>
      <c r="DD8" s="15"/>
      <c r="DE8" s="15"/>
      <c r="DF8" s="15"/>
      <c r="DG8" s="15"/>
      <c r="DH8" s="15"/>
      <c r="DI8" s="15"/>
      <c r="DJ8" s="15"/>
      <c r="DK8" s="15"/>
      <c r="DL8" s="15"/>
      <c r="DM8" s="15"/>
      <c r="DN8" s="15"/>
      <c r="DO8" s="36" t="str">
        <f t="shared" si="45"/>
        <v/>
      </c>
      <c r="DP8" s="36" t="str">
        <f t="shared" si="46"/>
        <v/>
      </c>
      <c r="DQ8" s="36" t="str">
        <f t="shared" si="47"/>
        <v/>
      </c>
      <c r="DR8" s="36" t="str">
        <f t="shared" si="48"/>
        <v/>
      </c>
      <c r="DS8" s="36" t="str">
        <f t="shared" si="49"/>
        <v/>
      </c>
      <c r="DT8" s="36" t="str">
        <f t="shared" si="50"/>
        <v/>
      </c>
      <c r="DU8" s="36" t="str">
        <f t="shared" si="51"/>
        <v/>
      </c>
      <c r="DV8" s="36" t="str">
        <f t="shared" si="52"/>
        <v/>
      </c>
      <c r="DW8" s="36" t="str">
        <f t="shared" si="53"/>
        <v/>
      </c>
      <c r="DX8" s="36" t="str">
        <f t="shared" si="54"/>
        <v/>
      </c>
      <c r="DY8" s="36" t="str">
        <f t="shared" si="55"/>
        <v/>
      </c>
      <c r="DZ8" s="36" t="str">
        <f t="shared" si="56"/>
        <v/>
      </c>
      <c r="EA8" s="36" t="str">
        <f t="shared" si="57"/>
        <v/>
      </c>
      <c r="EB8" s="36" t="str">
        <f t="shared" si="58"/>
        <v/>
      </c>
      <c r="EC8" s="16"/>
      <c r="ED8" s="16"/>
      <c r="EE8" s="16"/>
      <c r="EF8" s="16"/>
      <c r="EG8" s="16"/>
      <c r="EH8" s="16"/>
      <c r="EI8" s="16"/>
      <c r="EJ8" s="16"/>
      <c r="EK8" s="16"/>
      <c r="EL8" s="16"/>
      <c r="EM8" s="16"/>
      <c r="EN8" s="16"/>
      <c r="EO8" s="16"/>
      <c r="EP8" s="16"/>
      <c r="EQ8" s="16"/>
      <c r="ER8" s="16"/>
      <c r="ES8" s="16"/>
      <c r="ET8" s="16"/>
      <c r="EU8" s="16"/>
      <c r="EV8" s="16"/>
      <c r="EW8" s="11" t="str">
        <f t="shared" si="59"/>
        <v/>
      </c>
      <c r="EX8" s="11" t="str">
        <f t="shared" si="60"/>
        <v/>
      </c>
      <c r="EY8" s="11" t="str">
        <f t="shared" si="61"/>
        <v/>
      </c>
      <c r="EZ8" s="11" t="str">
        <f t="shared" si="62"/>
        <v/>
      </c>
      <c r="FA8" s="11" t="str">
        <f t="shared" si="63"/>
        <v/>
      </c>
      <c r="FB8" s="11" t="str">
        <f t="shared" si="64"/>
        <v/>
      </c>
      <c r="FC8" s="11" t="str">
        <f t="shared" si="65"/>
        <v/>
      </c>
      <c r="FD8" s="11" t="str">
        <f t="shared" si="66"/>
        <v/>
      </c>
      <c r="FE8" s="11" t="str">
        <f t="shared" si="67"/>
        <v/>
      </c>
      <c r="FF8" s="11" t="str">
        <f t="shared" si="68"/>
        <v/>
      </c>
      <c r="FG8" s="11" t="str">
        <f t="shared" si="69"/>
        <v/>
      </c>
      <c r="FH8" s="11" t="str">
        <f t="shared" si="70"/>
        <v/>
      </c>
      <c r="FI8" s="11" t="str">
        <f t="shared" si="71"/>
        <v/>
      </c>
      <c r="FJ8" s="11" t="str">
        <f t="shared" si="72"/>
        <v/>
      </c>
      <c r="FK8" s="15"/>
      <c r="FL8" s="15"/>
      <c r="FM8" s="15"/>
      <c r="FN8" s="15"/>
      <c r="FO8" s="15"/>
      <c r="FP8" s="15"/>
      <c r="FQ8" s="15"/>
      <c r="FR8" s="15"/>
      <c r="FS8" s="15"/>
      <c r="FT8" s="15"/>
      <c r="FU8" s="15"/>
      <c r="FV8" s="15"/>
      <c r="FW8" s="15"/>
      <c r="FX8" s="15"/>
      <c r="FY8" s="15"/>
      <c r="FZ8" s="15"/>
      <c r="GA8" s="15"/>
      <c r="GB8" s="15"/>
      <c r="GC8" s="15"/>
      <c r="GD8" s="15"/>
      <c r="GE8" s="36" t="str">
        <f t="shared" si="73"/>
        <v/>
      </c>
      <c r="GF8" s="36" t="str">
        <f t="shared" si="74"/>
        <v/>
      </c>
      <c r="GG8" s="36" t="str">
        <f t="shared" si="75"/>
        <v/>
      </c>
      <c r="GH8" s="36" t="str">
        <f t="shared" si="76"/>
        <v/>
      </c>
      <c r="GI8" s="36" t="str">
        <f t="shared" si="77"/>
        <v/>
      </c>
      <c r="GJ8" s="36" t="str">
        <f t="shared" si="78"/>
        <v/>
      </c>
      <c r="GK8" s="36" t="str">
        <f t="shared" si="79"/>
        <v/>
      </c>
      <c r="GL8" s="36" t="str">
        <f t="shared" si="80"/>
        <v/>
      </c>
      <c r="GM8" s="36" t="str">
        <f t="shared" si="81"/>
        <v/>
      </c>
      <c r="GN8" s="36" t="str">
        <f t="shared" si="82"/>
        <v/>
      </c>
      <c r="GO8" s="36" t="str">
        <f t="shared" si="83"/>
        <v/>
      </c>
      <c r="GP8" s="36" t="str">
        <f t="shared" si="84"/>
        <v/>
      </c>
      <c r="GQ8" s="36" t="str">
        <f t="shared" si="85"/>
        <v/>
      </c>
      <c r="GR8" s="36" t="str">
        <f t="shared" si="86"/>
        <v/>
      </c>
      <c r="GS8" s="16"/>
      <c r="GT8" s="16"/>
      <c r="GU8" s="16"/>
      <c r="GV8" s="16"/>
      <c r="GW8" s="16"/>
      <c r="GX8" s="16"/>
      <c r="GY8" s="16"/>
      <c r="GZ8" s="16"/>
      <c r="HA8" s="16"/>
      <c r="HB8" s="16"/>
      <c r="HC8" s="16"/>
      <c r="HD8" s="16"/>
      <c r="HE8" s="16"/>
      <c r="HF8" s="16"/>
      <c r="HG8" s="16"/>
      <c r="HH8" s="16"/>
      <c r="HI8" s="16"/>
      <c r="HJ8" s="16"/>
      <c r="HK8" s="16"/>
      <c r="HL8" s="16"/>
      <c r="HM8" s="11" t="str">
        <f t="shared" si="87"/>
        <v/>
      </c>
      <c r="HN8" s="11" t="str">
        <f t="shared" si="88"/>
        <v/>
      </c>
      <c r="HO8" s="11" t="str">
        <f t="shared" si="89"/>
        <v/>
      </c>
      <c r="HP8" s="11" t="str">
        <f t="shared" si="90"/>
        <v/>
      </c>
      <c r="HQ8" s="11" t="str">
        <f t="shared" si="91"/>
        <v/>
      </c>
      <c r="HR8" s="11" t="str">
        <f t="shared" si="92"/>
        <v/>
      </c>
      <c r="HS8" s="11" t="str">
        <f t="shared" si="93"/>
        <v/>
      </c>
      <c r="HT8" s="11" t="str">
        <f t="shared" si="94"/>
        <v/>
      </c>
      <c r="HU8" s="11" t="str">
        <f t="shared" si="95"/>
        <v/>
      </c>
      <c r="HV8" s="11" t="str">
        <f t="shared" si="96"/>
        <v/>
      </c>
      <c r="HW8" s="11" t="str">
        <f t="shared" si="97"/>
        <v/>
      </c>
      <c r="HX8" s="11" t="str">
        <f t="shared" si="98"/>
        <v/>
      </c>
      <c r="HY8" s="11" t="str">
        <f t="shared" si="99"/>
        <v/>
      </c>
      <c r="HZ8" s="11" t="str">
        <f t="shared" si="100"/>
        <v/>
      </c>
      <c r="IA8" s="15"/>
      <c r="IB8" s="15"/>
      <c r="IC8" s="15"/>
      <c r="ID8" s="15"/>
      <c r="IE8" s="15"/>
      <c r="IF8" s="15"/>
      <c r="IG8" s="15"/>
      <c r="IH8" s="15"/>
      <c r="II8" s="15"/>
      <c r="IJ8" s="15"/>
      <c r="IK8" s="15"/>
      <c r="IL8" s="15"/>
      <c r="IM8" s="15"/>
      <c r="IN8" s="15"/>
      <c r="IO8" s="15"/>
      <c r="IP8" s="15"/>
      <c r="IQ8" s="15"/>
      <c r="IR8" s="15"/>
      <c r="IS8" s="15"/>
      <c r="IT8" s="15"/>
      <c r="IU8" s="36" t="str">
        <f t="shared" si="101"/>
        <v/>
      </c>
      <c r="IV8" s="36" t="str">
        <f t="shared" si="102"/>
        <v/>
      </c>
      <c r="IW8" s="36" t="str">
        <f t="shared" si="103"/>
        <v/>
      </c>
      <c r="IX8" s="36" t="str">
        <f t="shared" si="104"/>
        <v/>
      </c>
      <c r="IY8" s="36" t="str">
        <f t="shared" si="105"/>
        <v/>
      </c>
      <c r="IZ8" s="36" t="str">
        <f t="shared" si="106"/>
        <v/>
      </c>
      <c r="JA8" s="36" t="str">
        <f t="shared" si="107"/>
        <v/>
      </c>
      <c r="JB8" s="36" t="str">
        <f t="shared" si="108"/>
        <v/>
      </c>
      <c r="JC8" s="36" t="str">
        <f t="shared" si="109"/>
        <v/>
      </c>
      <c r="JD8" s="36" t="str">
        <f t="shared" si="110"/>
        <v/>
      </c>
      <c r="JE8" s="36" t="str">
        <f t="shared" si="111"/>
        <v/>
      </c>
      <c r="JF8" s="36" t="str">
        <f t="shared" si="112"/>
        <v/>
      </c>
      <c r="JG8" s="36" t="str">
        <f t="shared" si="113"/>
        <v/>
      </c>
      <c r="JH8" s="36" t="str">
        <f t="shared" si="114"/>
        <v/>
      </c>
      <c r="JI8" s="16"/>
      <c r="JJ8" s="16"/>
      <c r="JK8" s="16"/>
      <c r="JL8" s="16"/>
      <c r="JM8" s="16"/>
      <c r="JN8" s="16"/>
      <c r="JO8" s="16"/>
      <c r="JP8" s="16"/>
      <c r="JQ8" s="16"/>
      <c r="JR8" s="16"/>
      <c r="JS8" s="16"/>
      <c r="JT8" s="16"/>
      <c r="JU8" s="16"/>
      <c r="JV8" s="16"/>
      <c r="JW8" s="16"/>
      <c r="JX8" s="16"/>
      <c r="JY8" s="16"/>
      <c r="JZ8" s="16"/>
      <c r="KA8" s="16"/>
      <c r="KB8" s="16"/>
      <c r="KC8" s="11" t="str">
        <f t="shared" si="115"/>
        <v/>
      </c>
      <c r="KD8" s="11" t="str">
        <f t="shared" si="116"/>
        <v/>
      </c>
      <c r="KE8" s="11" t="str">
        <f t="shared" si="117"/>
        <v/>
      </c>
      <c r="KF8" s="11" t="str">
        <f t="shared" si="118"/>
        <v/>
      </c>
      <c r="KG8" s="11" t="str">
        <f t="shared" si="119"/>
        <v/>
      </c>
      <c r="KH8" s="11" t="str">
        <f t="shared" si="120"/>
        <v/>
      </c>
      <c r="KI8" s="11" t="str">
        <f t="shared" si="121"/>
        <v/>
      </c>
      <c r="KJ8" s="11" t="str">
        <f t="shared" si="122"/>
        <v/>
      </c>
      <c r="KK8" s="11" t="str">
        <f t="shared" si="123"/>
        <v/>
      </c>
      <c r="KL8" s="11" t="str">
        <f t="shared" si="124"/>
        <v/>
      </c>
      <c r="KM8" s="11" t="str">
        <f t="shared" si="125"/>
        <v/>
      </c>
      <c r="KN8" s="11" t="str">
        <f t="shared" si="126"/>
        <v/>
      </c>
      <c r="KO8" s="11" t="str">
        <f t="shared" si="127"/>
        <v/>
      </c>
      <c r="KP8" s="11" t="str">
        <f t="shared" si="128"/>
        <v/>
      </c>
      <c r="KQ8" s="15"/>
      <c r="KR8" s="15"/>
      <c r="KS8" s="15"/>
      <c r="KT8" s="15"/>
      <c r="KU8" s="15"/>
      <c r="KV8" s="15"/>
      <c r="KW8" s="15"/>
      <c r="KX8" s="15"/>
      <c r="KY8" s="15"/>
      <c r="KZ8" s="15"/>
      <c r="LA8" s="15"/>
      <c r="LB8" s="15"/>
      <c r="LC8" s="15"/>
      <c r="LD8" s="15"/>
      <c r="LE8" s="15"/>
      <c r="LF8" s="15"/>
      <c r="LG8" s="15"/>
      <c r="LH8" s="15"/>
      <c r="LI8" s="15"/>
      <c r="LJ8" s="15"/>
      <c r="LK8" s="36" t="str">
        <f t="shared" si="129"/>
        <v/>
      </c>
      <c r="LL8" s="36" t="str">
        <f t="shared" si="130"/>
        <v/>
      </c>
      <c r="LM8" s="36" t="str">
        <f t="shared" si="131"/>
        <v/>
      </c>
      <c r="LN8" s="36" t="str">
        <f t="shared" si="132"/>
        <v/>
      </c>
      <c r="LO8" s="36" t="str">
        <f t="shared" si="133"/>
        <v/>
      </c>
      <c r="LP8" s="36" t="str">
        <f t="shared" si="134"/>
        <v/>
      </c>
      <c r="LQ8" s="36" t="str">
        <f t="shared" si="135"/>
        <v/>
      </c>
      <c r="LR8" s="36" t="str">
        <f t="shared" si="136"/>
        <v/>
      </c>
      <c r="LS8" s="36" t="str">
        <f t="shared" si="137"/>
        <v/>
      </c>
      <c r="LT8" s="36" t="str">
        <f t="shared" si="138"/>
        <v/>
      </c>
      <c r="LU8" s="36" t="str">
        <f t="shared" si="139"/>
        <v/>
      </c>
      <c r="LV8" s="36" t="str">
        <f t="shared" si="140"/>
        <v/>
      </c>
      <c r="LW8" s="36" t="str">
        <f t="shared" si="141"/>
        <v/>
      </c>
      <c r="LX8" s="36" t="str">
        <f t="shared" si="142"/>
        <v/>
      </c>
      <c r="LY8" s="16"/>
      <c r="LZ8" s="16"/>
      <c r="MA8" s="16"/>
      <c r="MB8" s="16"/>
      <c r="MC8" s="16"/>
      <c r="MD8" s="16"/>
      <c r="ME8" s="16"/>
      <c r="MF8" s="16"/>
      <c r="MG8" s="16"/>
      <c r="MH8" s="16"/>
      <c r="MI8" s="16"/>
      <c r="MJ8" s="16"/>
      <c r="MK8" s="16"/>
      <c r="ML8" s="16"/>
      <c r="MM8" s="16"/>
      <c r="MN8" s="16"/>
      <c r="MO8" s="16"/>
      <c r="MP8" s="16"/>
      <c r="MQ8" s="16"/>
      <c r="MR8" s="16"/>
      <c r="MS8" s="11" t="str">
        <f t="shared" si="143"/>
        <v/>
      </c>
      <c r="MT8" s="11" t="str">
        <f t="shared" si="144"/>
        <v/>
      </c>
      <c r="MU8" s="11" t="str">
        <f t="shared" si="145"/>
        <v/>
      </c>
      <c r="MV8" s="11" t="str">
        <f t="shared" si="146"/>
        <v/>
      </c>
      <c r="MW8" s="11" t="str">
        <f t="shared" si="147"/>
        <v/>
      </c>
      <c r="MX8" s="11" t="str">
        <f t="shared" si="148"/>
        <v/>
      </c>
      <c r="MY8" s="11" t="str">
        <f t="shared" si="149"/>
        <v/>
      </c>
      <c r="MZ8" s="11" t="str">
        <f t="shared" si="150"/>
        <v/>
      </c>
      <c r="NA8" s="11" t="str">
        <f t="shared" si="151"/>
        <v/>
      </c>
      <c r="NB8" s="11" t="str">
        <f t="shared" si="152"/>
        <v/>
      </c>
      <c r="NC8" s="11" t="str">
        <f t="shared" si="153"/>
        <v/>
      </c>
      <c r="ND8" s="11" t="str">
        <f t="shared" si="154"/>
        <v/>
      </c>
      <c r="NE8" s="11" t="str">
        <f t="shared" si="155"/>
        <v/>
      </c>
      <c r="NF8" s="11" t="str">
        <f t="shared" si="156"/>
        <v/>
      </c>
      <c r="NG8" s="15"/>
      <c r="NH8" s="15"/>
      <c r="NI8" s="15"/>
      <c r="NJ8" s="15"/>
      <c r="NK8" s="15"/>
      <c r="NL8" s="15"/>
      <c r="NM8" s="15"/>
      <c r="NN8" s="15"/>
      <c r="NO8" s="15"/>
      <c r="NP8" s="15"/>
      <c r="NQ8" s="15"/>
      <c r="NR8" s="15"/>
      <c r="NS8" s="15"/>
      <c r="NT8" s="15"/>
      <c r="NU8" s="15"/>
      <c r="NV8" s="15"/>
      <c r="NW8" s="15"/>
      <c r="NX8" s="15"/>
      <c r="NY8" s="15"/>
      <c r="NZ8" s="15"/>
      <c r="OA8" s="36" t="str">
        <f t="shared" si="157"/>
        <v/>
      </c>
      <c r="OB8" s="36" t="str">
        <f t="shared" si="158"/>
        <v/>
      </c>
      <c r="OC8" s="36" t="str">
        <f t="shared" si="159"/>
        <v/>
      </c>
      <c r="OD8" s="36" t="str">
        <f t="shared" si="160"/>
        <v/>
      </c>
      <c r="OE8" s="36" t="str">
        <f t="shared" si="161"/>
        <v/>
      </c>
      <c r="OF8" s="36" t="str">
        <f t="shared" si="162"/>
        <v/>
      </c>
      <c r="OG8" s="36" t="str">
        <f t="shared" si="163"/>
        <v/>
      </c>
      <c r="OH8" s="36" t="str">
        <f t="shared" si="164"/>
        <v/>
      </c>
      <c r="OI8" s="36" t="str">
        <f t="shared" si="165"/>
        <v/>
      </c>
      <c r="OJ8" s="36" t="str">
        <f t="shared" si="166"/>
        <v/>
      </c>
      <c r="OK8" s="36" t="str">
        <f t="shared" si="167"/>
        <v/>
      </c>
      <c r="OL8" s="36" t="str">
        <f t="shared" si="168"/>
        <v/>
      </c>
      <c r="OM8" s="36" t="str">
        <f t="shared" si="169"/>
        <v/>
      </c>
      <c r="ON8" s="36" t="str">
        <f t="shared" si="170"/>
        <v/>
      </c>
      <c r="OO8" s="16"/>
      <c r="OP8" s="16"/>
      <c r="OQ8" s="16"/>
      <c r="OR8" s="16"/>
      <c r="OS8" s="16"/>
      <c r="OT8" s="16"/>
      <c r="OU8" s="16"/>
      <c r="OV8" s="16"/>
      <c r="OW8" s="16"/>
      <c r="OX8" s="16"/>
      <c r="OY8" s="16"/>
      <c r="OZ8" s="16"/>
      <c r="PA8" s="16"/>
      <c r="PB8" s="16"/>
      <c r="PC8" s="16"/>
      <c r="PD8" s="16"/>
      <c r="PE8" s="16"/>
      <c r="PF8" s="16"/>
      <c r="PG8" s="16"/>
      <c r="PH8" s="16"/>
      <c r="PI8" s="11" t="str">
        <f t="shared" si="171"/>
        <v/>
      </c>
      <c r="PJ8" s="11" t="str">
        <f t="shared" si="172"/>
        <v/>
      </c>
      <c r="PK8" s="11" t="str">
        <f t="shared" si="173"/>
        <v/>
      </c>
      <c r="PL8" s="11" t="str">
        <f t="shared" si="174"/>
        <v/>
      </c>
      <c r="PM8" s="11" t="str">
        <f t="shared" si="175"/>
        <v/>
      </c>
      <c r="PN8" s="11" t="str">
        <f t="shared" si="176"/>
        <v/>
      </c>
      <c r="PO8" s="11" t="str">
        <f t="shared" si="177"/>
        <v/>
      </c>
      <c r="PP8" s="11" t="str">
        <f t="shared" si="178"/>
        <v/>
      </c>
      <c r="PQ8" s="11" t="str">
        <f t="shared" si="179"/>
        <v/>
      </c>
      <c r="PR8" s="11" t="str">
        <f t="shared" si="180"/>
        <v/>
      </c>
      <c r="PS8" s="11" t="str">
        <f t="shared" si="181"/>
        <v/>
      </c>
      <c r="PT8" s="11" t="str">
        <f t="shared" si="182"/>
        <v/>
      </c>
      <c r="PU8" s="11" t="str">
        <f t="shared" si="183"/>
        <v/>
      </c>
      <c r="PV8" s="11" t="str">
        <f t="shared" si="184"/>
        <v/>
      </c>
      <c r="PW8" s="15"/>
      <c r="PX8" s="15"/>
      <c r="PY8" s="15"/>
      <c r="PZ8" s="15"/>
      <c r="QA8" s="15"/>
      <c r="QB8" s="15"/>
      <c r="QC8" s="15"/>
      <c r="QD8" s="15"/>
      <c r="QE8" s="15"/>
      <c r="QF8" s="15"/>
      <c r="QG8" s="15"/>
      <c r="QH8" s="15"/>
      <c r="QI8" s="15"/>
      <c r="QJ8" s="15"/>
      <c r="QK8" s="15"/>
      <c r="QL8" s="15"/>
      <c r="QM8" s="15"/>
      <c r="QN8" s="15"/>
      <c r="QO8" s="15"/>
      <c r="QP8" s="15"/>
      <c r="QQ8" s="36" t="str">
        <f t="shared" si="185"/>
        <v/>
      </c>
      <c r="QR8" s="36" t="str">
        <f t="shared" si="186"/>
        <v/>
      </c>
      <c r="QS8" s="36" t="str">
        <f t="shared" si="187"/>
        <v/>
      </c>
      <c r="QT8" s="36" t="str">
        <f t="shared" si="188"/>
        <v/>
      </c>
      <c r="QU8" s="36" t="str">
        <f t="shared" si="189"/>
        <v/>
      </c>
      <c r="QV8" s="36" t="str">
        <f t="shared" si="190"/>
        <v/>
      </c>
      <c r="QW8" s="36" t="str">
        <f t="shared" si="191"/>
        <v/>
      </c>
      <c r="QX8" s="36" t="str">
        <f t="shared" si="192"/>
        <v/>
      </c>
      <c r="QY8" s="36" t="str">
        <f t="shared" si="193"/>
        <v/>
      </c>
      <c r="QZ8" s="36" t="str">
        <f t="shared" si="194"/>
        <v/>
      </c>
      <c r="RA8" s="36" t="str">
        <f t="shared" si="195"/>
        <v/>
      </c>
      <c r="RB8" s="36" t="str">
        <f t="shared" si="196"/>
        <v/>
      </c>
      <c r="RC8" s="36" t="str">
        <f t="shared" si="197"/>
        <v/>
      </c>
      <c r="RD8" s="36" t="str">
        <f t="shared" si="198"/>
        <v/>
      </c>
      <c r="RE8" s="16"/>
      <c r="RF8" s="16"/>
      <c r="RG8" s="16"/>
      <c r="RH8" s="16"/>
      <c r="RI8" s="16"/>
      <c r="RJ8" s="16"/>
      <c r="RK8" s="16"/>
      <c r="RL8" s="16"/>
      <c r="RM8" s="16"/>
      <c r="RN8" s="16"/>
      <c r="RO8" s="16"/>
      <c r="RP8" s="16"/>
      <c r="RQ8" s="16"/>
      <c r="RR8" s="16"/>
      <c r="RS8" s="16"/>
      <c r="RT8" s="16"/>
      <c r="RU8" s="16"/>
      <c r="RV8" s="16"/>
      <c r="RW8" s="16"/>
      <c r="RX8" s="16"/>
      <c r="RY8" s="11" t="str">
        <f t="shared" si="199"/>
        <v/>
      </c>
      <c r="RZ8" s="11" t="str">
        <f t="shared" si="200"/>
        <v/>
      </c>
      <c r="SA8" s="11" t="str">
        <f t="shared" si="201"/>
        <v/>
      </c>
      <c r="SB8" s="11" t="str">
        <f t="shared" si="202"/>
        <v/>
      </c>
      <c r="SC8" s="11" t="str">
        <f t="shared" si="203"/>
        <v/>
      </c>
      <c r="SD8" s="11" t="str">
        <f t="shared" si="204"/>
        <v/>
      </c>
      <c r="SE8" s="11" t="str">
        <f t="shared" si="205"/>
        <v/>
      </c>
      <c r="SF8" s="11" t="str">
        <f t="shared" si="206"/>
        <v/>
      </c>
      <c r="SG8" s="11" t="str">
        <f t="shared" si="207"/>
        <v/>
      </c>
      <c r="SH8" s="11" t="str">
        <f t="shared" si="208"/>
        <v/>
      </c>
      <c r="SI8" s="11" t="str">
        <f t="shared" si="209"/>
        <v/>
      </c>
      <c r="SJ8" s="11" t="str">
        <f t="shared" si="210"/>
        <v/>
      </c>
      <c r="SK8" s="11" t="str">
        <f t="shared" si="211"/>
        <v/>
      </c>
      <c r="SL8" s="11" t="str">
        <f t="shared" si="212"/>
        <v/>
      </c>
      <c r="SM8" s="15"/>
      <c r="SN8" s="15"/>
      <c r="SO8" s="15"/>
      <c r="SP8" s="15"/>
      <c r="SQ8" s="15"/>
      <c r="SR8" s="15"/>
      <c r="SS8" s="15"/>
      <c r="ST8" s="15"/>
      <c r="SU8" s="15"/>
      <c r="SV8" s="15"/>
      <c r="SW8" s="15"/>
      <c r="SX8" s="15"/>
      <c r="SY8" s="15"/>
      <c r="SZ8" s="15"/>
      <c r="TA8" s="15"/>
      <c r="TB8" s="15"/>
      <c r="TC8" s="15"/>
      <c r="TD8" s="15"/>
      <c r="TE8" s="15"/>
      <c r="TF8" s="15"/>
      <c r="TG8" s="36" t="str">
        <f t="shared" si="213"/>
        <v/>
      </c>
      <c r="TH8" s="36" t="str">
        <f t="shared" si="214"/>
        <v/>
      </c>
      <c r="TI8" s="36" t="str">
        <f t="shared" si="215"/>
        <v/>
      </c>
      <c r="TJ8" s="36" t="str">
        <f t="shared" si="216"/>
        <v/>
      </c>
      <c r="TK8" s="36" t="str">
        <f t="shared" si="217"/>
        <v/>
      </c>
      <c r="TL8" s="36" t="str">
        <f t="shared" si="218"/>
        <v/>
      </c>
      <c r="TM8" s="36" t="str">
        <f t="shared" si="219"/>
        <v/>
      </c>
      <c r="TN8" s="36" t="str">
        <f t="shared" si="220"/>
        <v/>
      </c>
      <c r="TO8" s="36" t="str">
        <f t="shared" si="221"/>
        <v/>
      </c>
      <c r="TP8" s="36" t="str">
        <f t="shared" si="222"/>
        <v/>
      </c>
      <c r="TQ8" s="36" t="str">
        <f t="shared" si="223"/>
        <v/>
      </c>
      <c r="TR8" s="36" t="str">
        <f t="shared" si="224"/>
        <v/>
      </c>
      <c r="TS8" s="36" t="str">
        <f t="shared" si="225"/>
        <v/>
      </c>
      <c r="TT8" s="36" t="str">
        <f t="shared" si="226"/>
        <v/>
      </c>
      <c r="TU8" s="16"/>
      <c r="TV8" s="16"/>
      <c r="TW8" s="16"/>
      <c r="TX8" s="16"/>
      <c r="TY8" s="16"/>
      <c r="TZ8" s="16"/>
      <c r="UA8" s="16"/>
      <c r="UB8" s="16"/>
      <c r="UC8" s="16"/>
      <c r="UD8" s="16"/>
      <c r="UE8" s="16"/>
      <c r="UF8" s="16"/>
      <c r="UG8" s="16"/>
      <c r="UH8" s="16"/>
      <c r="UI8" s="16"/>
      <c r="UJ8" s="16"/>
      <c r="UK8" s="16"/>
      <c r="UL8" s="16"/>
      <c r="UM8" s="16"/>
      <c r="UN8" s="16"/>
      <c r="UO8" s="11" t="str">
        <f t="shared" si="227"/>
        <v/>
      </c>
      <c r="UP8" s="11" t="str">
        <f t="shared" si="228"/>
        <v/>
      </c>
      <c r="UQ8" s="11" t="str">
        <f t="shared" si="229"/>
        <v/>
      </c>
      <c r="UR8" s="11" t="str">
        <f t="shared" si="230"/>
        <v/>
      </c>
      <c r="US8" s="11" t="str">
        <f t="shared" si="231"/>
        <v/>
      </c>
      <c r="UT8" s="11" t="str">
        <f t="shared" si="232"/>
        <v/>
      </c>
      <c r="UU8" s="11" t="str">
        <f t="shared" si="233"/>
        <v/>
      </c>
      <c r="UV8" s="11" t="str">
        <f t="shared" si="234"/>
        <v/>
      </c>
      <c r="UW8" s="11" t="str">
        <f t="shared" si="235"/>
        <v/>
      </c>
      <c r="UX8" s="11" t="str">
        <f t="shared" si="236"/>
        <v/>
      </c>
      <c r="UY8" s="11" t="str">
        <f t="shared" si="237"/>
        <v/>
      </c>
      <c r="UZ8" s="11" t="str">
        <f t="shared" si="238"/>
        <v/>
      </c>
      <c r="VA8" s="11" t="str">
        <f t="shared" si="239"/>
        <v/>
      </c>
      <c r="VB8" s="11" t="str">
        <f t="shared" si="240"/>
        <v/>
      </c>
      <c r="VC8" s="15"/>
      <c r="VD8" s="15"/>
      <c r="VE8" s="15"/>
      <c r="VF8" s="15"/>
      <c r="VG8" s="15"/>
      <c r="VH8" s="15"/>
      <c r="VI8" s="15"/>
      <c r="VJ8" s="15"/>
      <c r="VK8" s="15"/>
      <c r="VL8" s="15"/>
      <c r="VM8" s="15"/>
      <c r="VN8" s="15"/>
      <c r="VO8" s="15"/>
      <c r="VP8" s="15"/>
      <c r="VQ8" s="15"/>
      <c r="VR8" s="15"/>
      <c r="VS8" s="15"/>
      <c r="VT8" s="15"/>
      <c r="VU8" s="15"/>
      <c r="VV8" s="15"/>
      <c r="VW8" s="36" t="str">
        <f t="shared" si="241"/>
        <v/>
      </c>
      <c r="VX8" s="36" t="str">
        <f t="shared" si="242"/>
        <v/>
      </c>
      <c r="VY8" s="36" t="str">
        <f t="shared" si="243"/>
        <v/>
      </c>
      <c r="VZ8" s="36" t="str">
        <f t="shared" si="244"/>
        <v/>
      </c>
      <c r="WA8" s="36" t="str">
        <f t="shared" si="245"/>
        <v/>
      </c>
      <c r="WB8" s="36" t="str">
        <f t="shared" si="246"/>
        <v/>
      </c>
      <c r="WC8" s="36" t="str">
        <f t="shared" si="247"/>
        <v/>
      </c>
      <c r="WD8" s="36" t="str">
        <f t="shared" si="248"/>
        <v/>
      </c>
      <c r="WE8" s="36" t="str">
        <f t="shared" si="249"/>
        <v/>
      </c>
      <c r="WF8" s="36" t="str">
        <f t="shared" si="250"/>
        <v/>
      </c>
      <c r="WG8" s="36" t="str">
        <f t="shared" si="251"/>
        <v/>
      </c>
      <c r="WH8" s="36" t="str">
        <f t="shared" si="252"/>
        <v/>
      </c>
      <c r="WI8" s="36" t="str">
        <f t="shared" si="253"/>
        <v/>
      </c>
      <c r="WJ8" s="36" t="str">
        <f t="shared" si="254"/>
        <v/>
      </c>
    </row>
    <row r="9" spans="1:608" x14ac:dyDescent="0.2">
      <c r="A9" s="4" t="str" cm="1">
        <f t="array" ref="A9">IF(AND(H9&lt;&gt;"",H9&lt;&gt;"No DD"),SUMPRODUCT((H$4:H$20&lt;&gt;"")*(H$4:H$20&lt;&gt;"No DD")*(E$4:E$20&gt;E9))+1,IF(H9="No DD",SUMPRODUCT((H$4:H$20="No DD")*(E$4:E$20&gt;E9))+1+SUMPRODUCT((H$4:H$20&lt;&gt;"")*(H$4:H$20&lt;&gt;"No DD")),""))</f>
        <v/>
      </c>
      <c r="B9" s="5" t="s">
        <v>147</v>
      </c>
      <c r="C9" s="4" t="s">
        <v>3</v>
      </c>
      <c r="D9" s="4" t="s">
        <v>146</v>
      </c>
      <c r="E9" s="9">
        <f t="shared" si="0"/>
        <v>58.670005867004285</v>
      </c>
      <c r="F9" s="3" t="str">
        <f t="shared" si="1"/>
        <v/>
      </c>
      <c r="G9" s="3" t="str">
        <f t="shared" si="2"/>
        <v/>
      </c>
      <c r="H9" s="32" t="str">
        <f t="shared" si="3"/>
        <v/>
      </c>
      <c r="I9" s="3" t="str">
        <f t="shared" si="4"/>
        <v/>
      </c>
      <c r="J9" s="8">
        <f t="shared" si="5"/>
        <v>42.870000000000005</v>
      </c>
      <c r="K9" s="8" t="str">
        <f t="shared" si="6"/>
        <v>2025 Nationals</v>
      </c>
      <c r="L9" s="8">
        <f>IFERROR(LARGE((AI9,AL9,AP9,BJ9,BM9,BQ9,CK9,CN9,CR9),2),0)</f>
        <v>15.8</v>
      </c>
      <c r="M9" s="8" t="str">
        <f t="shared" si="7"/>
        <v>2025 Nationals</v>
      </c>
      <c r="N9" s="8">
        <f t="shared" si="8"/>
        <v>0</v>
      </c>
      <c r="O9" s="11" t="str">
        <f t="shared" si="9"/>
        <v/>
      </c>
      <c r="P9" s="8" t="str">
        <f t="shared" si="10"/>
        <v/>
      </c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23"/>
      <c r="AG9" s="34" t="str">
        <f t="shared" si="11"/>
        <v/>
      </c>
      <c r="AH9" s="34" t="str">
        <f t="shared" si="12"/>
        <v/>
      </c>
      <c r="AI9" s="36" t="str">
        <f t="shared" si="13"/>
        <v/>
      </c>
      <c r="AJ9" s="36" t="str">
        <f t="shared" si="14"/>
        <v/>
      </c>
      <c r="AK9" s="36" t="str">
        <f t="shared" si="15"/>
        <v/>
      </c>
      <c r="AL9" s="36" t="str">
        <f t="shared" si="16"/>
        <v/>
      </c>
      <c r="AM9" s="36" t="str">
        <f t="shared" si="17"/>
        <v/>
      </c>
      <c r="AN9" s="36" t="str">
        <f t="shared" si="18"/>
        <v/>
      </c>
      <c r="AO9" s="36" t="str">
        <f t="shared" si="19"/>
        <v/>
      </c>
      <c r="AP9" s="36" t="str">
        <f t="shared" si="20"/>
        <v/>
      </c>
      <c r="AQ9" s="36" t="str">
        <f t="shared" si="21"/>
        <v/>
      </c>
      <c r="AR9" s="22">
        <v>6.73</v>
      </c>
      <c r="AS9" s="22">
        <v>8.3000000000000007</v>
      </c>
      <c r="AT9" s="22">
        <v>10.8</v>
      </c>
      <c r="AU9" s="22">
        <v>17.04</v>
      </c>
      <c r="AV9" s="22">
        <v>0</v>
      </c>
      <c r="AW9" s="22">
        <v>1.5</v>
      </c>
      <c r="AX9" s="22">
        <v>1.95</v>
      </c>
      <c r="AY9" s="22">
        <v>2.6</v>
      </c>
      <c r="AZ9" s="22">
        <v>2.44</v>
      </c>
      <c r="BA9" s="22">
        <v>0</v>
      </c>
      <c r="BB9" s="22">
        <v>2.8</v>
      </c>
      <c r="BC9" s="22">
        <v>3.7</v>
      </c>
      <c r="BD9" s="22">
        <v>5.4</v>
      </c>
      <c r="BE9" s="22">
        <v>3.9</v>
      </c>
      <c r="BF9" s="22">
        <v>0</v>
      </c>
      <c r="BG9" s="24"/>
      <c r="BH9" s="35">
        <f t="shared" si="22"/>
        <v>10.8</v>
      </c>
      <c r="BI9" s="35">
        <f t="shared" si="23"/>
        <v>17.04</v>
      </c>
      <c r="BJ9" s="11">
        <f t="shared" si="24"/>
        <v>42.870000000000005</v>
      </c>
      <c r="BK9" s="11">
        <f t="shared" si="25"/>
        <v>2.6</v>
      </c>
      <c r="BL9" s="11">
        <f t="shared" si="26"/>
        <v>2.44</v>
      </c>
      <c r="BM9" s="11">
        <f t="shared" si="27"/>
        <v>8.49</v>
      </c>
      <c r="BN9" s="11">
        <f t="shared" si="28"/>
        <v>42.870000000000005</v>
      </c>
      <c r="BO9" s="11">
        <f t="shared" si="29"/>
        <v>5.4</v>
      </c>
      <c r="BP9" s="11">
        <f t="shared" si="30"/>
        <v>3.9</v>
      </c>
      <c r="BQ9" s="11">
        <f t="shared" si="31"/>
        <v>15.8</v>
      </c>
      <c r="BR9" s="11">
        <f t="shared" si="32"/>
        <v>58.67</v>
      </c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23"/>
      <c r="CI9" s="34" t="str">
        <f t="shared" si="33"/>
        <v/>
      </c>
      <c r="CJ9" s="34" t="str">
        <f t="shared" si="34"/>
        <v/>
      </c>
      <c r="CK9" s="36" t="str">
        <f t="shared" si="35"/>
        <v/>
      </c>
      <c r="CL9" s="36" t="str">
        <f t="shared" si="36"/>
        <v/>
      </c>
      <c r="CM9" s="36" t="str">
        <f t="shared" si="37"/>
        <v/>
      </c>
      <c r="CN9" s="36" t="str">
        <f t="shared" si="38"/>
        <v/>
      </c>
      <c r="CO9" s="36" t="str">
        <f t="shared" si="39"/>
        <v/>
      </c>
      <c r="CP9" s="36" t="str">
        <f t="shared" si="40"/>
        <v/>
      </c>
      <c r="CQ9" s="36" t="str">
        <f t="shared" si="41"/>
        <v/>
      </c>
      <c r="CR9" s="36" t="str">
        <f t="shared" si="42"/>
        <v/>
      </c>
      <c r="CS9" s="36" t="str">
        <f t="shared" si="43"/>
        <v/>
      </c>
      <c r="CT9" s="47" t="str">
        <f t="shared" si="44"/>
        <v/>
      </c>
      <c r="CU9" s="15"/>
      <c r="CV9" s="15"/>
      <c r="CW9" s="15"/>
      <c r="CX9" s="15"/>
      <c r="CY9" s="15"/>
      <c r="CZ9" s="15"/>
      <c r="DA9" s="15"/>
      <c r="DB9" s="15"/>
      <c r="DC9" s="15"/>
      <c r="DD9" s="15"/>
      <c r="DE9" s="15"/>
      <c r="DF9" s="15"/>
      <c r="DG9" s="15"/>
      <c r="DH9" s="15"/>
      <c r="DI9" s="15"/>
      <c r="DJ9" s="15"/>
      <c r="DK9" s="15"/>
      <c r="DL9" s="15"/>
      <c r="DM9" s="15"/>
      <c r="DN9" s="15"/>
      <c r="DO9" s="36" t="str">
        <f t="shared" si="45"/>
        <v/>
      </c>
      <c r="DP9" s="36" t="str">
        <f t="shared" si="46"/>
        <v/>
      </c>
      <c r="DQ9" s="36" t="str">
        <f t="shared" si="47"/>
        <v/>
      </c>
      <c r="DR9" s="36" t="str">
        <f t="shared" si="48"/>
        <v/>
      </c>
      <c r="DS9" s="36" t="str">
        <f t="shared" si="49"/>
        <v/>
      </c>
      <c r="DT9" s="36" t="str">
        <f t="shared" si="50"/>
        <v/>
      </c>
      <c r="DU9" s="36" t="str">
        <f t="shared" si="51"/>
        <v/>
      </c>
      <c r="DV9" s="36" t="str">
        <f t="shared" si="52"/>
        <v/>
      </c>
      <c r="DW9" s="36" t="str">
        <f t="shared" si="53"/>
        <v/>
      </c>
      <c r="DX9" s="36" t="str">
        <f t="shared" si="54"/>
        <v/>
      </c>
      <c r="DY9" s="36" t="str">
        <f t="shared" si="55"/>
        <v/>
      </c>
      <c r="DZ9" s="36" t="str">
        <f t="shared" si="56"/>
        <v/>
      </c>
      <c r="EA9" s="36" t="str">
        <f t="shared" si="57"/>
        <v/>
      </c>
      <c r="EB9" s="36" t="str">
        <f t="shared" si="58"/>
        <v/>
      </c>
      <c r="EC9" s="16"/>
      <c r="ED9" s="16"/>
      <c r="EE9" s="16"/>
      <c r="EF9" s="16"/>
      <c r="EG9" s="16"/>
      <c r="EH9" s="16"/>
      <c r="EI9" s="16"/>
      <c r="EJ9" s="16"/>
      <c r="EK9" s="16"/>
      <c r="EL9" s="16"/>
      <c r="EM9" s="16"/>
      <c r="EN9" s="16"/>
      <c r="EO9" s="16"/>
      <c r="EP9" s="16"/>
      <c r="EQ9" s="16"/>
      <c r="ER9" s="16"/>
      <c r="ES9" s="16"/>
      <c r="ET9" s="16"/>
      <c r="EU9" s="16"/>
      <c r="EV9" s="16"/>
      <c r="EW9" s="11" t="str">
        <f t="shared" si="59"/>
        <v/>
      </c>
      <c r="EX9" s="11" t="str">
        <f t="shared" si="60"/>
        <v/>
      </c>
      <c r="EY9" s="11" t="str">
        <f t="shared" si="61"/>
        <v/>
      </c>
      <c r="EZ9" s="11" t="str">
        <f t="shared" si="62"/>
        <v/>
      </c>
      <c r="FA9" s="11" t="str">
        <f t="shared" si="63"/>
        <v/>
      </c>
      <c r="FB9" s="11" t="str">
        <f t="shared" si="64"/>
        <v/>
      </c>
      <c r="FC9" s="11" t="str">
        <f t="shared" si="65"/>
        <v/>
      </c>
      <c r="FD9" s="11" t="str">
        <f t="shared" si="66"/>
        <v/>
      </c>
      <c r="FE9" s="11" t="str">
        <f t="shared" si="67"/>
        <v/>
      </c>
      <c r="FF9" s="11" t="str">
        <f t="shared" si="68"/>
        <v/>
      </c>
      <c r="FG9" s="11" t="str">
        <f t="shared" si="69"/>
        <v/>
      </c>
      <c r="FH9" s="11" t="str">
        <f t="shared" si="70"/>
        <v/>
      </c>
      <c r="FI9" s="11" t="str">
        <f t="shared" si="71"/>
        <v/>
      </c>
      <c r="FJ9" s="11" t="str">
        <f t="shared" si="72"/>
        <v/>
      </c>
      <c r="FK9" s="15"/>
      <c r="FL9" s="15"/>
      <c r="FM9" s="15"/>
      <c r="FN9" s="15"/>
      <c r="FO9" s="15"/>
      <c r="FP9" s="15"/>
      <c r="FQ9" s="15"/>
      <c r="FR9" s="15"/>
      <c r="FS9" s="15"/>
      <c r="FT9" s="15"/>
      <c r="FU9" s="15"/>
      <c r="FV9" s="15"/>
      <c r="FW9" s="15"/>
      <c r="FX9" s="15"/>
      <c r="FY9" s="15"/>
      <c r="FZ9" s="15"/>
      <c r="GA9" s="15"/>
      <c r="GB9" s="15"/>
      <c r="GC9" s="15"/>
      <c r="GD9" s="15"/>
      <c r="GE9" s="36" t="str">
        <f t="shared" si="73"/>
        <v/>
      </c>
      <c r="GF9" s="36" t="str">
        <f t="shared" si="74"/>
        <v/>
      </c>
      <c r="GG9" s="36" t="str">
        <f t="shared" si="75"/>
        <v/>
      </c>
      <c r="GH9" s="36" t="str">
        <f t="shared" si="76"/>
        <v/>
      </c>
      <c r="GI9" s="36" t="str">
        <f t="shared" si="77"/>
        <v/>
      </c>
      <c r="GJ9" s="36" t="str">
        <f t="shared" si="78"/>
        <v/>
      </c>
      <c r="GK9" s="36" t="str">
        <f t="shared" si="79"/>
        <v/>
      </c>
      <c r="GL9" s="36" t="str">
        <f t="shared" si="80"/>
        <v/>
      </c>
      <c r="GM9" s="36" t="str">
        <f t="shared" si="81"/>
        <v/>
      </c>
      <c r="GN9" s="36" t="str">
        <f t="shared" si="82"/>
        <v/>
      </c>
      <c r="GO9" s="36" t="str">
        <f t="shared" si="83"/>
        <v/>
      </c>
      <c r="GP9" s="36" t="str">
        <f t="shared" si="84"/>
        <v/>
      </c>
      <c r="GQ9" s="36" t="str">
        <f t="shared" si="85"/>
        <v/>
      </c>
      <c r="GR9" s="36" t="str">
        <f t="shared" si="86"/>
        <v/>
      </c>
      <c r="GS9" s="16"/>
      <c r="GT9" s="16"/>
      <c r="GU9" s="16"/>
      <c r="GV9" s="16"/>
      <c r="GW9" s="16"/>
      <c r="GX9" s="16"/>
      <c r="GY9" s="16"/>
      <c r="GZ9" s="16"/>
      <c r="HA9" s="16"/>
      <c r="HB9" s="16"/>
      <c r="HC9" s="16"/>
      <c r="HD9" s="16"/>
      <c r="HE9" s="16"/>
      <c r="HF9" s="16"/>
      <c r="HG9" s="16"/>
      <c r="HH9" s="16"/>
      <c r="HI9" s="16"/>
      <c r="HJ9" s="16"/>
      <c r="HK9" s="16"/>
      <c r="HL9" s="16"/>
      <c r="HM9" s="11" t="str">
        <f t="shared" si="87"/>
        <v/>
      </c>
      <c r="HN9" s="11" t="str">
        <f t="shared" si="88"/>
        <v/>
      </c>
      <c r="HO9" s="11" t="str">
        <f t="shared" si="89"/>
        <v/>
      </c>
      <c r="HP9" s="11" t="str">
        <f t="shared" si="90"/>
        <v/>
      </c>
      <c r="HQ9" s="11" t="str">
        <f t="shared" si="91"/>
        <v/>
      </c>
      <c r="HR9" s="11" t="str">
        <f t="shared" si="92"/>
        <v/>
      </c>
      <c r="HS9" s="11" t="str">
        <f t="shared" si="93"/>
        <v/>
      </c>
      <c r="HT9" s="11" t="str">
        <f t="shared" si="94"/>
        <v/>
      </c>
      <c r="HU9" s="11" t="str">
        <f t="shared" si="95"/>
        <v/>
      </c>
      <c r="HV9" s="11" t="str">
        <f t="shared" si="96"/>
        <v/>
      </c>
      <c r="HW9" s="11" t="str">
        <f t="shared" si="97"/>
        <v/>
      </c>
      <c r="HX9" s="11" t="str">
        <f t="shared" si="98"/>
        <v/>
      </c>
      <c r="HY9" s="11" t="str">
        <f t="shared" si="99"/>
        <v/>
      </c>
      <c r="HZ9" s="11" t="str">
        <f t="shared" si="100"/>
        <v/>
      </c>
      <c r="IA9" s="15"/>
      <c r="IB9" s="15"/>
      <c r="IC9" s="15"/>
      <c r="ID9" s="15"/>
      <c r="IE9" s="15"/>
      <c r="IF9" s="15"/>
      <c r="IG9" s="15"/>
      <c r="IH9" s="15"/>
      <c r="II9" s="15"/>
      <c r="IJ9" s="15"/>
      <c r="IK9" s="15"/>
      <c r="IL9" s="15"/>
      <c r="IM9" s="15"/>
      <c r="IN9" s="15"/>
      <c r="IO9" s="15"/>
      <c r="IP9" s="15"/>
      <c r="IQ9" s="15"/>
      <c r="IR9" s="15"/>
      <c r="IS9" s="15"/>
      <c r="IT9" s="15"/>
      <c r="IU9" s="36" t="str">
        <f t="shared" si="101"/>
        <v/>
      </c>
      <c r="IV9" s="36" t="str">
        <f t="shared" si="102"/>
        <v/>
      </c>
      <c r="IW9" s="36" t="str">
        <f t="shared" si="103"/>
        <v/>
      </c>
      <c r="IX9" s="36" t="str">
        <f t="shared" si="104"/>
        <v/>
      </c>
      <c r="IY9" s="36" t="str">
        <f t="shared" si="105"/>
        <v/>
      </c>
      <c r="IZ9" s="36" t="str">
        <f t="shared" si="106"/>
        <v/>
      </c>
      <c r="JA9" s="36" t="str">
        <f t="shared" si="107"/>
        <v/>
      </c>
      <c r="JB9" s="36" t="str">
        <f t="shared" si="108"/>
        <v/>
      </c>
      <c r="JC9" s="36" t="str">
        <f t="shared" si="109"/>
        <v/>
      </c>
      <c r="JD9" s="36" t="str">
        <f t="shared" si="110"/>
        <v/>
      </c>
      <c r="JE9" s="36" t="str">
        <f t="shared" si="111"/>
        <v/>
      </c>
      <c r="JF9" s="36" t="str">
        <f t="shared" si="112"/>
        <v/>
      </c>
      <c r="JG9" s="36" t="str">
        <f t="shared" si="113"/>
        <v/>
      </c>
      <c r="JH9" s="36" t="str">
        <f t="shared" si="114"/>
        <v/>
      </c>
      <c r="JI9" s="16"/>
      <c r="JJ9" s="16"/>
      <c r="JK9" s="16"/>
      <c r="JL9" s="16"/>
      <c r="JM9" s="16"/>
      <c r="JN9" s="16"/>
      <c r="JO9" s="16"/>
      <c r="JP9" s="16"/>
      <c r="JQ9" s="16"/>
      <c r="JR9" s="16"/>
      <c r="JS9" s="16"/>
      <c r="JT9" s="16"/>
      <c r="JU9" s="16"/>
      <c r="JV9" s="16"/>
      <c r="JW9" s="16"/>
      <c r="JX9" s="16"/>
      <c r="JY9" s="16"/>
      <c r="JZ9" s="16"/>
      <c r="KA9" s="16"/>
      <c r="KB9" s="16"/>
      <c r="KC9" s="11" t="str">
        <f t="shared" si="115"/>
        <v/>
      </c>
      <c r="KD9" s="11" t="str">
        <f t="shared" si="116"/>
        <v/>
      </c>
      <c r="KE9" s="11" t="str">
        <f t="shared" si="117"/>
        <v/>
      </c>
      <c r="KF9" s="11" t="str">
        <f t="shared" si="118"/>
        <v/>
      </c>
      <c r="KG9" s="11" t="str">
        <f t="shared" si="119"/>
        <v/>
      </c>
      <c r="KH9" s="11" t="str">
        <f t="shared" si="120"/>
        <v/>
      </c>
      <c r="KI9" s="11" t="str">
        <f t="shared" si="121"/>
        <v/>
      </c>
      <c r="KJ9" s="11" t="str">
        <f t="shared" si="122"/>
        <v/>
      </c>
      <c r="KK9" s="11" t="str">
        <f t="shared" si="123"/>
        <v/>
      </c>
      <c r="KL9" s="11" t="str">
        <f t="shared" si="124"/>
        <v/>
      </c>
      <c r="KM9" s="11" t="str">
        <f t="shared" si="125"/>
        <v/>
      </c>
      <c r="KN9" s="11" t="str">
        <f t="shared" si="126"/>
        <v/>
      </c>
      <c r="KO9" s="11" t="str">
        <f t="shared" si="127"/>
        <v/>
      </c>
      <c r="KP9" s="11" t="str">
        <f t="shared" si="128"/>
        <v/>
      </c>
      <c r="KQ9" s="15"/>
      <c r="KR9" s="15"/>
      <c r="KS9" s="15"/>
      <c r="KT9" s="15"/>
      <c r="KU9" s="15"/>
      <c r="KV9" s="15"/>
      <c r="KW9" s="15"/>
      <c r="KX9" s="15"/>
      <c r="KY9" s="15"/>
      <c r="KZ9" s="15"/>
      <c r="LA9" s="15"/>
      <c r="LB9" s="15"/>
      <c r="LC9" s="15"/>
      <c r="LD9" s="15"/>
      <c r="LE9" s="15"/>
      <c r="LF9" s="15"/>
      <c r="LG9" s="15"/>
      <c r="LH9" s="15"/>
      <c r="LI9" s="15"/>
      <c r="LJ9" s="15"/>
      <c r="LK9" s="36" t="str">
        <f t="shared" si="129"/>
        <v/>
      </c>
      <c r="LL9" s="36" t="str">
        <f t="shared" si="130"/>
        <v/>
      </c>
      <c r="LM9" s="36" t="str">
        <f t="shared" si="131"/>
        <v/>
      </c>
      <c r="LN9" s="36" t="str">
        <f t="shared" si="132"/>
        <v/>
      </c>
      <c r="LO9" s="36" t="str">
        <f t="shared" si="133"/>
        <v/>
      </c>
      <c r="LP9" s="36" t="str">
        <f t="shared" si="134"/>
        <v/>
      </c>
      <c r="LQ9" s="36" t="str">
        <f t="shared" si="135"/>
        <v/>
      </c>
      <c r="LR9" s="36" t="str">
        <f t="shared" si="136"/>
        <v/>
      </c>
      <c r="LS9" s="36" t="str">
        <f t="shared" si="137"/>
        <v/>
      </c>
      <c r="LT9" s="36" t="str">
        <f t="shared" si="138"/>
        <v/>
      </c>
      <c r="LU9" s="36" t="str">
        <f t="shared" si="139"/>
        <v/>
      </c>
      <c r="LV9" s="36" t="str">
        <f t="shared" si="140"/>
        <v/>
      </c>
      <c r="LW9" s="36" t="str">
        <f t="shared" si="141"/>
        <v/>
      </c>
      <c r="LX9" s="36" t="str">
        <f t="shared" si="142"/>
        <v/>
      </c>
      <c r="LY9" s="16"/>
      <c r="LZ9" s="16"/>
      <c r="MA9" s="16"/>
      <c r="MB9" s="16"/>
      <c r="MC9" s="16"/>
      <c r="MD9" s="16"/>
      <c r="ME9" s="16"/>
      <c r="MF9" s="16"/>
      <c r="MG9" s="16"/>
      <c r="MH9" s="16"/>
      <c r="MI9" s="16"/>
      <c r="MJ9" s="16"/>
      <c r="MK9" s="16"/>
      <c r="ML9" s="16"/>
      <c r="MM9" s="16"/>
      <c r="MN9" s="16"/>
      <c r="MO9" s="16"/>
      <c r="MP9" s="16"/>
      <c r="MQ9" s="16"/>
      <c r="MR9" s="16"/>
      <c r="MS9" s="11" t="str">
        <f t="shared" si="143"/>
        <v/>
      </c>
      <c r="MT9" s="11" t="str">
        <f t="shared" si="144"/>
        <v/>
      </c>
      <c r="MU9" s="11" t="str">
        <f t="shared" si="145"/>
        <v/>
      </c>
      <c r="MV9" s="11" t="str">
        <f t="shared" si="146"/>
        <v/>
      </c>
      <c r="MW9" s="11" t="str">
        <f t="shared" si="147"/>
        <v/>
      </c>
      <c r="MX9" s="11" t="str">
        <f t="shared" si="148"/>
        <v/>
      </c>
      <c r="MY9" s="11" t="str">
        <f t="shared" si="149"/>
        <v/>
      </c>
      <c r="MZ9" s="11" t="str">
        <f t="shared" si="150"/>
        <v/>
      </c>
      <c r="NA9" s="11" t="str">
        <f t="shared" si="151"/>
        <v/>
      </c>
      <c r="NB9" s="11" t="str">
        <f t="shared" si="152"/>
        <v/>
      </c>
      <c r="NC9" s="11" t="str">
        <f t="shared" si="153"/>
        <v/>
      </c>
      <c r="ND9" s="11" t="str">
        <f t="shared" si="154"/>
        <v/>
      </c>
      <c r="NE9" s="11" t="str">
        <f t="shared" si="155"/>
        <v/>
      </c>
      <c r="NF9" s="11" t="str">
        <f t="shared" si="156"/>
        <v/>
      </c>
      <c r="NG9" s="15"/>
      <c r="NH9" s="15"/>
      <c r="NI9" s="15"/>
      <c r="NJ9" s="15"/>
      <c r="NK9" s="15"/>
      <c r="NL9" s="15"/>
      <c r="NM9" s="15"/>
      <c r="NN9" s="15"/>
      <c r="NO9" s="15"/>
      <c r="NP9" s="15"/>
      <c r="NQ9" s="15"/>
      <c r="NR9" s="15"/>
      <c r="NS9" s="15"/>
      <c r="NT9" s="15"/>
      <c r="NU9" s="15"/>
      <c r="NV9" s="15"/>
      <c r="NW9" s="15"/>
      <c r="NX9" s="15"/>
      <c r="NY9" s="15"/>
      <c r="NZ9" s="15"/>
      <c r="OA9" s="36" t="str">
        <f t="shared" si="157"/>
        <v/>
      </c>
      <c r="OB9" s="36" t="str">
        <f t="shared" si="158"/>
        <v/>
      </c>
      <c r="OC9" s="36" t="str">
        <f t="shared" si="159"/>
        <v/>
      </c>
      <c r="OD9" s="36" t="str">
        <f t="shared" si="160"/>
        <v/>
      </c>
      <c r="OE9" s="36" t="str">
        <f t="shared" si="161"/>
        <v/>
      </c>
      <c r="OF9" s="36" t="str">
        <f t="shared" si="162"/>
        <v/>
      </c>
      <c r="OG9" s="36" t="str">
        <f t="shared" si="163"/>
        <v/>
      </c>
      <c r="OH9" s="36" t="str">
        <f t="shared" si="164"/>
        <v/>
      </c>
      <c r="OI9" s="36" t="str">
        <f t="shared" si="165"/>
        <v/>
      </c>
      <c r="OJ9" s="36" t="str">
        <f t="shared" si="166"/>
        <v/>
      </c>
      <c r="OK9" s="36" t="str">
        <f t="shared" si="167"/>
        <v/>
      </c>
      <c r="OL9" s="36" t="str">
        <f t="shared" si="168"/>
        <v/>
      </c>
      <c r="OM9" s="36" t="str">
        <f t="shared" si="169"/>
        <v/>
      </c>
      <c r="ON9" s="36" t="str">
        <f t="shared" si="170"/>
        <v/>
      </c>
      <c r="OO9" s="16"/>
      <c r="OP9" s="16"/>
      <c r="OQ9" s="16"/>
      <c r="OR9" s="16"/>
      <c r="OS9" s="16"/>
      <c r="OT9" s="16"/>
      <c r="OU9" s="16"/>
      <c r="OV9" s="16"/>
      <c r="OW9" s="16"/>
      <c r="OX9" s="16"/>
      <c r="OY9" s="16"/>
      <c r="OZ9" s="16"/>
      <c r="PA9" s="16"/>
      <c r="PB9" s="16"/>
      <c r="PC9" s="16"/>
      <c r="PD9" s="16"/>
      <c r="PE9" s="16"/>
      <c r="PF9" s="16"/>
      <c r="PG9" s="16"/>
      <c r="PH9" s="16"/>
      <c r="PI9" s="11" t="str">
        <f t="shared" si="171"/>
        <v/>
      </c>
      <c r="PJ9" s="11" t="str">
        <f t="shared" si="172"/>
        <v/>
      </c>
      <c r="PK9" s="11" t="str">
        <f t="shared" si="173"/>
        <v/>
      </c>
      <c r="PL9" s="11" t="str">
        <f t="shared" si="174"/>
        <v/>
      </c>
      <c r="PM9" s="11" t="str">
        <f t="shared" si="175"/>
        <v/>
      </c>
      <c r="PN9" s="11" t="str">
        <f t="shared" si="176"/>
        <v/>
      </c>
      <c r="PO9" s="11" t="str">
        <f t="shared" si="177"/>
        <v/>
      </c>
      <c r="PP9" s="11" t="str">
        <f t="shared" si="178"/>
        <v/>
      </c>
      <c r="PQ9" s="11" t="str">
        <f t="shared" si="179"/>
        <v/>
      </c>
      <c r="PR9" s="11" t="str">
        <f t="shared" si="180"/>
        <v/>
      </c>
      <c r="PS9" s="11" t="str">
        <f t="shared" si="181"/>
        <v/>
      </c>
      <c r="PT9" s="11" t="str">
        <f t="shared" si="182"/>
        <v/>
      </c>
      <c r="PU9" s="11" t="str">
        <f t="shared" si="183"/>
        <v/>
      </c>
      <c r="PV9" s="11" t="str">
        <f t="shared" si="184"/>
        <v/>
      </c>
      <c r="PW9" s="15"/>
      <c r="PX9" s="15"/>
      <c r="PY9" s="15"/>
      <c r="PZ9" s="15"/>
      <c r="QA9" s="15"/>
      <c r="QB9" s="15"/>
      <c r="QC9" s="15"/>
      <c r="QD9" s="15"/>
      <c r="QE9" s="15"/>
      <c r="QF9" s="15"/>
      <c r="QG9" s="15"/>
      <c r="QH9" s="15"/>
      <c r="QI9" s="15"/>
      <c r="QJ9" s="15"/>
      <c r="QK9" s="15"/>
      <c r="QL9" s="15"/>
      <c r="QM9" s="15"/>
      <c r="QN9" s="15"/>
      <c r="QO9" s="15"/>
      <c r="QP9" s="15"/>
      <c r="QQ9" s="36" t="str">
        <f t="shared" si="185"/>
        <v/>
      </c>
      <c r="QR9" s="36" t="str">
        <f t="shared" si="186"/>
        <v/>
      </c>
      <c r="QS9" s="36" t="str">
        <f t="shared" si="187"/>
        <v/>
      </c>
      <c r="QT9" s="36" t="str">
        <f t="shared" si="188"/>
        <v/>
      </c>
      <c r="QU9" s="36" t="str">
        <f t="shared" si="189"/>
        <v/>
      </c>
      <c r="QV9" s="36" t="str">
        <f t="shared" si="190"/>
        <v/>
      </c>
      <c r="QW9" s="36" t="str">
        <f t="shared" si="191"/>
        <v/>
      </c>
      <c r="QX9" s="36" t="str">
        <f t="shared" si="192"/>
        <v/>
      </c>
      <c r="QY9" s="36" t="str">
        <f t="shared" si="193"/>
        <v/>
      </c>
      <c r="QZ9" s="36" t="str">
        <f t="shared" si="194"/>
        <v/>
      </c>
      <c r="RA9" s="36" t="str">
        <f t="shared" si="195"/>
        <v/>
      </c>
      <c r="RB9" s="36" t="str">
        <f t="shared" si="196"/>
        <v/>
      </c>
      <c r="RC9" s="36" t="str">
        <f t="shared" si="197"/>
        <v/>
      </c>
      <c r="RD9" s="36" t="str">
        <f t="shared" si="198"/>
        <v/>
      </c>
      <c r="RE9" s="16"/>
      <c r="RF9" s="16"/>
      <c r="RG9" s="16"/>
      <c r="RH9" s="16"/>
      <c r="RI9" s="16"/>
      <c r="RJ9" s="16"/>
      <c r="RK9" s="16"/>
      <c r="RL9" s="16"/>
      <c r="RM9" s="16"/>
      <c r="RN9" s="16"/>
      <c r="RO9" s="16"/>
      <c r="RP9" s="16"/>
      <c r="RQ9" s="16"/>
      <c r="RR9" s="16"/>
      <c r="RS9" s="16"/>
      <c r="RT9" s="16"/>
      <c r="RU9" s="16"/>
      <c r="RV9" s="16"/>
      <c r="RW9" s="16"/>
      <c r="RX9" s="16"/>
      <c r="RY9" s="11" t="str">
        <f t="shared" si="199"/>
        <v/>
      </c>
      <c r="RZ9" s="11" t="str">
        <f t="shared" si="200"/>
        <v/>
      </c>
      <c r="SA9" s="11" t="str">
        <f t="shared" si="201"/>
        <v/>
      </c>
      <c r="SB9" s="11" t="str">
        <f t="shared" si="202"/>
        <v/>
      </c>
      <c r="SC9" s="11" t="str">
        <f t="shared" si="203"/>
        <v/>
      </c>
      <c r="SD9" s="11" t="str">
        <f t="shared" si="204"/>
        <v/>
      </c>
      <c r="SE9" s="11" t="str">
        <f t="shared" si="205"/>
        <v/>
      </c>
      <c r="SF9" s="11" t="str">
        <f t="shared" si="206"/>
        <v/>
      </c>
      <c r="SG9" s="11" t="str">
        <f t="shared" si="207"/>
        <v/>
      </c>
      <c r="SH9" s="11" t="str">
        <f t="shared" si="208"/>
        <v/>
      </c>
      <c r="SI9" s="11" t="str">
        <f t="shared" si="209"/>
        <v/>
      </c>
      <c r="SJ9" s="11" t="str">
        <f t="shared" si="210"/>
        <v/>
      </c>
      <c r="SK9" s="11" t="str">
        <f t="shared" si="211"/>
        <v/>
      </c>
      <c r="SL9" s="11" t="str">
        <f t="shared" si="212"/>
        <v/>
      </c>
      <c r="SM9" s="15"/>
      <c r="SN9" s="15"/>
      <c r="SO9" s="15"/>
      <c r="SP9" s="15"/>
      <c r="SQ9" s="15"/>
      <c r="SR9" s="15"/>
      <c r="SS9" s="15"/>
      <c r="ST9" s="15"/>
      <c r="SU9" s="15"/>
      <c r="SV9" s="15"/>
      <c r="SW9" s="15"/>
      <c r="SX9" s="15"/>
      <c r="SY9" s="15"/>
      <c r="SZ9" s="15"/>
      <c r="TA9" s="15"/>
      <c r="TB9" s="15"/>
      <c r="TC9" s="15"/>
      <c r="TD9" s="15"/>
      <c r="TE9" s="15"/>
      <c r="TF9" s="15"/>
      <c r="TG9" s="36" t="str">
        <f t="shared" si="213"/>
        <v/>
      </c>
      <c r="TH9" s="36" t="str">
        <f t="shared" si="214"/>
        <v/>
      </c>
      <c r="TI9" s="36" t="str">
        <f t="shared" si="215"/>
        <v/>
      </c>
      <c r="TJ9" s="36" t="str">
        <f t="shared" si="216"/>
        <v/>
      </c>
      <c r="TK9" s="36" t="str">
        <f t="shared" si="217"/>
        <v/>
      </c>
      <c r="TL9" s="36" t="str">
        <f t="shared" si="218"/>
        <v/>
      </c>
      <c r="TM9" s="36" t="str">
        <f t="shared" si="219"/>
        <v/>
      </c>
      <c r="TN9" s="36" t="str">
        <f t="shared" si="220"/>
        <v/>
      </c>
      <c r="TO9" s="36" t="str">
        <f t="shared" si="221"/>
        <v/>
      </c>
      <c r="TP9" s="36" t="str">
        <f t="shared" si="222"/>
        <v/>
      </c>
      <c r="TQ9" s="36" t="str">
        <f t="shared" si="223"/>
        <v/>
      </c>
      <c r="TR9" s="36" t="str">
        <f t="shared" si="224"/>
        <v/>
      </c>
      <c r="TS9" s="36" t="str">
        <f t="shared" si="225"/>
        <v/>
      </c>
      <c r="TT9" s="36" t="str">
        <f t="shared" si="226"/>
        <v/>
      </c>
      <c r="TU9" s="16"/>
      <c r="TV9" s="16"/>
      <c r="TW9" s="16"/>
      <c r="TX9" s="16"/>
      <c r="TY9" s="16"/>
      <c r="TZ9" s="16"/>
      <c r="UA9" s="16"/>
      <c r="UB9" s="16"/>
      <c r="UC9" s="16"/>
      <c r="UD9" s="16"/>
      <c r="UE9" s="16"/>
      <c r="UF9" s="16"/>
      <c r="UG9" s="16"/>
      <c r="UH9" s="16"/>
      <c r="UI9" s="16"/>
      <c r="UJ9" s="16"/>
      <c r="UK9" s="16"/>
      <c r="UL9" s="16"/>
      <c r="UM9" s="16"/>
      <c r="UN9" s="16"/>
      <c r="UO9" s="11" t="str">
        <f t="shared" si="227"/>
        <v/>
      </c>
      <c r="UP9" s="11" t="str">
        <f t="shared" si="228"/>
        <v/>
      </c>
      <c r="UQ9" s="11" t="str">
        <f t="shared" si="229"/>
        <v/>
      </c>
      <c r="UR9" s="11" t="str">
        <f t="shared" si="230"/>
        <v/>
      </c>
      <c r="US9" s="11" t="str">
        <f t="shared" si="231"/>
        <v/>
      </c>
      <c r="UT9" s="11" t="str">
        <f t="shared" si="232"/>
        <v/>
      </c>
      <c r="UU9" s="11" t="str">
        <f t="shared" si="233"/>
        <v/>
      </c>
      <c r="UV9" s="11" t="str">
        <f t="shared" si="234"/>
        <v/>
      </c>
      <c r="UW9" s="11" t="str">
        <f t="shared" si="235"/>
        <v/>
      </c>
      <c r="UX9" s="11" t="str">
        <f t="shared" si="236"/>
        <v/>
      </c>
      <c r="UY9" s="11" t="str">
        <f t="shared" si="237"/>
        <v/>
      </c>
      <c r="UZ9" s="11" t="str">
        <f t="shared" si="238"/>
        <v/>
      </c>
      <c r="VA9" s="11" t="str">
        <f t="shared" si="239"/>
        <v/>
      </c>
      <c r="VB9" s="11" t="str">
        <f t="shared" si="240"/>
        <v/>
      </c>
      <c r="VC9" s="15"/>
      <c r="VD9" s="15"/>
      <c r="VE9" s="15"/>
      <c r="VF9" s="15"/>
      <c r="VG9" s="15"/>
      <c r="VH9" s="15"/>
      <c r="VI9" s="15"/>
      <c r="VJ9" s="15"/>
      <c r="VK9" s="15"/>
      <c r="VL9" s="15"/>
      <c r="VM9" s="15"/>
      <c r="VN9" s="15"/>
      <c r="VO9" s="15"/>
      <c r="VP9" s="15"/>
      <c r="VQ9" s="15"/>
      <c r="VR9" s="15"/>
      <c r="VS9" s="15"/>
      <c r="VT9" s="15"/>
      <c r="VU9" s="15"/>
      <c r="VV9" s="15"/>
      <c r="VW9" s="36" t="str">
        <f t="shared" si="241"/>
        <v/>
      </c>
      <c r="VX9" s="36" t="str">
        <f t="shared" si="242"/>
        <v/>
      </c>
      <c r="VY9" s="36" t="str">
        <f t="shared" si="243"/>
        <v/>
      </c>
      <c r="VZ9" s="36" t="str">
        <f t="shared" si="244"/>
        <v/>
      </c>
      <c r="WA9" s="36" t="str">
        <f t="shared" si="245"/>
        <v/>
      </c>
      <c r="WB9" s="36" t="str">
        <f t="shared" si="246"/>
        <v/>
      </c>
      <c r="WC9" s="36" t="str">
        <f t="shared" si="247"/>
        <v/>
      </c>
      <c r="WD9" s="36" t="str">
        <f t="shared" si="248"/>
        <v/>
      </c>
      <c r="WE9" s="36" t="str">
        <f t="shared" si="249"/>
        <v/>
      </c>
      <c r="WF9" s="36" t="str">
        <f t="shared" si="250"/>
        <v/>
      </c>
      <c r="WG9" s="36" t="str">
        <f t="shared" si="251"/>
        <v/>
      </c>
      <c r="WH9" s="36" t="str">
        <f t="shared" si="252"/>
        <v/>
      </c>
      <c r="WI9" s="36" t="str">
        <f t="shared" si="253"/>
        <v/>
      </c>
      <c r="WJ9" s="36" t="str">
        <f t="shared" si="254"/>
        <v/>
      </c>
    </row>
    <row r="10" spans="1:608" x14ac:dyDescent="0.2">
      <c r="A10" s="4" t="str" cm="1">
        <f t="array" ref="A10">IF(AND(H10&lt;&gt;"",H10&lt;&gt;"No DD"),SUMPRODUCT((H$4:H$20&lt;&gt;"")*(H$4:H$20&lt;&gt;"No DD")*(E$4:E$20&gt;E10))+1,IF(H10="No DD",SUMPRODUCT((H$4:H$20="No DD")*(E$4:E$20&gt;E10))+1+SUMPRODUCT((H$4:H$20&lt;&gt;"")*(H$4:H$20&lt;&gt;"No DD")),""))</f>
        <v/>
      </c>
      <c r="B10" s="5" t="s">
        <v>149</v>
      </c>
      <c r="C10" s="4" t="s">
        <v>55</v>
      </c>
      <c r="D10" s="4" t="s">
        <v>148</v>
      </c>
      <c r="E10" s="9">
        <f t="shared" si="0"/>
        <v>56.420005642003375</v>
      </c>
      <c r="F10" s="3" t="str">
        <f t="shared" si="1"/>
        <v/>
      </c>
      <c r="G10" s="3" t="str">
        <f t="shared" si="2"/>
        <v/>
      </c>
      <c r="H10" s="32" t="str">
        <f t="shared" si="3"/>
        <v/>
      </c>
      <c r="I10" s="3" t="str">
        <f t="shared" si="4"/>
        <v/>
      </c>
      <c r="J10" s="8">
        <f t="shared" si="5"/>
        <v>33.799999999999997</v>
      </c>
      <c r="K10" s="8" t="str">
        <f t="shared" si="6"/>
        <v>2025 Nationals</v>
      </c>
      <c r="L10" s="8">
        <f>IFERROR(LARGE((AI10,AL10,AP10,BJ10,BM10,BQ10,CK10,CN10,CR10),2),0)</f>
        <v>22.619999999999997</v>
      </c>
      <c r="M10" s="8" t="str">
        <f t="shared" si="7"/>
        <v>2025 Nationals</v>
      </c>
      <c r="N10" s="8">
        <f t="shared" si="8"/>
        <v>0</v>
      </c>
      <c r="O10" s="11" t="str">
        <f t="shared" si="9"/>
        <v/>
      </c>
      <c r="P10" s="8" t="str">
        <f t="shared" si="10"/>
        <v/>
      </c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23"/>
      <c r="AG10" s="34" t="str">
        <f t="shared" si="11"/>
        <v/>
      </c>
      <c r="AH10" s="34" t="str">
        <f t="shared" si="12"/>
        <v/>
      </c>
      <c r="AI10" s="36" t="str">
        <f t="shared" si="13"/>
        <v/>
      </c>
      <c r="AJ10" s="36" t="str">
        <f t="shared" si="14"/>
        <v/>
      </c>
      <c r="AK10" s="36" t="str">
        <f t="shared" si="15"/>
        <v/>
      </c>
      <c r="AL10" s="36" t="str">
        <f t="shared" si="16"/>
        <v/>
      </c>
      <c r="AM10" s="36" t="str">
        <f t="shared" si="17"/>
        <v/>
      </c>
      <c r="AN10" s="36" t="str">
        <f t="shared" si="18"/>
        <v/>
      </c>
      <c r="AO10" s="36" t="str">
        <f t="shared" si="19"/>
        <v/>
      </c>
      <c r="AP10" s="36" t="str">
        <f t="shared" si="20"/>
        <v/>
      </c>
      <c r="AQ10" s="36" t="str">
        <f t="shared" si="21"/>
        <v/>
      </c>
      <c r="AR10" s="22">
        <v>2.85</v>
      </c>
      <c r="AS10" s="22">
        <v>3.75</v>
      </c>
      <c r="AT10" s="22">
        <v>5.8</v>
      </c>
      <c r="AU10" s="22">
        <v>4.3</v>
      </c>
      <c r="AV10" s="22">
        <v>0</v>
      </c>
      <c r="AW10" s="22">
        <v>10</v>
      </c>
      <c r="AX10" s="22">
        <v>9.8000000000000007</v>
      </c>
      <c r="AY10" s="22">
        <v>0</v>
      </c>
      <c r="AZ10" s="22">
        <v>14</v>
      </c>
      <c r="BA10" s="22">
        <v>0</v>
      </c>
      <c r="BB10" s="22">
        <v>4.43</v>
      </c>
      <c r="BC10" s="22">
        <v>5.45</v>
      </c>
      <c r="BD10" s="22">
        <v>7</v>
      </c>
      <c r="BE10" s="22">
        <v>5.74</v>
      </c>
      <c r="BF10" s="22">
        <v>0</v>
      </c>
      <c r="BG10" s="24"/>
      <c r="BH10" s="35">
        <f t="shared" si="22"/>
        <v>5.8</v>
      </c>
      <c r="BI10" s="35">
        <f t="shared" si="23"/>
        <v>4.3</v>
      </c>
      <c r="BJ10" s="11">
        <f t="shared" si="24"/>
        <v>16.7</v>
      </c>
      <c r="BK10" s="11" t="str">
        <f t="shared" si="25"/>
        <v/>
      </c>
      <c r="BL10" s="11">
        <f t="shared" si="26"/>
        <v>14</v>
      </c>
      <c r="BM10" s="11">
        <f t="shared" si="27"/>
        <v>33.799999999999997</v>
      </c>
      <c r="BN10" s="11">
        <f t="shared" si="28"/>
        <v>33.799999999999997</v>
      </c>
      <c r="BO10" s="11">
        <f t="shared" si="29"/>
        <v>7</v>
      </c>
      <c r="BP10" s="11">
        <f t="shared" si="30"/>
        <v>5.74</v>
      </c>
      <c r="BQ10" s="11">
        <f t="shared" si="31"/>
        <v>22.619999999999997</v>
      </c>
      <c r="BR10" s="11">
        <f t="shared" si="32"/>
        <v>56.419999999999995</v>
      </c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23"/>
      <c r="CI10" s="34" t="str">
        <f t="shared" si="33"/>
        <v/>
      </c>
      <c r="CJ10" s="34" t="str">
        <f t="shared" si="34"/>
        <v/>
      </c>
      <c r="CK10" s="36" t="str">
        <f t="shared" si="35"/>
        <v/>
      </c>
      <c r="CL10" s="36" t="str">
        <f t="shared" si="36"/>
        <v/>
      </c>
      <c r="CM10" s="36" t="str">
        <f t="shared" si="37"/>
        <v/>
      </c>
      <c r="CN10" s="36" t="str">
        <f t="shared" si="38"/>
        <v/>
      </c>
      <c r="CO10" s="36" t="str">
        <f t="shared" si="39"/>
        <v/>
      </c>
      <c r="CP10" s="36" t="str">
        <f t="shared" si="40"/>
        <v/>
      </c>
      <c r="CQ10" s="36" t="str">
        <f t="shared" si="41"/>
        <v/>
      </c>
      <c r="CR10" s="36" t="str">
        <f t="shared" si="42"/>
        <v/>
      </c>
      <c r="CS10" s="36" t="str">
        <f t="shared" si="43"/>
        <v/>
      </c>
      <c r="CT10" s="47" t="str">
        <f t="shared" si="44"/>
        <v/>
      </c>
      <c r="CU10" s="15"/>
      <c r="CV10" s="15"/>
      <c r="CW10" s="15"/>
      <c r="CX10" s="15"/>
      <c r="CY10" s="15"/>
      <c r="CZ10" s="15"/>
      <c r="DA10" s="15"/>
      <c r="DB10" s="15"/>
      <c r="DC10" s="15"/>
      <c r="DD10" s="15"/>
      <c r="DE10" s="15"/>
      <c r="DF10" s="15"/>
      <c r="DG10" s="15"/>
      <c r="DH10" s="15"/>
      <c r="DI10" s="15"/>
      <c r="DJ10" s="15"/>
      <c r="DK10" s="15"/>
      <c r="DL10" s="15"/>
      <c r="DM10" s="15"/>
      <c r="DN10" s="15"/>
      <c r="DO10" s="36" t="str">
        <f t="shared" si="45"/>
        <v/>
      </c>
      <c r="DP10" s="36" t="str">
        <f t="shared" si="46"/>
        <v/>
      </c>
      <c r="DQ10" s="36" t="str">
        <f t="shared" si="47"/>
        <v/>
      </c>
      <c r="DR10" s="36" t="str">
        <f t="shared" si="48"/>
        <v/>
      </c>
      <c r="DS10" s="36" t="str">
        <f t="shared" si="49"/>
        <v/>
      </c>
      <c r="DT10" s="36" t="str">
        <f t="shared" si="50"/>
        <v/>
      </c>
      <c r="DU10" s="36" t="str">
        <f t="shared" si="51"/>
        <v/>
      </c>
      <c r="DV10" s="36" t="str">
        <f t="shared" si="52"/>
        <v/>
      </c>
      <c r="DW10" s="36" t="str">
        <f t="shared" si="53"/>
        <v/>
      </c>
      <c r="DX10" s="36" t="str">
        <f t="shared" si="54"/>
        <v/>
      </c>
      <c r="DY10" s="36" t="str">
        <f t="shared" si="55"/>
        <v/>
      </c>
      <c r="DZ10" s="36" t="str">
        <f t="shared" si="56"/>
        <v/>
      </c>
      <c r="EA10" s="36" t="str">
        <f t="shared" si="57"/>
        <v/>
      </c>
      <c r="EB10" s="36" t="str">
        <f t="shared" si="58"/>
        <v/>
      </c>
      <c r="EC10" s="16"/>
      <c r="ED10" s="16"/>
      <c r="EE10" s="16"/>
      <c r="EF10" s="16"/>
      <c r="EG10" s="16"/>
      <c r="EH10" s="16"/>
      <c r="EI10" s="16"/>
      <c r="EJ10" s="16"/>
      <c r="EK10" s="16"/>
      <c r="EL10" s="16"/>
      <c r="EM10" s="16"/>
      <c r="EN10" s="16"/>
      <c r="EO10" s="16"/>
      <c r="EP10" s="16"/>
      <c r="EQ10" s="16"/>
      <c r="ER10" s="16"/>
      <c r="ES10" s="16"/>
      <c r="ET10" s="16"/>
      <c r="EU10" s="16"/>
      <c r="EV10" s="16"/>
      <c r="EW10" s="11" t="str">
        <f t="shared" si="59"/>
        <v/>
      </c>
      <c r="EX10" s="11" t="str">
        <f t="shared" si="60"/>
        <v/>
      </c>
      <c r="EY10" s="11" t="str">
        <f t="shared" si="61"/>
        <v/>
      </c>
      <c r="EZ10" s="11" t="str">
        <f t="shared" si="62"/>
        <v/>
      </c>
      <c r="FA10" s="11" t="str">
        <f t="shared" si="63"/>
        <v/>
      </c>
      <c r="FB10" s="11" t="str">
        <f t="shared" si="64"/>
        <v/>
      </c>
      <c r="FC10" s="11" t="str">
        <f t="shared" si="65"/>
        <v/>
      </c>
      <c r="FD10" s="11" t="str">
        <f t="shared" si="66"/>
        <v/>
      </c>
      <c r="FE10" s="11" t="str">
        <f t="shared" si="67"/>
        <v/>
      </c>
      <c r="FF10" s="11" t="str">
        <f t="shared" si="68"/>
        <v/>
      </c>
      <c r="FG10" s="11" t="str">
        <f t="shared" si="69"/>
        <v/>
      </c>
      <c r="FH10" s="11" t="str">
        <f t="shared" si="70"/>
        <v/>
      </c>
      <c r="FI10" s="11" t="str">
        <f t="shared" si="71"/>
        <v/>
      </c>
      <c r="FJ10" s="11" t="str">
        <f t="shared" si="72"/>
        <v/>
      </c>
      <c r="FK10" s="15"/>
      <c r="FL10" s="15"/>
      <c r="FM10" s="15"/>
      <c r="FN10" s="15"/>
      <c r="FO10" s="15"/>
      <c r="FP10" s="15"/>
      <c r="FQ10" s="15"/>
      <c r="FR10" s="15"/>
      <c r="FS10" s="15"/>
      <c r="FT10" s="15"/>
      <c r="FU10" s="15"/>
      <c r="FV10" s="15"/>
      <c r="FW10" s="15"/>
      <c r="FX10" s="15"/>
      <c r="FY10" s="15"/>
      <c r="FZ10" s="15"/>
      <c r="GA10" s="15"/>
      <c r="GB10" s="15"/>
      <c r="GC10" s="15"/>
      <c r="GD10" s="15"/>
      <c r="GE10" s="36" t="str">
        <f t="shared" si="73"/>
        <v/>
      </c>
      <c r="GF10" s="36" t="str">
        <f t="shared" si="74"/>
        <v/>
      </c>
      <c r="GG10" s="36" t="str">
        <f t="shared" si="75"/>
        <v/>
      </c>
      <c r="GH10" s="36" t="str">
        <f t="shared" si="76"/>
        <v/>
      </c>
      <c r="GI10" s="36" t="str">
        <f t="shared" si="77"/>
        <v/>
      </c>
      <c r="GJ10" s="36" t="str">
        <f t="shared" si="78"/>
        <v/>
      </c>
      <c r="GK10" s="36" t="str">
        <f t="shared" si="79"/>
        <v/>
      </c>
      <c r="GL10" s="36" t="str">
        <f t="shared" si="80"/>
        <v/>
      </c>
      <c r="GM10" s="36" t="str">
        <f t="shared" si="81"/>
        <v/>
      </c>
      <c r="GN10" s="36" t="str">
        <f t="shared" si="82"/>
        <v/>
      </c>
      <c r="GO10" s="36" t="str">
        <f t="shared" si="83"/>
        <v/>
      </c>
      <c r="GP10" s="36" t="str">
        <f t="shared" si="84"/>
        <v/>
      </c>
      <c r="GQ10" s="36" t="str">
        <f t="shared" si="85"/>
        <v/>
      </c>
      <c r="GR10" s="36" t="str">
        <f t="shared" si="86"/>
        <v/>
      </c>
      <c r="GS10" s="16"/>
      <c r="GT10" s="16"/>
      <c r="GU10" s="16"/>
      <c r="GV10" s="16"/>
      <c r="GW10" s="16"/>
      <c r="GX10" s="16"/>
      <c r="GY10" s="16"/>
      <c r="GZ10" s="16"/>
      <c r="HA10" s="16"/>
      <c r="HB10" s="16"/>
      <c r="HC10" s="16"/>
      <c r="HD10" s="16"/>
      <c r="HE10" s="16"/>
      <c r="HF10" s="16"/>
      <c r="HG10" s="16"/>
      <c r="HH10" s="16"/>
      <c r="HI10" s="16"/>
      <c r="HJ10" s="16"/>
      <c r="HK10" s="16"/>
      <c r="HL10" s="16"/>
      <c r="HM10" s="11" t="str">
        <f t="shared" si="87"/>
        <v/>
      </c>
      <c r="HN10" s="11" t="str">
        <f t="shared" si="88"/>
        <v/>
      </c>
      <c r="HO10" s="11" t="str">
        <f t="shared" si="89"/>
        <v/>
      </c>
      <c r="HP10" s="11" t="str">
        <f t="shared" si="90"/>
        <v/>
      </c>
      <c r="HQ10" s="11" t="str">
        <f t="shared" si="91"/>
        <v/>
      </c>
      <c r="HR10" s="11" t="str">
        <f t="shared" si="92"/>
        <v/>
      </c>
      <c r="HS10" s="11" t="str">
        <f t="shared" si="93"/>
        <v/>
      </c>
      <c r="HT10" s="11" t="str">
        <f t="shared" si="94"/>
        <v/>
      </c>
      <c r="HU10" s="11" t="str">
        <f t="shared" si="95"/>
        <v/>
      </c>
      <c r="HV10" s="11" t="str">
        <f t="shared" si="96"/>
        <v/>
      </c>
      <c r="HW10" s="11" t="str">
        <f t="shared" si="97"/>
        <v/>
      </c>
      <c r="HX10" s="11" t="str">
        <f t="shared" si="98"/>
        <v/>
      </c>
      <c r="HY10" s="11" t="str">
        <f t="shared" si="99"/>
        <v/>
      </c>
      <c r="HZ10" s="11" t="str">
        <f t="shared" si="100"/>
        <v/>
      </c>
      <c r="IA10" s="15"/>
      <c r="IB10" s="15"/>
      <c r="IC10" s="15"/>
      <c r="ID10" s="15"/>
      <c r="IE10" s="15"/>
      <c r="IF10" s="15"/>
      <c r="IG10" s="15"/>
      <c r="IH10" s="15"/>
      <c r="II10" s="15"/>
      <c r="IJ10" s="15"/>
      <c r="IK10" s="15"/>
      <c r="IL10" s="15"/>
      <c r="IM10" s="15"/>
      <c r="IN10" s="15"/>
      <c r="IO10" s="15"/>
      <c r="IP10" s="15"/>
      <c r="IQ10" s="15"/>
      <c r="IR10" s="15"/>
      <c r="IS10" s="15"/>
      <c r="IT10" s="15"/>
      <c r="IU10" s="36" t="str">
        <f t="shared" si="101"/>
        <v/>
      </c>
      <c r="IV10" s="36" t="str">
        <f t="shared" si="102"/>
        <v/>
      </c>
      <c r="IW10" s="36" t="str">
        <f t="shared" si="103"/>
        <v/>
      </c>
      <c r="IX10" s="36" t="str">
        <f t="shared" si="104"/>
        <v/>
      </c>
      <c r="IY10" s="36" t="str">
        <f t="shared" si="105"/>
        <v/>
      </c>
      <c r="IZ10" s="36" t="str">
        <f t="shared" si="106"/>
        <v/>
      </c>
      <c r="JA10" s="36" t="str">
        <f t="shared" si="107"/>
        <v/>
      </c>
      <c r="JB10" s="36" t="str">
        <f t="shared" si="108"/>
        <v/>
      </c>
      <c r="JC10" s="36" t="str">
        <f t="shared" si="109"/>
        <v/>
      </c>
      <c r="JD10" s="36" t="str">
        <f t="shared" si="110"/>
        <v/>
      </c>
      <c r="JE10" s="36" t="str">
        <f t="shared" si="111"/>
        <v/>
      </c>
      <c r="JF10" s="36" t="str">
        <f t="shared" si="112"/>
        <v/>
      </c>
      <c r="JG10" s="36" t="str">
        <f t="shared" si="113"/>
        <v/>
      </c>
      <c r="JH10" s="36" t="str">
        <f t="shared" si="114"/>
        <v/>
      </c>
      <c r="JI10" s="16"/>
      <c r="JJ10" s="16"/>
      <c r="JK10" s="16"/>
      <c r="JL10" s="16"/>
      <c r="JM10" s="16"/>
      <c r="JN10" s="16"/>
      <c r="JO10" s="16"/>
      <c r="JP10" s="16"/>
      <c r="JQ10" s="16"/>
      <c r="JR10" s="16"/>
      <c r="JS10" s="16"/>
      <c r="JT10" s="16"/>
      <c r="JU10" s="16"/>
      <c r="JV10" s="16"/>
      <c r="JW10" s="16"/>
      <c r="JX10" s="16"/>
      <c r="JY10" s="16"/>
      <c r="JZ10" s="16"/>
      <c r="KA10" s="16"/>
      <c r="KB10" s="16"/>
      <c r="KC10" s="11" t="str">
        <f t="shared" si="115"/>
        <v/>
      </c>
      <c r="KD10" s="11" t="str">
        <f t="shared" si="116"/>
        <v/>
      </c>
      <c r="KE10" s="11" t="str">
        <f t="shared" si="117"/>
        <v/>
      </c>
      <c r="KF10" s="11" t="str">
        <f t="shared" si="118"/>
        <v/>
      </c>
      <c r="KG10" s="11" t="str">
        <f t="shared" si="119"/>
        <v/>
      </c>
      <c r="KH10" s="11" t="str">
        <f t="shared" si="120"/>
        <v/>
      </c>
      <c r="KI10" s="11" t="str">
        <f t="shared" si="121"/>
        <v/>
      </c>
      <c r="KJ10" s="11" t="str">
        <f t="shared" si="122"/>
        <v/>
      </c>
      <c r="KK10" s="11" t="str">
        <f t="shared" si="123"/>
        <v/>
      </c>
      <c r="KL10" s="11" t="str">
        <f t="shared" si="124"/>
        <v/>
      </c>
      <c r="KM10" s="11" t="str">
        <f t="shared" si="125"/>
        <v/>
      </c>
      <c r="KN10" s="11" t="str">
        <f t="shared" si="126"/>
        <v/>
      </c>
      <c r="KO10" s="11" t="str">
        <f t="shared" si="127"/>
        <v/>
      </c>
      <c r="KP10" s="11" t="str">
        <f t="shared" si="128"/>
        <v/>
      </c>
      <c r="KQ10" s="15"/>
      <c r="KR10" s="15"/>
      <c r="KS10" s="15"/>
      <c r="KT10" s="15"/>
      <c r="KU10" s="15"/>
      <c r="KV10" s="15"/>
      <c r="KW10" s="15"/>
      <c r="KX10" s="15"/>
      <c r="KY10" s="15"/>
      <c r="KZ10" s="15"/>
      <c r="LA10" s="15"/>
      <c r="LB10" s="15"/>
      <c r="LC10" s="15"/>
      <c r="LD10" s="15"/>
      <c r="LE10" s="15"/>
      <c r="LF10" s="15"/>
      <c r="LG10" s="15"/>
      <c r="LH10" s="15"/>
      <c r="LI10" s="15"/>
      <c r="LJ10" s="15"/>
      <c r="LK10" s="36" t="str">
        <f t="shared" si="129"/>
        <v/>
      </c>
      <c r="LL10" s="36" t="str">
        <f t="shared" si="130"/>
        <v/>
      </c>
      <c r="LM10" s="36" t="str">
        <f t="shared" si="131"/>
        <v/>
      </c>
      <c r="LN10" s="36" t="str">
        <f t="shared" si="132"/>
        <v/>
      </c>
      <c r="LO10" s="36" t="str">
        <f t="shared" si="133"/>
        <v/>
      </c>
      <c r="LP10" s="36" t="str">
        <f t="shared" si="134"/>
        <v/>
      </c>
      <c r="LQ10" s="36" t="str">
        <f t="shared" si="135"/>
        <v/>
      </c>
      <c r="LR10" s="36" t="str">
        <f t="shared" si="136"/>
        <v/>
      </c>
      <c r="LS10" s="36" t="str">
        <f t="shared" si="137"/>
        <v/>
      </c>
      <c r="LT10" s="36" t="str">
        <f t="shared" si="138"/>
        <v/>
      </c>
      <c r="LU10" s="36" t="str">
        <f t="shared" si="139"/>
        <v/>
      </c>
      <c r="LV10" s="36" t="str">
        <f t="shared" si="140"/>
        <v/>
      </c>
      <c r="LW10" s="36" t="str">
        <f t="shared" si="141"/>
        <v/>
      </c>
      <c r="LX10" s="36" t="str">
        <f t="shared" si="142"/>
        <v/>
      </c>
      <c r="LY10" s="16"/>
      <c r="LZ10" s="16"/>
      <c r="MA10" s="16"/>
      <c r="MB10" s="16"/>
      <c r="MC10" s="16"/>
      <c r="MD10" s="16"/>
      <c r="ME10" s="16"/>
      <c r="MF10" s="16"/>
      <c r="MG10" s="16"/>
      <c r="MH10" s="16"/>
      <c r="MI10" s="16"/>
      <c r="MJ10" s="16"/>
      <c r="MK10" s="16"/>
      <c r="ML10" s="16"/>
      <c r="MM10" s="16"/>
      <c r="MN10" s="16"/>
      <c r="MO10" s="16"/>
      <c r="MP10" s="16"/>
      <c r="MQ10" s="16"/>
      <c r="MR10" s="16"/>
      <c r="MS10" s="11" t="str">
        <f t="shared" si="143"/>
        <v/>
      </c>
      <c r="MT10" s="11" t="str">
        <f t="shared" si="144"/>
        <v/>
      </c>
      <c r="MU10" s="11" t="str">
        <f t="shared" si="145"/>
        <v/>
      </c>
      <c r="MV10" s="11" t="str">
        <f t="shared" si="146"/>
        <v/>
      </c>
      <c r="MW10" s="11" t="str">
        <f t="shared" si="147"/>
        <v/>
      </c>
      <c r="MX10" s="11" t="str">
        <f t="shared" si="148"/>
        <v/>
      </c>
      <c r="MY10" s="11" t="str">
        <f t="shared" si="149"/>
        <v/>
      </c>
      <c r="MZ10" s="11" t="str">
        <f t="shared" si="150"/>
        <v/>
      </c>
      <c r="NA10" s="11" t="str">
        <f t="shared" si="151"/>
        <v/>
      </c>
      <c r="NB10" s="11" t="str">
        <f t="shared" si="152"/>
        <v/>
      </c>
      <c r="NC10" s="11" t="str">
        <f t="shared" si="153"/>
        <v/>
      </c>
      <c r="ND10" s="11" t="str">
        <f t="shared" si="154"/>
        <v/>
      </c>
      <c r="NE10" s="11" t="str">
        <f t="shared" si="155"/>
        <v/>
      </c>
      <c r="NF10" s="11" t="str">
        <f t="shared" si="156"/>
        <v/>
      </c>
      <c r="NG10" s="15"/>
      <c r="NH10" s="15"/>
      <c r="NI10" s="15"/>
      <c r="NJ10" s="15"/>
      <c r="NK10" s="15"/>
      <c r="NL10" s="15"/>
      <c r="NM10" s="15"/>
      <c r="NN10" s="15"/>
      <c r="NO10" s="15"/>
      <c r="NP10" s="15"/>
      <c r="NQ10" s="15"/>
      <c r="NR10" s="15"/>
      <c r="NS10" s="15"/>
      <c r="NT10" s="15"/>
      <c r="NU10" s="15"/>
      <c r="NV10" s="15"/>
      <c r="NW10" s="15"/>
      <c r="NX10" s="15"/>
      <c r="NY10" s="15"/>
      <c r="NZ10" s="15"/>
      <c r="OA10" s="36" t="str">
        <f t="shared" si="157"/>
        <v/>
      </c>
      <c r="OB10" s="36" t="str">
        <f t="shared" si="158"/>
        <v/>
      </c>
      <c r="OC10" s="36" t="str">
        <f t="shared" si="159"/>
        <v/>
      </c>
      <c r="OD10" s="36" t="str">
        <f t="shared" si="160"/>
        <v/>
      </c>
      <c r="OE10" s="36" t="str">
        <f t="shared" si="161"/>
        <v/>
      </c>
      <c r="OF10" s="36" t="str">
        <f t="shared" si="162"/>
        <v/>
      </c>
      <c r="OG10" s="36" t="str">
        <f t="shared" si="163"/>
        <v/>
      </c>
      <c r="OH10" s="36" t="str">
        <f t="shared" si="164"/>
        <v/>
      </c>
      <c r="OI10" s="36" t="str">
        <f t="shared" si="165"/>
        <v/>
      </c>
      <c r="OJ10" s="36" t="str">
        <f t="shared" si="166"/>
        <v/>
      </c>
      <c r="OK10" s="36" t="str">
        <f t="shared" si="167"/>
        <v/>
      </c>
      <c r="OL10" s="36" t="str">
        <f t="shared" si="168"/>
        <v/>
      </c>
      <c r="OM10" s="36" t="str">
        <f t="shared" si="169"/>
        <v/>
      </c>
      <c r="ON10" s="36" t="str">
        <f t="shared" si="170"/>
        <v/>
      </c>
      <c r="OO10" s="16"/>
      <c r="OP10" s="16"/>
      <c r="OQ10" s="16"/>
      <c r="OR10" s="16"/>
      <c r="OS10" s="16"/>
      <c r="OT10" s="16"/>
      <c r="OU10" s="16"/>
      <c r="OV10" s="16"/>
      <c r="OW10" s="16"/>
      <c r="OX10" s="16"/>
      <c r="OY10" s="16"/>
      <c r="OZ10" s="16"/>
      <c r="PA10" s="16"/>
      <c r="PB10" s="16"/>
      <c r="PC10" s="16"/>
      <c r="PD10" s="16"/>
      <c r="PE10" s="16"/>
      <c r="PF10" s="16"/>
      <c r="PG10" s="16"/>
      <c r="PH10" s="16"/>
      <c r="PI10" s="11" t="str">
        <f t="shared" si="171"/>
        <v/>
      </c>
      <c r="PJ10" s="11" t="str">
        <f t="shared" si="172"/>
        <v/>
      </c>
      <c r="PK10" s="11" t="str">
        <f t="shared" si="173"/>
        <v/>
      </c>
      <c r="PL10" s="11" t="str">
        <f t="shared" si="174"/>
        <v/>
      </c>
      <c r="PM10" s="11" t="str">
        <f t="shared" si="175"/>
        <v/>
      </c>
      <c r="PN10" s="11" t="str">
        <f t="shared" si="176"/>
        <v/>
      </c>
      <c r="PO10" s="11" t="str">
        <f t="shared" si="177"/>
        <v/>
      </c>
      <c r="PP10" s="11" t="str">
        <f t="shared" si="178"/>
        <v/>
      </c>
      <c r="PQ10" s="11" t="str">
        <f t="shared" si="179"/>
        <v/>
      </c>
      <c r="PR10" s="11" t="str">
        <f t="shared" si="180"/>
        <v/>
      </c>
      <c r="PS10" s="11" t="str">
        <f t="shared" si="181"/>
        <v/>
      </c>
      <c r="PT10" s="11" t="str">
        <f t="shared" si="182"/>
        <v/>
      </c>
      <c r="PU10" s="11" t="str">
        <f t="shared" si="183"/>
        <v/>
      </c>
      <c r="PV10" s="11" t="str">
        <f t="shared" si="184"/>
        <v/>
      </c>
      <c r="PW10" s="15"/>
      <c r="PX10" s="15"/>
      <c r="PY10" s="15"/>
      <c r="PZ10" s="15"/>
      <c r="QA10" s="15"/>
      <c r="QB10" s="15"/>
      <c r="QC10" s="15"/>
      <c r="QD10" s="15"/>
      <c r="QE10" s="15"/>
      <c r="QF10" s="15"/>
      <c r="QG10" s="15"/>
      <c r="QH10" s="15"/>
      <c r="QI10" s="15"/>
      <c r="QJ10" s="15"/>
      <c r="QK10" s="15"/>
      <c r="QL10" s="15"/>
      <c r="QM10" s="15"/>
      <c r="QN10" s="15"/>
      <c r="QO10" s="15"/>
      <c r="QP10" s="15"/>
      <c r="QQ10" s="36" t="str">
        <f t="shared" si="185"/>
        <v/>
      </c>
      <c r="QR10" s="36" t="str">
        <f t="shared" si="186"/>
        <v/>
      </c>
      <c r="QS10" s="36" t="str">
        <f t="shared" si="187"/>
        <v/>
      </c>
      <c r="QT10" s="36" t="str">
        <f t="shared" si="188"/>
        <v/>
      </c>
      <c r="QU10" s="36" t="str">
        <f t="shared" si="189"/>
        <v/>
      </c>
      <c r="QV10" s="36" t="str">
        <f t="shared" si="190"/>
        <v/>
      </c>
      <c r="QW10" s="36" t="str">
        <f t="shared" si="191"/>
        <v/>
      </c>
      <c r="QX10" s="36" t="str">
        <f t="shared" si="192"/>
        <v/>
      </c>
      <c r="QY10" s="36" t="str">
        <f t="shared" si="193"/>
        <v/>
      </c>
      <c r="QZ10" s="36" t="str">
        <f t="shared" si="194"/>
        <v/>
      </c>
      <c r="RA10" s="36" t="str">
        <f t="shared" si="195"/>
        <v/>
      </c>
      <c r="RB10" s="36" t="str">
        <f t="shared" si="196"/>
        <v/>
      </c>
      <c r="RC10" s="36" t="str">
        <f t="shared" si="197"/>
        <v/>
      </c>
      <c r="RD10" s="36" t="str">
        <f t="shared" si="198"/>
        <v/>
      </c>
      <c r="RE10" s="16"/>
      <c r="RF10" s="16"/>
      <c r="RG10" s="16"/>
      <c r="RH10" s="16"/>
      <c r="RI10" s="16"/>
      <c r="RJ10" s="16"/>
      <c r="RK10" s="16"/>
      <c r="RL10" s="16"/>
      <c r="RM10" s="16"/>
      <c r="RN10" s="16"/>
      <c r="RO10" s="16"/>
      <c r="RP10" s="16"/>
      <c r="RQ10" s="16"/>
      <c r="RR10" s="16"/>
      <c r="RS10" s="16"/>
      <c r="RT10" s="16"/>
      <c r="RU10" s="16"/>
      <c r="RV10" s="16"/>
      <c r="RW10" s="16"/>
      <c r="RX10" s="16"/>
      <c r="RY10" s="11" t="str">
        <f t="shared" si="199"/>
        <v/>
      </c>
      <c r="RZ10" s="11" t="str">
        <f t="shared" si="200"/>
        <v/>
      </c>
      <c r="SA10" s="11" t="str">
        <f t="shared" si="201"/>
        <v/>
      </c>
      <c r="SB10" s="11" t="str">
        <f t="shared" si="202"/>
        <v/>
      </c>
      <c r="SC10" s="11" t="str">
        <f t="shared" si="203"/>
        <v/>
      </c>
      <c r="SD10" s="11" t="str">
        <f t="shared" si="204"/>
        <v/>
      </c>
      <c r="SE10" s="11" t="str">
        <f t="shared" si="205"/>
        <v/>
      </c>
      <c r="SF10" s="11" t="str">
        <f t="shared" si="206"/>
        <v/>
      </c>
      <c r="SG10" s="11" t="str">
        <f t="shared" si="207"/>
        <v/>
      </c>
      <c r="SH10" s="11" t="str">
        <f t="shared" si="208"/>
        <v/>
      </c>
      <c r="SI10" s="11" t="str">
        <f t="shared" si="209"/>
        <v/>
      </c>
      <c r="SJ10" s="11" t="str">
        <f t="shared" si="210"/>
        <v/>
      </c>
      <c r="SK10" s="11" t="str">
        <f t="shared" si="211"/>
        <v/>
      </c>
      <c r="SL10" s="11" t="str">
        <f t="shared" si="212"/>
        <v/>
      </c>
      <c r="SM10" s="15"/>
      <c r="SN10" s="15"/>
      <c r="SO10" s="15"/>
      <c r="SP10" s="15"/>
      <c r="SQ10" s="15"/>
      <c r="SR10" s="15"/>
      <c r="SS10" s="15"/>
      <c r="ST10" s="15"/>
      <c r="SU10" s="15"/>
      <c r="SV10" s="15"/>
      <c r="SW10" s="15"/>
      <c r="SX10" s="15"/>
      <c r="SY10" s="15"/>
      <c r="SZ10" s="15"/>
      <c r="TA10" s="15"/>
      <c r="TB10" s="15"/>
      <c r="TC10" s="15"/>
      <c r="TD10" s="15"/>
      <c r="TE10" s="15"/>
      <c r="TF10" s="15"/>
      <c r="TG10" s="36" t="str">
        <f t="shared" si="213"/>
        <v/>
      </c>
      <c r="TH10" s="36" t="str">
        <f t="shared" si="214"/>
        <v/>
      </c>
      <c r="TI10" s="36" t="str">
        <f t="shared" si="215"/>
        <v/>
      </c>
      <c r="TJ10" s="36" t="str">
        <f t="shared" si="216"/>
        <v/>
      </c>
      <c r="TK10" s="36" t="str">
        <f t="shared" si="217"/>
        <v/>
      </c>
      <c r="TL10" s="36" t="str">
        <f t="shared" si="218"/>
        <v/>
      </c>
      <c r="TM10" s="36" t="str">
        <f t="shared" si="219"/>
        <v/>
      </c>
      <c r="TN10" s="36" t="str">
        <f t="shared" si="220"/>
        <v/>
      </c>
      <c r="TO10" s="36" t="str">
        <f t="shared" si="221"/>
        <v/>
      </c>
      <c r="TP10" s="36" t="str">
        <f t="shared" si="222"/>
        <v/>
      </c>
      <c r="TQ10" s="36" t="str">
        <f t="shared" si="223"/>
        <v/>
      </c>
      <c r="TR10" s="36" t="str">
        <f t="shared" si="224"/>
        <v/>
      </c>
      <c r="TS10" s="36" t="str">
        <f t="shared" si="225"/>
        <v/>
      </c>
      <c r="TT10" s="36" t="str">
        <f t="shared" si="226"/>
        <v/>
      </c>
      <c r="TU10" s="16"/>
      <c r="TV10" s="16"/>
      <c r="TW10" s="16"/>
      <c r="TX10" s="16"/>
      <c r="TY10" s="16"/>
      <c r="TZ10" s="16"/>
      <c r="UA10" s="16"/>
      <c r="UB10" s="16"/>
      <c r="UC10" s="16"/>
      <c r="UD10" s="16"/>
      <c r="UE10" s="16"/>
      <c r="UF10" s="16"/>
      <c r="UG10" s="16"/>
      <c r="UH10" s="16"/>
      <c r="UI10" s="16"/>
      <c r="UJ10" s="16"/>
      <c r="UK10" s="16"/>
      <c r="UL10" s="16"/>
      <c r="UM10" s="16"/>
      <c r="UN10" s="16"/>
      <c r="UO10" s="11" t="str">
        <f t="shared" si="227"/>
        <v/>
      </c>
      <c r="UP10" s="11" t="str">
        <f t="shared" si="228"/>
        <v/>
      </c>
      <c r="UQ10" s="11" t="str">
        <f t="shared" si="229"/>
        <v/>
      </c>
      <c r="UR10" s="11" t="str">
        <f t="shared" si="230"/>
        <v/>
      </c>
      <c r="US10" s="11" t="str">
        <f t="shared" si="231"/>
        <v/>
      </c>
      <c r="UT10" s="11" t="str">
        <f t="shared" si="232"/>
        <v/>
      </c>
      <c r="UU10" s="11" t="str">
        <f t="shared" si="233"/>
        <v/>
      </c>
      <c r="UV10" s="11" t="str">
        <f t="shared" si="234"/>
        <v/>
      </c>
      <c r="UW10" s="11" t="str">
        <f t="shared" si="235"/>
        <v/>
      </c>
      <c r="UX10" s="11" t="str">
        <f t="shared" si="236"/>
        <v/>
      </c>
      <c r="UY10" s="11" t="str">
        <f t="shared" si="237"/>
        <v/>
      </c>
      <c r="UZ10" s="11" t="str">
        <f t="shared" si="238"/>
        <v/>
      </c>
      <c r="VA10" s="11" t="str">
        <f t="shared" si="239"/>
        <v/>
      </c>
      <c r="VB10" s="11" t="str">
        <f t="shared" si="240"/>
        <v/>
      </c>
      <c r="VC10" s="15"/>
      <c r="VD10" s="15"/>
      <c r="VE10" s="15"/>
      <c r="VF10" s="15"/>
      <c r="VG10" s="15"/>
      <c r="VH10" s="15"/>
      <c r="VI10" s="15"/>
      <c r="VJ10" s="15"/>
      <c r="VK10" s="15"/>
      <c r="VL10" s="15"/>
      <c r="VM10" s="15"/>
      <c r="VN10" s="15"/>
      <c r="VO10" s="15"/>
      <c r="VP10" s="15"/>
      <c r="VQ10" s="15"/>
      <c r="VR10" s="15"/>
      <c r="VS10" s="15"/>
      <c r="VT10" s="15"/>
      <c r="VU10" s="15"/>
      <c r="VV10" s="15"/>
      <c r="VW10" s="36" t="str">
        <f t="shared" si="241"/>
        <v/>
      </c>
      <c r="VX10" s="36" t="str">
        <f t="shared" si="242"/>
        <v/>
      </c>
      <c r="VY10" s="36" t="str">
        <f t="shared" si="243"/>
        <v/>
      </c>
      <c r="VZ10" s="36" t="str">
        <f t="shared" si="244"/>
        <v/>
      </c>
      <c r="WA10" s="36" t="str">
        <f t="shared" si="245"/>
        <v/>
      </c>
      <c r="WB10" s="36" t="str">
        <f t="shared" si="246"/>
        <v/>
      </c>
      <c r="WC10" s="36" t="str">
        <f t="shared" si="247"/>
        <v/>
      </c>
      <c r="WD10" s="36" t="str">
        <f t="shared" si="248"/>
        <v/>
      </c>
      <c r="WE10" s="36" t="str">
        <f t="shared" si="249"/>
        <v/>
      </c>
      <c r="WF10" s="36" t="str">
        <f t="shared" si="250"/>
        <v/>
      </c>
      <c r="WG10" s="36" t="str">
        <f t="shared" si="251"/>
        <v/>
      </c>
      <c r="WH10" s="36" t="str">
        <f t="shared" si="252"/>
        <v/>
      </c>
      <c r="WI10" s="36" t="str">
        <f t="shared" si="253"/>
        <v/>
      </c>
      <c r="WJ10" s="36" t="str">
        <f t="shared" si="254"/>
        <v/>
      </c>
    </row>
    <row r="11" spans="1:608" x14ac:dyDescent="0.2">
      <c r="A11" s="4" cm="1">
        <f t="array" ref="A11">IF(AND(H11&lt;&gt;"",H11&lt;&gt;"No DD"),SUMPRODUCT((H$4:H$20&lt;&gt;"")*(H$4:H$20&lt;&gt;"No DD")*(E$4:E$20&gt;E11))+1,IF(H11="No DD",SUMPRODUCT((H$4:H$20="No DD")*(E$4:E$20&gt;E11))+1+SUMPRODUCT((H$4:H$20&lt;&gt;"")*(H$4:H$20&lt;&gt;"No DD")),""))</f>
        <v>3</v>
      </c>
      <c r="B11" s="5" t="s">
        <v>160</v>
      </c>
      <c r="C11" s="4" t="s">
        <v>159</v>
      </c>
      <c r="D11" s="4" t="s">
        <v>158</v>
      </c>
      <c r="E11" s="9">
        <f t="shared" si="0"/>
        <v>48.11</v>
      </c>
      <c r="F11" s="3" t="str">
        <f t="shared" si="1"/>
        <v/>
      </c>
      <c r="G11" s="3" t="str">
        <f t="shared" si="2"/>
        <v>P</v>
      </c>
      <c r="H11" s="32" t="str">
        <f t="shared" si="3"/>
        <v>No DD</v>
      </c>
      <c r="I11" s="3" t="str">
        <f t="shared" si="4"/>
        <v/>
      </c>
      <c r="J11" s="8">
        <f t="shared" si="5"/>
        <v>0</v>
      </c>
      <c r="K11" s="8" t="str">
        <f t="shared" si="6"/>
        <v/>
      </c>
      <c r="L11" s="8">
        <f>IFERROR(LARGE((AI11,AL11,AP11,BJ11,BM11,BQ11,CK11,CN11,CR11),2),0)</f>
        <v>0</v>
      </c>
      <c r="M11" s="8" t="str">
        <f t="shared" si="7"/>
        <v/>
      </c>
      <c r="N11" s="8">
        <f t="shared" si="8"/>
        <v>48.11</v>
      </c>
      <c r="O11" s="11" t="str">
        <f t="shared" si="9"/>
        <v>(Any)</v>
      </c>
      <c r="P11" s="8" t="str">
        <f t="shared" si="10"/>
        <v>2025 Junior Pan Am Games (Aug 12)</v>
      </c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23"/>
      <c r="AG11" s="34" t="str">
        <f t="shared" si="11"/>
        <v/>
      </c>
      <c r="AH11" s="34" t="str">
        <f t="shared" si="12"/>
        <v/>
      </c>
      <c r="AI11" s="36" t="str">
        <f t="shared" si="13"/>
        <v/>
      </c>
      <c r="AJ11" s="36" t="str">
        <f t="shared" si="14"/>
        <v/>
      </c>
      <c r="AK11" s="36" t="str">
        <f t="shared" si="15"/>
        <v/>
      </c>
      <c r="AL11" s="36" t="str">
        <f t="shared" si="16"/>
        <v/>
      </c>
      <c r="AM11" s="36" t="str">
        <f t="shared" si="17"/>
        <v/>
      </c>
      <c r="AN11" s="36" t="str">
        <f t="shared" si="18"/>
        <v/>
      </c>
      <c r="AO11" s="36" t="str">
        <f t="shared" si="19"/>
        <v/>
      </c>
      <c r="AP11" s="36" t="str">
        <f t="shared" si="20"/>
        <v/>
      </c>
      <c r="AQ11" s="36" t="str">
        <f t="shared" si="21"/>
        <v/>
      </c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2"/>
      <c r="BF11" s="22"/>
      <c r="BG11" s="24"/>
      <c r="BH11" s="35" t="str">
        <f t="shared" si="22"/>
        <v/>
      </c>
      <c r="BI11" s="35" t="str">
        <f t="shared" si="23"/>
        <v/>
      </c>
      <c r="BJ11" s="11" t="str">
        <f t="shared" si="24"/>
        <v/>
      </c>
      <c r="BK11" s="11" t="str">
        <f t="shared" si="25"/>
        <v/>
      </c>
      <c r="BL11" s="11" t="str">
        <f t="shared" si="26"/>
        <v/>
      </c>
      <c r="BM11" s="11" t="str">
        <f t="shared" si="27"/>
        <v/>
      </c>
      <c r="BN11" s="11" t="str">
        <f t="shared" si="28"/>
        <v/>
      </c>
      <c r="BO11" s="11" t="str">
        <f t="shared" si="29"/>
        <v/>
      </c>
      <c r="BP11" s="11" t="str">
        <f t="shared" si="30"/>
        <v/>
      </c>
      <c r="BQ11" s="11" t="str">
        <f t="shared" si="31"/>
        <v/>
      </c>
      <c r="BR11" s="11" t="str">
        <f t="shared" si="32"/>
        <v/>
      </c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23"/>
      <c r="CI11" s="34" t="str">
        <f t="shared" si="33"/>
        <v/>
      </c>
      <c r="CJ11" s="34" t="str">
        <f t="shared" si="34"/>
        <v/>
      </c>
      <c r="CK11" s="36" t="str">
        <f t="shared" si="35"/>
        <v/>
      </c>
      <c r="CL11" s="36" t="str">
        <f t="shared" si="36"/>
        <v/>
      </c>
      <c r="CM11" s="36" t="str">
        <f t="shared" si="37"/>
        <v/>
      </c>
      <c r="CN11" s="36" t="str">
        <f t="shared" si="38"/>
        <v/>
      </c>
      <c r="CO11" s="36" t="str">
        <f t="shared" si="39"/>
        <v/>
      </c>
      <c r="CP11" s="36" t="str">
        <f t="shared" si="40"/>
        <v/>
      </c>
      <c r="CQ11" s="36" t="str">
        <f t="shared" si="41"/>
        <v/>
      </c>
      <c r="CR11" s="36" t="str">
        <f t="shared" si="42"/>
        <v/>
      </c>
      <c r="CS11" s="36" t="str">
        <f t="shared" si="43"/>
        <v/>
      </c>
      <c r="CT11" s="47">
        <f t="shared" si="44"/>
        <v>48.11</v>
      </c>
      <c r="CU11" s="15"/>
      <c r="CV11" s="15"/>
      <c r="CW11" s="15"/>
      <c r="CX11" s="15"/>
      <c r="CY11" s="15"/>
      <c r="CZ11" s="15"/>
      <c r="DA11" s="15"/>
      <c r="DB11" s="15"/>
      <c r="DC11" s="15"/>
      <c r="DD11" s="15"/>
      <c r="DE11" s="15"/>
      <c r="DF11" s="15"/>
      <c r="DG11" s="15"/>
      <c r="DH11" s="15"/>
      <c r="DI11" s="15"/>
      <c r="DJ11" s="15"/>
      <c r="DK11" s="15"/>
      <c r="DL11" s="15"/>
      <c r="DM11" s="15"/>
      <c r="DN11" s="15"/>
      <c r="DO11" s="36" t="str">
        <f t="shared" si="45"/>
        <v/>
      </c>
      <c r="DP11" s="36" t="str">
        <f t="shared" si="46"/>
        <v/>
      </c>
      <c r="DQ11" s="36" t="str">
        <f t="shared" si="47"/>
        <v/>
      </c>
      <c r="DR11" s="36" t="str">
        <f t="shared" si="48"/>
        <v/>
      </c>
      <c r="DS11" s="36" t="str">
        <f t="shared" si="49"/>
        <v/>
      </c>
      <c r="DT11" s="36" t="str">
        <f t="shared" si="50"/>
        <v/>
      </c>
      <c r="DU11" s="36" t="str">
        <f t="shared" si="51"/>
        <v/>
      </c>
      <c r="DV11" s="36" t="str">
        <f t="shared" si="52"/>
        <v/>
      </c>
      <c r="DW11" s="36" t="str">
        <f t="shared" si="53"/>
        <v/>
      </c>
      <c r="DX11" s="36" t="str">
        <f t="shared" si="54"/>
        <v/>
      </c>
      <c r="DY11" s="36" t="str">
        <f t="shared" si="55"/>
        <v/>
      </c>
      <c r="DZ11" s="36" t="str">
        <f t="shared" si="56"/>
        <v/>
      </c>
      <c r="EA11" s="36" t="str">
        <f t="shared" si="57"/>
        <v/>
      </c>
      <c r="EB11" s="36" t="str">
        <f t="shared" si="58"/>
        <v/>
      </c>
      <c r="EC11" s="16"/>
      <c r="ED11" s="16"/>
      <c r="EE11" s="16"/>
      <c r="EF11" s="16"/>
      <c r="EG11" s="16"/>
      <c r="EH11" s="16"/>
      <c r="EI11" s="16"/>
      <c r="EJ11" s="16"/>
      <c r="EK11" s="16"/>
      <c r="EL11" s="16"/>
      <c r="EM11" s="16"/>
      <c r="EN11" s="16"/>
      <c r="EO11" s="16"/>
      <c r="EP11" s="16"/>
      <c r="EQ11" s="16"/>
      <c r="ER11" s="16"/>
      <c r="ES11" s="16"/>
      <c r="ET11" s="16"/>
      <c r="EU11" s="16"/>
      <c r="EV11" s="16"/>
      <c r="EW11" s="11" t="str">
        <f t="shared" si="59"/>
        <v/>
      </c>
      <c r="EX11" s="11" t="str">
        <f t="shared" si="60"/>
        <v/>
      </c>
      <c r="EY11" s="11" t="str">
        <f t="shared" si="61"/>
        <v/>
      </c>
      <c r="EZ11" s="11" t="str">
        <f t="shared" si="62"/>
        <v/>
      </c>
      <c r="FA11" s="11" t="str">
        <f t="shared" si="63"/>
        <v/>
      </c>
      <c r="FB11" s="11" t="str">
        <f t="shared" si="64"/>
        <v/>
      </c>
      <c r="FC11" s="11" t="str">
        <f t="shared" si="65"/>
        <v/>
      </c>
      <c r="FD11" s="11" t="str">
        <f t="shared" si="66"/>
        <v/>
      </c>
      <c r="FE11" s="11" t="str">
        <f t="shared" si="67"/>
        <v/>
      </c>
      <c r="FF11" s="11" t="str">
        <f t="shared" si="68"/>
        <v/>
      </c>
      <c r="FG11" s="11" t="str">
        <f t="shared" si="69"/>
        <v/>
      </c>
      <c r="FH11" s="11" t="str">
        <f t="shared" si="70"/>
        <v/>
      </c>
      <c r="FI11" s="11" t="str">
        <f t="shared" si="71"/>
        <v/>
      </c>
      <c r="FJ11" s="11" t="str">
        <f t="shared" si="72"/>
        <v/>
      </c>
      <c r="FK11" s="15"/>
      <c r="FL11" s="15"/>
      <c r="FM11" s="15"/>
      <c r="FN11" s="15"/>
      <c r="FO11" s="15"/>
      <c r="FP11" s="15"/>
      <c r="FQ11" s="15"/>
      <c r="FR11" s="15"/>
      <c r="FS11" s="15"/>
      <c r="FT11" s="15"/>
      <c r="FU11" s="15"/>
      <c r="FV11" s="15"/>
      <c r="FW11" s="15"/>
      <c r="FX11" s="15"/>
      <c r="FY11" s="15"/>
      <c r="FZ11" s="15"/>
      <c r="GA11" s="15"/>
      <c r="GB11" s="15"/>
      <c r="GC11" s="15"/>
      <c r="GD11" s="15"/>
      <c r="GE11" s="36" t="str">
        <f t="shared" si="73"/>
        <v/>
      </c>
      <c r="GF11" s="36" t="str">
        <f t="shared" si="74"/>
        <v/>
      </c>
      <c r="GG11" s="36" t="str">
        <f t="shared" si="75"/>
        <v/>
      </c>
      <c r="GH11" s="36" t="str">
        <f t="shared" si="76"/>
        <v/>
      </c>
      <c r="GI11" s="36" t="str">
        <f t="shared" si="77"/>
        <v/>
      </c>
      <c r="GJ11" s="36" t="str">
        <f t="shared" si="78"/>
        <v/>
      </c>
      <c r="GK11" s="36" t="str">
        <f t="shared" si="79"/>
        <v/>
      </c>
      <c r="GL11" s="36" t="str">
        <f t="shared" si="80"/>
        <v/>
      </c>
      <c r="GM11" s="36" t="str">
        <f t="shared" si="81"/>
        <v/>
      </c>
      <c r="GN11" s="36" t="str">
        <f t="shared" si="82"/>
        <v/>
      </c>
      <c r="GO11" s="36" t="str">
        <f t="shared" si="83"/>
        <v/>
      </c>
      <c r="GP11" s="36" t="str">
        <f t="shared" si="84"/>
        <v/>
      </c>
      <c r="GQ11" s="36" t="str">
        <f t="shared" si="85"/>
        <v/>
      </c>
      <c r="GR11" s="36" t="str">
        <f t="shared" si="86"/>
        <v/>
      </c>
      <c r="GS11" s="16">
        <v>7.8</v>
      </c>
      <c r="GT11" s="16">
        <v>9.3000000000000007</v>
      </c>
      <c r="GU11" s="16">
        <v>13.3</v>
      </c>
      <c r="GV11" s="16">
        <v>14.66</v>
      </c>
      <c r="GW11" s="16">
        <v>0</v>
      </c>
      <c r="GX11" s="16"/>
      <c r="GY11" s="16"/>
      <c r="GZ11" s="16"/>
      <c r="HA11" s="16"/>
      <c r="HB11" s="16"/>
      <c r="HC11" s="16"/>
      <c r="HD11" s="16"/>
      <c r="HE11" s="16"/>
      <c r="HF11" s="16"/>
      <c r="HG11" s="16"/>
      <c r="HH11" s="16">
        <v>8.02</v>
      </c>
      <c r="HI11" s="16">
        <v>9.35</v>
      </c>
      <c r="HJ11" s="16">
        <v>13.3</v>
      </c>
      <c r="HK11" s="16">
        <v>17.440000000000001</v>
      </c>
      <c r="HL11" s="16">
        <v>0</v>
      </c>
      <c r="HM11" s="11">
        <f t="shared" si="87"/>
        <v>13.3</v>
      </c>
      <c r="HN11" s="11">
        <f t="shared" si="88"/>
        <v>14.66</v>
      </c>
      <c r="HO11" s="11">
        <f t="shared" si="89"/>
        <v>45.06</v>
      </c>
      <c r="HP11" s="11" t="str">
        <f t="shared" si="90"/>
        <v/>
      </c>
      <c r="HQ11" s="11" t="str">
        <f t="shared" si="91"/>
        <v/>
      </c>
      <c r="HR11" s="11" t="str">
        <f t="shared" si="92"/>
        <v/>
      </c>
      <c r="HS11" s="11">
        <f t="shared" si="93"/>
        <v>45.06</v>
      </c>
      <c r="HT11" s="11" t="str">
        <f t="shared" si="94"/>
        <v/>
      </c>
      <c r="HU11" s="11" t="str">
        <f t="shared" si="95"/>
        <v/>
      </c>
      <c r="HV11" s="11" t="str">
        <f t="shared" si="96"/>
        <v/>
      </c>
      <c r="HW11" s="11">
        <f t="shared" si="97"/>
        <v>13.3</v>
      </c>
      <c r="HX11" s="11">
        <f t="shared" si="98"/>
        <v>17.440000000000001</v>
      </c>
      <c r="HY11" s="11">
        <f t="shared" si="99"/>
        <v>48.11</v>
      </c>
      <c r="HZ11" s="11">
        <f t="shared" si="100"/>
        <v>93.17</v>
      </c>
      <c r="IA11" s="15"/>
      <c r="IB11" s="15"/>
      <c r="IC11" s="15"/>
      <c r="ID11" s="15"/>
      <c r="IE11" s="15"/>
      <c r="IF11" s="15"/>
      <c r="IG11" s="15"/>
      <c r="IH11" s="15"/>
      <c r="II11" s="15"/>
      <c r="IJ11" s="15"/>
      <c r="IK11" s="15"/>
      <c r="IL11" s="15"/>
      <c r="IM11" s="15"/>
      <c r="IN11" s="15"/>
      <c r="IO11" s="15"/>
      <c r="IP11" s="15"/>
      <c r="IQ11" s="15"/>
      <c r="IR11" s="15"/>
      <c r="IS11" s="15"/>
      <c r="IT11" s="15"/>
      <c r="IU11" s="36" t="str">
        <f t="shared" si="101"/>
        <v/>
      </c>
      <c r="IV11" s="36" t="str">
        <f t="shared" si="102"/>
        <v/>
      </c>
      <c r="IW11" s="36" t="str">
        <f t="shared" si="103"/>
        <v/>
      </c>
      <c r="IX11" s="36" t="str">
        <f t="shared" si="104"/>
        <v/>
      </c>
      <c r="IY11" s="36" t="str">
        <f t="shared" si="105"/>
        <v/>
      </c>
      <c r="IZ11" s="36" t="str">
        <f t="shared" si="106"/>
        <v/>
      </c>
      <c r="JA11" s="36" t="str">
        <f t="shared" si="107"/>
        <v/>
      </c>
      <c r="JB11" s="36" t="str">
        <f t="shared" si="108"/>
        <v/>
      </c>
      <c r="JC11" s="36" t="str">
        <f t="shared" si="109"/>
        <v/>
      </c>
      <c r="JD11" s="36" t="str">
        <f t="shared" si="110"/>
        <v/>
      </c>
      <c r="JE11" s="36" t="str">
        <f t="shared" si="111"/>
        <v/>
      </c>
      <c r="JF11" s="36" t="str">
        <f t="shared" si="112"/>
        <v/>
      </c>
      <c r="JG11" s="36" t="str">
        <f t="shared" si="113"/>
        <v/>
      </c>
      <c r="JH11" s="36" t="str">
        <f t="shared" si="114"/>
        <v/>
      </c>
      <c r="JI11" s="16"/>
      <c r="JJ11" s="16"/>
      <c r="JK11" s="16"/>
      <c r="JL11" s="16"/>
      <c r="JM11" s="16"/>
      <c r="JN11" s="16"/>
      <c r="JO11" s="16"/>
      <c r="JP11" s="16"/>
      <c r="JQ11" s="16"/>
      <c r="JR11" s="16"/>
      <c r="JS11" s="16"/>
      <c r="JT11" s="16"/>
      <c r="JU11" s="16"/>
      <c r="JV11" s="16"/>
      <c r="JW11" s="16"/>
      <c r="JX11" s="16"/>
      <c r="JY11" s="16"/>
      <c r="JZ11" s="16"/>
      <c r="KA11" s="16"/>
      <c r="KB11" s="16"/>
      <c r="KC11" s="11" t="str">
        <f t="shared" si="115"/>
        <v/>
      </c>
      <c r="KD11" s="11" t="str">
        <f t="shared" si="116"/>
        <v/>
      </c>
      <c r="KE11" s="11" t="str">
        <f t="shared" si="117"/>
        <v/>
      </c>
      <c r="KF11" s="11" t="str">
        <f t="shared" si="118"/>
        <v/>
      </c>
      <c r="KG11" s="11" t="str">
        <f t="shared" si="119"/>
        <v/>
      </c>
      <c r="KH11" s="11" t="str">
        <f t="shared" si="120"/>
        <v/>
      </c>
      <c r="KI11" s="11" t="str">
        <f t="shared" si="121"/>
        <v/>
      </c>
      <c r="KJ11" s="11" t="str">
        <f t="shared" si="122"/>
        <v/>
      </c>
      <c r="KK11" s="11" t="str">
        <f t="shared" si="123"/>
        <v/>
      </c>
      <c r="KL11" s="11" t="str">
        <f t="shared" si="124"/>
        <v/>
      </c>
      <c r="KM11" s="11" t="str">
        <f t="shared" si="125"/>
        <v/>
      </c>
      <c r="KN11" s="11" t="str">
        <f t="shared" si="126"/>
        <v/>
      </c>
      <c r="KO11" s="11" t="str">
        <f t="shared" si="127"/>
        <v/>
      </c>
      <c r="KP11" s="11" t="str">
        <f t="shared" si="128"/>
        <v/>
      </c>
      <c r="KQ11" s="15"/>
      <c r="KR11" s="15"/>
      <c r="KS11" s="15"/>
      <c r="KT11" s="15"/>
      <c r="KU11" s="15"/>
      <c r="KV11" s="15"/>
      <c r="KW11" s="15"/>
      <c r="KX11" s="15"/>
      <c r="KY11" s="15"/>
      <c r="KZ11" s="15"/>
      <c r="LA11" s="15"/>
      <c r="LB11" s="15"/>
      <c r="LC11" s="15"/>
      <c r="LD11" s="15"/>
      <c r="LE11" s="15"/>
      <c r="LF11" s="15"/>
      <c r="LG11" s="15"/>
      <c r="LH11" s="15"/>
      <c r="LI11" s="15"/>
      <c r="LJ11" s="15"/>
      <c r="LK11" s="36" t="str">
        <f t="shared" si="129"/>
        <v/>
      </c>
      <c r="LL11" s="36" t="str">
        <f t="shared" si="130"/>
        <v/>
      </c>
      <c r="LM11" s="36" t="str">
        <f t="shared" si="131"/>
        <v/>
      </c>
      <c r="LN11" s="36" t="str">
        <f t="shared" si="132"/>
        <v/>
      </c>
      <c r="LO11" s="36" t="str">
        <f t="shared" si="133"/>
        <v/>
      </c>
      <c r="LP11" s="36" t="str">
        <f t="shared" si="134"/>
        <v/>
      </c>
      <c r="LQ11" s="36" t="str">
        <f t="shared" si="135"/>
        <v/>
      </c>
      <c r="LR11" s="36" t="str">
        <f t="shared" si="136"/>
        <v/>
      </c>
      <c r="LS11" s="36" t="str">
        <f t="shared" si="137"/>
        <v/>
      </c>
      <c r="LT11" s="36" t="str">
        <f t="shared" si="138"/>
        <v/>
      </c>
      <c r="LU11" s="36" t="str">
        <f t="shared" si="139"/>
        <v/>
      </c>
      <c r="LV11" s="36" t="str">
        <f t="shared" si="140"/>
        <v/>
      </c>
      <c r="LW11" s="36" t="str">
        <f t="shared" si="141"/>
        <v/>
      </c>
      <c r="LX11" s="36" t="str">
        <f t="shared" si="142"/>
        <v/>
      </c>
      <c r="LY11" s="16"/>
      <c r="LZ11" s="16"/>
      <c r="MA11" s="16"/>
      <c r="MB11" s="16"/>
      <c r="MC11" s="16"/>
      <c r="MD11" s="16"/>
      <c r="ME11" s="16"/>
      <c r="MF11" s="16"/>
      <c r="MG11" s="16"/>
      <c r="MH11" s="16"/>
      <c r="MI11" s="16"/>
      <c r="MJ11" s="16"/>
      <c r="MK11" s="16"/>
      <c r="ML11" s="16"/>
      <c r="MM11" s="16"/>
      <c r="MN11" s="16"/>
      <c r="MO11" s="16"/>
      <c r="MP11" s="16"/>
      <c r="MQ11" s="16"/>
      <c r="MR11" s="16"/>
      <c r="MS11" s="11" t="str">
        <f t="shared" si="143"/>
        <v/>
      </c>
      <c r="MT11" s="11" t="str">
        <f t="shared" si="144"/>
        <v/>
      </c>
      <c r="MU11" s="11" t="str">
        <f t="shared" si="145"/>
        <v/>
      </c>
      <c r="MV11" s="11" t="str">
        <f t="shared" si="146"/>
        <v/>
      </c>
      <c r="MW11" s="11" t="str">
        <f t="shared" si="147"/>
        <v/>
      </c>
      <c r="MX11" s="11" t="str">
        <f t="shared" si="148"/>
        <v/>
      </c>
      <c r="MY11" s="11" t="str">
        <f t="shared" si="149"/>
        <v/>
      </c>
      <c r="MZ11" s="11" t="str">
        <f t="shared" si="150"/>
        <v/>
      </c>
      <c r="NA11" s="11" t="str">
        <f t="shared" si="151"/>
        <v/>
      </c>
      <c r="NB11" s="11" t="str">
        <f t="shared" si="152"/>
        <v/>
      </c>
      <c r="NC11" s="11" t="str">
        <f t="shared" si="153"/>
        <v/>
      </c>
      <c r="ND11" s="11" t="str">
        <f t="shared" si="154"/>
        <v/>
      </c>
      <c r="NE11" s="11" t="str">
        <f t="shared" si="155"/>
        <v/>
      </c>
      <c r="NF11" s="11" t="str">
        <f t="shared" si="156"/>
        <v/>
      </c>
      <c r="NG11" s="15"/>
      <c r="NH11" s="15"/>
      <c r="NI11" s="15"/>
      <c r="NJ11" s="15"/>
      <c r="NK11" s="15"/>
      <c r="NL11" s="15"/>
      <c r="NM11" s="15"/>
      <c r="NN11" s="15"/>
      <c r="NO11" s="15"/>
      <c r="NP11" s="15"/>
      <c r="NQ11" s="15"/>
      <c r="NR11" s="15"/>
      <c r="NS11" s="15"/>
      <c r="NT11" s="15"/>
      <c r="NU11" s="15"/>
      <c r="NV11" s="15"/>
      <c r="NW11" s="15"/>
      <c r="NX11" s="15"/>
      <c r="NY11" s="15"/>
      <c r="NZ11" s="15"/>
      <c r="OA11" s="36" t="str">
        <f t="shared" si="157"/>
        <v/>
      </c>
      <c r="OB11" s="36" t="str">
        <f t="shared" si="158"/>
        <v/>
      </c>
      <c r="OC11" s="36" t="str">
        <f t="shared" si="159"/>
        <v/>
      </c>
      <c r="OD11" s="36" t="str">
        <f t="shared" si="160"/>
        <v/>
      </c>
      <c r="OE11" s="36" t="str">
        <f t="shared" si="161"/>
        <v/>
      </c>
      <c r="OF11" s="36" t="str">
        <f t="shared" si="162"/>
        <v/>
      </c>
      <c r="OG11" s="36" t="str">
        <f t="shared" si="163"/>
        <v/>
      </c>
      <c r="OH11" s="36" t="str">
        <f t="shared" si="164"/>
        <v/>
      </c>
      <c r="OI11" s="36" t="str">
        <f t="shared" si="165"/>
        <v/>
      </c>
      <c r="OJ11" s="36" t="str">
        <f t="shared" si="166"/>
        <v/>
      </c>
      <c r="OK11" s="36" t="str">
        <f t="shared" si="167"/>
        <v/>
      </c>
      <c r="OL11" s="36" t="str">
        <f t="shared" si="168"/>
        <v/>
      </c>
      <c r="OM11" s="36" t="str">
        <f t="shared" si="169"/>
        <v/>
      </c>
      <c r="ON11" s="36" t="str">
        <f t="shared" si="170"/>
        <v/>
      </c>
      <c r="OO11" s="16"/>
      <c r="OP11" s="16"/>
      <c r="OQ11" s="16"/>
      <c r="OR11" s="16"/>
      <c r="OS11" s="16"/>
      <c r="OT11" s="16"/>
      <c r="OU11" s="16"/>
      <c r="OV11" s="16"/>
      <c r="OW11" s="16"/>
      <c r="OX11" s="16"/>
      <c r="OY11" s="16"/>
      <c r="OZ11" s="16"/>
      <c r="PA11" s="16"/>
      <c r="PB11" s="16"/>
      <c r="PC11" s="16"/>
      <c r="PD11" s="16"/>
      <c r="PE11" s="16"/>
      <c r="PF11" s="16"/>
      <c r="PG11" s="16"/>
      <c r="PH11" s="16"/>
      <c r="PI11" s="11" t="str">
        <f t="shared" si="171"/>
        <v/>
      </c>
      <c r="PJ11" s="11" t="str">
        <f t="shared" si="172"/>
        <v/>
      </c>
      <c r="PK11" s="11" t="str">
        <f t="shared" si="173"/>
        <v/>
      </c>
      <c r="PL11" s="11" t="str">
        <f t="shared" si="174"/>
        <v/>
      </c>
      <c r="PM11" s="11" t="str">
        <f t="shared" si="175"/>
        <v/>
      </c>
      <c r="PN11" s="11" t="str">
        <f t="shared" si="176"/>
        <v/>
      </c>
      <c r="PO11" s="11" t="str">
        <f t="shared" si="177"/>
        <v/>
      </c>
      <c r="PP11" s="11" t="str">
        <f t="shared" si="178"/>
        <v/>
      </c>
      <c r="PQ11" s="11" t="str">
        <f t="shared" si="179"/>
        <v/>
      </c>
      <c r="PR11" s="11" t="str">
        <f t="shared" si="180"/>
        <v/>
      </c>
      <c r="PS11" s="11" t="str">
        <f t="shared" si="181"/>
        <v/>
      </c>
      <c r="PT11" s="11" t="str">
        <f t="shared" si="182"/>
        <v/>
      </c>
      <c r="PU11" s="11" t="str">
        <f t="shared" si="183"/>
        <v/>
      </c>
      <c r="PV11" s="11" t="str">
        <f t="shared" si="184"/>
        <v/>
      </c>
      <c r="PW11" s="15"/>
      <c r="PX11" s="15"/>
      <c r="PY11" s="15"/>
      <c r="PZ11" s="15"/>
      <c r="QA11" s="15"/>
      <c r="QB11" s="15"/>
      <c r="QC11" s="15"/>
      <c r="QD11" s="15"/>
      <c r="QE11" s="15"/>
      <c r="QF11" s="15"/>
      <c r="QG11" s="15"/>
      <c r="QH11" s="15"/>
      <c r="QI11" s="15"/>
      <c r="QJ11" s="15"/>
      <c r="QK11" s="15"/>
      <c r="QL11" s="15"/>
      <c r="QM11" s="15"/>
      <c r="QN11" s="15"/>
      <c r="QO11" s="15"/>
      <c r="QP11" s="15"/>
      <c r="QQ11" s="36" t="str">
        <f t="shared" si="185"/>
        <v/>
      </c>
      <c r="QR11" s="36" t="str">
        <f t="shared" si="186"/>
        <v/>
      </c>
      <c r="QS11" s="36" t="str">
        <f t="shared" si="187"/>
        <v/>
      </c>
      <c r="QT11" s="36" t="str">
        <f t="shared" si="188"/>
        <v/>
      </c>
      <c r="QU11" s="36" t="str">
        <f t="shared" si="189"/>
        <v/>
      </c>
      <c r="QV11" s="36" t="str">
        <f t="shared" si="190"/>
        <v/>
      </c>
      <c r="QW11" s="36" t="str">
        <f t="shared" si="191"/>
        <v/>
      </c>
      <c r="QX11" s="36" t="str">
        <f t="shared" si="192"/>
        <v/>
      </c>
      <c r="QY11" s="36" t="str">
        <f t="shared" si="193"/>
        <v/>
      </c>
      <c r="QZ11" s="36" t="str">
        <f t="shared" si="194"/>
        <v/>
      </c>
      <c r="RA11" s="36" t="str">
        <f t="shared" si="195"/>
        <v/>
      </c>
      <c r="RB11" s="36" t="str">
        <f t="shared" si="196"/>
        <v/>
      </c>
      <c r="RC11" s="36" t="str">
        <f t="shared" si="197"/>
        <v/>
      </c>
      <c r="RD11" s="36" t="str">
        <f t="shared" si="198"/>
        <v/>
      </c>
      <c r="RE11" s="16"/>
      <c r="RF11" s="16"/>
      <c r="RG11" s="16"/>
      <c r="RH11" s="16"/>
      <c r="RI11" s="16"/>
      <c r="RJ11" s="16"/>
      <c r="RK11" s="16"/>
      <c r="RL11" s="16"/>
      <c r="RM11" s="16"/>
      <c r="RN11" s="16"/>
      <c r="RO11" s="16"/>
      <c r="RP11" s="16"/>
      <c r="RQ11" s="16"/>
      <c r="RR11" s="16"/>
      <c r="RS11" s="16"/>
      <c r="RT11" s="16"/>
      <c r="RU11" s="16"/>
      <c r="RV11" s="16"/>
      <c r="RW11" s="16"/>
      <c r="RX11" s="16"/>
      <c r="RY11" s="11" t="str">
        <f t="shared" si="199"/>
        <v/>
      </c>
      <c r="RZ11" s="11" t="str">
        <f t="shared" si="200"/>
        <v/>
      </c>
      <c r="SA11" s="11" t="str">
        <f t="shared" si="201"/>
        <v/>
      </c>
      <c r="SB11" s="11" t="str">
        <f t="shared" si="202"/>
        <v/>
      </c>
      <c r="SC11" s="11" t="str">
        <f t="shared" si="203"/>
        <v/>
      </c>
      <c r="SD11" s="11" t="str">
        <f t="shared" si="204"/>
        <v/>
      </c>
      <c r="SE11" s="11" t="str">
        <f t="shared" si="205"/>
        <v/>
      </c>
      <c r="SF11" s="11" t="str">
        <f t="shared" si="206"/>
        <v/>
      </c>
      <c r="SG11" s="11" t="str">
        <f t="shared" si="207"/>
        <v/>
      </c>
      <c r="SH11" s="11" t="str">
        <f t="shared" si="208"/>
        <v/>
      </c>
      <c r="SI11" s="11" t="str">
        <f t="shared" si="209"/>
        <v/>
      </c>
      <c r="SJ11" s="11" t="str">
        <f t="shared" si="210"/>
        <v/>
      </c>
      <c r="SK11" s="11" t="str">
        <f t="shared" si="211"/>
        <v/>
      </c>
      <c r="SL11" s="11" t="str">
        <f t="shared" si="212"/>
        <v/>
      </c>
      <c r="SM11" s="15"/>
      <c r="SN11" s="15"/>
      <c r="SO11" s="15"/>
      <c r="SP11" s="15"/>
      <c r="SQ11" s="15"/>
      <c r="SR11" s="15"/>
      <c r="SS11" s="15"/>
      <c r="ST11" s="15"/>
      <c r="SU11" s="15"/>
      <c r="SV11" s="15"/>
      <c r="SW11" s="15"/>
      <c r="SX11" s="15"/>
      <c r="SY11" s="15"/>
      <c r="SZ11" s="15"/>
      <c r="TA11" s="15"/>
      <c r="TB11" s="15"/>
      <c r="TC11" s="15"/>
      <c r="TD11" s="15"/>
      <c r="TE11" s="15"/>
      <c r="TF11" s="15"/>
      <c r="TG11" s="36" t="str">
        <f t="shared" si="213"/>
        <v/>
      </c>
      <c r="TH11" s="36" t="str">
        <f t="shared" si="214"/>
        <v/>
      </c>
      <c r="TI11" s="36" t="str">
        <f t="shared" si="215"/>
        <v/>
      </c>
      <c r="TJ11" s="36" t="str">
        <f t="shared" si="216"/>
        <v/>
      </c>
      <c r="TK11" s="36" t="str">
        <f t="shared" si="217"/>
        <v/>
      </c>
      <c r="TL11" s="36" t="str">
        <f t="shared" si="218"/>
        <v/>
      </c>
      <c r="TM11" s="36" t="str">
        <f t="shared" si="219"/>
        <v/>
      </c>
      <c r="TN11" s="36" t="str">
        <f t="shared" si="220"/>
        <v/>
      </c>
      <c r="TO11" s="36" t="str">
        <f t="shared" si="221"/>
        <v/>
      </c>
      <c r="TP11" s="36" t="str">
        <f t="shared" si="222"/>
        <v/>
      </c>
      <c r="TQ11" s="36" t="str">
        <f t="shared" si="223"/>
        <v/>
      </c>
      <c r="TR11" s="36" t="str">
        <f t="shared" si="224"/>
        <v/>
      </c>
      <c r="TS11" s="36" t="str">
        <f t="shared" si="225"/>
        <v/>
      </c>
      <c r="TT11" s="36" t="str">
        <f t="shared" si="226"/>
        <v/>
      </c>
      <c r="TU11" s="16"/>
      <c r="TV11" s="16"/>
      <c r="TW11" s="16"/>
      <c r="TX11" s="16"/>
      <c r="TY11" s="16"/>
      <c r="TZ11" s="16"/>
      <c r="UA11" s="16"/>
      <c r="UB11" s="16"/>
      <c r="UC11" s="16"/>
      <c r="UD11" s="16"/>
      <c r="UE11" s="16"/>
      <c r="UF11" s="16"/>
      <c r="UG11" s="16"/>
      <c r="UH11" s="16"/>
      <c r="UI11" s="16"/>
      <c r="UJ11" s="16"/>
      <c r="UK11" s="16"/>
      <c r="UL11" s="16"/>
      <c r="UM11" s="16"/>
      <c r="UN11" s="16"/>
      <c r="UO11" s="11" t="str">
        <f t="shared" si="227"/>
        <v/>
      </c>
      <c r="UP11" s="11" t="str">
        <f t="shared" si="228"/>
        <v/>
      </c>
      <c r="UQ11" s="11" t="str">
        <f t="shared" si="229"/>
        <v/>
      </c>
      <c r="UR11" s="11" t="str">
        <f t="shared" si="230"/>
        <v/>
      </c>
      <c r="US11" s="11" t="str">
        <f t="shared" si="231"/>
        <v/>
      </c>
      <c r="UT11" s="11" t="str">
        <f t="shared" si="232"/>
        <v/>
      </c>
      <c r="UU11" s="11" t="str">
        <f t="shared" si="233"/>
        <v/>
      </c>
      <c r="UV11" s="11" t="str">
        <f t="shared" si="234"/>
        <v/>
      </c>
      <c r="UW11" s="11" t="str">
        <f t="shared" si="235"/>
        <v/>
      </c>
      <c r="UX11" s="11" t="str">
        <f t="shared" si="236"/>
        <v/>
      </c>
      <c r="UY11" s="11" t="str">
        <f t="shared" si="237"/>
        <v/>
      </c>
      <c r="UZ11" s="11" t="str">
        <f t="shared" si="238"/>
        <v/>
      </c>
      <c r="VA11" s="11" t="str">
        <f t="shared" si="239"/>
        <v/>
      </c>
      <c r="VB11" s="11" t="str">
        <f t="shared" si="240"/>
        <v/>
      </c>
      <c r="VC11" s="15"/>
      <c r="VD11" s="15"/>
      <c r="VE11" s="15"/>
      <c r="VF11" s="15"/>
      <c r="VG11" s="15"/>
      <c r="VH11" s="15"/>
      <c r="VI11" s="15"/>
      <c r="VJ11" s="15"/>
      <c r="VK11" s="15"/>
      <c r="VL11" s="15"/>
      <c r="VM11" s="15"/>
      <c r="VN11" s="15"/>
      <c r="VO11" s="15"/>
      <c r="VP11" s="15"/>
      <c r="VQ11" s="15"/>
      <c r="VR11" s="15"/>
      <c r="VS11" s="15"/>
      <c r="VT11" s="15"/>
      <c r="VU11" s="15"/>
      <c r="VV11" s="15"/>
      <c r="VW11" s="36" t="str">
        <f t="shared" si="241"/>
        <v/>
      </c>
      <c r="VX11" s="36" t="str">
        <f t="shared" si="242"/>
        <v/>
      </c>
      <c r="VY11" s="36" t="str">
        <f t="shared" si="243"/>
        <v/>
      </c>
      <c r="VZ11" s="36" t="str">
        <f t="shared" si="244"/>
        <v/>
      </c>
      <c r="WA11" s="36" t="str">
        <f t="shared" si="245"/>
        <v/>
      </c>
      <c r="WB11" s="36" t="str">
        <f t="shared" si="246"/>
        <v/>
      </c>
      <c r="WC11" s="36" t="str">
        <f t="shared" si="247"/>
        <v/>
      </c>
      <c r="WD11" s="36" t="str">
        <f t="shared" si="248"/>
        <v/>
      </c>
      <c r="WE11" s="36" t="str">
        <f t="shared" si="249"/>
        <v/>
      </c>
      <c r="WF11" s="36" t="str">
        <f t="shared" si="250"/>
        <v/>
      </c>
      <c r="WG11" s="36" t="str">
        <f t="shared" si="251"/>
        <v/>
      </c>
      <c r="WH11" s="36" t="str">
        <f t="shared" si="252"/>
        <v/>
      </c>
      <c r="WI11" s="36" t="str">
        <f t="shared" si="253"/>
        <v/>
      </c>
      <c r="WJ11" s="36" t="str">
        <f t="shared" si="254"/>
        <v/>
      </c>
    </row>
    <row r="12" spans="1:608" x14ac:dyDescent="0.2">
      <c r="A12" s="4" t="str" cm="1">
        <f t="array" ref="A12">IF(AND(H12&lt;&gt;"",H12&lt;&gt;"No DD"),SUMPRODUCT((H$4:H$20&lt;&gt;"")*(H$4:H$20&lt;&gt;"No DD")*(E$4:E$20&gt;E12))+1,IF(H12="No DD",SUMPRODUCT((H$4:H$20="No DD")*(E$4:E$20&gt;E12))+1+SUMPRODUCT((H$4:H$20&lt;&gt;"")*(H$4:H$20&lt;&gt;"No DD")),""))</f>
        <v/>
      </c>
      <c r="B12" s="5" t="s">
        <v>167</v>
      </c>
      <c r="C12" s="4" t="s">
        <v>166</v>
      </c>
      <c r="D12" s="4" t="s">
        <v>165</v>
      </c>
      <c r="E12" s="9">
        <f t="shared" si="0"/>
        <v>47.72</v>
      </c>
      <c r="F12" s="3" t="str">
        <f t="shared" si="1"/>
        <v/>
      </c>
      <c r="G12" s="3" t="str">
        <f t="shared" si="2"/>
        <v/>
      </c>
      <c r="H12" s="32" t="str">
        <f t="shared" si="3"/>
        <v/>
      </c>
      <c r="I12" s="3" t="str">
        <f t="shared" si="4"/>
        <v/>
      </c>
      <c r="J12" s="8">
        <f t="shared" si="5"/>
        <v>0</v>
      </c>
      <c r="K12" s="8" t="str">
        <f t="shared" si="6"/>
        <v/>
      </c>
      <c r="L12" s="8">
        <f>IFERROR(LARGE((AI12,AL12,AP12,BJ12,BM12,BQ12,CK12,CN12,CR12),2),0)</f>
        <v>0</v>
      </c>
      <c r="M12" s="8" t="str">
        <f t="shared" si="7"/>
        <v/>
      </c>
      <c r="N12" s="8">
        <f t="shared" si="8"/>
        <v>47.72</v>
      </c>
      <c r="O12" s="11" t="str">
        <f t="shared" si="9"/>
        <v>(Any)</v>
      </c>
      <c r="P12" s="8" t="str">
        <f t="shared" si="10"/>
        <v>2025 World Cup GER (Sept 21)</v>
      </c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23"/>
      <c r="AG12" s="34" t="str">
        <f t="shared" si="11"/>
        <v/>
      </c>
      <c r="AH12" s="34" t="str">
        <f t="shared" si="12"/>
        <v/>
      </c>
      <c r="AI12" s="36" t="str">
        <f t="shared" si="13"/>
        <v/>
      </c>
      <c r="AJ12" s="36" t="str">
        <f t="shared" si="14"/>
        <v/>
      </c>
      <c r="AK12" s="36" t="str">
        <f t="shared" si="15"/>
        <v/>
      </c>
      <c r="AL12" s="36" t="str">
        <f t="shared" si="16"/>
        <v/>
      </c>
      <c r="AM12" s="36" t="str">
        <f t="shared" si="17"/>
        <v/>
      </c>
      <c r="AN12" s="36" t="str">
        <f t="shared" si="18"/>
        <v/>
      </c>
      <c r="AO12" s="36" t="str">
        <f t="shared" si="19"/>
        <v/>
      </c>
      <c r="AP12" s="36" t="str">
        <f t="shared" si="20"/>
        <v/>
      </c>
      <c r="AQ12" s="36" t="str">
        <f t="shared" si="21"/>
        <v/>
      </c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2"/>
      <c r="BG12" s="24"/>
      <c r="BH12" s="35" t="str">
        <f t="shared" si="22"/>
        <v/>
      </c>
      <c r="BI12" s="35" t="str">
        <f t="shared" si="23"/>
        <v/>
      </c>
      <c r="BJ12" s="11" t="str">
        <f t="shared" si="24"/>
        <v/>
      </c>
      <c r="BK12" s="11" t="str">
        <f t="shared" si="25"/>
        <v/>
      </c>
      <c r="BL12" s="11" t="str">
        <f t="shared" si="26"/>
        <v/>
      </c>
      <c r="BM12" s="11" t="str">
        <f t="shared" si="27"/>
        <v/>
      </c>
      <c r="BN12" s="11" t="str">
        <f t="shared" si="28"/>
        <v/>
      </c>
      <c r="BO12" s="11" t="str">
        <f t="shared" si="29"/>
        <v/>
      </c>
      <c r="BP12" s="11" t="str">
        <f t="shared" si="30"/>
        <v/>
      </c>
      <c r="BQ12" s="11" t="str">
        <f t="shared" si="31"/>
        <v/>
      </c>
      <c r="BR12" s="11" t="str">
        <f t="shared" si="32"/>
        <v/>
      </c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23"/>
      <c r="CI12" s="34" t="str">
        <f t="shared" si="33"/>
        <v/>
      </c>
      <c r="CJ12" s="34" t="str">
        <f t="shared" si="34"/>
        <v/>
      </c>
      <c r="CK12" s="36" t="str">
        <f t="shared" si="35"/>
        <v/>
      </c>
      <c r="CL12" s="36" t="str">
        <f t="shared" si="36"/>
        <v/>
      </c>
      <c r="CM12" s="36" t="str">
        <f t="shared" si="37"/>
        <v/>
      </c>
      <c r="CN12" s="36" t="str">
        <f t="shared" si="38"/>
        <v/>
      </c>
      <c r="CO12" s="36" t="str">
        <f t="shared" si="39"/>
        <v/>
      </c>
      <c r="CP12" s="36" t="str">
        <f t="shared" si="40"/>
        <v/>
      </c>
      <c r="CQ12" s="36" t="str">
        <f t="shared" si="41"/>
        <v/>
      </c>
      <c r="CR12" s="36" t="str">
        <f t="shared" si="42"/>
        <v/>
      </c>
      <c r="CS12" s="36" t="str">
        <f t="shared" si="43"/>
        <v/>
      </c>
      <c r="CT12" s="47">
        <f t="shared" si="44"/>
        <v>47.72</v>
      </c>
      <c r="CU12" s="15"/>
      <c r="CV12" s="15"/>
      <c r="CW12" s="15"/>
      <c r="CX12" s="15"/>
      <c r="CY12" s="15"/>
      <c r="CZ12" s="15"/>
      <c r="DA12" s="15"/>
      <c r="DB12" s="15"/>
      <c r="DC12" s="15"/>
      <c r="DD12" s="15"/>
      <c r="DE12" s="15"/>
      <c r="DF12" s="15"/>
      <c r="DG12" s="15"/>
      <c r="DH12" s="15"/>
      <c r="DI12" s="15"/>
      <c r="DJ12" s="15"/>
      <c r="DK12" s="15"/>
      <c r="DL12" s="15"/>
      <c r="DM12" s="15"/>
      <c r="DN12" s="15"/>
      <c r="DO12" s="36" t="str">
        <f t="shared" si="45"/>
        <v/>
      </c>
      <c r="DP12" s="36" t="str">
        <f t="shared" si="46"/>
        <v/>
      </c>
      <c r="DQ12" s="36" t="str">
        <f t="shared" si="47"/>
        <v/>
      </c>
      <c r="DR12" s="36" t="str">
        <f t="shared" si="48"/>
        <v/>
      </c>
      <c r="DS12" s="36" t="str">
        <f t="shared" si="49"/>
        <v/>
      </c>
      <c r="DT12" s="36" t="str">
        <f t="shared" si="50"/>
        <v/>
      </c>
      <c r="DU12" s="36" t="str">
        <f t="shared" si="51"/>
        <v/>
      </c>
      <c r="DV12" s="36" t="str">
        <f t="shared" si="52"/>
        <v/>
      </c>
      <c r="DW12" s="36" t="str">
        <f t="shared" si="53"/>
        <v/>
      </c>
      <c r="DX12" s="36" t="str">
        <f t="shared" si="54"/>
        <v/>
      </c>
      <c r="DY12" s="36" t="str">
        <f t="shared" si="55"/>
        <v/>
      </c>
      <c r="DZ12" s="36" t="str">
        <f t="shared" si="56"/>
        <v/>
      </c>
      <c r="EA12" s="36" t="str">
        <f t="shared" si="57"/>
        <v/>
      </c>
      <c r="EB12" s="36" t="str">
        <f t="shared" si="58"/>
        <v/>
      </c>
      <c r="EC12" s="16"/>
      <c r="ED12" s="16"/>
      <c r="EE12" s="16"/>
      <c r="EF12" s="16"/>
      <c r="EG12" s="16"/>
      <c r="EH12" s="16"/>
      <c r="EI12" s="16"/>
      <c r="EJ12" s="16"/>
      <c r="EK12" s="16"/>
      <c r="EL12" s="16"/>
      <c r="EM12" s="16"/>
      <c r="EN12" s="16"/>
      <c r="EO12" s="16"/>
      <c r="EP12" s="16"/>
      <c r="EQ12" s="16"/>
      <c r="ER12" s="16"/>
      <c r="ES12" s="16"/>
      <c r="ET12" s="16"/>
      <c r="EU12" s="16"/>
      <c r="EV12" s="16"/>
      <c r="EW12" s="11" t="str">
        <f t="shared" si="59"/>
        <v/>
      </c>
      <c r="EX12" s="11" t="str">
        <f t="shared" si="60"/>
        <v/>
      </c>
      <c r="EY12" s="11" t="str">
        <f t="shared" si="61"/>
        <v/>
      </c>
      <c r="EZ12" s="11" t="str">
        <f t="shared" si="62"/>
        <v/>
      </c>
      <c r="FA12" s="11" t="str">
        <f t="shared" si="63"/>
        <v/>
      </c>
      <c r="FB12" s="11" t="str">
        <f t="shared" si="64"/>
        <v/>
      </c>
      <c r="FC12" s="11" t="str">
        <f t="shared" si="65"/>
        <v/>
      </c>
      <c r="FD12" s="11" t="str">
        <f t="shared" si="66"/>
        <v/>
      </c>
      <c r="FE12" s="11" t="str">
        <f t="shared" si="67"/>
        <v/>
      </c>
      <c r="FF12" s="11" t="str">
        <f t="shared" si="68"/>
        <v/>
      </c>
      <c r="FG12" s="11" t="str">
        <f t="shared" si="69"/>
        <v/>
      </c>
      <c r="FH12" s="11" t="str">
        <f t="shared" si="70"/>
        <v/>
      </c>
      <c r="FI12" s="11" t="str">
        <f t="shared" si="71"/>
        <v/>
      </c>
      <c r="FJ12" s="11" t="str">
        <f t="shared" si="72"/>
        <v/>
      </c>
      <c r="FK12" s="15"/>
      <c r="FL12" s="15"/>
      <c r="FM12" s="15"/>
      <c r="FN12" s="15"/>
      <c r="FO12" s="15"/>
      <c r="FP12" s="15"/>
      <c r="FQ12" s="15"/>
      <c r="FR12" s="15"/>
      <c r="FS12" s="15"/>
      <c r="FT12" s="15"/>
      <c r="FU12" s="15"/>
      <c r="FV12" s="15"/>
      <c r="FW12" s="15"/>
      <c r="FX12" s="15"/>
      <c r="FY12" s="15"/>
      <c r="FZ12" s="15"/>
      <c r="GA12" s="15"/>
      <c r="GB12" s="15"/>
      <c r="GC12" s="15"/>
      <c r="GD12" s="15"/>
      <c r="GE12" s="36" t="str">
        <f t="shared" si="73"/>
        <v/>
      </c>
      <c r="GF12" s="36" t="str">
        <f t="shared" si="74"/>
        <v/>
      </c>
      <c r="GG12" s="36" t="str">
        <f t="shared" si="75"/>
        <v/>
      </c>
      <c r="GH12" s="36" t="str">
        <f t="shared" si="76"/>
        <v/>
      </c>
      <c r="GI12" s="36" t="str">
        <f t="shared" si="77"/>
        <v/>
      </c>
      <c r="GJ12" s="36" t="str">
        <f t="shared" si="78"/>
        <v/>
      </c>
      <c r="GK12" s="36" t="str">
        <f t="shared" si="79"/>
        <v/>
      </c>
      <c r="GL12" s="36" t="str">
        <f t="shared" si="80"/>
        <v/>
      </c>
      <c r="GM12" s="36" t="str">
        <f t="shared" si="81"/>
        <v/>
      </c>
      <c r="GN12" s="36" t="str">
        <f t="shared" si="82"/>
        <v/>
      </c>
      <c r="GO12" s="36" t="str">
        <f t="shared" si="83"/>
        <v/>
      </c>
      <c r="GP12" s="36" t="str">
        <f t="shared" si="84"/>
        <v/>
      </c>
      <c r="GQ12" s="36" t="str">
        <f t="shared" si="85"/>
        <v/>
      </c>
      <c r="GR12" s="36" t="str">
        <f t="shared" si="86"/>
        <v/>
      </c>
      <c r="GS12" s="16"/>
      <c r="GT12" s="16"/>
      <c r="GU12" s="16"/>
      <c r="GV12" s="16"/>
      <c r="GW12" s="16"/>
      <c r="GX12" s="16"/>
      <c r="GY12" s="16"/>
      <c r="GZ12" s="16"/>
      <c r="HA12" s="16"/>
      <c r="HB12" s="16"/>
      <c r="HC12" s="16"/>
      <c r="HD12" s="16"/>
      <c r="HE12" s="16"/>
      <c r="HF12" s="16"/>
      <c r="HG12" s="16"/>
      <c r="HH12" s="16"/>
      <c r="HI12" s="16"/>
      <c r="HJ12" s="16"/>
      <c r="HK12" s="16"/>
      <c r="HL12" s="16"/>
      <c r="HM12" s="11" t="str">
        <f t="shared" si="87"/>
        <v/>
      </c>
      <c r="HN12" s="11" t="str">
        <f t="shared" si="88"/>
        <v/>
      </c>
      <c r="HO12" s="11" t="str">
        <f t="shared" si="89"/>
        <v/>
      </c>
      <c r="HP12" s="11" t="str">
        <f t="shared" si="90"/>
        <v/>
      </c>
      <c r="HQ12" s="11" t="str">
        <f t="shared" si="91"/>
        <v/>
      </c>
      <c r="HR12" s="11" t="str">
        <f t="shared" si="92"/>
        <v/>
      </c>
      <c r="HS12" s="11" t="str">
        <f t="shared" si="93"/>
        <v/>
      </c>
      <c r="HT12" s="11" t="str">
        <f t="shared" si="94"/>
        <v/>
      </c>
      <c r="HU12" s="11" t="str">
        <f t="shared" si="95"/>
        <v/>
      </c>
      <c r="HV12" s="11" t="str">
        <f t="shared" si="96"/>
        <v/>
      </c>
      <c r="HW12" s="11" t="str">
        <f t="shared" si="97"/>
        <v/>
      </c>
      <c r="HX12" s="11" t="str">
        <f t="shared" si="98"/>
        <v/>
      </c>
      <c r="HY12" s="11" t="str">
        <f t="shared" si="99"/>
        <v/>
      </c>
      <c r="HZ12" s="11" t="str">
        <f t="shared" si="100"/>
        <v/>
      </c>
      <c r="IA12" s="15">
        <v>4.7</v>
      </c>
      <c r="IB12" s="15">
        <v>5.45</v>
      </c>
      <c r="IC12" s="15">
        <v>7.6</v>
      </c>
      <c r="ID12" s="15">
        <v>10.68</v>
      </c>
      <c r="IE12" s="15">
        <v>0</v>
      </c>
      <c r="IF12" s="15">
        <v>8.3000000000000007</v>
      </c>
      <c r="IG12" s="15">
        <v>9.3000000000000007</v>
      </c>
      <c r="IH12" s="15">
        <v>13.2</v>
      </c>
      <c r="II12" s="15">
        <v>16.920000000000002</v>
      </c>
      <c r="IJ12" s="15">
        <v>0</v>
      </c>
      <c r="IK12" s="15"/>
      <c r="IL12" s="15"/>
      <c r="IM12" s="15"/>
      <c r="IN12" s="15"/>
      <c r="IO12" s="15"/>
      <c r="IP12" s="15">
        <v>0.85</v>
      </c>
      <c r="IQ12" s="15">
        <v>0.95</v>
      </c>
      <c r="IR12" s="15">
        <v>2</v>
      </c>
      <c r="IS12" s="15">
        <v>1.76</v>
      </c>
      <c r="IT12" s="15">
        <v>0</v>
      </c>
      <c r="IU12" s="36">
        <f t="shared" si="101"/>
        <v>7.6</v>
      </c>
      <c r="IV12" s="36">
        <f t="shared" si="102"/>
        <v>10.68</v>
      </c>
      <c r="IW12" s="36">
        <f t="shared" si="103"/>
        <v>28.43</v>
      </c>
      <c r="IX12" s="36">
        <f t="shared" si="104"/>
        <v>13.2</v>
      </c>
      <c r="IY12" s="36">
        <f t="shared" si="105"/>
        <v>16.920000000000002</v>
      </c>
      <c r="IZ12" s="36">
        <f t="shared" si="106"/>
        <v>47.72</v>
      </c>
      <c r="JA12" s="36">
        <f t="shared" si="107"/>
        <v>47.72</v>
      </c>
      <c r="JB12" s="36" t="str">
        <f t="shared" si="108"/>
        <v/>
      </c>
      <c r="JC12" s="36" t="str">
        <f t="shared" si="109"/>
        <v/>
      </c>
      <c r="JD12" s="36" t="str">
        <f t="shared" si="110"/>
        <v/>
      </c>
      <c r="JE12" s="36">
        <f t="shared" si="111"/>
        <v>2</v>
      </c>
      <c r="JF12" s="36">
        <f t="shared" si="112"/>
        <v>1.76</v>
      </c>
      <c r="JG12" s="36">
        <f t="shared" si="113"/>
        <v>5.56</v>
      </c>
      <c r="JH12" s="36">
        <f t="shared" si="114"/>
        <v>53.28</v>
      </c>
      <c r="JI12" s="16"/>
      <c r="JJ12" s="16"/>
      <c r="JK12" s="16"/>
      <c r="JL12" s="16"/>
      <c r="JM12" s="16"/>
      <c r="JN12" s="16"/>
      <c r="JO12" s="16"/>
      <c r="JP12" s="16"/>
      <c r="JQ12" s="16"/>
      <c r="JR12" s="16"/>
      <c r="JS12" s="16"/>
      <c r="JT12" s="16"/>
      <c r="JU12" s="16"/>
      <c r="JV12" s="16"/>
      <c r="JW12" s="16"/>
      <c r="JX12" s="16"/>
      <c r="JY12" s="16"/>
      <c r="JZ12" s="16"/>
      <c r="KA12" s="16"/>
      <c r="KB12" s="16"/>
      <c r="KC12" s="11" t="str">
        <f t="shared" si="115"/>
        <v/>
      </c>
      <c r="KD12" s="11" t="str">
        <f t="shared" si="116"/>
        <v/>
      </c>
      <c r="KE12" s="11" t="str">
        <f t="shared" si="117"/>
        <v/>
      </c>
      <c r="KF12" s="11" t="str">
        <f t="shared" si="118"/>
        <v/>
      </c>
      <c r="KG12" s="11" t="str">
        <f t="shared" si="119"/>
        <v/>
      </c>
      <c r="KH12" s="11" t="str">
        <f t="shared" si="120"/>
        <v/>
      </c>
      <c r="KI12" s="11" t="str">
        <f t="shared" si="121"/>
        <v/>
      </c>
      <c r="KJ12" s="11" t="str">
        <f t="shared" si="122"/>
        <v/>
      </c>
      <c r="KK12" s="11" t="str">
        <f t="shared" si="123"/>
        <v/>
      </c>
      <c r="KL12" s="11" t="str">
        <f t="shared" si="124"/>
        <v/>
      </c>
      <c r="KM12" s="11" t="str">
        <f t="shared" si="125"/>
        <v/>
      </c>
      <c r="KN12" s="11" t="str">
        <f t="shared" si="126"/>
        <v/>
      </c>
      <c r="KO12" s="11" t="str">
        <f t="shared" si="127"/>
        <v/>
      </c>
      <c r="KP12" s="11" t="str">
        <f t="shared" si="128"/>
        <v/>
      </c>
      <c r="KQ12" s="15"/>
      <c r="KR12" s="15"/>
      <c r="KS12" s="15"/>
      <c r="KT12" s="15"/>
      <c r="KU12" s="15"/>
      <c r="KV12" s="15"/>
      <c r="KW12" s="15"/>
      <c r="KX12" s="15"/>
      <c r="KY12" s="15"/>
      <c r="KZ12" s="15"/>
      <c r="LA12" s="15"/>
      <c r="LB12" s="15"/>
      <c r="LC12" s="15"/>
      <c r="LD12" s="15"/>
      <c r="LE12" s="15"/>
      <c r="LF12" s="15"/>
      <c r="LG12" s="15"/>
      <c r="LH12" s="15"/>
      <c r="LI12" s="15"/>
      <c r="LJ12" s="15"/>
      <c r="LK12" s="36" t="str">
        <f t="shared" si="129"/>
        <v/>
      </c>
      <c r="LL12" s="36" t="str">
        <f t="shared" si="130"/>
        <v/>
      </c>
      <c r="LM12" s="36" t="str">
        <f t="shared" si="131"/>
        <v/>
      </c>
      <c r="LN12" s="36" t="str">
        <f t="shared" si="132"/>
        <v/>
      </c>
      <c r="LO12" s="36" t="str">
        <f t="shared" si="133"/>
        <v/>
      </c>
      <c r="LP12" s="36" t="str">
        <f t="shared" si="134"/>
        <v/>
      </c>
      <c r="LQ12" s="36" t="str">
        <f t="shared" si="135"/>
        <v/>
      </c>
      <c r="LR12" s="36" t="str">
        <f t="shared" si="136"/>
        <v/>
      </c>
      <c r="LS12" s="36" t="str">
        <f t="shared" si="137"/>
        <v/>
      </c>
      <c r="LT12" s="36" t="str">
        <f t="shared" si="138"/>
        <v/>
      </c>
      <c r="LU12" s="36" t="str">
        <f t="shared" si="139"/>
        <v/>
      </c>
      <c r="LV12" s="36" t="str">
        <f t="shared" si="140"/>
        <v/>
      </c>
      <c r="LW12" s="36" t="str">
        <f t="shared" si="141"/>
        <v/>
      </c>
      <c r="LX12" s="36" t="str">
        <f t="shared" si="142"/>
        <v/>
      </c>
      <c r="LY12" s="16"/>
      <c r="LZ12" s="16"/>
      <c r="MA12" s="16"/>
      <c r="MB12" s="16"/>
      <c r="MC12" s="16"/>
      <c r="MD12" s="16"/>
      <c r="ME12" s="16"/>
      <c r="MF12" s="16"/>
      <c r="MG12" s="16"/>
      <c r="MH12" s="16"/>
      <c r="MI12" s="16"/>
      <c r="MJ12" s="16"/>
      <c r="MK12" s="16"/>
      <c r="ML12" s="16"/>
      <c r="MM12" s="16"/>
      <c r="MN12" s="16"/>
      <c r="MO12" s="16"/>
      <c r="MP12" s="16"/>
      <c r="MQ12" s="16"/>
      <c r="MR12" s="16"/>
      <c r="MS12" s="11" t="str">
        <f t="shared" si="143"/>
        <v/>
      </c>
      <c r="MT12" s="11" t="str">
        <f t="shared" si="144"/>
        <v/>
      </c>
      <c r="MU12" s="11" t="str">
        <f t="shared" si="145"/>
        <v/>
      </c>
      <c r="MV12" s="11" t="str">
        <f t="shared" si="146"/>
        <v/>
      </c>
      <c r="MW12" s="11" t="str">
        <f t="shared" si="147"/>
        <v/>
      </c>
      <c r="MX12" s="11" t="str">
        <f t="shared" si="148"/>
        <v/>
      </c>
      <c r="MY12" s="11" t="str">
        <f t="shared" si="149"/>
        <v/>
      </c>
      <c r="MZ12" s="11" t="str">
        <f t="shared" si="150"/>
        <v/>
      </c>
      <c r="NA12" s="11" t="str">
        <f t="shared" si="151"/>
        <v/>
      </c>
      <c r="NB12" s="11" t="str">
        <f t="shared" si="152"/>
        <v/>
      </c>
      <c r="NC12" s="11" t="str">
        <f t="shared" si="153"/>
        <v/>
      </c>
      <c r="ND12" s="11" t="str">
        <f t="shared" si="154"/>
        <v/>
      </c>
      <c r="NE12" s="11" t="str">
        <f t="shared" si="155"/>
        <v/>
      </c>
      <c r="NF12" s="11" t="str">
        <f t="shared" si="156"/>
        <v/>
      </c>
      <c r="NG12" s="15"/>
      <c r="NH12" s="15"/>
      <c r="NI12" s="15"/>
      <c r="NJ12" s="15"/>
      <c r="NK12" s="15"/>
      <c r="NL12" s="15"/>
      <c r="NM12" s="15"/>
      <c r="NN12" s="15"/>
      <c r="NO12" s="15"/>
      <c r="NP12" s="15"/>
      <c r="NQ12" s="15"/>
      <c r="NR12" s="15"/>
      <c r="NS12" s="15"/>
      <c r="NT12" s="15"/>
      <c r="NU12" s="15"/>
      <c r="NV12" s="15"/>
      <c r="NW12" s="15"/>
      <c r="NX12" s="15"/>
      <c r="NY12" s="15"/>
      <c r="NZ12" s="15"/>
      <c r="OA12" s="36" t="str">
        <f t="shared" si="157"/>
        <v/>
      </c>
      <c r="OB12" s="36" t="str">
        <f t="shared" si="158"/>
        <v/>
      </c>
      <c r="OC12" s="36" t="str">
        <f t="shared" si="159"/>
        <v/>
      </c>
      <c r="OD12" s="36" t="str">
        <f t="shared" si="160"/>
        <v/>
      </c>
      <c r="OE12" s="36" t="str">
        <f t="shared" si="161"/>
        <v/>
      </c>
      <c r="OF12" s="36" t="str">
        <f t="shared" si="162"/>
        <v/>
      </c>
      <c r="OG12" s="36" t="str">
        <f t="shared" si="163"/>
        <v/>
      </c>
      <c r="OH12" s="36" t="str">
        <f t="shared" si="164"/>
        <v/>
      </c>
      <c r="OI12" s="36" t="str">
        <f t="shared" si="165"/>
        <v/>
      </c>
      <c r="OJ12" s="36" t="str">
        <f t="shared" si="166"/>
        <v/>
      </c>
      <c r="OK12" s="36" t="str">
        <f t="shared" si="167"/>
        <v/>
      </c>
      <c r="OL12" s="36" t="str">
        <f t="shared" si="168"/>
        <v/>
      </c>
      <c r="OM12" s="36" t="str">
        <f t="shared" si="169"/>
        <v/>
      </c>
      <c r="ON12" s="36" t="str">
        <f t="shared" si="170"/>
        <v/>
      </c>
      <c r="OO12" s="16"/>
      <c r="OP12" s="16"/>
      <c r="OQ12" s="16"/>
      <c r="OR12" s="16"/>
      <c r="OS12" s="16"/>
      <c r="OT12" s="16"/>
      <c r="OU12" s="16"/>
      <c r="OV12" s="16"/>
      <c r="OW12" s="16"/>
      <c r="OX12" s="16"/>
      <c r="OY12" s="16"/>
      <c r="OZ12" s="16"/>
      <c r="PA12" s="16"/>
      <c r="PB12" s="16"/>
      <c r="PC12" s="16"/>
      <c r="PD12" s="16"/>
      <c r="PE12" s="16"/>
      <c r="PF12" s="16"/>
      <c r="PG12" s="16"/>
      <c r="PH12" s="16"/>
      <c r="PI12" s="11" t="str">
        <f t="shared" si="171"/>
        <v/>
      </c>
      <c r="PJ12" s="11" t="str">
        <f t="shared" si="172"/>
        <v/>
      </c>
      <c r="PK12" s="11" t="str">
        <f t="shared" si="173"/>
        <v/>
      </c>
      <c r="PL12" s="11" t="str">
        <f t="shared" si="174"/>
        <v/>
      </c>
      <c r="PM12" s="11" t="str">
        <f t="shared" si="175"/>
        <v/>
      </c>
      <c r="PN12" s="11" t="str">
        <f t="shared" si="176"/>
        <v/>
      </c>
      <c r="PO12" s="11" t="str">
        <f t="shared" si="177"/>
        <v/>
      </c>
      <c r="PP12" s="11" t="str">
        <f t="shared" si="178"/>
        <v/>
      </c>
      <c r="PQ12" s="11" t="str">
        <f t="shared" si="179"/>
        <v/>
      </c>
      <c r="PR12" s="11" t="str">
        <f t="shared" si="180"/>
        <v/>
      </c>
      <c r="PS12" s="11" t="str">
        <f t="shared" si="181"/>
        <v/>
      </c>
      <c r="PT12" s="11" t="str">
        <f t="shared" si="182"/>
        <v/>
      </c>
      <c r="PU12" s="11" t="str">
        <f t="shared" si="183"/>
        <v/>
      </c>
      <c r="PV12" s="11" t="str">
        <f t="shared" si="184"/>
        <v/>
      </c>
      <c r="PW12" s="15"/>
      <c r="PX12" s="15"/>
      <c r="PY12" s="15"/>
      <c r="PZ12" s="15"/>
      <c r="QA12" s="15"/>
      <c r="QB12" s="15"/>
      <c r="QC12" s="15"/>
      <c r="QD12" s="15"/>
      <c r="QE12" s="15"/>
      <c r="QF12" s="15"/>
      <c r="QG12" s="15"/>
      <c r="QH12" s="15"/>
      <c r="QI12" s="15"/>
      <c r="QJ12" s="15"/>
      <c r="QK12" s="15"/>
      <c r="QL12" s="15"/>
      <c r="QM12" s="15"/>
      <c r="QN12" s="15"/>
      <c r="QO12" s="15"/>
      <c r="QP12" s="15"/>
      <c r="QQ12" s="36" t="str">
        <f t="shared" si="185"/>
        <v/>
      </c>
      <c r="QR12" s="36" t="str">
        <f t="shared" si="186"/>
        <v/>
      </c>
      <c r="QS12" s="36" t="str">
        <f t="shared" si="187"/>
        <v/>
      </c>
      <c r="QT12" s="36" t="str">
        <f t="shared" si="188"/>
        <v/>
      </c>
      <c r="QU12" s="36" t="str">
        <f t="shared" si="189"/>
        <v/>
      </c>
      <c r="QV12" s="36" t="str">
        <f t="shared" si="190"/>
        <v/>
      </c>
      <c r="QW12" s="36" t="str">
        <f t="shared" si="191"/>
        <v/>
      </c>
      <c r="QX12" s="36" t="str">
        <f t="shared" si="192"/>
        <v/>
      </c>
      <c r="QY12" s="36" t="str">
        <f t="shared" si="193"/>
        <v/>
      </c>
      <c r="QZ12" s="36" t="str">
        <f t="shared" si="194"/>
        <v/>
      </c>
      <c r="RA12" s="36" t="str">
        <f t="shared" si="195"/>
        <v/>
      </c>
      <c r="RB12" s="36" t="str">
        <f t="shared" si="196"/>
        <v/>
      </c>
      <c r="RC12" s="36" t="str">
        <f t="shared" si="197"/>
        <v/>
      </c>
      <c r="RD12" s="36" t="str">
        <f t="shared" si="198"/>
        <v/>
      </c>
      <c r="RE12" s="16"/>
      <c r="RF12" s="16"/>
      <c r="RG12" s="16"/>
      <c r="RH12" s="16"/>
      <c r="RI12" s="16"/>
      <c r="RJ12" s="16"/>
      <c r="RK12" s="16"/>
      <c r="RL12" s="16"/>
      <c r="RM12" s="16"/>
      <c r="RN12" s="16"/>
      <c r="RO12" s="16"/>
      <c r="RP12" s="16"/>
      <c r="RQ12" s="16"/>
      <c r="RR12" s="16"/>
      <c r="RS12" s="16"/>
      <c r="RT12" s="16"/>
      <c r="RU12" s="16"/>
      <c r="RV12" s="16"/>
      <c r="RW12" s="16"/>
      <c r="RX12" s="16"/>
      <c r="RY12" s="11" t="str">
        <f t="shared" si="199"/>
        <v/>
      </c>
      <c r="RZ12" s="11" t="str">
        <f t="shared" si="200"/>
        <v/>
      </c>
      <c r="SA12" s="11" t="str">
        <f t="shared" si="201"/>
        <v/>
      </c>
      <c r="SB12" s="11" t="str">
        <f t="shared" si="202"/>
        <v/>
      </c>
      <c r="SC12" s="11" t="str">
        <f t="shared" si="203"/>
        <v/>
      </c>
      <c r="SD12" s="11" t="str">
        <f t="shared" si="204"/>
        <v/>
      </c>
      <c r="SE12" s="11" t="str">
        <f t="shared" si="205"/>
        <v/>
      </c>
      <c r="SF12" s="11" t="str">
        <f t="shared" si="206"/>
        <v/>
      </c>
      <c r="SG12" s="11" t="str">
        <f t="shared" si="207"/>
        <v/>
      </c>
      <c r="SH12" s="11" t="str">
        <f t="shared" si="208"/>
        <v/>
      </c>
      <c r="SI12" s="11" t="str">
        <f t="shared" si="209"/>
        <v/>
      </c>
      <c r="SJ12" s="11" t="str">
        <f t="shared" si="210"/>
        <v/>
      </c>
      <c r="SK12" s="11" t="str">
        <f t="shared" si="211"/>
        <v/>
      </c>
      <c r="SL12" s="11" t="str">
        <f t="shared" si="212"/>
        <v/>
      </c>
      <c r="SM12" s="15"/>
      <c r="SN12" s="15"/>
      <c r="SO12" s="15"/>
      <c r="SP12" s="15"/>
      <c r="SQ12" s="15"/>
      <c r="SR12" s="15"/>
      <c r="SS12" s="15"/>
      <c r="ST12" s="15"/>
      <c r="SU12" s="15"/>
      <c r="SV12" s="15"/>
      <c r="SW12" s="15"/>
      <c r="SX12" s="15"/>
      <c r="SY12" s="15"/>
      <c r="SZ12" s="15"/>
      <c r="TA12" s="15"/>
      <c r="TB12" s="15"/>
      <c r="TC12" s="15"/>
      <c r="TD12" s="15"/>
      <c r="TE12" s="15"/>
      <c r="TF12" s="15"/>
      <c r="TG12" s="36" t="str">
        <f t="shared" si="213"/>
        <v/>
      </c>
      <c r="TH12" s="36" t="str">
        <f t="shared" si="214"/>
        <v/>
      </c>
      <c r="TI12" s="36" t="str">
        <f t="shared" si="215"/>
        <v/>
      </c>
      <c r="TJ12" s="36" t="str">
        <f t="shared" si="216"/>
        <v/>
      </c>
      <c r="TK12" s="36" t="str">
        <f t="shared" si="217"/>
        <v/>
      </c>
      <c r="TL12" s="36" t="str">
        <f t="shared" si="218"/>
        <v/>
      </c>
      <c r="TM12" s="36" t="str">
        <f t="shared" si="219"/>
        <v/>
      </c>
      <c r="TN12" s="36" t="str">
        <f t="shared" si="220"/>
        <v/>
      </c>
      <c r="TO12" s="36" t="str">
        <f t="shared" si="221"/>
        <v/>
      </c>
      <c r="TP12" s="36" t="str">
        <f t="shared" si="222"/>
        <v/>
      </c>
      <c r="TQ12" s="36" t="str">
        <f t="shared" si="223"/>
        <v/>
      </c>
      <c r="TR12" s="36" t="str">
        <f t="shared" si="224"/>
        <v/>
      </c>
      <c r="TS12" s="36" t="str">
        <f t="shared" si="225"/>
        <v/>
      </c>
      <c r="TT12" s="36" t="str">
        <f t="shared" si="226"/>
        <v/>
      </c>
      <c r="TU12" s="16"/>
      <c r="TV12" s="16"/>
      <c r="TW12" s="16"/>
      <c r="TX12" s="16"/>
      <c r="TY12" s="16"/>
      <c r="TZ12" s="16"/>
      <c r="UA12" s="16"/>
      <c r="UB12" s="16"/>
      <c r="UC12" s="16"/>
      <c r="UD12" s="16"/>
      <c r="UE12" s="16"/>
      <c r="UF12" s="16"/>
      <c r="UG12" s="16"/>
      <c r="UH12" s="16"/>
      <c r="UI12" s="16"/>
      <c r="UJ12" s="16"/>
      <c r="UK12" s="16"/>
      <c r="UL12" s="16"/>
      <c r="UM12" s="16"/>
      <c r="UN12" s="16"/>
      <c r="UO12" s="11" t="str">
        <f t="shared" si="227"/>
        <v/>
      </c>
      <c r="UP12" s="11" t="str">
        <f t="shared" si="228"/>
        <v/>
      </c>
      <c r="UQ12" s="11" t="str">
        <f t="shared" si="229"/>
        <v/>
      </c>
      <c r="UR12" s="11" t="str">
        <f t="shared" si="230"/>
        <v/>
      </c>
      <c r="US12" s="11" t="str">
        <f t="shared" si="231"/>
        <v/>
      </c>
      <c r="UT12" s="11" t="str">
        <f t="shared" si="232"/>
        <v/>
      </c>
      <c r="UU12" s="11" t="str">
        <f t="shared" si="233"/>
        <v/>
      </c>
      <c r="UV12" s="11" t="str">
        <f t="shared" si="234"/>
        <v/>
      </c>
      <c r="UW12" s="11" t="str">
        <f t="shared" si="235"/>
        <v/>
      </c>
      <c r="UX12" s="11" t="str">
        <f t="shared" si="236"/>
        <v/>
      </c>
      <c r="UY12" s="11" t="str">
        <f t="shared" si="237"/>
        <v/>
      </c>
      <c r="UZ12" s="11" t="str">
        <f t="shared" si="238"/>
        <v/>
      </c>
      <c r="VA12" s="11" t="str">
        <f t="shared" si="239"/>
        <v/>
      </c>
      <c r="VB12" s="11" t="str">
        <f t="shared" si="240"/>
        <v/>
      </c>
      <c r="VC12" s="15"/>
      <c r="VD12" s="15"/>
      <c r="VE12" s="15"/>
      <c r="VF12" s="15"/>
      <c r="VG12" s="15"/>
      <c r="VH12" s="15"/>
      <c r="VI12" s="15"/>
      <c r="VJ12" s="15"/>
      <c r="VK12" s="15"/>
      <c r="VL12" s="15"/>
      <c r="VM12" s="15"/>
      <c r="VN12" s="15"/>
      <c r="VO12" s="15"/>
      <c r="VP12" s="15"/>
      <c r="VQ12" s="15"/>
      <c r="VR12" s="15"/>
      <c r="VS12" s="15"/>
      <c r="VT12" s="15"/>
      <c r="VU12" s="15"/>
      <c r="VV12" s="15"/>
      <c r="VW12" s="36" t="str">
        <f t="shared" si="241"/>
        <v/>
      </c>
      <c r="VX12" s="36" t="str">
        <f t="shared" si="242"/>
        <v/>
      </c>
      <c r="VY12" s="36" t="str">
        <f t="shared" si="243"/>
        <v/>
      </c>
      <c r="VZ12" s="36" t="str">
        <f t="shared" si="244"/>
        <v/>
      </c>
      <c r="WA12" s="36" t="str">
        <f t="shared" si="245"/>
        <v/>
      </c>
      <c r="WB12" s="36" t="str">
        <f t="shared" si="246"/>
        <v/>
      </c>
      <c r="WC12" s="36" t="str">
        <f t="shared" si="247"/>
        <v/>
      </c>
      <c r="WD12" s="36" t="str">
        <f t="shared" si="248"/>
        <v/>
      </c>
      <c r="WE12" s="36" t="str">
        <f t="shared" si="249"/>
        <v/>
      </c>
      <c r="WF12" s="36" t="str">
        <f t="shared" si="250"/>
        <v/>
      </c>
      <c r="WG12" s="36" t="str">
        <f t="shared" si="251"/>
        <v/>
      </c>
      <c r="WH12" s="36" t="str">
        <f t="shared" si="252"/>
        <v/>
      </c>
      <c r="WI12" s="36" t="str">
        <f t="shared" si="253"/>
        <v/>
      </c>
      <c r="WJ12" s="36" t="str">
        <f t="shared" si="254"/>
        <v/>
      </c>
    </row>
    <row r="13" spans="1:608" x14ac:dyDescent="0.2">
      <c r="A13" s="4" t="str" cm="1">
        <f t="array" ref="A13">IF(AND(H13&lt;&gt;"",H13&lt;&gt;"No DD"),SUMPRODUCT((H$4:H$20&lt;&gt;"")*(H$4:H$20&lt;&gt;"No DD")*(E$4:E$20&gt;E13))+1,IF(H13="No DD",SUMPRODUCT((H$4:H$20="No DD")*(E$4:E$20&gt;E13))+1+SUMPRODUCT((H$4:H$20&lt;&gt;"")*(H$4:H$20&lt;&gt;"No DD")),""))</f>
        <v/>
      </c>
      <c r="B13" s="5" t="s">
        <v>184</v>
      </c>
      <c r="C13" s="4" t="s">
        <v>183</v>
      </c>
      <c r="D13" s="4" t="s">
        <v>181</v>
      </c>
      <c r="E13" s="9">
        <f t="shared" si="0"/>
        <v>42.86</v>
      </c>
      <c r="F13" s="3" t="str">
        <f t="shared" si="1"/>
        <v/>
      </c>
      <c r="G13" s="3" t="str">
        <f t="shared" si="2"/>
        <v/>
      </c>
      <c r="H13" s="32" t="str">
        <f t="shared" si="3"/>
        <v/>
      </c>
      <c r="I13" s="3" t="str">
        <f t="shared" si="4"/>
        <v/>
      </c>
      <c r="J13" s="8">
        <f t="shared" si="5"/>
        <v>0</v>
      </c>
      <c r="K13" s="8" t="str">
        <f t="shared" si="6"/>
        <v/>
      </c>
      <c r="L13" s="8">
        <f>IFERROR(LARGE((AI13,AL13,AP13,BJ13,BM13,BQ13,CK13,CN13,CR13),2),0)</f>
        <v>0</v>
      </c>
      <c r="M13" s="8" t="str">
        <f t="shared" si="7"/>
        <v/>
      </c>
      <c r="N13" s="8">
        <f t="shared" si="8"/>
        <v>42.86</v>
      </c>
      <c r="O13" s="11" t="str">
        <f t="shared" si="9"/>
        <v>(Any)</v>
      </c>
      <c r="P13" s="8" t="str">
        <f t="shared" si="10"/>
        <v>2025 WAGC (Nov 16)</v>
      </c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23"/>
      <c r="AG13" s="34" t="str">
        <f t="shared" si="11"/>
        <v/>
      </c>
      <c r="AH13" s="34" t="str">
        <f t="shared" si="12"/>
        <v/>
      </c>
      <c r="AI13" s="36" t="str">
        <f t="shared" si="13"/>
        <v/>
      </c>
      <c r="AJ13" s="36" t="str">
        <f t="shared" si="14"/>
        <v/>
      </c>
      <c r="AK13" s="36" t="str">
        <f t="shared" si="15"/>
        <v/>
      </c>
      <c r="AL13" s="36" t="str">
        <f t="shared" si="16"/>
        <v/>
      </c>
      <c r="AM13" s="36" t="str">
        <f t="shared" si="17"/>
        <v/>
      </c>
      <c r="AN13" s="36" t="str">
        <f t="shared" si="18"/>
        <v/>
      </c>
      <c r="AO13" s="36" t="str">
        <f t="shared" si="19"/>
        <v/>
      </c>
      <c r="AP13" s="36" t="str">
        <f t="shared" si="20"/>
        <v/>
      </c>
      <c r="AQ13" s="36" t="str">
        <f t="shared" si="21"/>
        <v/>
      </c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4"/>
      <c r="BH13" s="35" t="str">
        <f t="shared" si="22"/>
        <v/>
      </c>
      <c r="BI13" s="35" t="str">
        <f t="shared" si="23"/>
        <v/>
      </c>
      <c r="BJ13" s="11" t="str">
        <f t="shared" si="24"/>
        <v/>
      </c>
      <c r="BK13" s="11" t="str">
        <f t="shared" si="25"/>
        <v/>
      </c>
      <c r="BL13" s="11" t="str">
        <f t="shared" si="26"/>
        <v/>
      </c>
      <c r="BM13" s="11" t="str">
        <f t="shared" si="27"/>
        <v/>
      </c>
      <c r="BN13" s="11" t="str">
        <f t="shared" si="28"/>
        <v/>
      </c>
      <c r="BO13" s="11" t="str">
        <f t="shared" si="29"/>
        <v/>
      </c>
      <c r="BP13" s="11" t="str">
        <f t="shared" si="30"/>
        <v/>
      </c>
      <c r="BQ13" s="11" t="str">
        <f t="shared" si="31"/>
        <v/>
      </c>
      <c r="BR13" s="11" t="str">
        <f t="shared" si="32"/>
        <v/>
      </c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  <c r="CF13" s="18"/>
      <c r="CG13" s="18"/>
      <c r="CH13" s="23"/>
      <c r="CI13" s="34" t="str">
        <f t="shared" si="33"/>
        <v/>
      </c>
      <c r="CJ13" s="34" t="str">
        <f t="shared" si="34"/>
        <v/>
      </c>
      <c r="CK13" s="36" t="str">
        <f t="shared" si="35"/>
        <v/>
      </c>
      <c r="CL13" s="36" t="str">
        <f t="shared" si="36"/>
        <v/>
      </c>
      <c r="CM13" s="36" t="str">
        <f t="shared" si="37"/>
        <v/>
      </c>
      <c r="CN13" s="36" t="str">
        <f t="shared" si="38"/>
        <v/>
      </c>
      <c r="CO13" s="36" t="str">
        <f t="shared" si="39"/>
        <v/>
      </c>
      <c r="CP13" s="36" t="str">
        <f t="shared" si="40"/>
        <v/>
      </c>
      <c r="CQ13" s="36" t="str">
        <f t="shared" si="41"/>
        <v/>
      </c>
      <c r="CR13" s="36" t="str">
        <f t="shared" si="42"/>
        <v/>
      </c>
      <c r="CS13" s="36" t="str">
        <f t="shared" si="43"/>
        <v/>
      </c>
      <c r="CT13" s="47">
        <f t="shared" si="44"/>
        <v>42.86</v>
      </c>
      <c r="CU13" s="15"/>
      <c r="CV13" s="15"/>
      <c r="CW13" s="15"/>
      <c r="CX13" s="15"/>
      <c r="CY13" s="15"/>
      <c r="CZ13" s="15"/>
      <c r="DA13" s="15"/>
      <c r="DB13" s="15"/>
      <c r="DC13" s="15"/>
      <c r="DD13" s="15"/>
      <c r="DE13" s="15"/>
      <c r="DF13" s="15"/>
      <c r="DG13" s="15"/>
      <c r="DH13" s="15"/>
      <c r="DI13" s="15"/>
      <c r="DJ13" s="15"/>
      <c r="DK13" s="15"/>
      <c r="DL13" s="15"/>
      <c r="DM13" s="15"/>
      <c r="DN13" s="15"/>
      <c r="DO13" s="36" t="str">
        <f t="shared" si="45"/>
        <v/>
      </c>
      <c r="DP13" s="36" t="str">
        <f t="shared" si="46"/>
        <v/>
      </c>
      <c r="DQ13" s="36" t="str">
        <f t="shared" si="47"/>
        <v/>
      </c>
      <c r="DR13" s="36" t="str">
        <f t="shared" si="48"/>
        <v/>
      </c>
      <c r="DS13" s="36" t="str">
        <f t="shared" si="49"/>
        <v/>
      </c>
      <c r="DT13" s="36" t="str">
        <f t="shared" si="50"/>
        <v/>
      </c>
      <c r="DU13" s="36" t="str">
        <f t="shared" si="51"/>
        <v/>
      </c>
      <c r="DV13" s="36" t="str">
        <f t="shared" si="52"/>
        <v/>
      </c>
      <c r="DW13" s="36" t="str">
        <f t="shared" si="53"/>
        <v/>
      </c>
      <c r="DX13" s="36" t="str">
        <f t="shared" si="54"/>
        <v/>
      </c>
      <c r="DY13" s="36" t="str">
        <f t="shared" si="55"/>
        <v/>
      </c>
      <c r="DZ13" s="36" t="str">
        <f t="shared" si="56"/>
        <v/>
      </c>
      <c r="EA13" s="36" t="str">
        <f t="shared" si="57"/>
        <v/>
      </c>
      <c r="EB13" s="36" t="str">
        <f t="shared" si="58"/>
        <v/>
      </c>
      <c r="EC13" s="16"/>
      <c r="ED13" s="16"/>
      <c r="EE13" s="16"/>
      <c r="EF13" s="16"/>
      <c r="EG13" s="16"/>
      <c r="EH13" s="16"/>
      <c r="EI13" s="16"/>
      <c r="EJ13" s="16"/>
      <c r="EK13" s="16"/>
      <c r="EL13" s="16"/>
      <c r="EM13" s="16"/>
      <c r="EN13" s="16"/>
      <c r="EO13" s="16"/>
      <c r="EP13" s="16"/>
      <c r="EQ13" s="16"/>
      <c r="ER13" s="16"/>
      <c r="ES13" s="16"/>
      <c r="ET13" s="16"/>
      <c r="EU13" s="16"/>
      <c r="EV13" s="16"/>
      <c r="EW13" s="11" t="str">
        <f t="shared" si="59"/>
        <v/>
      </c>
      <c r="EX13" s="11" t="str">
        <f t="shared" si="60"/>
        <v/>
      </c>
      <c r="EY13" s="11" t="str">
        <f t="shared" si="61"/>
        <v/>
      </c>
      <c r="EZ13" s="11" t="str">
        <f t="shared" si="62"/>
        <v/>
      </c>
      <c r="FA13" s="11" t="str">
        <f t="shared" si="63"/>
        <v/>
      </c>
      <c r="FB13" s="11" t="str">
        <f t="shared" si="64"/>
        <v/>
      </c>
      <c r="FC13" s="11" t="str">
        <f t="shared" si="65"/>
        <v/>
      </c>
      <c r="FD13" s="11" t="str">
        <f t="shared" si="66"/>
        <v/>
      </c>
      <c r="FE13" s="11" t="str">
        <f t="shared" si="67"/>
        <v/>
      </c>
      <c r="FF13" s="11" t="str">
        <f t="shared" si="68"/>
        <v/>
      </c>
      <c r="FG13" s="11" t="str">
        <f t="shared" si="69"/>
        <v/>
      </c>
      <c r="FH13" s="11" t="str">
        <f t="shared" si="70"/>
        <v/>
      </c>
      <c r="FI13" s="11" t="str">
        <f t="shared" si="71"/>
        <v/>
      </c>
      <c r="FJ13" s="11" t="str">
        <f t="shared" si="72"/>
        <v/>
      </c>
      <c r="FK13" s="15"/>
      <c r="FL13" s="15"/>
      <c r="FM13" s="15"/>
      <c r="FN13" s="15"/>
      <c r="FO13" s="15"/>
      <c r="FP13" s="15"/>
      <c r="FQ13" s="15"/>
      <c r="FR13" s="15"/>
      <c r="FS13" s="15"/>
      <c r="FT13" s="15"/>
      <c r="FU13" s="15"/>
      <c r="FV13" s="15"/>
      <c r="FW13" s="15"/>
      <c r="FX13" s="15"/>
      <c r="FY13" s="15"/>
      <c r="FZ13" s="15"/>
      <c r="GA13" s="15"/>
      <c r="GB13" s="15"/>
      <c r="GC13" s="15"/>
      <c r="GD13" s="15"/>
      <c r="GE13" s="36" t="str">
        <f t="shared" si="73"/>
        <v/>
      </c>
      <c r="GF13" s="36" t="str">
        <f t="shared" si="74"/>
        <v/>
      </c>
      <c r="GG13" s="36" t="str">
        <f t="shared" si="75"/>
        <v/>
      </c>
      <c r="GH13" s="36" t="str">
        <f t="shared" si="76"/>
        <v/>
      </c>
      <c r="GI13" s="36" t="str">
        <f t="shared" si="77"/>
        <v/>
      </c>
      <c r="GJ13" s="36" t="str">
        <f t="shared" si="78"/>
        <v/>
      </c>
      <c r="GK13" s="36" t="str">
        <f t="shared" si="79"/>
        <v/>
      </c>
      <c r="GL13" s="36" t="str">
        <f t="shared" si="80"/>
        <v/>
      </c>
      <c r="GM13" s="36" t="str">
        <f t="shared" si="81"/>
        <v/>
      </c>
      <c r="GN13" s="36" t="str">
        <f t="shared" si="82"/>
        <v/>
      </c>
      <c r="GO13" s="36" t="str">
        <f t="shared" si="83"/>
        <v/>
      </c>
      <c r="GP13" s="36" t="str">
        <f t="shared" si="84"/>
        <v/>
      </c>
      <c r="GQ13" s="36" t="str">
        <f t="shared" si="85"/>
        <v/>
      </c>
      <c r="GR13" s="36" t="str">
        <f t="shared" si="86"/>
        <v/>
      </c>
      <c r="GS13" s="16"/>
      <c r="GT13" s="16"/>
      <c r="GU13" s="16"/>
      <c r="GV13" s="16"/>
      <c r="GW13" s="16"/>
      <c r="GX13" s="16"/>
      <c r="GY13" s="16"/>
      <c r="GZ13" s="16"/>
      <c r="HA13" s="16"/>
      <c r="HB13" s="16"/>
      <c r="HC13" s="16"/>
      <c r="HD13" s="16"/>
      <c r="HE13" s="16"/>
      <c r="HF13" s="16"/>
      <c r="HG13" s="16"/>
      <c r="HH13" s="16"/>
      <c r="HI13" s="16"/>
      <c r="HJ13" s="16"/>
      <c r="HK13" s="16"/>
      <c r="HL13" s="16"/>
      <c r="HM13" s="11" t="str">
        <f t="shared" si="87"/>
        <v/>
      </c>
      <c r="HN13" s="11" t="str">
        <f t="shared" si="88"/>
        <v/>
      </c>
      <c r="HO13" s="11" t="str">
        <f t="shared" si="89"/>
        <v/>
      </c>
      <c r="HP13" s="11" t="str">
        <f t="shared" si="90"/>
        <v/>
      </c>
      <c r="HQ13" s="11" t="str">
        <f t="shared" si="91"/>
        <v/>
      </c>
      <c r="HR13" s="11" t="str">
        <f t="shared" si="92"/>
        <v/>
      </c>
      <c r="HS13" s="11" t="str">
        <f t="shared" si="93"/>
        <v/>
      </c>
      <c r="HT13" s="11" t="str">
        <f t="shared" si="94"/>
        <v/>
      </c>
      <c r="HU13" s="11" t="str">
        <f t="shared" si="95"/>
        <v/>
      </c>
      <c r="HV13" s="11" t="str">
        <f t="shared" si="96"/>
        <v/>
      </c>
      <c r="HW13" s="11" t="str">
        <f t="shared" si="97"/>
        <v/>
      </c>
      <c r="HX13" s="11" t="str">
        <f t="shared" si="98"/>
        <v/>
      </c>
      <c r="HY13" s="11" t="str">
        <f t="shared" si="99"/>
        <v/>
      </c>
      <c r="HZ13" s="11" t="str">
        <f t="shared" si="100"/>
        <v/>
      </c>
      <c r="IA13" s="15"/>
      <c r="IB13" s="15"/>
      <c r="IC13" s="15"/>
      <c r="ID13" s="15"/>
      <c r="IE13" s="15"/>
      <c r="IF13" s="15"/>
      <c r="IG13" s="15"/>
      <c r="IH13" s="15"/>
      <c r="II13" s="15"/>
      <c r="IJ13" s="15"/>
      <c r="IK13" s="15"/>
      <c r="IL13" s="15"/>
      <c r="IM13" s="15"/>
      <c r="IN13" s="15"/>
      <c r="IO13" s="15"/>
      <c r="IP13" s="15"/>
      <c r="IQ13" s="15"/>
      <c r="IR13" s="15"/>
      <c r="IS13" s="15"/>
      <c r="IT13" s="15"/>
      <c r="IU13" s="36" t="str">
        <f t="shared" si="101"/>
        <v/>
      </c>
      <c r="IV13" s="36" t="str">
        <f t="shared" si="102"/>
        <v/>
      </c>
      <c r="IW13" s="36" t="str">
        <f t="shared" si="103"/>
        <v/>
      </c>
      <c r="IX13" s="36" t="str">
        <f t="shared" si="104"/>
        <v/>
      </c>
      <c r="IY13" s="36" t="str">
        <f t="shared" si="105"/>
        <v/>
      </c>
      <c r="IZ13" s="36" t="str">
        <f t="shared" si="106"/>
        <v/>
      </c>
      <c r="JA13" s="36" t="str">
        <f t="shared" si="107"/>
        <v/>
      </c>
      <c r="JB13" s="36" t="str">
        <f t="shared" si="108"/>
        <v/>
      </c>
      <c r="JC13" s="36" t="str">
        <f t="shared" si="109"/>
        <v/>
      </c>
      <c r="JD13" s="36" t="str">
        <f t="shared" si="110"/>
        <v/>
      </c>
      <c r="JE13" s="36" t="str">
        <f t="shared" si="111"/>
        <v/>
      </c>
      <c r="JF13" s="36" t="str">
        <f t="shared" si="112"/>
        <v/>
      </c>
      <c r="JG13" s="36" t="str">
        <f t="shared" si="113"/>
        <v/>
      </c>
      <c r="JH13" s="36" t="str">
        <f t="shared" si="114"/>
        <v/>
      </c>
      <c r="JI13" s="16"/>
      <c r="JJ13" s="16"/>
      <c r="JK13" s="16"/>
      <c r="JL13" s="16"/>
      <c r="JM13" s="16"/>
      <c r="JN13" s="16"/>
      <c r="JO13" s="16"/>
      <c r="JP13" s="16"/>
      <c r="JQ13" s="16"/>
      <c r="JR13" s="16"/>
      <c r="JS13" s="16"/>
      <c r="JT13" s="16"/>
      <c r="JU13" s="16"/>
      <c r="JV13" s="16"/>
      <c r="JW13" s="16"/>
      <c r="JX13" s="16"/>
      <c r="JY13" s="16"/>
      <c r="JZ13" s="16"/>
      <c r="KA13" s="16"/>
      <c r="KB13" s="16"/>
      <c r="KC13" s="11" t="str">
        <f t="shared" si="115"/>
        <v/>
      </c>
      <c r="KD13" s="11" t="str">
        <f t="shared" si="116"/>
        <v/>
      </c>
      <c r="KE13" s="11" t="str">
        <f t="shared" si="117"/>
        <v/>
      </c>
      <c r="KF13" s="11" t="str">
        <f t="shared" si="118"/>
        <v/>
      </c>
      <c r="KG13" s="11" t="str">
        <f t="shared" si="119"/>
        <v/>
      </c>
      <c r="KH13" s="11" t="str">
        <f t="shared" si="120"/>
        <v/>
      </c>
      <c r="KI13" s="11" t="str">
        <f t="shared" si="121"/>
        <v/>
      </c>
      <c r="KJ13" s="11" t="str">
        <f t="shared" si="122"/>
        <v/>
      </c>
      <c r="KK13" s="11" t="str">
        <f t="shared" si="123"/>
        <v/>
      </c>
      <c r="KL13" s="11" t="str">
        <f t="shared" si="124"/>
        <v/>
      </c>
      <c r="KM13" s="11" t="str">
        <f t="shared" si="125"/>
        <v/>
      </c>
      <c r="KN13" s="11" t="str">
        <f t="shared" si="126"/>
        <v/>
      </c>
      <c r="KO13" s="11" t="str">
        <f t="shared" si="127"/>
        <v/>
      </c>
      <c r="KP13" s="11" t="str">
        <f t="shared" si="128"/>
        <v/>
      </c>
      <c r="KQ13" s="15"/>
      <c r="KR13" s="15"/>
      <c r="KS13" s="15"/>
      <c r="KT13" s="15"/>
      <c r="KU13" s="15"/>
      <c r="KV13" s="15"/>
      <c r="KW13" s="15"/>
      <c r="KX13" s="15"/>
      <c r="KY13" s="15"/>
      <c r="KZ13" s="15"/>
      <c r="LA13" s="15"/>
      <c r="LB13" s="15"/>
      <c r="LC13" s="15"/>
      <c r="LD13" s="15"/>
      <c r="LE13" s="15"/>
      <c r="LF13" s="15"/>
      <c r="LG13" s="15"/>
      <c r="LH13" s="15"/>
      <c r="LI13" s="15"/>
      <c r="LJ13" s="15"/>
      <c r="LK13" s="36" t="str">
        <f t="shared" si="129"/>
        <v/>
      </c>
      <c r="LL13" s="36" t="str">
        <f t="shared" si="130"/>
        <v/>
      </c>
      <c r="LM13" s="36" t="str">
        <f t="shared" si="131"/>
        <v/>
      </c>
      <c r="LN13" s="36" t="str">
        <f t="shared" si="132"/>
        <v/>
      </c>
      <c r="LO13" s="36" t="str">
        <f t="shared" si="133"/>
        <v/>
      </c>
      <c r="LP13" s="36" t="str">
        <f t="shared" si="134"/>
        <v/>
      </c>
      <c r="LQ13" s="36" t="str">
        <f t="shared" si="135"/>
        <v/>
      </c>
      <c r="LR13" s="36" t="str">
        <f t="shared" si="136"/>
        <v/>
      </c>
      <c r="LS13" s="36" t="str">
        <f t="shared" si="137"/>
        <v/>
      </c>
      <c r="LT13" s="36" t="str">
        <f t="shared" si="138"/>
        <v/>
      </c>
      <c r="LU13" s="36" t="str">
        <f t="shared" si="139"/>
        <v/>
      </c>
      <c r="LV13" s="36" t="str">
        <f t="shared" si="140"/>
        <v/>
      </c>
      <c r="LW13" s="36" t="str">
        <f t="shared" si="141"/>
        <v/>
      </c>
      <c r="LX13" s="36" t="str">
        <f t="shared" si="142"/>
        <v/>
      </c>
      <c r="LY13" s="16">
        <v>7.6</v>
      </c>
      <c r="LZ13" s="16">
        <v>9.1999999999999993</v>
      </c>
      <c r="MA13" s="16">
        <v>12.7</v>
      </c>
      <c r="MB13" s="16">
        <v>13.36</v>
      </c>
      <c r="MC13" s="16">
        <v>0</v>
      </c>
      <c r="MD13" s="16"/>
      <c r="ME13" s="16"/>
      <c r="MF13" s="16"/>
      <c r="MG13" s="16"/>
      <c r="MH13" s="16"/>
      <c r="MI13" s="16"/>
      <c r="MJ13" s="16"/>
      <c r="MK13" s="16"/>
      <c r="ML13" s="16"/>
      <c r="MM13" s="16"/>
      <c r="MN13" s="16"/>
      <c r="MO13" s="16"/>
      <c r="MP13" s="16"/>
      <c r="MQ13" s="16"/>
      <c r="MR13" s="16"/>
      <c r="MS13" s="11">
        <f t="shared" si="143"/>
        <v>12.7</v>
      </c>
      <c r="MT13" s="11">
        <f t="shared" si="144"/>
        <v>13.36</v>
      </c>
      <c r="MU13" s="11">
        <f t="shared" si="145"/>
        <v>42.86</v>
      </c>
      <c r="MV13" s="11" t="str">
        <f t="shared" si="146"/>
        <v/>
      </c>
      <c r="MW13" s="11" t="str">
        <f t="shared" si="147"/>
        <v/>
      </c>
      <c r="MX13" s="11" t="str">
        <f t="shared" si="148"/>
        <v/>
      </c>
      <c r="MY13" s="11">
        <f t="shared" si="149"/>
        <v>42.86</v>
      </c>
      <c r="MZ13" s="11" t="str">
        <f t="shared" si="150"/>
        <v/>
      </c>
      <c r="NA13" s="11" t="str">
        <f t="shared" si="151"/>
        <v/>
      </c>
      <c r="NB13" s="11" t="str">
        <f t="shared" si="152"/>
        <v/>
      </c>
      <c r="NC13" s="11" t="str">
        <f t="shared" si="153"/>
        <v/>
      </c>
      <c r="ND13" s="11" t="str">
        <f t="shared" si="154"/>
        <v/>
      </c>
      <c r="NE13" s="11" t="str">
        <f t="shared" si="155"/>
        <v/>
      </c>
      <c r="NF13" s="11">
        <f t="shared" si="156"/>
        <v>42.86</v>
      </c>
      <c r="NG13" s="15"/>
      <c r="NH13" s="15"/>
      <c r="NI13" s="15"/>
      <c r="NJ13" s="15"/>
      <c r="NK13" s="15"/>
      <c r="NL13" s="15"/>
      <c r="NM13" s="15"/>
      <c r="NN13" s="15"/>
      <c r="NO13" s="15"/>
      <c r="NP13" s="15"/>
      <c r="NQ13" s="15"/>
      <c r="NR13" s="15"/>
      <c r="NS13" s="15"/>
      <c r="NT13" s="15"/>
      <c r="NU13" s="15"/>
      <c r="NV13" s="15"/>
      <c r="NW13" s="15"/>
      <c r="NX13" s="15"/>
      <c r="NY13" s="15"/>
      <c r="NZ13" s="15"/>
      <c r="OA13" s="36" t="str">
        <f t="shared" si="157"/>
        <v/>
      </c>
      <c r="OB13" s="36" t="str">
        <f t="shared" si="158"/>
        <v/>
      </c>
      <c r="OC13" s="36" t="str">
        <f t="shared" si="159"/>
        <v/>
      </c>
      <c r="OD13" s="36" t="str">
        <f t="shared" si="160"/>
        <v/>
      </c>
      <c r="OE13" s="36" t="str">
        <f t="shared" si="161"/>
        <v/>
      </c>
      <c r="OF13" s="36" t="str">
        <f t="shared" si="162"/>
        <v/>
      </c>
      <c r="OG13" s="36" t="str">
        <f t="shared" si="163"/>
        <v/>
      </c>
      <c r="OH13" s="36" t="str">
        <f t="shared" si="164"/>
        <v/>
      </c>
      <c r="OI13" s="36" t="str">
        <f t="shared" si="165"/>
        <v/>
      </c>
      <c r="OJ13" s="36" t="str">
        <f t="shared" si="166"/>
        <v/>
      </c>
      <c r="OK13" s="36" t="str">
        <f t="shared" si="167"/>
        <v/>
      </c>
      <c r="OL13" s="36" t="str">
        <f t="shared" si="168"/>
        <v/>
      </c>
      <c r="OM13" s="36" t="str">
        <f t="shared" si="169"/>
        <v/>
      </c>
      <c r="ON13" s="36" t="str">
        <f t="shared" si="170"/>
        <v/>
      </c>
      <c r="OO13" s="16"/>
      <c r="OP13" s="16"/>
      <c r="OQ13" s="16"/>
      <c r="OR13" s="16"/>
      <c r="OS13" s="16"/>
      <c r="OT13" s="16"/>
      <c r="OU13" s="16"/>
      <c r="OV13" s="16"/>
      <c r="OW13" s="16"/>
      <c r="OX13" s="16"/>
      <c r="OY13" s="16"/>
      <c r="OZ13" s="16"/>
      <c r="PA13" s="16"/>
      <c r="PB13" s="16"/>
      <c r="PC13" s="16"/>
      <c r="PD13" s="16"/>
      <c r="PE13" s="16"/>
      <c r="PF13" s="16"/>
      <c r="PG13" s="16"/>
      <c r="PH13" s="16"/>
      <c r="PI13" s="11" t="str">
        <f t="shared" si="171"/>
        <v/>
      </c>
      <c r="PJ13" s="11" t="str">
        <f t="shared" si="172"/>
        <v/>
      </c>
      <c r="PK13" s="11" t="str">
        <f t="shared" si="173"/>
        <v/>
      </c>
      <c r="PL13" s="11" t="str">
        <f t="shared" si="174"/>
        <v/>
      </c>
      <c r="PM13" s="11" t="str">
        <f t="shared" si="175"/>
        <v/>
      </c>
      <c r="PN13" s="11" t="str">
        <f t="shared" si="176"/>
        <v/>
      </c>
      <c r="PO13" s="11" t="str">
        <f t="shared" si="177"/>
        <v/>
      </c>
      <c r="PP13" s="11" t="str">
        <f t="shared" si="178"/>
        <v/>
      </c>
      <c r="PQ13" s="11" t="str">
        <f t="shared" si="179"/>
        <v/>
      </c>
      <c r="PR13" s="11" t="str">
        <f t="shared" si="180"/>
        <v/>
      </c>
      <c r="PS13" s="11" t="str">
        <f t="shared" si="181"/>
        <v/>
      </c>
      <c r="PT13" s="11" t="str">
        <f t="shared" si="182"/>
        <v/>
      </c>
      <c r="PU13" s="11" t="str">
        <f t="shared" si="183"/>
        <v/>
      </c>
      <c r="PV13" s="11" t="str">
        <f t="shared" si="184"/>
        <v/>
      </c>
      <c r="PW13" s="15"/>
      <c r="PX13" s="15"/>
      <c r="PY13" s="15"/>
      <c r="PZ13" s="15"/>
      <c r="QA13" s="15"/>
      <c r="QB13" s="15"/>
      <c r="QC13" s="15"/>
      <c r="QD13" s="15"/>
      <c r="QE13" s="15"/>
      <c r="QF13" s="15"/>
      <c r="QG13" s="15"/>
      <c r="QH13" s="15"/>
      <c r="QI13" s="15"/>
      <c r="QJ13" s="15"/>
      <c r="QK13" s="15"/>
      <c r="QL13" s="15"/>
      <c r="QM13" s="15"/>
      <c r="QN13" s="15"/>
      <c r="QO13" s="15"/>
      <c r="QP13" s="15"/>
      <c r="QQ13" s="36" t="str">
        <f t="shared" si="185"/>
        <v/>
      </c>
      <c r="QR13" s="36" t="str">
        <f t="shared" si="186"/>
        <v/>
      </c>
      <c r="QS13" s="36" t="str">
        <f t="shared" si="187"/>
        <v/>
      </c>
      <c r="QT13" s="36" t="str">
        <f t="shared" si="188"/>
        <v/>
      </c>
      <c r="QU13" s="36" t="str">
        <f t="shared" si="189"/>
        <v/>
      </c>
      <c r="QV13" s="36" t="str">
        <f t="shared" si="190"/>
        <v/>
      </c>
      <c r="QW13" s="36" t="str">
        <f t="shared" si="191"/>
        <v/>
      </c>
      <c r="QX13" s="36" t="str">
        <f t="shared" si="192"/>
        <v/>
      </c>
      <c r="QY13" s="36" t="str">
        <f t="shared" si="193"/>
        <v/>
      </c>
      <c r="QZ13" s="36" t="str">
        <f t="shared" si="194"/>
        <v/>
      </c>
      <c r="RA13" s="36" t="str">
        <f t="shared" si="195"/>
        <v/>
      </c>
      <c r="RB13" s="36" t="str">
        <f t="shared" si="196"/>
        <v/>
      </c>
      <c r="RC13" s="36" t="str">
        <f t="shared" si="197"/>
        <v/>
      </c>
      <c r="RD13" s="36" t="str">
        <f t="shared" si="198"/>
        <v/>
      </c>
      <c r="RE13" s="16"/>
      <c r="RF13" s="16"/>
      <c r="RG13" s="16"/>
      <c r="RH13" s="16"/>
      <c r="RI13" s="16"/>
      <c r="RJ13" s="16"/>
      <c r="RK13" s="16"/>
      <c r="RL13" s="16"/>
      <c r="RM13" s="16"/>
      <c r="RN13" s="16"/>
      <c r="RO13" s="16"/>
      <c r="RP13" s="16"/>
      <c r="RQ13" s="16"/>
      <c r="RR13" s="16"/>
      <c r="RS13" s="16"/>
      <c r="RT13" s="16"/>
      <c r="RU13" s="16"/>
      <c r="RV13" s="16"/>
      <c r="RW13" s="16"/>
      <c r="RX13" s="16"/>
      <c r="RY13" s="11" t="str">
        <f t="shared" si="199"/>
        <v/>
      </c>
      <c r="RZ13" s="11" t="str">
        <f t="shared" si="200"/>
        <v/>
      </c>
      <c r="SA13" s="11" t="str">
        <f t="shared" si="201"/>
        <v/>
      </c>
      <c r="SB13" s="11" t="str">
        <f t="shared" si="202"/>
        <v/>
      </c>
      <c r="SC13" s="11" t="str">
        <f t="shared" si="203"/>
        <v/>
      </c>
      <c r="SD13" s="11" t="str">
        <f t="shared" si="204"/>
        <v/>
      </c>
      <c r="SE13" s="11" t="str">
        <f t="shared" si="205"/>
        <v/>
      </c>
      <c r="SF13" s="11" t="str">
        <f t="shared" si="206"/>
        <v/>
      </c>
      <c r="SG13" s="11" t="str">
        <f t="shared" si="207"/>
        <v/>
      </c>
      <c r="SH13" s="11" t="str">
        <f t="shared" si="208"/>
        <v/>
      </c>
      <c r="SI13" s="11" t="str">
        <f t="shared" si="209"/>
        <v/>
      </c>
      <c r="SJ13" s="11" t="str">
        <f t="shared" si="210"/>
        <v/>
      </c>
      <c r="SK13" s="11" t="str">
        <f t="shared" si="211"/>
        <v/>
      </c>
      <c r="SL13" s="11" t="str">
        <f t="shared" si="212"/>
        <v/>
      </c>
      <c r="SM13" s="15"/>
      <c r="SN13" s="15"/>
      <c r="SO13" s="15"/>
      <c r="SP13" s="15"/>
      <c r="SQ13" s="15"/>
      <c r="SR13" s="15"/>
      <c r="SS13" s="15"/>
      <c r="ST13" s="15"/>
      <c r="SU13" s="15"/>
      <c r="SV13" s="15"/>
      <c r="SW13" s="15"/>
      <c r="SX13" s="15"/>
      <c r="SY13" s="15"/>
      <c r="SZ13" s="15"/>
      <c r="TA13" s="15"/>
      <c r="TB13" s="15"/>
      <c r="TC13" s="15"/>
      <c r="TD13" s="15"/>
      <c r="TE13" s="15"/>
      <c r="TF13" s="15"/>
      <c r="TG13" s="36" t="str">
        <f t="shared" si="213"/>
        <v/>
      </c>
      <c r="TH13" s="36" t="str">
        <f t="shared" si="214"/>
        <v/>
      </c>
      <c r="TI13" s="36" t="str">
        <f t="shared" si="215"/>
        <v/>
      </c>
      <c r="TJ13" s="36" t="str">
        <f t="shared" si="216"/>
        <v/>
      </c>
      <c r="TK13" s="36" t="str">
        <f t="shared" si="217"/>
        <v/>
      </c>
      <c r="TL13" s="36" t="str">
        <f t="shared" si="218"/>
        <v/>
      </c>
      <c r="TM13" s="36" t="str">
        <f t="shared" si="219"/>
        <v/>
      </c>
      <c r="TN13" s="36" t="str">
        <f t="shared" si="220"/>
        <v/>
      </c>
      <c r="TO13" s="36" t="str">
        <f t="shared" si="221"/>
        <v/>
      </c>
      <c r="TP13" s="36" t="str">
        <f t="shared" si="222"/>
        <v/>
      </c>
      <c r="TQ13" s="36" t="str">
        <f t="shared" si="223"/>
        <v/>
      </c>
      <c r="TR13" s="36" t="str">
        <f t="shared" si="224"/>
        <v/>
      </c>
      <c r="TS13" s="36" t="str">
        <f t="shared" si="225"/>
        <v/>
      </c>
      <c r="TT13" s="36" t="str">
        <f t="shared" si="226"/>
        <v/>
      </c>
      <c r="TU13" s="16"/>
      <c r="TV13" s="16"/>
      <c r="TW13" s="16"/>
      <c r="TX13" s="16"/>
      <c r="TY13" s="16"/>
      <c r="TZ13" s="16"/>
      <c r="UA13" s="16"/>
      <c r="UB13" s="16"/>
      <c r="UC13" s="16"/>
      <c r="UD13" s="16"/>
      <c r="UE13" s="16"/>
      <c r="UF13" s="16"/>
      <c r="UG13" s="16"/>
      <c r="UH13" s="16"/>
      <c r="UI13" s="16"/>
      <c r="UJ13" s="16"/>
      <c r="UK13" s="16"/>
      <c r="UL13" s="16"/>
      <c r="UM13" s="16"/>
      <c r="UN13" s="16"/>
      <c r="UO13" s="11" t="str">
        <f t="shared" si="227"/>
        <v/>
      </c>
      <c r="UP13" s="11" t="str">
        <f t="shared" si="228"/>
        <v/>
      </c>
      <c r="UQ13" s="11" t="str">
        <f t="shared" si="229"/>
        <v/>
      </c>
      <c r="UR13" s="11" t="str">
        <f t="shared" si="230"/>
        <v/>
      </c>
      <c r="US13" s="11" t="str">
        <f t="shared" si="231"/>
        <v/>
      </c>
      <c r="UT13" s="11" t="str">
        <f t="shared" si="232"/>
        <v/>
      </c>
      <c r="UU13" s="11" t="str">
        <f t="shared" si="233"/>
        <v/>
      </c>
      <c r="UV13" s="11" t="str">
        <f t="shared" si="234"/>
        <v/>
      </c>
      <c r="UW13" s="11" t="str">
        <f t="shared" si="235"/>
        <v/>
      </c>
      <c r="UX13" s="11" t="str">
        <f t="shared" si="236"/>
        <v/>
      </c>
      <c r="UY13" s="11" t="str">
        <f t="shared" si="237"/>
        <v/>
      </c>
      <c r="UZ13" s="11" t="str">
        <f t="shared" si="238"/>
        <v/>
      </c>
      <c r="VA13" s="11" t="str">
        <f t="shared" si="239"/>
        <v/>
      </c>
      <c r="VB13" s="11" t="str">
        <f t="shared" si="240"/>
        <v/>
      </c>
      <c r="VC13" s="15"/>
      <c r="VD13" s="15"/>
      <c r="VE13" s="15"/>
      <c r="VF13" s="15"/>
      <c r="VG13" s="15"/>
      <c r="VH13" s="15"/>
      <c r="VI13" s="15"/>
      <c r="VJ13" s="15"/>
      <c r="VK13" s="15"/>
      <c r="VL13" s="15"/>
      <c r="VM13" s="15"/>
      <c r="VN13" s="15"/>
      <c r="VO13" s="15"/>
      <c r="VP13" s="15"/>
      <c r="VQ13" s="15"/>
      <c r="VR13" s="15"/>
      <c r="VS13" s="15"/>
      <c r="VT13" s="15"/>
      <c r="VU13" s="15"/>
      <c r="VV13" s="15"/>
      <c r="VW13" s="36" t="str">
        <f t="shared" si="241"/>
        <v/>
      </c>
      <c r="VX13" s="36" t="str">
        <f t="shared" si="242"/>
        <v/>
      </c>
      <c r="VY13" s="36" t="str">
        <f t="shared" si="243"/>
        <v/>
      </c>
      <c r="VZ13" s="36" t="str">
        <f t="shared" si="244"/>
        <v/>
      </c>
      <c r="WA13" s="36" t="str">
        <f t="shared" si="245"/>
        <v/>
      </c>
      <c r="WB13" s="36" t="str">
        <f t="shared" si="246"/>
        <v/>
      </c>
      <c r="WC13" s="36" t="str">
        <f t="shared" si="247"/>
        <v/>
      </c>
      <c r="WD13" s="36" t="str">
        <f t="shared" si="248"/>
        <v/>
      </c>
      <c r="WE13" s="36" t="str">
        <f t="shared" si="249"/>
        <v/>
      </c>
      <c r="WF13" s="36" t="str">
        <f t="shared" si="250"/>
        <v/>
      </c>
      <c r="WG13" s="36" t="str">
        <f t="shared" si="251"/>
        <v/>
      </c>
      <c r="WH13" s="36" t="str">
        <f t="shared" si="252"/>
        <v/>
      </c>
      <c r="WI13" s="36" t="str">
        <f t="shared" si="253"/>
        <v/>
      </c>
      <c r="WJ13" s="36" t="str">
        <f t="shared" si="254"/>
        <v/>
      </c>
    </row>
    <row r="14" spans="1:608" x14ac:dyDescent="0.2">
      <c r="A14" s="4" t="str" cm="1">
        <f t="array" ref="A14">IF(AND(H14&lt;&gt;"",H14&lt;&gt;"No DD"),SUMPRODUCT((H$4:H$20&lt;&gt;"")*(H$4:H$20&lt;&gt;"No DD")*(E$4:E$20&gt;E14))+1,IF(H14="No DD",SUMPRODUCT((H$4:H$20="No DD")*(E$4:E$20&gt;E14))+1+SUMPRODUCT((H$4:H$20&lt;&gt;"")*(H$4:H$20&lt;&gt;"No DD")),""))</f>
        <v/>
      </c>
      <c r="B14" s="5" t="s">
        <v>97</v>
      </c>
      <c r="C14" s="4" t="s">
        <v>7</v>
      </c>
      <c r="D14" s="4" t="s">
        <v>96</v>
      </c>
      <c r="E14" s="9">
        <f t="shared" si="0"/>
        <v>42.2</v>
      </c>
      <c r="F14" s="3" t="str">
        <f t="shared" si="1"/>
        <v/>
      </c>
      <c r="G14" s="3" t="str">
        <f t="shared" si="2"/>
        <v/>
      </c>
      <c r="H14" s="32" t="str">
        <f t="shared" si="3"/>
        <v/>
      </c>
      <c r="I14" s="3" t="str">
        <f t="shared" si="4"/>
        <v/>
      </c>
      <c r="J14" s="8">
        <f t="shared" si="5"/>
        <v>0</v>
      </c>
      <c r="K14" s="8" t="str">
        <f t="shared" si="6"/>
        <v/>
      </c>
      <c r="L14" s="8">
        <f>IFERROR(LARGE((AI14,AL14,AP14,BJ14,BM14,BQ14,CK14,CN14,CR14),2),0)</f>
        <v>0</v>
      </c>
      <c r="M14" s="8" t="str">
        <f t="shared" si="7"/>
        <v/>
      </c>
      <c r="N14" s="8">
        <f t="shared" si="8"/>
        <v>42.2</v>
      </c>
      <c r="O14" s="11" t="str">
        <f t="shared" si="9"/>
        <v>(Any)</v>
      </c>
      <c r="P14" s="8" t="str">
        <f t="shared" si="10"/>
        <v>2025 World Cup ITA (April 5)</v>
      </c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23"/>
      <c r="AG14" s="34" t="str">
        <f t="shared" si="11"/>
        <v/>
      </c>
      <c r="AH14" s="34" t="str">
        <f t="shared" si="12"/>
        <v/>
      </c>
      <c r="AI14" s="36" t="str">
        <f t="shared" si="13"/>
        <v/>
      </c>
      <c r="AJ14" s="36" t="str">
        <f t="shared" si="14"/>
        <v/>
      </c>
      <c r="AK14" s="36" t="str">
        <f t="shared" si="15"/>
        <v/>
      </c>
      <c r="AL14" s="36" t="str">
        <f t="shared" si="16"/>
        <v/>
      </c>
      <c r="AM14" s="36" t="str">
        <f t="shared" si="17"/>
        <v/>
      </c>
      <c r="AN14" s="36" t="str">
        <f t="shared" si="18"/>
        <v/>
      </c>
      <c r="AO14" s="36" t="str">
        <f t="shared" si="19"/>
        <v/>
      </c>
      <c r="AP14" s="36" t="str">
        <f t="shared" si="20"/>
        <v/>
      </c>
      <c r="AQ14" s="36" t="str">
        <f t="shared" si="21"/>
        <v/>
      </c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4"/>
      <c r="BH14" s="35" t="str">
        <f t="shared" si="22"/>
        <v/>
      </c>
      <c r="BI14" s="35" t="str">
        <f t="shared" si="23"/>
        <v/>
      </c>
      <c r="BJ14" s="11" t="str">
        <f t="shared" si="24"/>
        <v/>
      </c>
      <c r="BK14" s="11" t="str">
        <f t="shared" si="25"/>
        <v/>
      </c>
      <c r="BL14" s="11" t="str">
        <f t="shared" si="26"/>
        <v/>
      </c>
      <c r="BM14" s="11" t="str">
        <f t="shared" si="27"/>
        <v/>
      </c>
      <c r="BN14" s="11" t="str">
        <f t="shared" si="28"/>
        <v/>
      </c>
      <c r="BO14" s="11" t="str">
        <f t="shared" si="29"/>
        <v/>
      </c>
      <c r="BP14" s="11" t="str">
        <f t="shared" si="30"/>
        <v/>
      </c>
      <c r="BQ14" s="11" t="str">
        <f t="shared" si="31"/>
        <v/>
      </c>
      <c r="BR14" s="11" t="str">
        <f t="shared" si="32"/>
        <v/>
      </c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23"/>
      <c r="CI14" s="34" t="str">
        <f t="shared" si="33"/>
        <v/>
      </c>
      <c r="CJ14" s="34" t="str">
        <f t="shared" si="34"/>
        <v/>
      </c>
      <c r="CK14" s="36" t="str">
        <f t="shared" si="35"/>
        <v/>
      </c>
      <c r="CL14" s="36" t="str">
        <f t="shared" si="36"/>
        <v/>
      </c>
      <c r="CM14" s="36" t="str">
        <f t="shared" si="37"/>
        <v/>
      </c>
      <c r="CN14" s="36" t="str">
        <f t="shared" si="38"/>
        <v/>
      </c>
      <c r="CO14" s="36" t="str">
        <f t="shared" si="39"/>
        <v/>
      </c>
      <c r="CP14" s="36" t="str">
        <f t="shared" si="40"/>
        <v/>
      </c>
      <c r="CQ14" s="36" t="str">
        <f t="shared" si="41"/>
        <v/>
      </c>
      <c r="CR14" s="36" t="str">
        <f t="shared" si="42"/>
        <v/>
      </c>
      <c r="CS14" s="36" t="str">
        <f t="shared" si="43"/>
        <v/>
      </c>
      <c r="CT14" s="47">
        <f t="shared" si="44"/>
        <v>42.2</v>
      </c>
      <c r="CU14" s="15">
        <v>6.6</v>
      </c>
      <c r="CV14" s="15">
        <v>8.3000000000000007</v>
      </c>
      <c r="CW14" s="15">
        <v>12.6</v>
      </c>
      <c r="CX14" s="15">
        <v>14.7</v>
      </c>
      <c r="CY14" s="15">
        <v>0</v>
      </c>
      <c r="CZ14" s="15">
        <v>2.15</v>
      </c>
      <c r="DA14" s="15">
        <v>2.8</v>
      </c>
      <c r="DB14" s="15">
        <v>4.8</v>
      </c>
      <c r="DC14" s="15">
        <v>4.96</v>
      </c>
      <c r="DD14" s="15">
        <v>0</v>
      </c>
      <c r="DE14" s="15"/>
      <c r="DF14" s="15"/>
      <c r="DG14" s="15"/>
      <c r="DH14" s="15"/>
      <c r="DI14" s="15"/>
      <c r="DJ14" s="15"/>
      <c r="DK14" s="15"/>
      <c r="DL14" s="15"/>
      <c r="DM14" s="15"/>
      <c r="DN14" s="15"/>
      <c r="DO14" s="36">
        <f t="shared" si="45"/>
        <v>12.6</v>
      </c>
      <c r="DP14" s="36">
        <f t="shared" si="46"/>
        <v>14.7</v>
      </c>
      <c r="DQ14" s="36">
        <f t="shared" si="47"/>
        <v>42.2</v>
      </c>
      <c r="DR14" s="36">
        <f t="shared" si="48"/>
        <v>4.8</v>
      </c>
      <c r="DS14" s="36">
        <f t="shared" si="49"/>
        <v>4.96</v>
      </c>
      <c r="DT14" s="36">
        <f t="shared" si="50"/>
        <v>14.71</v>
      </c>
      <c r="DU14" s="36">
        <f t="shared" si="51"/>
        <v>42.2</v>
      </c>
      <c r="DV14" s="36" t="str">
        <f t="shared" si="52"/>
        <v/>
      </c>
      <c r="DW14" s="36" t="str">
        <f t="shared" si="53"/>
        <v/>
      </c>
      <c r="DX14" s="36" t="str">
        <f t="shared" si="54"/>
        <v/>
      </c>
      <c r="DY14" s="36" t="str">
        <f t="shared" si="55"/>
        <v/>
      </c>
      <c r="DZ14" s="36" t="str">
        <f t="shared" si="56"/>
        <v/>
      </c>
      <c r="EA14" s="36" t="str">
        <f t="shared" si="57"/>
        <v/>
      </c>
      <c r="EB14" s="36">
        <f t="shared" si="58"/>
        <v>42.2</v>
      </c>
      <c r="EC14" s="16"/>
      <c r="ED14" s="16"/>
      <c r="EE14" s="16"/>
      <c r="EF14" s="16"/>
      <c r="EG14" s="16"/>
      <c r="EH14" s="16"/>
      <c r="EI14" s="16"/>
      <c r="EJ14" s="16"/>
      <c r="EK14" s="16"/>
      <c r="EL14" s="16"/>
      <c r="EM14" s="16"/>
      <c r="EN14" s="16"/>
      <c r="EO14" s="16"/>
      <c r="EP14" s="16"/>
      <c r="EQ14" s="16"/>
      <c r="ER14" s="16"/>
      <c r="ES14" s="16"/>
      <c r="ET14" s="16"/>
      <c r="EU14" s="16"/>
      <c r="EV14" s="16"/>
      <c r="EW14" s="11" t="str">
        <f t="shared" si="59"/>
        <v/>
      </c>
      <c r="EX14" s="11" t="str">
        <f t="shared" si="60"/>
        <v/>
      </c>
      <c r="EY14" s="11" t="str">
        <f t="shared" si="61"/>
        <v/>
      </c>
      <c r="EZ14" s="11" t="str">
        <f t="shared" si="62"/>
        <v/>
      </c>
      <c r="FA14" s="11" t="str">
        <f t="shared" si="63"/>
        <v/>
      </c>
      <c r="FB14" s="11" t="str">
        <f t="shared" si="64"/>
        <v/>
      </c>
      <c r="FC14" s="11" t="str">
        <f t="shared" si="65"/>
        <v/>
      </c>
      <c r="FD14" s="11" t="str">
        <f t="shared" si="66"/>
        <v/>
      </c>
      <c r="FE14" s="11" t="str">
        <f t="shared" si="67"/>
        <v/>
      </c>
      <c r="FF14" s="11" t="str">
        <f t="shared" si="68"/>
        <v/>
      </c>
      <c r="FG14" s="11" t="str">
        <f t="shared" si="69"/>
        <v/>
      </c>
      <c r="FH14" s="11" t="str">
        <f t="shared" si="70"/>
        <v/>
      </c>
      <c r="FI14" s="11" t="str">
        <f t="shared" si="71"/>
        <v/>
      </c>
      <c r="FJ14" s="11" t="str">
        <f t="shared" si="72"/>
        <v/>
      </c>
      <c r="FK14" s="15"/>
      <c r="FL14" s="15"/>
      <c r="FM14" s="15"/>
      <c r="FN14" s="15"/>
      <c r="FO14" s="15"/>
      <c r="FP14" s="15"/>
      <c r="FQ14" s="15"/>
      <c r="FR14" s="15"/>
      <c r="FS14" s="15"/>
      <c r="FT14" s="15"/>
      <c r="FU14" s="15"/>
      <c r="FV14" s="15"/>
      <c r="FW14" s="15"/>
      <c r="FX14" s="15"/>
      <c r="FY14" s="15"/>
      <c r="FZ14" s="15"/>
      <c r="GA14" s="15"/>
      <c r="GB14" s="15"/>
      <c r="GC14" s="15"/>
      <c r="GD14" s="15"/>
      <c r="GE14" s="36" t="str">
        <f t="shared" si="73"/>
        <v/>
      </c>
      <c r="GF14" s="36" t="str">
        <f t="shared" si="74"/>
        <v/>
      </c>
      <c r="GG14" s="36" t="str">
        <f t="shared" si="75"/>
        <v/>
      </c>
      <c r="GH14" s="36" t="str">
        <f t="shared" si="76"/>
        <v/>
      </c>
      <c r="GI14" s="36" t="str">
        <f t="shared" si="77"/>
        <v/>
      </c>
      <c r="GJ14" s="36" t="str">
        <f t="shared" si="78"/>
        <v/>
      </c>
      <c r="GK14" s="36" t="str">
        <f t="shared" si="79"/>
        <v/>
      </c>
      <c r="GL14" s="36" t="str">
        <f t="shared" si="80"/>
        <v/>
      </c>
      <c r="GM14" s="36" t="str">
        <f t="shared" si="81"/>
        <v/>
      </c>
      <c r="GN14" s="36" t="str">
        <f t="shared" si="82"/>
        <v/>
      </c>
      <c r="GO14" s="36" t="str">
        <f t="shared" si="83"/>
        <v/>
      </c>
      <c r="GP14" s="36" t="str">
        <f t="shared" si="84"/>
        <v/>
      </c>
      <c r="GQ14" s="36" t="str">
        <f t="shared" si="85"/>
        <v/>
      </c>
      <c r="GR14" s="36" t="str">
        <f t="shared" si="86"/>
        <v/>
      </c>
      <c r="GS14" s="16"/>
      <c r="GT14" s="16"/>
      <c r="GU14" s="16"/>
      <c r="GV14" s="16"/>
      <c r="GW14" s="16"/>
      <c r="GX14" s="16"/>
      <c r="GY14" s="16"/>
      <c r="GZ14" s="16"/>
      <c r="HA14" s="16"/>
      <c r="HB14" s="16"/>
      <c r="HC14" s="16"/>
      <c r="HD14" s="16"/>
      <c r="HE14" s="16"/>
      <c r="HF14" s="16"/>
      <c r="HG14" s="16"/>
      <c r="HH14" s="16"/>
      <c r="HI14" s="16"/>
      <c r="HJ14" s="16"/>
      <c r="HK14" s="16"/>
      <c r="HL14" s="16"/>
      <c r="HM14" s="11" t="str">
        <f t="shared" si="87"/>
        <v/>
      </c>
      <c r="HN14" s="11" t="str">
        <f t="shared" si="88"/>
        <v/>
      </c>
      <c r="HO14" s="11" t="str">
        <f t="shared" si="89"/>
        <v/>
      </c>
      <c r="HP14" s="11" t="str">
        <f t="shared" si="90"/>
        <v/>
      </c>
      <c r="HQ14" s="11" t="str">
        <f t="shared" si="91"/>
        <v/>
      </c>
      <c r="HR14" s="11" t="str">
        <f t="shared" si="92"/>
        <v/>
      </c>
      <c r="HS14" s="11" t="str">
        <f t="shared" si="93"/>
        <v/>
      </c>
      <c r="HT14" s="11" t="str">
        <f t="shared" si="94"/>
        <v/>
      </c>
      <c r="HU14" s="11" t="str">
        <f t="shared" si="95"/>
        <v/>
      </c>
      <c r="HV14" s="11" t="str">
        <f t="shared" si="96"/>
        <v/>
      </c>
      <c r="HW14" s="11" t="str">
        <f t="shared" si="97"/>
        <v/>
      </c>
      <c r="HX14" s="11" t="str">
        <f t="shared" si="98"/>
        <v/>
      </c>
      <c r="HY14" s="11" t="str">
        <f t="shared" si="99"/>
        <v/>
      </c>
      <c r="HZ14" s="11" t="str">
        <f t="shared" si="100"/>
        <v/>
      </c>
      <c r="IA14" s="15"/>
      <c r="IB14" s="15"/>
      <c r="IC14" s="15"/>
      <c r="ID14" s="15"/>
      <c r="IE14" s="15"/>
      <c r="IF14" s="15"/>
      <c r="IG14" s="15"/>
      <c r="IH14" s="15"/>
      <c r="II14" s="15"/>
      <c r="IJ14" s="15"/>
      <c r="IK14" s="15"/>
      <c r="IL14" s="15"/>
      <c r="IM14" s="15"/>
      <c r="IN14" s="15"/>
      <c r="IO14" s="15"/>
      <c r="IP14" s="15"/>
      <c r="IQ14" s="15"/>
      <c r="IR14" s="15"/>
      <c r="IS14" s="15"/>
      <c r="IT14" s="15"/>
      <c r="IU14" s="36" t="str">
        <f t="shared" si="101"/>
        <v/>
      </c>
      <c r="IV14" s="36" t="str">
        <f t="shared" si="102"/>
        <v/>
      </c>
      <c r="IW14" s="36" t="str">
        <f t="shared" si="103"/>
        <v/>
      </c>
      <c r="IX14" s="36" t="str">
        <f t="shared" si="104"/>
        <v/>
      </c>
      <c r="IY14" s="36" t="str">
        <f t="shared" si="105"/>
        <v/>
      </c>
      <c r="IZ14" s="36" t="str">
        <f t="shared" si="106"/>
        <v/>
      </c>
      <c r="JA14" s="36" t="str">
        <f t="shared" si="107"/>
        <v/>
      </c>
      <c r="JB14" s="36" t="str">
        <f t="shared" si="108"/>
        <v/>
      </c>
      <c r="JC14" s="36" t="str">
        <f t="shared" si="109"/>
        <v/>
      </c>
      <c r="JD14" s="36" t="str">
        <f t="shared" si="110"/>
        <v/>
      </c>
      <c r="JE14" s="36" t="str">
        <f t="shared" si="111"/>
        <v/>
      </c>
      <c r="JF14" s="36" t="str">
        <f t="shared" si="112"/>
        <v/>
      </c>
      <c r="JG14" s="36" t="str">
        <f t="shared" si="113"/>
        <v/>
      </c>
      <c r="JH14" s="36" t="str">
        <f t="shared" si="114"/>
        <v/>
      </c>
      <c r="JI14" s="16"/>
      <c r="JJ14" s="16"/>
      <c r="JK14" s="16"/>
      <c r="JL14" s="16"/>
      <c r="JM14" s="16"/>
      <c r="JN14" s="16"/>
      <c r="JO14" s="16"/>
      <c r="JP14" s="16"/>
      <c r="JQ14" s="16"/>
      <c r="JR14" s="16"/>
      <c r="JS14" s="16"/>
      <c r="JT14" s="16"/>
      <c r="JU14" s="16"/>
      <c r="JV14" s="16"/>
      <c r="JW14" s="16"/>
      <c r="JX14" s="16"/>
      <c r="JY14" s="16"/>
      <c r="JZ14" s="16"/>
      <c r="KA14" s="16"/>
      <c r="KB14" s="16"/>
      <c r="KC14" s="11" t="str">
        <f t="shared" si="115"/>
        <v/>
      </c>
      <c r="KD14" s="11" t="str">
        <f t="shared" si="116"/>
        <v/>
      </c>
      <c r="KE14" s="11" t="str">
        <f t="shared" si="117"/>
        <v/>
      </c>
      <c r="KF14" s="11" t="str">
        <f t="shared" si="118"/>
        <v/>
      </c>
      <c r="KG14" s="11" t="str">
        <f t="shared" si="119"/>
        <v/>
      </c>
      <c r="KH14" s="11" t="str">
        <f t="shared" si="120"/>
        <v/>
      </c>
      <c r="KI14" s="11" t="str">
        <f t="shared" si="121"/>
        <v/>
      </c>
      <c r="KJ14" s="11" t="str">
        <f t="shared" si="122"/>
        <v/>
      </c>
      <c r="KK14" s="11" t="str">
        <f t="shared" si="123"/>
        <v/>
      </c>
      <c r="KL14" s="11" t="str">
        <f t="shared" si="124"/>
        <v/>
      </c>
      <c r="KM14" s="11" t="str">
        <f t="shared" si="125"/>
        <v/>
      </c>
      <c r="KN14" s="11" t="str">
        <f t="shared" si="126"/>
        <v/>
      </c>
      <c r="KO14" s="11" t="str">
        <f t="shared" si="127"/>
        <v/>
      </c>
      <c r="KP14" s="11" t="str">
        <f t="shared" si="128"/>
        <v/>
      </c>
      <c r="KQ14" s="15"/>
      <c r="KR14" s="15"/>
      <c r="KS14" s="15"/>
      <c r="KT14" s="15"/>
      <c r="KU14" s="15"/>
      <c r="KV14" s="15"/>
      <c r="KW14" s="15"/>
      <c r="KX14" s="15"/>
      <c r="KY14" s="15"/>
      <c r="KZ14" s="15"/>
      <c r="LA14" s="15"/>
      <c r="LB14" s="15"/>
      <c r="LC14" s="15"/>
      <c r="LD14" s="15"/>
      <c r="LE14" s="15"/>
      <c r="LF14" s="15"/>
      <c r="LG14" s="15"/>
      <c r="LH14" s="15"/>
      <c r="LI14" s="15"/>
      <c r="LJ14" s="15"/>
      <c r="LK14" s="36" t="str">
        <f t="shared" si="129"/>
        <v/>
      </c>
      <c r="LL14" s="36" t="str">
        <f t="shared" si="130"/>
        <v/>
      </c>
      <c r="LM14" s="36" t="str">
        <f t="shared" si="131"/>
        <v/>
      </c>
      <c r="LN14" s="36" t="str">
        <f t="shared" si="132"/>
        <v/>
      </c>
      <c r="LO14" s="36" t="str">
        <f t="shared" si="133"/>
        <v/>
      </c>
      <c r="LP14" s="36" t="str">
        <f t="shared" si="134"/>
        <v/>
      </c>
      <c r="LQ14" s="36" t="str">
        <f t="shared" si="135"/>
        <v/>
      </c>
      <c r="LR14" s="36" t="str">
        <f t="shared" si="136"/>
        <v/>
      </c>
      <c r="LS14" s="36" t="str">
        <f t="shared" si="137"/>
        <v/>
      </c>
      <c r="LT14" s="36" t="str">
        <f t="shared" si="138"/>
        <v/>
      </c>
      <c r="LU14" s="36" t="str">
        <f t="shared" si="139"/>
        <v/>
      </c>
      <c r="LV14" s="36" t="str">
        <f t="shared" si="140"/>
        <v/>
      </c>
      <c r="LW14" s="36" t="str">
        <f t="shared" si="141"/>
        <v/>
      </c>
      <c r="LX14" s="36" t="str">
        <f t="shared" si="142"/>
        <v/>
      </c>
      <c r="LY14" s="16"/>
      <c r="LZ14" s="16"/>
      <c r="MA14" s="16"/>
      <c r="MB14" s="16"/>
      <c r="MC14" s="16"/>
      <c r="MD14" s="16"/>
      <c r="ME14" s="16"/>
      <c r="MF14" s="16"/>
      <c r="MG14" s="16"/>
      <c r="MH14" s="16"/>
      <c r="MI14" s="16"/>
      <c r="MJ14" s="16"/>
      <c r="MK14" s="16"/>
      <c r="ML14" s="16"/>
      <c r="MM14" s="16"/>
      <c r="MN14" s="16"/>
      <c r="MO14" s="16"/>
      <c r="MP14" s="16"/>
      <c r="MQ14" s="16"/>
      <c r="MR14" s="16"/>
      <c r="MS14" s="11" t="str">
        <f t="shared" si="143"/>
        <v/>
      </c>
      <c r="MT14" s="11" t="str">
        <f t="shared" si="144"/>
        <v/>
      </c>
      <c r="MU14" s="11" t="str">
        <f t="shared" si="145"/>
        <v/>
      </c>
      <c r="MV14" s="11" t="str">
        <f t="shared" si="146"/>
        <v/>
      </c>
      <c r="MW14" s="11" t="str">
        <f t="shared" si="147"/>
        <v/>
      </c>
      <c r="MX14" s="11" t="str">
        <f t="shared" si="148"/>
        <v/>
      </c>
      <c r="MY14" s="11" t="str">
        <f t="shared" si="149"/>
        <v/>
      </c>
      <c r="MZ14" s="11" t="str">
        <f t="shared" si="150"/>
        <v/>
      </c>
      <c r="NA14" s="11" t="str">
        <f t="shared" si="151"/>
        <v/>
      </c>
      <c r="NB14" s="11" t="str">
        <f t="shared" si="152"/>
        <v/>
      </c>
      <c r="NC14" s="11" t="str">
        <f t="shared" si="153"/>
        <v/>
      </c>
      <c r="ND14" s="11" t="str">
        <f t="shared" si="154"/>
        <v/>
      </c>
      <c r="NE14" s="11" t="str">
        <f t="shared" si="155"/>
        <v/>
      </c>
      <c r="NF14" s="11" t="str">
        <f t="shared" si="156"/>
        <v/>
      </c>
      <c r="NG14" s="15"/>
      <c r="NH14" s="15"/>
      <c r="NI14" s="15"/>
      <c r="NJ14" s="15"/>
      <c r="NK14" s="15"/>
      <c r="NL14" s="15"/>
      <c r="NM14" s="15"/>
      <c r="NN14" s="15"/>
      <c r="NO14" s="15"/>
      <c r="NP14" s="15"/>
      <c r="NQ14" s="15"/>
      <c r="NR14" s="15"/>
      <c r="NS14" s="15"/>
      <c r="NT14" s="15"/>
      <c r="NU14" s="15"/>
      <c r="NV14" s="15"/>
      <c r="NW14" s="15"/>
      <c r="NX14" s="15"/>
      <c r="NY14" s="15"/>
      <c r="NZ14" s="15"/>
      <c r="OA14" s="36" t="str">
        <f t="shared" si="157"/>
        <v/>
      </c>
      <c r="OB14" s="36" t="str">
        <f t="shared" si="158"/>
        <v/>
      </c>
      <c r="OC14" s="36" t="str">
        <f t="shared" si="159"/>
        <v/>
      </c>
      <c r="OD14" s="36" t="str">
        <f t="shared" si="160"/>
        <v/>
      </c>
      <c r="OE14" s="36" t="str">
        <f t="shared" si="161"/>
        <v/>
      </c>
      <c r="OF14" s="36" t="str">
        <f t="shared" si="162"/>
        <v/>
      </c>
      <c r="OG14" s="36" t="str">
        <f t="shared" si="163"/>
        <v/>
      </c>
      <c r="OH14" s="36" t="str">
        <f t="shared" si="164"/>
        <v/>
      </c>
      <c r="OI14" s="36" t="str">
        <f t="shared" si="165"/>
        <v/>
      </c>
      <c r="OJ14" s="36" t="str">
        <f t="shared" si="166"/>
        <v/>
      </c>
      <c r="OK14" s="36" t="str">
        <f t="shared" si="167"/>
        <v/>
      </c>
      <c r="OL14" s="36" t="str">
        <f t="shared" si="168"/>
        <v/>
      </c>
      <c r="OM14" s="36" t="str">
        <f t="shared" si="169"/>
        <v/>
      </c>
      <c r="ON14" s="36" t="str">
        <f t="shared" si="170"/>
        <v/>
      </c>
      <c r="OO14" s="16"/>
      <c r="OP14" s="16"/>
      <c r="OQ14" s="16"/>
      <c r="OR14" s="16"/>
      <c r="OS14" s="16"/>
      <c r="OT14" s="16"/>
      <c r="OU14" s="16"/>
      <c r="OV14" s="16"/>
      <c r="OW14" s="16"/>
      <c r="OX14" s="16"/>
      <c r="OY14" s="16"/>
      <c r="OZ14" s="16"/>
      <c r="PA14" s="16"/>
      <c r="PB14" s="16"/>
      <c r="PC14" s="16"/>
      <c r="PD14" s="16"/>
      <c r="PE14" s="16"/>
      <c r="PF14" s="16"/>
      <c r="PG14" s="16"/>
      <c r="PH14" s="16"/>
      <c r="PI14" s="11" t="str">
        <f t="shared" si="171"/>
        <v/>
      </c>
      <c r="PJ14" s="11" t="str">
        <f t="shared" si="172"/>
        <v/>
      </c>
      <c r="PK14" s="11" t="str">
        <f t="shared" si="173"/>
        <v/>
      </c>
      <c r="PL14" s="11" t="str">
        <f t="shared" si="174"/>
        <v/>
      </c>
      <c r="PM14" s="11" t="str">
        <f t="shared" si="175"/>
        <v/>
      </c>
      <c r="PN14" s="11" t="str">
        <f t="shared" si="176"/>
        <v/>
      </c>
      <c r="PO14" s="11" t="str">
        <f t="shared" si="177"/>
        <v/>
      </c>
      <c r="PP14" s="11" t="str">
        <f t="shared" si="178"/>
        <v/>
      </c>
      <c r="PQ14" s="11" t="str">
        <f t="shared" si="179"/>
        <v/>
      </c>
      <c r="PR14" s="11" t="str">
        <f t="shared" si="180"/>
        <v/>
      </c>
      <c r="PS14" s="11" t="str">
        <f t="shared" si="181"/>
        <v/>
      </c>
      <c r="PT14" s="11" t="str">
        <f t="shared" si="182"/>
        <v/>
      </c>
      <c r="PU14" s="11" t="str">
        <f t="shared" si="183"/>
        <v/>
      </c>
      <c r="PV14" s="11" t="str">
        <f t="shared" si="184"/>
        <v/>
      </c>
      <c r="PW14" s="15"/>
      <c r="PX14" s="15"/>
      <c r="PY14" s="15"/>
      <c r="PZ14" s="15"/>
      <c r="QA14" s="15"/>
      <c r="QB14" s="15"/>
      <c r="QC14" s="15"/>
      <c r="QD14" s="15"/>
      <c r="QE14" s="15"/>
      <c r="QF14" s="15"/>
      <c r="QG14" s="15"/>
      <c r="QH14" s="15"/>
      <c r="QI14" s="15"/>
      <c r="QJ14" s="15"/>
      <c r="QK14" s="15"/>
      <c r="QL14" s="15"/>
      <c r="QM14" s="15"/>
      <c r="QN14" s="15"/>
      <c r="QO14" s="15"/>
      <c r="QP14" s="15"/>
      <c r="QQ14" s="36" t="str">
        <f t="shared" si="185"/>
        <v/>
      </c>
      <c r="QR14" s="36" t="str">
        <f t="shared" si="186"/>
        <v/>
      </c>
      <c r="QS14" s="36" t="str">
        <f t="shared" si="187"/>
        <v/>
      </c>
      <c r="QT14" s="36" t="str">
        <f t="shared" si="188"/>
        <v/>
      </c>
      <c r="QU14" s="36" t="str">
        <f t="shared" si="189"/>
        <v/>
      </c>
      <c r="QV14" s="36" t="str">
        <f t="shared" si="190"/>
        <v/>
      </c>
      <c r="QW14" s="36" t="str">
        <f t="shared" si="191"/>
        <v/>
      </c>
      <c r="QX14" s="36" t="str">
        <f t="shared" si="192"/>
        <v/>
      </c>
      <c r="QY14" s="36" t="str">
        <f t="shared" si="193"/>
        <v/>
      </c>
      <c r="QZ14" s="36" t="str">
        <f t="shared" si="194"/>
        <v/>
      </c>
      <c r="RA14" s="36" t="str">
        <f t="shared" si="195"/>
        <v/>
      </c>
      <c r="RB14" s="36" t="str">
        <f t="shared" si="196"/>
        <v/>
      </c>
      <c r="RC14" s="36" t="str">
        <f t="shared" si="197"/>
        <v/>
      </c>
      <c r="RD14" s="36" t="str">
        <f t="shared" si="198"/>
        <v/>
      </c>
      <c r="RE14" s="16"/>
      <c r="RF14" s="16"/>
      <c r="RG14" s="16"/>
      <c r="RH14" s="16"/>
      <c r="RI14" s="16"/>
      <c r="RJ14" s="16"/>
      <c r="RK14" s="16"/>
      <c r="RL14" s="16"/>
      <c r="RM14" s="16"/>
      <c r="RN14" s="16"/>
      <c r="RO14" s="16"/>
      <c r="RP14" s="16"/>
      <c r="RQ14" s="16"/>
      <c r="RR14" s="16"/>
      <c r="RS14" s="16"/>
      <c r="RT14" s="16"/>
      <c r="RU14" s="16"/>
      <c r="RV14" s="16"/>
      <c r="RW14" s="16"/>
      <c r="RX14" s="16"/>
      <c r="RY14" s="11" t="str">
        <f t="shared" si="199"/>
        <v/>
      </c>
      <c r="RZ14" s="11" t="str">
        <f t="shared" si="200"/>
        <v/>
      </c>
      <c r="SA14" s="11" t="str">
        <f t="shared" si="201"/>
        <v/>
      </c>
      <c r="SB14" s="11" t="str">
        <f t="shared" si="202"/>
        <v/>
      </c>
      <c r="SC14" s="11" t="str">
        <f t="shared" si="203"/>
        <v/>
      </c>
      <c r="SD14" s="11" t="str">
        <f t="shared" si="204"/>
        <v/>
      </c>
      <c r="SE14" s="11" t="str">
        <f t="shared" si="205"/>
        <v/>
      </c>
      <c r="SF14" s="11" t="str">
        <f t="shared" si="206"/>
        <v/>
      </c>
      <c r="SG14" s="11" t="str">
        <f t="shared" si="207"/>
        <v/>
      </c>
      <c r="SH14" s="11" t="str">
        <f t="shared" si="208"/>
        <v/>
      </c>
      <c r="SI14" s="11" t="str">
        <f t="shared" si="209"/>
        <v/>
      </c>
      <c r="SJ14" s="11" t="str">
        <f t="shared" si="210"/>
        <v/>
      </c>
      <c r="SK14" s="11" t="str">
        <f t="shared" si="211"/>
        <v/>
      </c>
      <c r="SL14" s="11" t="str">
        <f t="shared" si="212"/>
        <v/>
      </c>
      <c r="SM14" s="15"/>
      <c r="SN14" s="15"/>
      <c r="SO14" s="15"/>
      <c r="SP14" s="15"/>
      <c r="SQ14" s="15"/>
      <c r="SR14" s="15"/>
      <c r="SS14" s="15"/>
      <c r="ST14" s="15"/>
      <c r="SU14" s="15"/>
      <c r="SV14" s="15"/>
      <c r="SW14" s="15"/>
      <c r="SX14" s="15"/>
      <c r="SY14" s="15"/>
      <c r="SZ14" s="15"/>
      <c r="TA14" s="15"/>
      <c r="TB14" s="15"/>
      <c r="TC14" s="15"/>
      <c r="TD14" s="15"/>
      <c r="TE14" s="15"/>
      <c r="TF14" s="15"/>
      <c r="TG14" s="36" t="str">
        <f t="shared" si="213"/>
        <v/>
      </c>
      <c r="TH14" s="36" t="str">
        <f t="shared" si="214"/>
        <v/>
      </c>
      <c r="TI14" s="36" t="str">
        <f t="shared" si="215"/>
        <v/>
      </c>
      <c r="TJ14" s="36" t="str">
        <f t="shared" si="216"/>
        <v/>
      </c>
      <c r="TK14" s="36" t="str">
        <f t="shared" si="217"/>
        <v/>
      </c>
      <c r="TL14" s="36" t="str">
        <f t="shared" si="218"/>
        <v/>
      </c>
      <c r="TM14" s="36" t="str">
        <f t="shared" si="219"/>
        <v/>
      </c>
      <c r="TN14" s="36" t="str">
        <f t="shared" si="220"/>
        <v/>
      </c>
      <c r="TO14" s="36" t="str">
        <f t="shared" si="221"/>
        <v/>
      </c>
      <c r="TP14" s="36" t="str">
        <f t="shared" si="222"/>
        <v/>
      </c>
      <c r="TQ14" s="36" t="str">
        <f t="shared" si="223"/>
        <v/>
      </c>
      <c r="TR14" s="36" t="str">
        <f t="shared" si="224"/>
        <v/>
      </c>
      <c r="TS14" s="36" t="str">
        <f t="shared" si="225"/>
        <v/>
      </c>
      <c r="TT14" s="36" t="str">
        <f t="shared" si="226"/>
        <v/>
      </c>
      <c r="TU14" s="16"/>
      <c r="TV14" s="16"/>
      <c r="TW14" s="16"/>
      <c r="TX14" s="16"/>
      <c r="TY14" s="16"/>
      <c r="TZ14" s="16"/>
      <c r="UA14" s="16"/>
      <c r="UB14" s="16"/>
      <c r="UC14" s="16"/>
      <c r="UD14" s="16"/>
      <c r="UE14" s="16"/>
      <c r="UF14" s="16"/>
      <c r="UG14" s="16"/>
      <c r="UH14" s="16"/>
      <c r="UI14" s="16"/>
      <c r="UJ14" s="16"/>
      <c r="UK14" s="16"/>
      <c r="UL14" s="16"/>
      <c r="UM14" s="16"/>
      <c r="UN14" s="16"/>
      <c r="UO14" s="11" t="str">
        <f t="shared" si="227"/>
        <v/>
      </c>
      <c r="UP14" s="11" t="str">
        <f t="shared" si="228"/>
        <v/>
      </c>
      <c r="UQ14" s="11" t="str">
        <f t="shared" si="229"/>
        <v/>
      </c>
      <c r="UR14" s="11" t="str">
        <f t="shared" si="230"/>
        <v/>
      </c>
      <c r="US14" s="11" t="str">
        <f t="shared" si="231"/>
        <v/>
      </c>
      <c r="UT14" s="11" t="str">
        <f t="shared" si="232"/>
        <v/>
      </c>
      <c r="UU14" s="11" t="str">
        <f t="shared" si="233"/>
        <v/>
      </c>
      <c r="UV14" s="11" t="str">
        <f t="shared" si="234"/>
        <v/>
      </c>
      <c r="UW14" s="11" t="str">
        <f t="shared" si="235"/>
        <v/>
      </c>
      <c r="UX14" s="11" t="str">
        <f t="shared" si="236"/>
        <v/>
      </c>
      <c r="UY14" s="11" t="str">
        <f t="shared" si="237"/>
        <v/>
      </c>
      <c r="UZ14" s="11" t="str">
        <f t="shared" si="238"/>
        <v/>
      </c>
      <c r="VA14" s="11" t="str">
        <f t="shared" si="239"/>
        <v/>
      </c>
      <c r="VB14" s="11" t="str">
        <f t="shared" si="240"/>
        <v/>
      </c>
      <c r="VC14" s="15"/>
      <c r="VD14" s="15"/>
      <c r="VE14" s="15"/>
      <c r="VF14" s="15"/>
      <c r="VG14" s="15"/>
      <c r="VH14" s="15"/>
      <c r="VI14" s="15"/>
      <c r="VJ14" s="15"/>
      <c r="VK14" s="15"/>
      <c r="VL14" s="15"/>
      <c r="VM14" s="15"/>
      <c r="VN14" s="15"/>
      <c r="VO14" s="15"/>
      <c r="VP14" s="15"/>
      <c r="VQ14" s="15"/>
      <c r="VR14" s="15"/>
      <c r="VS14" s="15"/>
      <c r="VT14" s="15"/>
      <c r="VU14" s="15"/>
      <c r="VV14" s="15"/>
      <c r="VW14" s="36" t="str">
        <f t="shared" si="241"/>
        <v/>
      </c>
      <c r="VX14" s="36" t="str">
        <f t="shared" si="242"/>
        <v/>
      </c>
      <c r="VY14" s="36" t="str">
        <f t="shared" si="243"/>
        <v/>
      </c>
      <c r="VZ14" s="36" t="str">
        <f t="shared" si="244"/>
        <v/>
      </c>
      <c r="WA14" s="36" t="str">
        <f t="shared" si="245"/>
        <v/>
      </c>
      <c r="WB14" s="36" t="str">
        <f t="shared" si="246"/>
        <v/>
      </c>
      <c r="WC14" s="36" t="str">
        <f t="shared" si="247"/>
        <v/>
      </c>
      <c r="WD14" s="36" t="str">
        <f t="shared" si="248"/>
        <v/>
      </c>
      <c r="WE14" s="36" t="str">
        <f t="shared" si="249"/>
        <v/>
      </c>
      <c r="WF14" s="36" t="str">
        <f t="shared" si="250"/>
        <v/>
      </c>
      <c r="WG14" s="36" t="str">
        <f t="shared" si="251"/>
        <v/>
      </c>
      <c r="WH14" s="36" t="str">
        <f t="shared" si="252"/>
        <v/>
      </c>
      <c r="WI14" s="36" t="str">
        <f t="shared" si="253"/>
        <v/>
      </c>
      <c r="WJ14" s="36" t="str">
        <f t="shared" si="254"/>
        <v/>
      </c>
    </row>
    <row r="15" spans="1:608" x14ac:dyDescent="0.2">
      <c r="A15" s="4" t="str" cm="1">
        <f t="array" ref="A15">IF(AND(H15&lt;&gt;"",H15&lt;&gt;"No DD"),SUMPRODUCT((H$4:H$20&lt;&gt;"")*(H$4:H$20&lt;&gt;"No DD")*(E$4:E$20&gt;E15))+1,IF(H15="No DD",SUMPRODUCT((H$4:H$20="No DD")*(E$4:E$20&gt;E15))+1+SUMPRODUCT((H$4:H$20&lt;&gt;"")*(H$4:H$20&lt;&gt;"No DD")),""))</f>
        <v/>
      </c>
      <c r="B15" s="5" t="s">
        <v>153</v>
      </c>
      <c r="C15" s="4" t="s">
        <v>143</v>
      </c>
      <c r="D15" s="4" t="s">
        <v>154</v>
      </c>
      <c r="E15" s="9">
        <f t="shared" si="0"/>
        <v>39.010000000000005</v>
      </c>
      <c r="F15" s="3" t="str">
        <f t="shared" si="1"/>
        <v/>
      </c>
      <c r="G15" s="3" t="str">
        <f t="shared" si="2"/>
        <v/>
      </c>
      <c r="H15" s="32" t="str">
        <f t="shared" si="3"/>
        <v/>
      </c>
      <c r="I15" s="3" t="str">
        <f t="shared" si="4"/>
        <v/>
      </c>
      <c r="J15" s="8">
        <f t="shared" si="5"/>
        <v>0</v>
      </c>
      <c r="K15" s="8" t="str">
        <f t="shared" si="6"/>
        <v/>
      </c>
      <c r="L15" s="8">
        <f>IFERROR(LARGE((AI15,AL15,AP15,BJ15,BM15,BQ15,CK15,CN15,CR15),2),0)</f>
        <v>0</v>
      </c>
      <c r="M15" s="8" t="str">
        <f t="shared" si="7"/>
        <v/>
      </c>
      <c r="N15" s="8">
        <f t="shared" si="8"/>
        <v>39.010000000000005</v>
      </c>
      <c r="O15" s="11" t="str">
        <f t="shared" si="9"/>
        <v>(Any)</v>
      </c>
      <c r="P15" s="8" t="str">
        <f t="shared" si="10"/>
        <v>2025 World Cup POR (July 6)</v>
      </c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23"/>
      <c r="AG15" s="34" t="str">
        <f t="shared" si="11"/>
        <v/>
      </c>
      <c r="AH15" s="34" t="str">
        <f t="shared" si="12"/>
        <v/>
      </c>
      <c r="AI15" s="36" t="str">
        <f t="shared" si="13"/>
        <v/>
      </c>
      <c r="AJ15" s="36" t="str">
        <f t="shared" si="14"/>
        <v/>
      </c>
      <c r="AK15" s="36" t="str">
        <f t="shared" si="15"/>
        <v/>
      </c>
      <c r="AL15" s="36" t="str">
        <f t="shared" si="16"/>
        <v/>
      </c>
      <c r="AM15" s="36" t="str">
        <f t="shared" si="17"/>
        <v/>
      </c>
      <c r="AN15" s="36" t="str">
        <f t="shared" si="18"/>
        <v/>
      </c>
      <c r="AO15" s="36" t="str">
        <f t="shared" si="19"/>
        <v/>
      </c>
      <c r="AP15" s="36" t="str">
        <f t="shared" si="20"/>
        <v/>
      </c>
      <c r="AQ15" s="36" t="str">
        <f t="shared" si="21"/>
        <v/>
      </c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4"/>
      <c r="BH15" s="35" t="str">
        <f t="shared" si="22"/>
        <v/>
      </c>
      <c r="BI15" s="35" t="str">
        <f t="shared" si="23"/>
        <v/>
      </c>
      <c r="BJ15" s="11" t="str">
        <f t="shared" si="24"/>
        <v/>
      </c>
      <c r="BK15" s="11" t="str">
        <f t="shared" si="25"/>
        <v/>
      </c>
      <c r="BL15" s="11" t="str">
        <f t="shared" si="26"/>
        <v/>
      </c>
      <c r="BM15" s="11" t="str">
        <f t="shared" si="27"/>
        <v/>
      </c>
      <c r="BN15" s="11" t="str">
        <f t="shared" si="28"/>
        <v/>
      </c>
      <c r="BO15" s="11" t="str">
        <f t="shared" si="29"/>
        <v/>
      </c>
      <c r="BP15" s="11" t="str">
        <f t="shared" si="30"/>
        <v/>
      </c>
      <c r="BQ15" s="11" t="str">
        <f t="shared" si="31"/>
        <v/>
      </c>
      <c r="BR15" s="11" t="str">
        <f t="shared" si="32"/>
        <v/>
      </c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  <c r="CF15" s="18"/>
      <c r="CG15" s="18"/>
      <c r="CH15" s="23"/>
      <c r="CI15" s="34" t="str">
        <f t="shared" si="33"/>
        <v/>
      </c>
      <c r="CJ15" s="34" t="str">
        <f t="shared" si="34"/>
        <v/>
      </c>
      <c r="CK15" s="36" t="str">
        <f t="shared" si="35"/>
        <v/>
      </c>
      <c r="CL15" s="36" t="str">
        <f t="shared" si="36"/>
        <v/>
      </c>
      <c r="CM15" s="36" t="str">
        <f t="shared" si="37"/>
        <v/>
      </c>
      <c r="CN15" s="36" t="str">
        <f t="shared" si="38"/>
        <v/>
      </c>
      <c r="CO15" s="36" t="str">
        <f t="shared" si="39"/>
        <v/>
      </c>
      <c r="CP15" s="36" t="str">
        <f t="shared" si="40"/>
        <v/>
      </c>
      <c r="CQ15" s="36" t="str">
        <f t="shared" si="41"/>
        <v/>
      </c>
      <c r="CR15" s="36" t="str">
        <f t="shared" si="42"/>
        <v/>
      </c>
      <c r="CS15" s="36" t="str">
        <f t="shared" si="43"/>
        <v/>
      </c>
      <c r="CT15" s="47">
        <f t="shared" si="44"/>
        <v>39.010000000000005</v>
      </c>
      <c r="CU15" s="15"/>
      <c r="CV15" s="15"/>
      <c r="CW15" s="15"/>
      <c r="CX15" s="15"/>
      <c r="CY15" s="15"/>
      <c r="CZ15" s="15"/>
      <c r="DA15" s="15"/>
      <c r="DB15" s="15"/>
      <c r="DC15" s="15"/>
      <c r="DD15" s="15"/>
      <c r="DE15" s="15"/>
      <c r="DF15" s="15"/>
      <c r="DG15" s="15"/>
      <c r="DH15" s="15"/>
      <c r="DI15" s="15"/>
      <c r="DJ15" s="15"/>
      <c r="DK15" s="15"/>
      <c r="DL15" s="15"/>
      <c r="DM15" s="15"/>
      <c r="DN15" s="15"/>
      <c r="DO15" s="36" t="str">
        <f t="shared" si="45"/>
        <v/>
      </c>
      <c r="DP15" s="36" t="str">
        <f t="shared" si="46"/>
        <v/>
      </c>
      <c r="DQ15" s="36" t="str">
        <f t="shared" si="47"/>
        <v/>
      </c>
      <c r="DR15" s="36" t="str">
        <f t="shared" si="48"/>
        <v/>
      </c>
      <c r="DS15" s="36" t="str">
        <f t="shared" si="49"/>
        <v/>
      </c>
      <c r="DT15" s="36" t="str">
        <f t="shared" si="50"/>
        <v/>
      </c>
      <c r="DU15" s="36" t="str">
        <f t="shared" si="51"/>
        <v/>
      </c>
      <c r="DV15" s="36" t="str">
        <f t="shared" si="52"/>
        <v/>
      </c>
      <c r="DW15" s="36" t="str">
        <f t="shared" si="53"/>
        <v/>
      </c>
      <c r="DX15" s="36" t="str">
        <f t="shared" si="54"/>
        <v/>
      </c>
      <c r="DY15" s="36" t="str">
        <f t="shared" si="55"/>
        <v/>
      </c>
      <c r="DZ15" s="36" t="str">
        <f t="shared" si="56"/>
        <v/>
      </c>
      <c r="EA15" s="36" t="str">
        <f t="shared" si="57"/>
        <v/>
      </c>
      <c r="EB15" s="36" t="str">
        <f t="shared" si="58"/>
        <v/>
      </c>
      <c r="EC15" s="16"/>
      <c r="ED15" s="16"/>
      <c r="EE15" s="16"/>
      <c r="EF15" s="16"/>
      <c r="EG15" s="16"/>
      <c r="EH15" s="16"/>
      <c r="EI15" s="16"/>
      <c r="EJ15" s="16"/>
      <c r="EK15" s="16"/>
      <c r="EL15" s="16"/>
      <c r="EM15" s="16"/>
      <c r="EN15" s="16"/>
      <c r="EO15" s="16"/>
      <c r="EP15" s="16"/>
      <c r="EQ15" s="16"/>
      <c r="ER15" s="16"/>
      <c r="ES15" s="16"/>
      <c r="ET15" s="16"/>
      <c r="EU15" s="16"/>
      <c r="EV15" s="16"/>
      <c r="EW15" s="11" t="str">
        <f t="shared" si="59"/>
        <v/>
      </c>
      <c r="EX15" s="11" t="str">
        <f t="shared" si="60"/>
        <v/>
      </c>
      <c r="EY15" s="11" t="str">
        <f t="shared" si="61"/>
        <v/>
      </c>
      <c r="EZ15" s="11" t="str">
        <f t="shared" si="62"/>
        <v/>
      </c>
      <c r="FA15" s="11" t="str">
        <f t="shared" si="63"/>
        <v/>
      </c>
      <c r="FB15" s="11" t="str">
        <f t="shared" si="64"/>
        <v/>
      </c>
      <c r="FC15" s="11" t="str">
        <f t="shared" si="65"/>
        <v/>
      </c>
      <c r="FD15" s="11" t="str">
        <f t="shared" si="66"/>
        <v/>
      </c>
      <c r="FE15" s="11" t="str">
        <f t="shared" si="67"/>
        <v/>
      </c>
      <c r="FF15" s="11" t="str">
        <f t="shared" si="68"/>
        <v/>
      </c>
      <c r="FG15" s="11" t="str">
        <f t="shared" si="69"/>
        <v/>
      </c>
      <c r="FH15" s="11" t="str">
        <f t="shared" si="70"/>
        <v/>
      </c>
      <c r="FI15" s="11" t="str">
        <f t="shared" si="71"/>
        <v/>
      </c>
      <c r="FJ15" s="11" t="str">
        <f t="shared" si="72"/>
        <v/>
      </c>
      <c r="FK15" s="15">
        <v>5.95</v>
      </c>
      <c r="FL15" s="15">
        <v>7.4</v>
      </c>
      <c r="FM15" s="15">
        <v>12.3</v>
      </c>
      <c r="FN15" s="15">
        <v>13.36</v>
      </c>
      <c r="FO15" s="15">
        <v>0</v>
      </c>
      <c r="FP15" s="15">
        <v>1.6</v>
      </c>
      <c r="FQ15" s="15">
        <v>1.85</v>
      </c>
      <c r="FR15" s="15">
        <v>3.5</v>
      </c>
      <c r="FS15" s="15">
        <v>3.06</v>
      </c>
      <c r="FT15" s="15">
        <v>0</v>
      </c>
      <c r="FU15" s="15"/>
      <c r="FV15" s="15"/>
      <c r="FW15" s="15"/>
      <c r="FX15" s="15"/>
      <c r="FY15" s="15"/>
      <c r="FZ15" s="15"/>
      <c r="GA15" s="15"/>
      <c r="GB15" s="15"/>
      <c r="GC15" s="15"/>
      <c r="GD15" s="15"/>
      <c r="GE15" s="36">
        <f t="shared" si="73"/>
        <v>12.3</v>
      </c>
      <c r="GF15" s="36">
        <f t="shared" si="74"/>
        <v>13.36</v>
      </c>
      <c r="GG15" s="36">
        <f t="shared" si="75"/>
        <v>39.010000000000005</v>
      </c>
      <c r="GH15" s="36">
        <f t="shared" si="76"/>
        <v>3.5</v>
      </c>
      <c r="GI15" s="36">
        <f t="shared" si="77"/>
        <v>3.06</v>
      </c>
      <c r="GJ15" s="36">
        <f t="shared" si="78"/>
        <v>10.01</v>
      </c>
      <c r="GK15" s="36">
        <f t="shared" si="79"/>
        <v>39.010000000000005</v>
      </c>
      <c r="GL15" s="36" t="str">
        <f t="shared" si="80"/>
        <v/>
      </c>
      <c r="GM15" s="36" t="str">
        <f t="shared" si="81"/>
        <v/>
      </c>
      <c r="GN15" s="36" t="str">
        <f t="shared" si="82"/>
        <v/>
      </c>
      <c r="GO15" s="36" t="str">
        <f t="shared" si="83"/>
        <v/>
      </c>
      <c r="GP15" s="36" t="str">
        <f t="shared" si="84"/>
        <v/>
      </c>
      <c r="GQ15" s="36" t="str">
        <f t="shared" si="85"/>
        <v/>
      </c>
      <c r="GR15" s="36">
        <f t="shared" si="86"/>
        <v>39.010000000000005</v>
      </c>
      <c r="GS15" s="16"/>
      <c r="GT15" s="16"/>
      <c r="GU15" s="16"/>
      <c r="GV15" s="16"/>
      <c r="GW15" s="16"/>
      <c r="GX15" s="16"/>
      <c r="GY15" s="16"/>
      <c r="GZ15" s="16"/>
      <c r="HA15" s="16"/>
      <c r="HB15" s="16"/>
      <c r="HC15" s="16"/>
      <c r="HD15" s="16"/>
      <c r="HE15" s="16"/>
      <c r="HF15" s="16"/>
      <c r="HG15" s="16"/>
      <c r="HH15" s="16"/>
      <c r="HI15" s="16"/>
      <c r="HJ15" s="16"/>
      <c r="HK15" s="16"/>
      <c r="HL15" s="16"/>
      <c r="HM15" s="11" t="str">
        <f t="shared" si="87"/>
        <v/>
      </c>
      <c r="HN15" s="11" t="str">
        <f t="shared" si="88"/>
        <v/>
      </c>
      <c r="HO15" s="11" t="str">
        <f t="shared" si="89"/>
        <v/>
      </c>
      <c r="HP15" s="11" t="str">
        <f t="shared" si="90"/>
        <v/>
      </c>
      <c r="HQ15" s="11" t="str">
        <f t="shared" si="91"/>
        <v/>
      </c>
      <c r="HR15" s="11" t="str">
        <f t="shared" si="92"/>
        <v/>
      </c>
      <c r="HS15" s="11" t="str">
        <f t="shared" si="93"/>
        <v/>
      </c>
      <c r="HT15" s="11" t="str">
        <f t="shared" si="94"/>
        <v/>
      </c>
      <c r="HU15" s="11" t="str">
        <f t="shared" si="95"/>
        <v/>
      </c>
      <c r="HV15" s="11" t="str">
        <f t="shared" si="96"/>
        <v/>
      </c>
      <c r="HW15" s="11" t="str">
        <f t="shared" si="97"/>
        <v/>
      </c>
      <c r="HX15" s="11" t="str">
        <f t="shared" si="98"/>
        <v/>
      </c>
      <c r="HY15" s="11" t="str">
        <f t="shared" si="99"/>
        <v/>
      </c>
      <c r="HZ15" s="11" t="str">
        <f t="shared" si="100"/>
        <v/>
      </c>
      <c r="IA15" s="15"/>
      <c r="IB15" s="15"/>
      <c r="IC15" s="15"/>
      <c r="ID15" s="15"/>
      <c r="IE15" s="15"/>
      <c r="IF15" s="15"/>
      <c r="IG15" s="15"/>
      <c r="IH15" s="15"/>
      <c r="II15" s="15"/>
      <c r="IJ15" s="15"/>
      <c r="IK15" s="15"/>
      <c r="IL15" s="15"/>
      <c r="IM15" s="15"/>
      <c r="IN15" s="15"/>
      <c r="IO15" s="15"/>
      <c r="IP15" s="15"/>
      <c r="IQ15" s="15"/>
      <c r="IR15" s="15"/>
      <c r="IS15" s="15"/>
      <c r="IT15" s="15"/>
      <c r="IU15" s="36" t="str">
        <f t="shared" si="101"/>
        <v/>
      </c>
      <c r="IV15" s="36" t="str">
        <f t="shared" si="102"/>
        <v/>
      </c>
      <c r="IW15" s="36" t="str">
        <f t="shared" si="103"/>
        <v/>
      </c>
      <c r="IX15" s="36" t="str">
        <f t="shared" si="104"/>
        <v/>
      </c>
      <c r="IY15" s="36" t="str">
        <f t="shared" si="105"/>
        <v/>
      </c>
      <c r="IZ15" s="36" t="str">
        <f t="shared" si="106"/>
        <v/>
      </c>
      <c r="JA15" s="36" t="str">
        <f t="shared" si="107"/>
        <v/>
      </c>
      <c r="JB15" s="36" t="str">
        <f t="shared" si="108"/>
        <v/>
      </c>
      <c r="JC15" s="36" t="str">
        <f t="shared" si="109"/>
        <v/>
      </c>
      <c r="JD15" s="36" t="str">
        <f t="shared" si="110"/>
        <v/>
      </c>
      <c r="JE15" s="36" t="str">
        <f t="shared" si="111"/>
        <v/>
      </c>
      <c r="JF15" s="36" t="str">
        <f t="shared" si="112"/>
        <v/>
      </c>
      <c r="JG15" s="36" t="str">
        <f t="shared" si="113"/>
        <v/>
      </c>
      <c r="JH15" s="36" t="str">
        <f t="shared" si="114"/>
        <v/>
      </c>
      <c r="JI15" s="16"/>
      <c r="JJ15" s="16"/>
      <c r="JK15" s="16"/>
      <c r="JL15" s="16"/>
      <c r="JM15" s="16"/>
      <c r="JN15" s="16"/>
      <c r="JO15" s="16"/>
      <c r="JP15" s="16"/>
      <c r="JQ15" s="16"/>
      <c r="JR15" s="16"/>
      <c r="JS15" s="16"/>
      <c r="JT15" s="16"/>
      <c r="JU15" s="16"/>
      <c r="JV15" s="16"/>
      <c r="JW15" s="16"/>
      <c r="JX15" s="16"/>
      <c r="JY15" s="16"/>
      <c r="JZ15" s="16"/>
      <c r="KA15" s="16"/>
      <c r="KB15" s="16"/>
      <c r="KC15" s="11" t="str">
        <f t="shared" si="115"/>
        <v/>
      </c>
      <c r="KD15" s="11" t="str">
        <f t="shared" si="116"/>
        <v/>
      </c>
      <c r="KE15" s="11" t="str">
        <f t="shared" si="117"/>
        <v/>
      </c>
      <c r="KF15" s="11" t="str">
        <f t="shared" si="118"/>
        <v/>
      </c>
      <c r="KG15" s="11" t="str">
        <f t="shared" si="119"/>
        <v/>
      </c>
      <c r="KH15" s="11" t="str">
        <f t="shared" si="120"/>
        <v/>
      </c>
      <c r="KI15" s="11" t="str">
        <f t="shared" si="121"/>
        <v/>
      </c>
      <c r="KJ15" s="11" t="str">
        <f t="shared" si="122"/>
        <v/>
      </c>
      <c r="KK15" s="11" t="str">
        <f t="shared" si="123"/>
        <v/>
      </c>
      <c r="KL15" s="11" t="str">
        <f t="shared" si="124"/>
        <v/>
      </c>
      <c r="KM15" s="11" t="str">
        <f t="shared" si="125"/>
        <v/>
      </c>
      <c r="KN15" s="11" t="str">
        <f t="shared" si="126"/>
        <v/>
      </c>
      <c r="KO15" s="11" t="str">
        <f t="shared" si="127"/>
        <v/>
      </c>
      <c r="KP15" s="11" t="str">
        <f t="shared" si="128"/>
        <v/>
      </c>
      <c r="KQ15" s="15"/>
      <c r="KR15" s="15"/>
      <c r="KS15" s="15"/>
      <c r="KT15" s="15"/>
      <c r="KU15" s="15"/>
      <c r="KV15" s="15"/>
      <c r="KW15" s="15"/>
      <c r="KX15" s="15"/>
      <c r="KY15" s="15"/>
      <c r="KZ15" s="15"/>
      <c r="LA15" s="15"/>
      <c r="LB15" s="15"/>
      <c r="LC15" s="15"/>
      <c r="LD15" s="15"/>
      <c r="LE15" s="15"/>
      <c r="LF15" s="15"/>
      <c r="LG15" s="15"/>
      <c r="LH15" s="15"/>
      <c r="LI15" s="15"/>
      <c r="LJ15" s="15"/>
      <c r="LK15" s="36" t="str">
        <f t="shared" si="129"/>
        <v/>
      </c>
      <c r="LL15" s="36" t="str">
        <f t="shared" si="130"/>
        <v/>
      </c>
      <c r="LM15" s="36" t="str">
        <f t="shared" si="131"/>
        <v/>
      </c>
      <c r="LN15" s="36" t="str">
        <f t="shared" si="132"/>
        <v/>
      </c>
      <c r="LO15" s="36" t="str">
        <f t="shared" si="133"/>
        <v/>
      </c>
      <c r="LP15" s="36" t="str">
        <f t="shared" si="134"/>
        <v/>
      </c>
      <c r="LQ15" s="36" t="str">
        <f t="shared" si="135"/>
        <v/>
      </c>
      <c r="LR15" s="36" t="str">
        <f t="shared" si="136"/>
        <v/>
      </c>
      <c r="LS15" s="36" t="str">
        <f t="shared" si="137"/>
        <v/>
      </c>
      <c r="LT15" s="36" t="str">
        <f t="shared" si="138"/>
        <v/>
      </c>
      <c r="LU15" s="36" t="str">
        <f t="shared" si="139"/>
        <v/>
      </c>
      <c r="LV15" s="36" t="str">
        <f t="shared" si="140"/>
        <v/>
      </c>
      <c r="LW15" s="36" t="str">
        <f t="shared" si="141"/>
        <v/>
      </c>
      <c r="LX15" s="36" t="str">
        <f t="shared" si="142"/>
        <v/>
      </c>
      <c r="LY15" s="16"/>
      <c r="LZ15" s="16"/>
      <c r="MA15" s="16"/>
      <c r="MB15" s="16"/>
      <c r="MC15" s="16"/>
      <c r="MD15" s="16"/>
      <c r="ME15" s="16"/>
      <c r="MF15" s="16"/>
      <c r="MG15" s="16"/>
      <c r="MH15" s="16"/>
      <c r="MI15" s="16"/>
      <c r="MJ15" s="16"/>
      <c r="MK15" s="16"/>
      <c r="ML15" s="16"/>
      <c r="MM15" s="16"/>
      <c r="MN15" s="16"/>
      <c r="MO15" s="16"/>
      <c r="MP15" s="16"/>
      <c r="MQ15" s="16"/>
      <c r="MR15" s="16"/>
      <c r="MS15" s="11" t="str">
        <f t="shared" si="143"/>
        <v/>
      </c>
      <c r="MT15" s="11" t="str">
        <f t="shared" si="144"/>
        <v/>
      </c>
      <c r="MU15" s="11" t="str">
        <f t="shared" si="145"/>
        <v/>
      </c>
      <c r="MV15" s="11" t="str">
        <f t="shared" si="146"/>
        <v/>
      </c>
      <c r="MW15" s="11" t="str">
        <f t="shared" si="147"/>
        <v/>
      </c>
      <c r="MX15" s="11" t="str">
        <f t="shared" si="148"/>
        <v/>
      </c>
      <c r="MY15" s="11" t="str">
        <f t="shared" si="149"/>
        <v/>
      </c>
      <c r="MZ15" s="11" t="str">
        <f t="shared" si="150"/>
        <v/>
      </c>
      <c r="NA15" s="11" t="str">
        <f t="shared" si="151"/>
        <v/>
      </c>
      <c r="NB15" s="11" t="str">
        <f t="shared" si="152"/>
        <v/>
      </c>
      <c r="NC15" s="11" t="str">
        <f t="shared" si="153"/>
        <v/>
      </c>
      <c r="ND15" s="11" t="str">
        <f t="shared" si="154"/>
        <v/>
      </c>
      <c r="NE15" s="11" t="str">
        <f t="shared" si="155"/>
        <v/>
      </c>
      <c r="NF15" s="11" t="str">
        <f t="shared" si="156"/>
        <v/>
      </c>
      <c r="NG15" s="15"/>
      <c r="NH15" s="15"/>
      <c r="NI15" s="15"/>
      <c r="NJ15" s="15"/>
      <c r="NK15" s="15"/>
      <c r="NL15" s="15"/>
      <c r="NM15" s="15"/>
      <c r="NN15" s="15"/>
      <c r="NO15" s="15"/>
      <c r="NP15" s="15"/>
      <c r="NQ15" s="15"/>
      <c r="NR15" s="15"/>
      <c r="NS15" s="15"/>
      <c r="NT15" s="15"/>
      <c r="NU15" s="15"/>
      <c r="NV15" s="15"/>
      <c r="NW15" s="15"/>
      <c r="NX15" s="15"/>
      <c r="NY15" s="15"/>
      <c r="NZ15" s="15"/>
      <c r="OA15" s="36" t="str">
        <f t="shared" si="157"/>
        <v/>
      </c>
      <c r="OB15" s="36" t="str">
        <f t="shared" si="158"/>
        <v/>
      </c>
      <c r="OC15" s="36" t="str">
        <f t="shared" si="159"/>
        <v/>
      </c>
      <c r="OD15" s="36" t="str">
        <f t="shared" si="160"/>
        <v/>
      </c>
      <c r="OE15" s="36" t="str">
        <f t="shared" si="161"/>
        <v/>
      </c>
      <c r="OF15" s="36" t="str">
        <f t="shared" si="162"/>
        <v/>
      </c>
      <c r="OG15" s="36" t="str">
        <f t="shared" si="163"/>
        <v/>
      </c>
      <c r="OH15" s="36" t="str">
        <f t="shared" si="164"/>
        <v/>
      </c>
      <c r="OI15" s="36" t="str">
        <f t="shared" si="165"/>
        <v/>
      </c>
      <c r="OJ15" s="36" t="str">
        <f t="shared" si="166"/>
        <v/>
      </c>
      <c r="OK15" s="36" t="str">
        <f t="shared" si="167"/>
        <v/>
      </c>
      <c r="OL15" s="36" t="str">
        <f t="shared" si="168"/>
        <v/>
      </c>
      <c r="OM15" s="36" t="str">
        <f t="shared" si="169"/>
        <v/>
      </c>
      <c r="ON15" s="36" t="str">
        <f t="shared" si="170"/>
        <v/>
      </c>
      <c r="OO15" s="16"/>
      <c r="OP15" s="16"/>
      <c r="OQ15" s="16"/>
      <c r="OR15" s="16"/>
      <c r="OS15" s="16"/>
      <c r="OT15" s="16"/>
      <c r="OU15" s="16"/>
      <c r="OV15" s="16"/>
      <c r="OW15" s="16"/>
      <c r="OX15" s="16"/>
      <c r="OY15" s="16"/>
      <c r="OZ15" s="16"/>
      <c r="PA15" s="16"/>
      <c r="PB15" s="16"/>
      <c r="PC15" s="16"/>
      <c r="PD15" s="16"/>
      <c r="PE15" s="16"/>
      <c r="PF15" s="16"/>
      <c r="PG15" s="16"/>
      <c r="PH15" s="16"/>
      <c r="PI15" s="11" t="str">
        <f t="shared" si="171"/>
        <v/>
      </c>
      <c r="PJ15" s="11" t="str">
        <f t="shared" si="172"/>
        <v/>
      </c>
      <c r="PK15" s="11" t="str">
        <f t="shared" si="173"/>
        <v/>
      </c>
      <c r="PL15" s="11" t="str">
        <f t="shared" si="174"/>
        <v/>
      </c>
      <c r="PM15" s="11" t="str">
        <f t="shared" si="175"/>
        <v/>
      </c>
      <c r="PN15" s="11" t="str">
        <f t="shared" si="176"/>
        <v/>
      </c>
      <c r="PO15" s="11" t="str">
        <f t="shared" si="177"/>
        <v/>
      </c>
      <c r="PP15" s="11" t="str">
        <f t="shared" si="178"/>
        <v/>
      </c>
      <c r="PQ15" s="11" t="str">
        <f t="shared" si="179"/>
        <v/>
      </c>
      <c r="PR15" s="11" t="str">
        <f t="shared" si="180"/>
        <v/>
      </c>
      <c r="PS15" s="11" t="str">
        <f t="shared" si="181"/>
        <v/>
      </c>
      <c r="PT15" s="11" t="str">
        <f t="shared" si="182"/>
        <v/>
      </c>
      <c r="PU15" s="11" t="str">
        <f t="shared" si="183"/>
        <v/>
      </c>
      <c r="PV15" s="11" t="str">
        <f t="shared" si="184"/>
        <v/>
      </c>
      <c r="PW15" s="15"/>
      <c r="PX15" s="15"/>
      <c r="PY15" s="15"/>
      <c r="PZ15" s="15"/>
      <c r="QA15" s="15"/>
      <c r="QB15" s="15"/>
      <c r="QC15" s="15"/>
      <c r="QD15" s="15"/>
      <c r="QE15" s="15"/>
      <c r="QF15" s="15"/>
      <c r="QG15" s="15"/>
      <c r="QH15" s="15"/>
      <c r="QI15" s="15"/>
      <c r="QJ15" s="15"/>
      <c r="QK15" s="15"/>
      <c r="QL15" s="15"/>
      <c r="QM15" s="15"/>
      <c r="QN15" s="15"/>
      <c r="QO15" s="15"/>
      <c r="QP15" s="15"/>
      <c r="QQ15" s="36" t="str">
        <f t="shared" si="185"/>
        <v/>
      </c>
      <c r="QR15" s="36" t="str">
        <f t="shared" si="186"/>
        <v/>
      </c>
      <c r="QS15" s="36" t="str">
        <f t="shared" si="187"/>
        <v/>
      </c>
      <c r="QT15" s="36" t="str">
        <f t="shared" si="188"/>
        <v/>
      </c>
      <c r="QU15" s="36" t="str">
        <f t="shared" si="189"/>
        <v/>
      </c>
      <c r="QV15" s="36" t="str">
        <f t="shared" si="190"/>
        <v/>
      </c>
      <c r="QW15" s="36" t="str">
        <f t="shared" si="191"/>
        <v/>
      </c>
      <c r="QX15" s="36" t="str">
        <f t="shared" si="192"/>
        <v/>
      </c>
      <c r="QY15" s="36" t="str">
        <f t="shared" si="193"/>
        <v/>
      </c>
      <c r="QZ15" s="36" t="str">
        <f t="shared" si="194"/>
        <v/>
      </c>
      <c r="RA15" s="36" t="str">
        <f t="shared" si="195"/>
        <v/>
      </c>
      <c r="RB15" s="36" t="str">
        <f t="shared" si="196"/>
        <v/>
      </c>
      <c r="RC15" s="36" t="str">
        <f t="shared" si="197"/>
        <v/>
      </c>
      <c r="RD15" s="36" t="str">
        <f t="shared" si="198"/>
        <v/>
      </c>
      <c r="RE15" s="16"/>
      <c r="RF15" s="16"/>
      <c r="RG15" s="16"/>
      <c r="RH15" s="16"/>
      <c r="RI15" s="16"/>
      <c r="RJ15" s="16"/>
      <c r="RK15" s="16"/>
      <c r="RL15" s="16"/>
      <c r="RM15" s="16"/>
      <c r="RN15" s="16"/>
      <c r="RO15" s="16"/>
      <c r="RP15" s="16"/>
      <c r="RQ15" s="16"/>
      <c r="RR15" s="16"/>
      <c r="RS15" s="16"/>
      <c r="RT15" s="16"/>
      <c r="RU15" s="16"/>
      <c r="RV15" s="16"/>
      <c r="RW15" s="16"/>
      <c r="RX15" s="16"/>
      <c r="RY15" s="11" t="str">
        <f t="shared" si="199"/>
        <v/>
      </c>
      <c r="RZ15" s="11" t="str">
        <f t="shared" si="200"/>
        <v/>
      </c>
      <c r="SA15" s="11" t="str">
        <f t="shared" si="201"/>
        <v/>
      </c>
      <c r="SB15" s="11" t="str">
        <f t="shared" si="202"/>
        <v/>
      </c>
      <c r="SC15" s="11" t="str">
        <f t="shared" si="203"/>
        <v/>
      </c>
      <c r="SD15" s="11" t="str">
        <f t="shared" si="204"/>
        <v/>
      </c>
      <c r="SE15" s="11" t="str">
        <f t="shared" si="205"/>
        <v/>
      </c>
      <c r="SF15" s="11" t="str">
        <f t="shared" si="206"/>
        <v/>
      </c>
      <c r="SG15" s="11" t="str">
        <f t="shared" si="207"/>
        <v/>
      </c>
      <c r="SH15" s="11" t="str">
        <f t="shared" si="208"/>
        <v/>
      </c>
      <c r="SI15" s="11" t="str">
        <f t="shared" si="209"/>
        <v/>
      </c>
      <c r="SJ15" s="11" t="str">
        <f t="shared" si="210"/>
        <v/>
      </c>
      <c r="SK15" s="11" t="str">
        <f t="shared" si="211"/>
        <v/>
      </c>
      <c r="SL15" s="11" t="str">
        <f t="shared" si="212"/>
        <v/>
      </c>
      <c r="SM15" s="15"/>
      <c r="SN15" s="15"/>
      <c r="SO15" s="15"/>
      <c r="SP15" s="15"/>
      <c r="SQ15" s="15"/>
      <c r="SR15" s="15"/>
      <c r="SS15" s="15"/>
      <c r="ST15" s="15"/>
      <c r="SU15" s="15"/>
      <c r="SV15" s="15"/>
      <c r="SW15" s="15"/>
      <c r="SX15" s="15"/>
      <c r="SY15" s="15"/>
      <c r="SZ15" s="15"/>
      <c r="TA15" s="15"/>
      <c r="TB15" s="15"/>
      <c r="TC15" s="15"/>
      <c r="TD15" s="15"/>
      <c r="TE15" s="15"/>
      <c r="TF15" s="15"/>
      <c r="TG15" s="36" t="str">
        <f t="shared" si="213"/>
        <v/>
      </c>
      <c r="TH15" s="36" t="str">
        <f t="shared" si="214"/>
        <v/>
      </c>
      <c r="TI15" s="36" t="str">
        <f t="shared" si="215"/>
        <v/>
      </c>
      <c r="TJ15" s="36" t="str">
        <f t="shared" si="216"/>
        <v/>
      </c>
      <c r="TK15" s="36" t="str">
        <f t="shared" si="217"/>
        <v/>
      </c>
      <c r="TL15" s="36" t="str">
        <f t="shared" si="218"/>
        <v/>
      </c>
      <c r="TM15" s="36" t="str">
        <f t="shared" si="219"/>
        <v/>
      </c>
      <c r="TN15" s="36" t="str">
        <f t="shared" si="220"/>
        <v/>
      </c>
      <c r="TO15" s="36" t="str">
        <f t="shared" si="221"/>
        <v/>
      </c>
      <c r="TP15" s="36" t="str">
        <f t="shared" si="222"/>
        <v/>
      </c>
      <c r="TQ15" s="36" t="str">
        <f t="shared" si="223"/>
        <v/>
      </c>
      <c r="TR15" s="36" t="str">
        <f t="shared" si="224"/>
        <v/>
      </c>
      <c r="TS15" s="36" t="str">
        <f t="shared" si="225"/>
        <v/>
      </c>
      <c r="TT15" s="36" t="str">
        <f t="shared" si="226"/>
        <v/>
      </c>
      <c r="TU15" s="16"/>
      <c r="TV15" s="16"/>
      <c r="TW15" s="16"/>
      <c r="TX15" s="16"/>
      <c r="TY15" s="16"/>
      <c r="TZ15" s="16"/>
      <c r="UA15" s="16"/>
      <c r="UB15" s="16"/>
      <c r="UC15" s="16"/>
      <c r="UD15" s="16"/>
      <c r="UE15" s="16"/>
      <c r="UF15" s="16"/>
      <c r="UG15" s="16"/>
      <c r="UH15" s="16"/>
      <c r="UI15" s="16"/>
      <c r="UJ15" s="16"/>
      <c r="UK15" s="16"/>
      <c r="UL15" s="16"/>
      <c r="UM15" s="16"/>
      <c r="UN15" s="16"/>
      <c r="UO15" s="11" t="str">
        <f t="shared" si="227"/>
        <v/>
      </c>
      <c r="UP15" s="11" t="str">
        <f t="shared" si="228"/>
        <v/>
      </c>
      <c r="UQ15" s="11" t="str">
        <f t="shared" si="229"/>
        <v/>
      </c>
      <c r="UR15" s="11" t="str">
        <f t="shared" si="230"/>
        <v/>
      </c>
      <c r="US15" s="11" t="str">
        <f t="shared" si="231"/>
        <v/>
      </c>
      <c r="UT15" s="11" t="str">
        <f t="shared" si="232"/>
        <v/>
      </c>
      <c r="UU15" s="11" t="str">
        <f t="shared" si="233"/>
        <v/>
      </c>
      <c r="UV15" s="11" t="str">
        <f t="shared" si="234"/>
        <v/>
      </c>
      <c r="UW15" s="11" t="str">
        <f t="shared" si="235"/>
        <v/>
      </c>
      <c r="UX15" s="11" t="str">
        <f t="shared" si="236"/>
        <v/>
      </c>
      <c r="UY15" s="11" t="str">
        <f t="shared" si="237"/>
        <v/>
      </c>
      <c r="UZ15" s="11" t="str">
        <f t="shared" si="238"/>
        <v/>
      </c>
      <c r="VA15" s="11" t="str">
        <f t="shared" si="239"/>
        <v/>
      </c>
      <c r="VB15" s="11" t="str">
        <f t="shared" si="240"/>
        <v/>
      </c>
      <c r="VC15" s="15"/>
      <c r="VD15" s="15"/>
      <c r="VE15" s="15"/>
      <c r="VF15" s="15"/>
      <c r="VG15" s="15"/>
      <c r="VH15" s="15"/>
      <c r="VI15" s="15"/>
      <c r="VJ15" s="15"/>
      <c r="VK15" s="15"/>
      <c r="VL15" s="15"/>
      <c r="VM15" s="15"/>
      <c r="VN15" s="15"/>
      <c r="VO15" s="15"/>
      <c r="VP15" s="15"/>
      <c r="VQ15" s="15"/>
      <c r="VR15" s="15"/>
      <c r="VS15" s="15"/>
      <c r="VT15" s="15"/>
      <c r="VU15" s="15"/>
      <c r="VV15" s="15"/>
      <c r="VW15" s="36" t="str">
        <f t="shared" si="241"/>
        <v/>
      </c>
      <c r="VX15" s="36" t="str">
        <f t="shared" si="242"/>
        <v/>
      </c>
      <c r="VY15" s="36" t="str">
        <f t="shared" si="243"/>
        <v/>
      </c>
      <c r="VZ15" s="36" t="str">
        <f t="shared" si="244"/>
        <v/>
      </c>
      <c r="WA15" s="36" t="str">
        <f t="shared" si="245"/>
        <v/>
      </c>
      <c r="WB15" s="36" t="str">
        <f t="shared" si="246"/>
        <v/>
      </c>
      <c r="WC15" s="36" t="str">
        <f t="shared" si="247"/>
        <v/>
      </c>
      <c r="WD15" s="36" t="str">
        <f t="shared" si="248"/>
        <v/>
      </c>
      <c r="WE15" s="36" t="str">
        <f t="shared" si="249"/>
        <v/>
      </c>
      <c r="WF15" s="36" t="str">
        <f t="shared" si="250"/>
        <v/>
      </c>
      <c r="WG15" s="36" t="str">
        <f t="shared" si="251"/>
        <v/>
      </c>
      <c r="WH15" s="36" t="str">
        <f t="shared" si="252"/>
        <v/>
      </c>
      <c r="WI15" s="36" t="str">
        <f t="shared" si="253"/>
        <v/>
      </c>
      <c r="WJ15" s="36" t="str">
        <f t="shared" si="254"/>
        <v/>
      </c>
    </row>
    <row r="16" spans="1:608" x14ac:dyDescent="0.2">
      <c r="A16" s="4" t="str" cm="1">
        <f t="array" ref="A16">IF(AND(H16&lt;&gt;"",H16&lt;&gt;"No DD"),SUMPRODUCT((H$4:H$20&lt;&gt;"")*(H$4:H$20&lt;&gt;"No DD")*(E$4:E$20&gt;E16))+1,IF(H16="No DD",SUMPRODUCT((H$4:H$20="No DD")*(E$4:E$20&gt;E16))+1+SUMPRODUCT((H$4:H$20&lt;&gt;"")*(H$4:H$20&lt;&gt;"No DD")),""))</f>
        <v/>
      </c>
      <c r="B16" s="5" t="s">
        <v>105</v>
      </c>
      <c r="C16" s="4" t="s">
        <v>5</v>
      </c>
      <c r="D16" s="4" t="s">
        <v>106</v>
      </c>
      <c r="E16" s="9">
        <f t="shared" si="0"/>
        <v>35.520003552001967</v>
      </c>
      <c r="F16" s="3" t="str">
        <f t="shared" si="1"/>
        <v/>
      </c>
      <c r="G16" s="3" t="str">
        <f t="shared" si="2"/>
        <v/>
      </c>
      <c r="H16" s="32" t="str">
        <f t="shared" si="3"/>
        <v/>
      </c>
      <c r="I16" s="3" t="str">
        <f t="shared" si="4"/>
        <v/>
      </c>
      <c r="J16" s="8">
        <f t="shared" si="5"/>
        <v>19.66</v>
      </c>
      <c r="K16" s="8" t="str">
        <f t="shared" si="6"/>
        <v>2025 Nationals</v>
      </c>
      <c r="L16" s="8">
        <f>IFERROR(LARGE((AI16,AL16,AP16,BJ16,BM16,BQ16,CK16,CN16,CR16),2),0)</f>
        <v>15.86</v>
      </c>
      <c r="M16" s="8" t="str">
        <f t="shared" si="7"/>
        <v>2025 Nationals</v>
      </c>
      <c r="N16" s="8">
        <f t="shared" si="8"/>
        <v>0</v>
      </c>
      <c r="O16" s="11" t="str">
        <f t="shared" si="9"/>
        <v/>
      </c>
      <c r="P16" s="8" t="str">
        <f t="shared" si="10"/>
        <v/>
      </c>
      <c r="Q16" s="18">
        <v>0.7</v>
      </c>
      <c r="R16" s="18">
        <v>0.95</v>
      </c>
      <c r="S16" s="18">
        <v>1.7</v>
      </c>
      <c r="T16" s="18">
        <v>1.88</v>
      </c>
      <c r="U16" s="18">
        <v>0</v>
      </c>
      <c r="V16" s="18">
        <v>0.75</v>
      </c>
      <c r="W16" s="18">
        <v>0.95</v>
      </c>
      <c r="X16" s="18">
        <v>1.7</v>
      </c>
      <c r="Y16" s="18">
        <v>2</v>
      </c>
      <c r="Z16" s="18">
        <v>0</v>
      </c>
      <c r="AA16" s="18"/>
      <c r="AB16" s="18"/>
      <c r="AC16" s="18"/>
      <c r="AD16" s="18"/>
      <c r="AE16" s="18"/>
      <c r="AF16" s="23"/>
      <c r="AG16" s="34">
        <f t="shared" si="11"/>
        <v>1.7</v>
      </c>
      <c r="AH16" s="34">
        <f t="shared" si="12"/>
        <v>1.88</v>
      </c>
      <c r="AI16" s="36">
        <f t="shared" si="13"/>
        <v>5.2299999999999995</v>
      </c>
      <c r="AJ16" s="36">
        <f t="shared" si="14"/>
        <v>1.7</v>
      </c>
      <c r="AK16" s="36">
        <f t="shared" si="15"/>
        <v>2</v>
      </c>
      <c r="AL16" s="36">
        <f t="shared" si="16"/>
        <v>5.4</v>
      </c>
      <c r="AM16" s="36">
        <f t="shared" si="17"/>
        <v>5.4</v>
      </c>
      <c r="AN16" s="36" t="str">
        <f t="shared" si="18"/>
        <v/>
      </c>
      <c r="AO16" s="36" t="str">
        <f t="shared" si="19"/>
        <v/>
      </c>
      <c r="AP16" s="36" t="str">
        <f t="shared" si="20"/>
        <v/>
      </c>
      <c r="AQ16" s="36">
        <f t="shared" si="21"/>
        <v>5.4</v>
      </c>
      <c r="AR16" s="22">
        <v>3.83</v>
      </c>
      <c r="AS16" s="22">
        <v>4.8499999999999996</v>
      </c>
      <c r="AT16" s="22">
        <v>6.4</v>
      </c>
      <c r="AU16" s="22">
        <v>4.58</v>
      </c>
      <c r="AV16" s="22">
        <v>0</v>
      </c>
      <c r="AW16" s="22">
        <v>3.13</v>
      </c>
      <c r="AX16" s="22">
        <v>2.75</v>
      </c>
      <c r="AY16" s="22">
        <v>5.0999999999999996</v>
      </c>
      <c r="AZ16" s="22">
        <v>4.88</v>
      </c>
      <c r="BA16" s="22">
        <v>0</v>
      </c>
      <c r="BB16" s="22">
        <v>0.7</v>
      </c>
      <c r="BC16" s="22">
        <v>0.95</v>
      </c>
      <c r="BD16" s="22">
        <v>1.7</v>
      </c>
      <c r="BE16" s="22">
        <v>1.74</v>
      </c>
      <c r="BF16" s="22">
        <v>0</v>
      </c>
      <c r="BG16" s="24"/>
      <c r="BH16" s="35">
        <f t="shared" si="22"/>
        <v>6.4</v>
      </c>
      <c r="BI16" s="35">
        <f t="shared" si="23"/>
        <v>4.58</v>
      </c>
      <c r="BJ16" s="11">
        <f t="shared" si="24"/>
        <v>19.66</v>
      </c>
      <c r="BK16" s="11">
        <f t="shared" si="25"/>
        <v>5.0999999999999996</v>
      </c>
      <c r="BL16" s="11">
        <f t="shared" si="26"/>
        <v>4.88</v>
      </c>
      <c r="BM16" s="11">
        <f t="shared" si="27"/>
        <v>15.86</v>
      </c>
      <c r="BN16" s="11">
        <f t="shared" si="28"/>
        <v>19.66</v>
      </c>
      <c r="BO16" s="11">
        <f t="shared" si="29"/>
        <v>1.7</v>
      </c>
      <c r="BP16" s="11">
        <f t="shared" si="30"/>
        <v>1.74</v>
      </c>
      <c r="BQ16" s="11">
        <f t="shared" si="31"/>
        <v>5.09</v>
      </c>
      <c r="BR16" s="11">
        <f t="shared" si="32"/>
        <v>24.75</v>
      </c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  <c r="CF16" s="18"/>
      <c r="CG16" s="18"/>
      <c r="CH16" s="23"/>
      <c r="CI16" s="34" t="str">
        <f t="shared" si="33"/>
        <v/>
      </c>
      <c r="CJ16" s="34" t="str">
        <f t="shared" si="34"/>
        <v/>
      </c>
      <c r="CK16" s="36" t="str">
        <f t="shared" si="35"/>
        <v/>
      </c>
      <c r="CL16" s="36" t="str">
        <f t="shared" si="36"/>
        <v/>
      </c>
      <c r="CM16" s="36" t="str">
        <f t="shared" si="37"/>
        <v/>
      </c>
      <c r="CN16" s="36" t="str">
        <f t="shared" si="38"/>
        <v/>
      </c>
      <c r="CO16" s="36" t="str">
        <f t="shared" si="39"/>
        <v/>
      </c>
      <c r="CP16" s="36" t="str">
        <f t="shared" si="40"/>
        <v/>
      </c>
      <c r="CQ16" s="36" t="str">
        <f t="shared" si="41"/>
        <v/>
      </c>
      <c r="CR16" s="36" t="str">
        <f t="shared" si="42"/>
        <v/>
      </c>
      <c r="CS16" s="36" t="str">
        <f t="shared" si="43"/>
        <v/>
      </c>
      <c r="CT16" s="47" t="str">
        <f t="shared" si="44"/>
        <v/>
      </c>
      <c r="CU16" s="15"/>
      <c r="CV16" s="15"/>
      <c r="CW16" s="15"/>
      <c r="CX16" s="15"/>
      <c r="CY16" s="15"/>
      <c r="CZ16" s="15"/>
      <c r="DA16" s="15"/>
      <c r="DB16" s="15"/>
      <c r="DC16" s="15"/>
      <c r="DD16" s="15"/>
      <c r="DE16" s="15"/>
      <c r="DF16" s="15"/>
      <c r="DG16" s="15"/>
      <c r="DH16" s="15"/>
      <c r="DI16" s="15"/>
      <c r="DJ16" s="15"/>
      <c r="DK16" s="15"/>
      <c r="DL16" s="15"/>
      <c r="DM16" s="15"/>
      <c r="DN16" s="15"/>
      <c r="DO16" s="36" t="str">
        <f t="shared" si="45"/>
        <v/>
      </c>
      <c r="DP16" s="36" t="str">
        <f t="shared" si="46"/>
        <v/>
      </c>
      <c r="DQ16" s="36" t="str">
        <f t="shared" si="47"/>
        <v/>
      </c>
      <c r="DR16" s="36" t="str">
        <f t="shared" si="48"/>
        <v/>
      </c>
      <c r="DS16" s="36" t="str">
        <f t="shared" si="49"/>
        <v/>
      </c>
      <c r="DT16" s="36" t="str">
        <f t="shared" si="50"/>
        <v/>
      </c>
      <c r="DU16" s="36" t="str">
        <f t="shared" si="51"/>
        <v/>
      </c>
      <c r="DV16" s="36" t="str">
        <f t="shared" si="52"/>
        <v/>
      </c>
      <c r="DW16" s="36" t="str">
        <f t="shared" si="53"/>
        <v/>
      </c>
      <c r="DX16" s="36" t="str">
        <f t="shared" si="54"/>
        <v/>
      </c>
      <c r="DY16" s="36" t="str">
        <f t="shared" si="55"/>
        <v/>
      </c>
      <c r="DZ16" s="36" t="str">
        <f t="shared" si="56"/>
        <v/>
      </c>
      <c r="EA16" s="36" t="str">
        <f t="shared" si="57"/>
        <v/>
      </c>
      <c r="EB16" s="36" t="str">
        <f t="shared" si="58"/>
        <v/>
      </c>
      <c r="EC16" s="16"/>
      <c r="ED16" s="16"/>
      <c r="EE16" s="16"/>
      <c r="EF16" s="16"/>
      <c r="EG16" s="16"/>
      <c r="EH16" s="16"/>
      <c r="EI16" s="16"/>
      <c r="EJ16" s="16"/>
      <c r="EK16" s="16"/>
      <c r="EL16" s="16"/>
      <c r="EM16" s="16"/>
      <c r="EN16" s="16"/>
      <c r="EO16" s="16"/>
      <c r="EP16" s="16"/>
      <c r="EQ16" s="16"/>
      <c r="ER16" s="16"/>
      <c r="ES16" s="16"/>
      <c r="ET16" s="16"/>
      <c r="EU16" s="16"/>
      <c r="EV16" s="16"/>
      <c r="EW16" s="11" t="str">
        <f t="shared" si="59"/>
        <v/>
      </c>
      <c r="EX16" s="11" t="str">
        <f t="shared" si="60"/>
        <v/>
      </c>
      <c r="EY16" s="11" t="str">
        <f t="shared" si="61"/>
        <v/>
      </c>
      <c r="EZ16" s="11" t="str">
        <f t="shared" si="62"/>
        <v/>
      </c>
      <c r="FA16" s="11" t="str">
        <f t="shared" si="63"/>
        <v/>
      </c>
      <c r="FB16" s="11" t="str">
        <f t="shared" si="64"/>
        <v/>
      </c>
      <c r="FC16" s="11" t="str">
        <f t="shared" si="65"/>
        <v/>
      </c>
      <c r="FD16" s="11" t="str">
        <f t="shared" si="66"/>
        <v/>
      </c>
      <c r="FE16" s="11" t="str">
        <f t="shared" si="67"/>
        <v/>
      </c>
      <c r="FF16" s="11" t="str">
        <f t="shared" si="68"/>
        <v/>
      </c>
      <c r="FG16" s="11" t="str">
        <f t="shared" si="69"/>
        <v/>
      </c>
      <c r="FH16" s="11" t="str">
        <f t="shared" si="70"/>
        <v/>
      </c>
      <c r="FI16" s="11" t="str">
        <f t="shared" si="71"/>
        <v/>
      </c>
      <c r="FJ16" s="11" t="str">
        <f t="shared" si="72"/>
        <v/>
      </c>
      <c r="FK16" s="15"/>
      <c r="FL16" s="15"/>
      <c r="FM16" s="15"/>
      <c r="FN16" s="15"/>
      <c r="FO16" s="15"/>
      <c r="FP16" s="15"/>
      <c r="FQ16" s="15"/>
      <c r="FR16" s="15"/>
      <c r="FS16" s="15"/>
      <c r="FT16" s="15"/>
      <c r="FU16" s="15"/>
      <c r="FV16" s="15"/>
      <c r="FW16" s="15"/>
      <c r="FX16" s="15"/>
      <c r="FY16" s="15"/>
      <c r="FZ16" s="15"/>
      <c r="GA16" s="15"/>
      <c r="GB16" s="15"/>
      <c r="GC16" s="15"/>
      <c r="GD16" s="15"/>
      <c r="GE16" s="36" t="str">
        <f t="shared" si="73"/>
        <v/>
      </c>
      <c r="GF16" s="36" t="str">
        <f t="shared" si="74"/>
        <v/>
      </c>
      <c r="GG16" s="36" t="str">
        <f t="shared" si="75"/>
        <v/>
      </c>
      <c r="GH16" s="36" t="str">
        <f t="shared" si="76"/>
        <v/>
      </c>
      <c r="GI16" s="36" t="str">
        <f t="shared" si="77"/>
        <v/>
      </c>
      <c r="GJ16" s="36" t="str">
        <f t="shared" si="78"/>
        <v/>
      </c>
      <c r="GK16" s="36" t="str">
        <f t="shared" si="79"/>
        <v/>
      </c>
      <c r="GL16" s="36" t="str">
        <f t="shared" si="80"/>
        <v/>
      </c>
      <c r="GM16" s="36" t="str">
        <f t="shared" si="81"/>
        <v/>
      </c>
      <c r="GN16" s="36" t="str">
        <f t="shared" si="82"/>
        <v/>
      </c>
      <c r="GO16" s="36" t="str">
        <f t="shared" si="83"/>
        <v/>
      </c>
      <c r="GP16" s="36" t="str">
        <f t="shared" si="84"/>
        <v/>
      </c>
      <c r="GQ16" s="36" t="str">
        <f t="shared" si="85"/>
        <v/>
      </c>
      <c r="GR16" s="36" t="str">
        <f t="shared" si="86"/>
        <v/>
      </c>
      <c r="GS16" s="16"/>
      <c r="GT16" s="16"/>
      <c r="GU16" s="16"/>
      <c r="GV16" s="16"/>
      <c r="GW16" s="16"/>
      <c r="GX16" s="16"/>
      <c r="GY16" s="16"/>
      <c r="GZ16" s="16"/>
      <c r="HA16" s="16"/>
      <c r="HB16" s="16"/>
      <c r="HC16" s="16"/>
      <c r="HD16" s="16"/>
      <c r="HE16" s="16"/>
      <c r="HF16" s="16"/>
      <c r="HG16" s="16"/>
      <c r="HH16" s="16"/>
      <c r="HI16" s="16"/>
      <c r="HJ16" s="16"/>
      <c r="HK16" s="16"/>
      <c r="HL16" s="16"/>
      <c r="HM16" s="11" t="str">
        <f t="shared" si="87"/>
        <v/>
      </c>
      <c r="HN16" s="11" t="str">
        <f t="shared" si="88"/>
        <v/>
      </c>
      <c r="HO16" s="11" t="str">
        <f t="shared" si="89"/>
        <v/>
      </c>
      <c r="HP16" s="11" t="str">
        <f t="shared" si="90"/>
        <v/>
      </c>
      <c r="HQ16" s="11" t="str">
        <f t="shared" si="91"/>
        <v/>
      </c>
      <c r="HR16" s="11" t="str">
        <f t="shared" si="92"/>
        <v/>
      </c>
      <c r="HS16" s="11" t="str">
        <f t="shared" si="93"/>
        <v/>
      </c>
      <c r="HT16" s="11" t="str">
        <f t="shared" si="94"/>
        <v/>
      </c>
      <c r="HU16" s="11" t="str">
        <f t="shared" si="95"/>
        <v/>
      </c>
      <c r="HV16" s="11" t="str">
        <f t="shared" si="96"/>
        <v/>
      </c>
      <c r="HW16" s="11" t="str">
        <f t="shared" si="97"/>
        <v/>
      </c>
      <c r="HX16" s="11" t="str">
        <f t="shared" si="98"/>
        <v/>
      </c>
      <c r="HY16" s="11" t="str">
        <f t="shared" si="99"/>
        <v/>
      </c>
      <c r="HZ16" s="11" t="str">
        <f t="shared" si="100"/>
        <v/>
      </c>
      <c r="IA16" s="15"/>
      <c r="IB16" s="15"/>
      <c r="IC16" s="15"/>
      <c r="ID16" s="15"/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5"/>
      <c r="IQ16" s="15"/>
      <c r="IR16" s="15"/>
      <c r="IS16" s="15"/>
      <c r="IT16" s="15"/>
      <c r="IU16" s="36" t="str">
        <f t="shared" si="101"/>
        <v/>
      </c>
      <c r="IV16" s="36" t="str">
        <f t="shared" si="102"/>
        <v/>
      </c>
      <c r="IW16" s="36" t="str">
        <f t="shared" si="103"/>
        <v/>
      </c>
      <c r="IX16" s="36" t="str">
        <f t="shared" si="104"/>
        <v/>
      </c>
      <c r="IY16" s="36" t="str">
        <f t="shared" si="105"/>
        <v/>
      </c>
      <c r="IZ16" s="36" t="str">
        <f t="shared" si="106"/>
        <v/>
      </c>
      <c r="JA16" s="36" t="str">
        <f t="shared" si="107"/>
        <v/>
      </c>
      <c r="JB16" s="36" t="str">
        <f t="shared" si="108"/>
        <v/>
      </c>
      <c r="JC16" s="36" t="str">
        <f t="shared" si="109"/>
        <v/>
      </c>
      <c r="JD16" s="36" t="str">
        <f t="shared" si="110"/>
        <v/>
      </c>
      <c r="JE16" s="36" t="str">
        <f t="shared" si="111"/>
        <v/>
      </c>
      <c r="JF16" s="36" t="str">
        <f t="shared" si="112"/>
        <v/>
      </c>
      <c r="JG16" s="36" t="str">
        <f t="shared" si="113"/>
        <v/>
      </c>
      <c r="JH16" s="36" t="str">
        <f t="shared" si="114"/>
        <v/>
      </c>
      <c r="JI16" s="16"/>
      <c r="JJ16" s="16"/>
      <c r="JK16" s="16"/>
      <c r="JL16" s="16"/>
      <c r="JM16" s="16"/>
      <c r="JN16" s="16"/>
      <c r="JO16" s="16"/>
      <c r="JP16" s="16"/>
      <c r="JQ16" s="16"/>
      <c r="JR16" s="16"/>
      <c r="JS16" s="16"/>
      <c r="JT16" s="16"/>
      <c r="JU16" s="16"/>
      <c r="JV16" s="16"/>
      <c r="JW16" s="16"/>
      <c r="JX16" s="16"/>
      <c r="JY16" s="16"/>
      <c r="JZ16" s="16"/>
      <c r="KA16" s="16"/>
      <c r="KB16" s="16"/>
      <c r="KC16" s="11" t="str">
        <f t="shared" si="115"/>
        <v/>
      </c>
      <c r="KD16" s="11" t="str">
        <f t="shared" si="116"/>
        <v/>
      </c>
      <c r="KE16" s="11" t="str">
        <f t="shared" si="117"/>
        <v/>
      </c>
      <c r="KF16" s="11" t="str">
        <f t="shared" si="118"/>
        <v/>
      </c>
      <c r="KG16" s="11" t="str">
        <f t="shared" si="119"/>
        <v/>
      </c>
      <c r="KH16" s="11" t="str">
        <f t="shared" si="120"/>
        <v/>
      </c>
      <c r="KI16" s="11" t="str">
        <f t="shared" si="121"/>
        <v/>
      </c>
      <c r="KJ16" s="11" t="str">
        <f t="shared" si="122"/>
        <v/>
      </c>
      <c r="KK16" s="11" t="str">
        <f t="shared" si="123"/>
        <v/>
      </c>
      <c r="KL16" s="11" t="str">
        <f t="shared" si="124"/>
        <v/>
      </c>
      <c r="KM16" s="11" t="str">
        <f t="shared" si="125"/>
        <v/>
      </c>
      <c r="KN16" s="11" t="str">
        <f t="shared" si="126"/>
        <v/>
      </c>
      <c r="KO16" s="11" t="str">
        <f t="shared" si="127"/>
        <v/>
      </c>
      <c r="KP16" s="11" t="str">
        <f t="shared" si="128"/>
        <v/>
      </c>
      <c r="KQ16" s="15"/>
      <c r="KR16" s="15"/>
      <c r="KS16" s="15"/>
      <c r="KT16" s="15"/>
      <c r="KU16" s="15"/>
      <c r="KV16" s="15"/>
      <c r="KW16" s="15"/>
      <c r="KX16" s="15"/>
      <c r="KY16" s="15"/>
      <c r="KZ16" s="15"/>
      <c r="LA16" s="15"/>
      <c r="LB16" s="15"/>
      <c r="LC16" s="15"/>
      <c r="LD16" s="15"/>
      <c r="LE16" s="15"/>
      <c r="LF16" s="15"/>
      <c r="LG16" s="15"/>
      <c r="LH16" s="15"/>
      <c r="LI16" s="15"/>
      <c r="LJ16" s="15"/>
      <c r="LK16" s="36" t="str">
        <f t="shared" si="129"/>
        <v/>
      </c>
      <c r="LL16" s="36" t="str">
        <f t="shared" si="130"/>
        <v/>
      </c>
      <c r="LM16" s="36" t="str">
        <f t="shared" si="131"/>
        <v/>
      </c>
      <c r="LN16" s="36" t="str">
        <f t="shared" si="132"/>
        <v/>
      </c>
      <c r="LO16" s="36" t="str">
        <f t="shared" si="133"/>
        <v/>
      </c>
      <c r="LP16" s="36" t="str">
        <f t="shared" si="134"/>
        <v/>
      </c>
      <c r="LQ16" s="36" t="str">
        <f t="shared" si="135"/>
        <v/>
      </c>
      <c r="LR16" s="36" t="str">
        <f t="shared" si="136"/>
        <v/>
      </c>
      <c r="LS16" s="36" t="str">
        <f t="shared" si="137"/>
        <v/>
      </c>
      <c r="LT16" s="36" t="str">
        <f t="shared" si="138"/>
        <v/>
      </c>
      <c r="LU16" s="36" t="str">
        <f t="shared" si="139"/>
        <v/>
      </c>
      <c r="LV16" s="36" t="str">
        <f t="shared" si="140"/>
        <v/>
      </c>
      <c r="LW16" s="36" t="str">
        <f t="shared" si="141"/>
        <v/>
      </c>
      <c r="LX16" s="36" t="str">
        <f t="shared" si="142"/>
        <v/>
      </c>
      <c r="LY16" s="16"/>
      <c r="LZ16" s="16"/>
      <c r="MA16" s="16"/>
      <c r="MB16" s="16"/>
      <c r="MC16" s="16"/>
      <c r="MD16" s="16"/>
      <c r="ME16" s="16"/>
      <c r="MF16" s="16"/>
      <c r="MG16" s="16"/>
      <c r="MH16" s="16"/>
      <c r="MI16" s="16"/>
      <c r="MJ16" s="16"/>
      <c r="MK16" s="16"/>
      <c r="ML16" s="16"/>
      <c r="MM16" s="16"/>
      <c r="MN16" s="16"/>
      <c r="MO16" s="16"/>
      <c r="MP16" s="16"/>
      <c r="MQ16" s="16"/>
      <c r="MR16" s="16"/>
      <c r="MS16" s="11" t="str">
        <f t="shared" si="143"/>
        <v/>
      </c>
      <c r="MT16" s="11" t="str">
        <f t="shared" si="144"/>
        <v/>
      </c>
      <c r="MU16" s="11" t="str">
        <f t="shared" si="145"/>
        <v/>
      </c>
      <c r="MV16" s="11" t="str">
        <f t="shared" si="146"/>
        <v/>
      </c>
      <c r="MW16" s="11" t="str">
        <f t="shared" si="147"/>
        <v/>
      </c>
      <c r="MX16" s="11" t="str">
        <f t="shared" si="148"/>
        <v/>
      </c>
      <c r="MY16" s="11" t="str">
        <f t="shared" si="149"/>
        <v/>
      </c>
      <c r="MZ16" s="11" t="str">
        <f t="shared" si="150"/>
        <v/>
      </c>
      <c r="NA16" s="11" t="str">
        <f t="shared" si="151"/>
        <v/>
      </c>
      <c r="NB16" s="11" t="str">
        <f t="shared" si="152"/>
        <v/>
      </c>
      <c r="NC16" s="11" t="str">
        <f t="shared" si="153"/>
        <v/>
      </c>
      <c r="ND16" s="11" t="str">
        <f t="shared" si="154"/>
        <v/>
      </c>
      <c r="NE16" s="11" t="str">
        <f t="shared" si="155"/>
        <v/>
      </c>
      <c r="NF16" s="11" t="str">
        <f t="shared" si="156"/>
        <v/>
      </c>
      <c r="NG16" s="15"/>
      <c r="NH16" s="15"/>
      <c r="NI16" s="15"/>
      <c r="NJ16" s="15"/>
      <c r="NK16" s="15"/>
      <c r="NL16" s="15"/>
      <c r="NM16" s="15"/>
      <c r="NN16" s="15"/>
      <c r="NO16" s="15"/>
      <c r="NP16" s="15"/>
      <c r="NQ16" s="15"/>
      <c r="NR16" s="15"/>
      <c r="NS16" s="15"/>
      <c r="NT16" s="15"/>
      <c r="NU16" s="15"/>
      <c r="NV16" s="15"/>
      <c r="NW16" s="15"/>
      <c r="NX16" s="15"/>
      <c r="NY16" s="15"/>
      <c r="NZ16" s="15"/>
      <c r="OA16" s="36" t="str">
        <f t="shared" si="157"/>
        <v/>
      </c>
      <c r="OB16" s="36" t="str">
        <f t="shared" si="158"/>
        <v/>
      </c>
      <c r="OC16" s="36" t="str">
        <f t="shared" si="159"/>
        <v/>
      </c>
      <c r="OD16" s="36" t="str">
        <f t="shared" si="160"/>
        <v/>
      </c>
      <c r="OE16" s="36" t="str">
        <f t="shared" si="161"/>
        <v/>
      </c>
      <c r="OF16" s="36" t="str">
        <f t="shared" si="162"/>
        <v/>
      </c>
      <c r="OG16" s="36" t="str">
        <f t="shared" si="163"/>
        <v/>
      </c>
      <c r="OH16" s="36" t="str">
        <f t="shared" si="164"/>
        <v/>
      </c>
      <c r="OI16" s="36" t="str">
        <f t="shared" si="165"/>
        <v/>
      </c>
      <c r="OJ16" s="36" t="str">
        <f t="shared" si="166"/>
        <v/>
      </c>
      <c r="OK16" s="36" t="str">
        <f t="shared" si="167"/>
        <v/>
      </c>
      <c r="OL16" s="36" t="str">
        <f t="shared" si="168"/>
        <v/>
      </c>
      <c r="OM16" s="36" t="str">
        <f t="shared" si="169"/>
        <v/>
      </c>
      <c r="ON16" s="36" t="str">
        <f t="shared" si="170"/>
        <v/>
      </c>
      <c r="OO16" s="16"/>
      <c r="OP16" s="16"/>
      <c r="OQ16" s="16"/>
      <c r="OR16" s="16"/>
      <c r="OS16" s="16"/>
      <c r="OT16" s="16"/>
      <c r="OU16" s="16"/>
      <c r="OV16" s="16"/>
      <c r="OW16" s="16"/>
      <c r="OX16" s="16"/>
      <c r="OY16" s="16"/>
      <c r="OZ16" s="16"/>
      <c r="PA16" s="16"/>
      <c r="PB16" s="16"/>
      <c r="PC16" s="16"/>
      <c r="PD16" s="16"/>
      <c r="PE16" s="16"/>
      <c r="PF16" s="16"/>
      <c r="PG16" s="16"/>
      <c r="PH16" s="16"/>
      <c r="PI16" s="11" t="str">
        <f t="shared" si="171"/>
        <v/>
      </c>
      <c r="PJ16" s="11" t="str">
        <f t="shared" si="172"/>
        <v/>
      </c>
      <c r="PK16" s="11" t="str">
        <f t="shared" si="173"/>
        <v/>
      </c>
      <c r="PL16" s="11" t="str">
        <f t="shared" si="174"/>
        <v/>
      </c>
      <c r="PM16" s="11" t="str">
        <f t="shared" si="175"/>
        <v/>
      </c>
      <c r="PN16" s="11" t="str">
        <f t="shared" si="176"/>
        <v/>
      </c>
      <c r="PO16" s="11" t="str">
        <f t="shared" si="177"/>
        <v/>
      </c>
      <c r="PP16" s="11" t="str">
        <f t="shared" si="178"/>
        <v/>
      </c>
      <c r="PQ16" s="11" t="str">
        <f t="shared" si="179"/>
        <v/>
      </c>
      <c r="PR16" s="11" t="str">
        <f t="shared" si="180"/>
        <v/>
      </c>
      <c r="PS16" s="11" t="str">
        <f t="shared" si="181"/>
        <v/>
      </c>
      <c r="PT16" s="11" t="str">
        <f t="shared" si="182"/>
        <v/>
      </c>
      <c r="PU16" s="11" t="str">
        <f t="shared" si="183"/>
        <v/>
      </c>
      <c r="PV16" s="11" t="str">
        <f t="shared" si="184"/>
        <v/>
      </c>
      <c r="PW16" s="15"/>
      <c r="PX16" s="15"/>
      <c r="PY16" s="15"/>
      <c r="PZ16" s="15"/>
      <c r="QA16" s="15"/>
      <c r="QB16" s="15"/>
      <c r="QC16" s="15"/>
      <c r="QD16" s="15"/>
      <c r="QE16" s="15"/>
      <c r="QF16" s="15"/>
      <c r="QG16" s="15"/>
      <c r="QH16" s="15"/>
      <c r="QI16" s="15"/>
      <c r="QJ16" s="15"/>
      <c r="QK16" s="15"/>
      <c r="QL16" s="15"/>
      <c r="QM16" s="15"/>
      <c r="QN16" s="15"/>
      <c r="QO16" s="15"/>
      <c r="QP16" s="15"/>
      <c r="QQ16" s="36" t="str">
        <f t="shared" si="185"/>
        <v/>
      </c>
      <c r="QR16" s="36" t="str">
        <f t="shared" si="186"/>
        <v/>
      </c>
      <c r="QS16" s="36" t="str">
        <f t="shared" si="187"/>
        <v/>
      </c>
      <c r="QT16" s="36" t="str">
        <f t="shared" si="188"/>
        <v/>
      </c>
      <c r="QU16" s="36" t="str">
        <f t="shared" si="189"/>
        <v/>
      </c>
      <c r="QV16" s="36" t="str">
        <f t="shared" si="190"/>
        <v/>
      </c>
      <c r="QW16" s="36" t="str">
        <f t="shared" si="191"/>
        <v/>
      </c>
      <c r="QX16" s="36" t="str">
        <f t="shared" si="192"/>
        <v/>
      </c>
      <c r="QY16" s="36" t="str">
        <f t="shared" si="193"/>
        <v/>
      </c>
      <c r="QZ16" s="36" t="str">
        <f t="shared" si="194"/>
        <v/>
      </c>
      <c r="RA16" s="36" t="str">
        <f t="shared" si="195"/>
        <v/>
      </c>
      <c r="RB16" s="36" t="str">
        <f t="shared" si="196"/>
        <v/>
      </c>
      <c r="RC16" s="36" t="str">
        <f t="shared" si="197"/>
        <v/>
      </c>
      <c r="RD16" s="36" t="str">
        <f t="shared" si="198"/>
        <v/>
      </c>
      <c r="RE16" s="16"/>
      <c r="RF16" s="16"/>
      <c r="RG16" s="16"/>
      <c r="RH16" s="16"/>
      <c r="RI16" s="16"/>
      <c r="RJ16" s="16"/>
      <c r="RK16" s="16"/>
      <c r="RL16" s="16"/>
      <c r="RM16" s="16"/>
      <c r="RN16" s="16"/>
      <c r="RO16" s="16"/>
      <c r="RP16" s="16"/>
      <c r="RQ16" s="16"/>
      <c r="RR16" s="16"/>
      <c r="RS16" s="16"/>
      <c r="RT16" s="16"/>
      <c r="RU16" s="16"/>
      <c r="RV16" s="16"/>
      <c r="RW16" s="16"/>
      <c r="RX16" s="16"/>
      <c r="RY16" s="11" t="str">
        <f t="shared" si="199"/>
        <v/>
      </c>
      <c r="RZ16" s="11" t="str">
        <f t="shared" si="200"/>
        <v/>
      </c>
      <c r="SA16" s="11" t="str">
        <f t="shared" si="201"/>
        <v/>
      </c>
      <c r="SB16" s="11" t="str">
        <f t="shared" si="202"/>
        <v/>
      </c>
      <c r="SC16" s="11" t="str">
        <f t="shared" si="203"/>
        <v/>
      </c>
      <c r="SD16" s="11" t="str">
        <f t="shared" si="204"/>
        <v/>
      </c>
      <c r="SE16" s="11" t="str">
        <f t="shared" si="205"/>
        <v/>
      </c>
      <c r="SF16" s="11" t="str">
        <f t="shared" si="206"/>
        <v/>
      </c>
      <c r="SG16" s="11" t="str">
        <f t="shared" si="207"/>
        <v/>
      </c>
      <c r="SH16" s="11" t="str">
        <f t="shared" si="208"/>
        <v/>
      </c>
      <c r="SI16" s="11" t="str">
        <f t="shared" si="209"/>
        <v/>
      </c>
      <c r="SJ16" s="11" t="str">
        <f t="shared" si="210"/>
        <v/>
      </c>
      <c r="SK16" s="11" t="str">
        <f t="shared" si="211"/>
        <v/>
      </c>
      <c r="SL16" s="11" t="str">
        <f t="shared" si="212"/>
        <v/>
      </c>
      <c r="SM16" s="15"/>
      <c r="SN16" s="15"/>
      <c r="SO16" s="15"/>
      <c r="SP16" s="15"/>
      <c r="SQ16" s="15"/>
      <c r="SR16" s="15"/>
      <c r="SS16" s="15"/>
      <c r="ST16" s="15"/>
      <c r="SU16" s="15"/>
      <c r="SV16" s="15"/>
      <c r="SW16" s="15"/>
      <c r="SX16" s="15"/>
      <c r="SY16" s="15"/>
      <c r="SZ16" s="15"/>
      <c r="TA16" s="15"/>
      <c r="TB16" s="15"/>
      <c r="TC16" s="15"/>
      <c r="TD16" s="15"/>
      <c r="TE16" s="15"/>
      <c r="TF16" s="15"/>
      <c r="TG16" s="36" t="str">
        <f t="shared" si="213"/>
        <v/>
      </c>
      <c r="TH16" s="36" t="str">
        <f t="shared" si="214"/>
        <v/>
      </c>
      <c r="TI16" s="36" t="str">
        <f t="shared" si="215"/>
        <v/>
      </c>
      <c r="TJ16" s="36" t="str">
        <f t="shared" si="216"/>
        <v/>
      </c>
      <c r="TK16" s="36" t="str">
        <f t="shared" si="217"/>
        <v/>
      </c>
      <c r="TL16" s="36" t="str">
        <f t="shared" si="218"/>
        <v/>
      </c>
      <c r="TM16" s="36" t="str">
        <f t="shared" si="219"/>
        <v/>
      </c>
      <c r="TN16" s="36" t="str">
        <f t="shared" si="220"/>
        <v/>
      </c>
      <c r="TO16" s="36" t="str">
        <f t="shared" si="221"/>
        <v/>
      </c>
      <c r="TP16" s="36" t="str">
        <f t="shared" si="222"/>
        <v/>
      </c>
      <c r="TQ16" s="36" t="str">
        <f t="shared" si="223"/>
        <v/>
      </c>
      <c r="TR16" s="36" t="str">
        <f t="shared" si="224"/>
        <v/>
      </c>
      <c r="TS16" s="36" t="str">
        <f t="shared" si="225"/>
        <v/>
      </c>
      <c r="TT16" s="36" t="str">
        <f t="shared" si="226"/>
        <v/>
      </c>
      <c r="TU16" s="16"/>
      <c r="TV16" s="16"/>
      <c r="TW16" s="16"/>
      <c r="TX16" s="16"/>
      <c r="TY16" s="16"/>
      <c r="TZ16" s="16"/>
      <c r="UA16" s="16"/>
      <c r="UB16" s="16"/>
      <c r="UC16" s="16"/>
      <c r="UD16" s="16"/>
      <c r="UE16" s="16"/>
      <c r="UF16" s="16"/>
      <c r="UG16" s="16"/>
      <c r="UH16" s="16"/>
      <c r="UI16" s="16"/>
      <c r="UJ16" s="16"/>
      <c r="UK16" s="16"/>
      <c r="UL16" s="16"/>
      <c r="UM16" s="16"/>
      <c r="UN16" s="16"/>
      <c r="UO16" s="11" t="str">
        <f t="shared" si="227"/>
        <v/>
      </c>
      <c r="UP16" s="11" t="str">
        <f t="shared" si="228"/>
        <v/>
      </c>
      <c r="UQ16" s="11" t="str">
        <f t="shared" si="229"/>
        <v/>
      </c>
      <c r="UR16" s="11" t="str">
        <f t="shared" si="230"/>
        <v/>
      </c>
      <c r="US16" s="11" t="str">
        <f t="shared" si="231"/>
        <v/>
      </c>
      <c r="UT16" s="11" t="str">
        <f t="shared" si="232"/>
        <v/>
      </c>
      <c r="UU16" s="11" t="str">
        <f t="shared" si="233"/>
        <v/>
      </c>
      <c r="UV16" s="11" t="str">
        <f t="shared" si="234"/>
        <v/>
      </c>
      <c r="UW16" s="11" t="str">
        <f t="shared" si="235"/>
        <v/>
      </c>
      <c r="UX16" s="11" t="str">
        <f t="shared" si="236"/>
        <v/>
      </c>
      <c r="UY16" s="11" t="str">
        <f t="shared" si="237"/>
        <v/>
      </c>
      <c r="UZ16" s="11" t="str">
        <f t="shared" si="238"/>
        <v/>
      </c>
      <c r="VA16" s="11" t="str">
        <f t="shared" si="239"/>
        <v/>
      </c>
      <c r="VB16" s="11" t="str">
        <f t="shared" si="240"/>
        <v/>
      </c>
      <c r="VC16" s="15"/>
      <c r="VD16" s="15"/>
      <c r="VE16" s="15"/>
      <c r="VF16" s="15"/>
      <c r="VG16" s="15"/>
      <c r="VH16" s="15"/>
      <c r="VI16" s="15"/>
      <c r="VJ16" s="15"/>
      <c r="VK16" s="15"/>
      <c r="VL16" s="15"/>
      <c r="VM16" s="15"/>
      <c r="VN16" s="15"/>
      <c r="VO16" s="15"/>
      <c r="VP16" s="15"/>
      <c r="VQ16" s="15"/>
      <c r="VR16" s="15"/>
      <c r="VS16" s="15"/>
      <c r="VT16" s="15"/>
      <c r="VU16" s="15"/>
      <c r="VV16" s="15"/>
      <c r="VW16" s="36" t="str">
        <f t="shared" si="241"/>
        <v/>
      </c>
      <c r="VX16" s="36" t="str">
        <f t="shared" si="242"/>
        <v/>
      </c>
      <c r="VY16" s="36" t="str">
        <f t="shared" si="243"/>
        <v/>
      </c>
      <c r="VZ16" s="36" t="str">
        <f t="shared" si="244"/>
        <v/>
      </c>
      <c r="WA16" s="36" t="str">
        <f t="shared" si="245"/>
        <v/>
      </c>
      <c r="WB16" s="36" t="str">
        <f t="shared" si="246"/>
        <v/>
      </c>
      <c r="WC16" s="36" t="str">
        <f t="shared" si="247"/>
        <v/>
      </c>
      <c r="WD16" s="36" t="str">
        <f t="shared" si="248"/>
        <v/>
      </c>
      <c r="WE16" s="36" t="str">
        <f t="shared" si="249"/>
        <v/>
      </c>
      <c r="WF16" s="36" t="str">
        <f t="shared" si="250"/>
        <v/>
      </c>
      <c r="WG16" s="36" t="str">
        <f t="shared" si="251"/>
        <v/>
      </c>
      <c r="WH16" s="36" t="str">
        <f t="shared" si="252"/>
        <v/>
      </c>
      <c r="WI16" s="36" t="str">
        <f t="shared" si="253"/>
        <v/>
      </c>
      <c r="WJ16" s="36" t="str">
        <f t="shared" si="254"/>
        <v/>
      </c>
    </row>
    <row r="17" spans="1:608" x14ac:dyDescent="0.2">
      <c r="A17" s="4" t="str" cm="1">
        <f t="array" ref="A17">IF(AND(H17&lt;&gt;"",H17&lt;&gt;"No DD"),SUMPRODUCT((H$4:H$20&lt;&gt;"")*(H$4:H$20&lt;&gt;"No DD")*(E$4:E$20&gt;E17))+1,IF(H17="No DD",SUMPRODUCT((H$4:H$20="No DD")*(E$4:E$20&gt;E17))+1+SUMPRODUCT((H$4:H$20&lt;&gt;"")*(H$4:H$20&lt;&gt;"No DD")),""))</f>
        <v/>
      </c>
      <c r="B17" s="5" t="s">
        <v>121</v>
      </c>
      <c r="C17" s="4" t="s">
        <v>3</v>
      </c>
      <c r="D17" s="4" t="s">
        <v>124</v>
      </c>
      <c r="E17" s="9">
        <f t="shared" si="0"/>
        <v>34.610003461002997</v>
      </c>
      <c r="F17" s="3" t="str">
        <f t="shared" si="1"/>
        <v/>
      </c>
      <c r="G17" s="3" t="str">
        <f t="shared" si="2"/>
        <v/>
      </c>
      <c r="H17" s="32" t="str">
        <f t="shared" si="3"/>
        <v/>
      </c>
      <c r="I17" s="3" t="str">
        <f t="shared" si="4"/>
        <v/>
      </c>
      <c r="J17" s="8">
        <f t="shared" si="5"/>
        <v>30.009999999999998</v>
      </c>
      <c r="K17" s="8" t="str">
        <f t="shared" si="6"/>
        <v>2025 Elite Canada</v>
      </c>
      <c r="L17" s="8">
        <f>IFERROR(LARGE((AI17,AL17,AP17,BJ17,BM17,BQ17,CK17,CN17,CR17),2),0)</f>
        <v>4.5999999999999996</v>
      </c>
      <c r="M17" s="8" t="str">
        <f t="shared" si="7"/>
        <v>2025 Elite Canada</v>
      </c>
      <c r="N17" s="8">
        <f t="shared" si="8"/>
        <v>0</v>
      </c>
      <c r="O17" s="11" t="str">
        <f t="shared" si="9"/>
        <v/>
      </c>
      <c r="P17" s="8" t="str">
        <f t="shared" si="10"/>
        <v/>
      </c>
      <c r="Q17" s="18">
        <v>5.0999999999999996</v>
      </c>
      <c r="R17" s="18">
        <v>6.55</v>
      </c>
      <c r="S17" s="18">
        <v>7.9</v>
      </c>
      <c r="T17" s="18">
        <v>10.46</v>
      </c>
      <c r="U17" s="18">
        <v>0</v>
      </c>
      <c r="V17" s="18">
        <v>0</v>
      </c>
      <c r="W17" s="18">
        <v>0</v>
      </c>
      <c r="X17" s="18">
        <v>0</v>
      </c>
      <c r="Y17" s="18">
        <v>0</v>
      </c>
      <c r="Z17" s="18">
        <v>0</v>
      </c>
      <c r="AA17" s="18">
        <v>0.75</v>
      </c>
      <c r="AB17" s="18">
        <v>0.95</v>
      </c>
      <c r="AC17" s="18">
        <v>1.5</v>
      </c>
      <c r="AD17" s="18">
        <v>1.4</v>
      </c>
      <c r="AE17" s="18">
        <v>0</v>
      </c>
      <c r="AF17" s="23"/>
      <c r="AG17" s="34">
        <f t="shared" si="11"/>
        <v>7.9</v>
      </c>
      <c r="AH17" s="34">
        <f t="shared" si="12"/>
        <v>10.46</v>
      </c>
      <c r="AI17" s="36">
        <f t="shared" si="13"/>
        <v>30.009999999999998</v>
      </c>
      <c r="AJ17" s="36" t="str">
        <f t="shared" si="14"/>
        <v/>
      </c>
      <c r="AK17" s="36" t="str">
        <f t="shared" si="15"/>
        <v/>
      </c>
      <c r="AL17" s="36" t="str">
        <f t="shared" si="16"/>
        <v/>
      </c>
      <c r="AM17" s="36">
        <f t="shared" si="17"/>
        <v>30.009999999999998</v>
      </c>
      <c r="AN17" s="36">
        <f t="shared" si="18"/>
        <v>1.5</v>
      </c>
      <c r="AO17" s="36">
        <f t="shared" si="19"/>
        <v>1.4</v>
      </c>
      <c r="AP17" s="36">
        <f t="shared" si="20"/>
        <v>4.5999999999999996</v>
      </c>
      <c r="AQ17" s="36">
        <f t="shared" si="21"/>
        <v>34.61</v>
      </c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4"/>
      <c r="BH17" s="35" t="str">
        <f t="shared" si="22"/>
        <v/>
      </c>
      <c r="BI17" s="35" t="str">
        <f t="shared" si="23"/>
        <v/>
      </c>
      <c r="BJ17" s="11" t="str">
        <f t="shared" si="24"/>
        <v/>
      </c>
      <c r="BK17" s="11" t="str">
        <f t="shared" si="25"/>
        <v/>
      </c>
      <c r="BL17" s="11" t="str">
        <f t="shared" si="26"/>
        <v/>
      </c>
      <c r="BM17" s="11" t="str">
        <f t="shared" si="27"/>
        <v/>
      </c>
      <c r="BN17" s="11" t="str">
        <f t="shared" si="28"/>
        <v/>
      </c>
      <c r="BO17" s="11" t="str">
        <f t="shared" si="29"/>
        <v/>
      </c>
      <c r="BP17" s="11" t="str">
        <f t="shared" si="30"/>
        <v/>
      </c>
      <c r="BQ17" s="11" t="str">
        <f t="shared" si="31"/>
        <v/>
      </c>
      <c r="BR17" s="11" t="str">
        <f t="shared" si="32"/>
        <v/>
      </c>
      <c r="BS17" s="18"/>
      <c r="BT17" s="18"/>
      <c r="BU17" s="18"/>
      <c r="BV17" s="18"/>
      <c r="BW17" s="18"/>
      <c r="BX17" s="18"/>
      <c r="BY17" s="18"/>
      <c r="BZ17" s="18"/>
      <c r="CA17" s="18"/>
      <c r="CB17" s="18"/>
      <c r="CC17" s="18"/>
      <c r="CD17" s="18"/>
      <c r="CE17" s="18"/>
      <c r="CF17" s="18"/>
      <c r="CG17" s="18"/>
      <c r="CH17" s="23"/>
      <c r="CI17" s="34" t="str">
        <f t="shared" si="33"/>
        <v/>
      </c>
      <c r="CJ17" s="34" t="str">
        <f t="shared" si="34"/>
        <v/>
      </c>
      <c r="CK17" s="36" t="str">
        <f t="shared" si="35"/>
        <v/>
      </c>
      <c r="CL17" s="36" t="str">
        <f t="shared" si="36"/>
        <v/>
      </c>
      <c r="CM17" s="36" t="str">
        <f t="shared" si="37"/>
        <v/>
      </c>
      <c r="CN17" s="36" t="str">
        <f t="shared" si="38"/>
        <v/>
      </c>
      <c r="CO17" s="36" t="str">
        <f t="shared" si="39"/>
        <v/>
      </c>
      <c r="CP17" s="36" t="str">
        <f t="shared" si="40"/>
        <v/>
      </c>
      <c r="CQ17" s="36" t="str">
        <f t="shared" si="41"/>
        <v/>
      </c>
      <c r="CR17" s="36" t="str">
        <f t="shared" si="42"/>
        <v/>
      </c>
      <c r="CS17" s="36" t="str">
        <f t="shared" si="43"/>
        <v/>
      </c>
      <c r="CT17" s="47" t="str">
        <f t="shared" si="44"/>
        <v/>
      </c>
      <c r="CU17" s="15"/>
      <c r="CV17" s="15"/>
      <c r="CW17" s="15"/>
      <c r="CX17" s="15"/>
      <c r="CY17" s="15"/>
      <c r="CZ17" s="15"/>
      <c r="DA17" s="15"/>
      <c r="DB17" s="15"/>
      <c r="DC17" s="15"/>
      <c r="DD17" s="15"/>
      <c r="DE17" s="15"/>
      <c r="DF17" s="15"/>
      <c r="DG17" s="15"/>
      <c r="DH17" s="15"/>
      <c r="DI17" s="15"/>
      <c r="DJ17" s="15"/>
      <c r="DK17" s="15"/>
      <c r="DL17" s="15"/>
      <c r="DM17" s="15"/>
      <c r="DN17" s="15"/>
      <c r="DO17" s="36" t="str">
        <f t="shared" si="45"/>
        <v/>
      </c>
      <c r="DP17" s="36" t="str">
        <f t="shared" si="46"/>
        <v/>
      </c>
      <c r="DQ17" s="36" t="str">
        <f t="shared" si="47"/>
        <v/>
      </c>
      <c r="DR17" s="36" t="str">
        <f t="shared" si="48"/>
        <v/>
      </c>
      <c r="DS17" s="36" t="str">
        <f t="shared" si="49"/>
        <v/>
      </c>
      <c r="DT17" s="36" t="str">
        <f t="shared" si="50"/>
        <v/>
      </c>
      <c r="DU17" s="36" t="str">
        <f t="shared" si="51"/>
        <v/>
      </c>
      <c r="DV17" s="36" t="str">
        <f t="shared" si="52"/>
        <v/>
      </c>
      <c r="DW17" s="36" t="str">
        <f t="shared" si="53"/>
        <v/>
      </c>
      <c r="DX17" s="36" t="str">
        <f t="shared" si="54"/>
        <v/>
      </c>
      <c r="DY17" s="36" t="str">
        <f t="shared" si="55"/>
        <v/>
      </c>
      <c r="DZ17" s="36" t="str">
        <f t="shared" si="56"/>
        <v/>
      </c>
      <c r="EA17" s="36" t="str">
        <f t="shared" si="57"/>
        <v/>
      </c>
      <c r="EB17" s="36" t="str">
        <f t="shared" si="58"/>
        <v/>
      </c>
      <c r="EC17" s="16"/>
      <c r="ED17" s="16"/>
      <c r="EE17" s="16"/>
      <c r="EF17" s="16"/>
      <c r="EG17" s="16"/>
      <c r="EH17" s="16"/>
      <c r="EI17" s="16"/>
      <c r="EJ17" s="16"/>
      <c r="EK17" s="16"/>
      <c r="EL17" s="16"/>
      <c r="EM17" s="16"/>
      <c r="EN17" s="16"/>
      <c r="EO17" s="16"/>
      <c r="EP17" s="16"/>
      <c r="EQ17" s="16"/>
      <c r="ER17" s="16"/>
      <c r="ES17" s="16"/>
      <c r="ET17" s="16"/>
      <c r="EU17" s="16"/>
      <c r="EV17" s="16"/>
      <c r="EW17" s="11" t="str">
        <f t="shared" si="59"/>
        <v/>
      </c>
      <c r="EX17" s="11" t="str">
        <f t="shared" si="60"/>
        <v/>
      </c>
      <c r="EY17" s="11" t="str">
        <f t="shared" si="61"/>
        <v/>
      </c>
      <c r="EZ17" s="11" t="str">
        <f t="shared" si="62"/>
        <v/>
      </c>
      <c r="FA17" s="11" t="str">
        <f t="shared" si="63"/>
        <v/>
      </c>
      <c r="FB17" s="11" t="str">
        <f t="shared" si="64"/>
        <v/>
      </c>
      <c r="FC17" s="11" t="str">
        <f t="shared" si="65"/>
        <v/>
      </c>
      <c r="FD17" s="11" t="str">
        <f t="shared" si="66"/>
        <v/>
      </c>
      <c r="FE17" s="11" t="str">
        <f t="shared" si="67"/>
        <v/>
      </c>
      <c r="FF17" s="11" t="str">
        <f t="shared" si="68"/>
        <v/>
      </c>
      <c r="FG17" s="11" t="str">
        <f t="shared" si="69"/>
        <v/>
      </c>
      <c r="FH17" s="11" t="str">
        <f t="shared" si="70"/>
        <v/>
      </c>
      <c r="FI17" s="11" t="str">
        <f t="shared" si="71"/>
        <v/>
      </c>
      <c r="FJ17" s="11" t="str">
        <f t="shared" si="72"/>
        <v/>
      </c>
      <c r="FK17" s="15"/>
      <c r="FL17" s="15"/>
      <c r="FM17" s="15"/>
      <c r="FN17" s="15"/>
      <c r="FO17" s="15"/>
      <c r="FP17" s="15"/>
      <c r="FQ17" s="15"/>
      <c r="FR17" s="15"/>
      <c r="FS17" s="15"/>
      <c r="FT17" s="15"/>
      <c r="FU17" s="15"/>
      <c r="FV17" s="15"/>
      <c r="FW17" s="15"/>
      <c r="FX17" s="15"/>
      <c r="FY17" s="15"/>
      <c r="FZ17" s="15"/>
      <c r="GA17" s="15"/>
      <c r="GB17" s="15"/>
      <c r="GC17" s="15"/>
      <c r="GD17" s="15"/>
      <c r="GE17" s="36" t="str">
        <f t="shared" si="73"/>
        <v/>
      </c>
      <c r="GF17" s="36" t="str">
        <f t="shared" si="74"/>
        <v/>
      </c>
      <c r="GG17" s="36" t="str">
        <f t="shared" si="75"/>
        <v/>
      </c>
      <c r="GH17" s="36" t="str">
        <f t="shared" si="76"/>
        <v/>
      </c>
      <c r="GI17" s="36" t="str">
        <f t="shared" si="77"/>
        <v/>
      </c>
      <c r="GJ17" s="36" t="str">
        <f t="shared" si="78"/>
        <v/>
      </c>
      <c r="GK17" s="36" t="str">
        <f t="shared" si="79"/>
        <v/>
      </c>
      <c r="GL17" s="36" t="str">
        <f t="shared" si="80"/>
        <v/>
      </c>
      <c r="GM17" s="36" t="str">
        <f t="shared" si="81"/>
        <v/>
      </c>
      <c r="GN17" s="36" t="str">
        <f t="shared" si="82"/>
        <v/>
      </c>
      <c r="GO17" s="36" t="str">
        <f t="shared" si="83"/>
        <v/>
      </c>
      <c r="GP17" s="36" t="str">
        <f t="shared" si="84"/>
        <v/>
      </c>
      <c r="GQ17" s="36" t="str">
        <f t="shared" si="85"/>
        <v/>
      </c>
      <c r="GR17" s="36" t="str">
        <f t="shared" si="86"/>
        <v/>
      </c>
      <c r="GS17" s="16"/>
      <c r="GT17" s="16"/>
      <c r="GU17" s="16"/>
      <c r="GV17" s="16"/>
      <c r="GW17" s="16"/>
      <c r="GX17" s="16"/>
      <c r="GY17" s="16"/>
      <c r="GZ17" s="16"/>
      <c r="HA17" s="16"/>
      <c r="HB17" s="16"/>
      <c r="HC17" s="16"/>
      <c r="HD17" s="16"/>
      <c r="HE17" s="16"/>
      <c r="HF17" s="16"/>
      <c r="HG17" s="16"/>
      <c r="HH17" s="16"/>
      <c r="HI17" s="16"/>
      <c r="HJ17" s="16"/>
      <c r="HK17" s="16"/>
      <c r="HL17" s="16"/>
      <c r="HM17" s="11" t="str">
        <f t="shared" si="87"/>
        <v/>
      </c>
      <c r="HN17" s="11" t="str">
        <f t="shared" si="88"/>
        <v/>
      </c>
      <c r="HO17" s="11" t="str">
        <f t="shared" si="89"/>
        <v/>
      </c>
      <c r="HP17" s="11" t="str">
        <f t="shared" si="90"/>
        <v/>
      </c>
      <c r="HQ17" s="11" t="str">
        <f t="shared" si="91"/>
        <v/>
      </c>
      <c r="HR17" s="11" t="str">
        <f t="shared" si="92"/>
        <v/>
      </c>
      <c r="HS17" s="11" t="str">
        <f t="shared" si="93"/>
        <v/>
      </c>
      <c r="HT17" s="11" t="str">
        <f t="shared" si="94"/>
        <v/>
      </c>
      <c r="HU17" s="11" t="str">
        <f t="shared" si="95"/>
        <v/>
      </c>
      <c r="HV17" s="11" t="str">
        <f t="shared" si="96"/>
        <v/>
      </c>
      <c r="HW17" s="11" t="str">
        <f t="shared" si="97"/>
        <v/>
      </c>
      <c r="HX17" s="11" t="str">
        <f t="shared" si="98"/>
        <v/>
      </c>
      <c r="HY17" s="11" t="str">
        <f t="shared" si="99"/>
        <v/>
      </c>
      <c r="HZ17" s="11" t="str">
        <f t="shared" si="100"/>
        <v/>
      </c>
      <c r="IA17" s="15"/>
      <c r="IB17" s="15"/>
      <c r="IC17" s="15"/>
      <c r="ID17" s="15"/>
      <c r="IE17" s="15"/>
      <c r="IF17" s="15"/>
      <c r="IG17" s="15"/>
      <c r="IH17" s="15"/>
      <c r="II17" s="15"/>
      <c r="IJ17" s="15"/>
      <c r="IK17" s="15"/>
      <c r="IL17" s="15"/>
      <c r="IM17" s="15"/>
      <c r="IN17" s="15"/>
      <c r="IO17" s="15"/>
      <c r="IP17" s="15"/>
      <c r="IQ17" s="15"/>
      <c r="IR17" s="15"/>
      <c r="IS17" s="15"/>
      <c r="IT17" s="15"/>
      <c r="IU17" s="36" t="str">
        <f t="shared" si="101"/>
        <v/>
      </c>
      <c r="IV17" s="36" t="str">
        <f t="shared" si="102"/>
        <v/>
      </c>
      <c r="IW17" s="36" t="str">
        <f t="shared" si="103"/>
        <v/>
      </c>
      <c r="IX17" s="36" t="str">
        <f t="shared" si="104"/>
        <v/>
      </c>
      <c r="IY17" s="36" t="str">
        <f t="shared" si="105"/>
        <v/>
      </c>
      <c r="IZ17" s="36" t="str">
        <f t="shared" si="106"/>
        <v/>
      </c>
      <c r="JA17" s="36" t="str">
        <f t="shared" si="107"/>
        <v/>
      </c>
      <c r="JB17" s="36" t="str">
        <f t="shared" si="108"/>
        <v/>
      </c>
      <c r="JC17" s="36" t="str">
        <f t="shared" si="109"/>
        <v/>
      </c>
      <c r="JD17" s="36" t="str">
        <f t="shared" si="110"/>
        <v/>
      </c>
      <c r="JE17" s="36" t="str">
        <f t="shared" si="111"/>
        <v/>
      </c>
      <c r="JF17" s="36" t="str">
        <f t="shared" si="112"/>
        <v/>
      </c>
      <c r="JG17" s="36" t="str">
        <f t="shared" si="113"/>
        <v/>
      </c>
      <c r="JH17" s="36" t="str">
        <f t="shared" si="114"/>
        <v/>
      </c>
      <c r="JI17" s="16"/>
      <c r="JJ17" s="16"/>
      <c r="JK17" s="16"/>
      <c r="JL17" s="16"/>
      <c r="JM17" s="16"/>
      <c r="JN17" s="16"/>
      <c r="JO17" s="16"/>
      <c r="JP17" s="16"/>
      <c r="JQ17" s="16"/>
      <c r="JR17" s="16"/>
      <c r="JS17" s="16"/>
      <c r="JT17" s="16"/>
      <c r="JU17" s="16"/>
      <c r="JV17" s="16"/>
      <c r="JW17" s="16"/>
      <c r="JX17" s="16"/>
      <c r="JY17" s="16"/>
      <c r="JZ17" s="16"/>
      <c r="KA17" s="16"/>
      <c r="KB17" s="16"/>
      <c r="KC17" s="11" t="str">
        <f t="shared" si="115"/>
        <v/>
      </c>
      <c r="KD17" s="11" t="str">
        <f t="shared" si="116"/>
        <v/>
      </c>
      <c r="KE17" s="11" t="str">
        <f t="shared" si="117"/>
        <v/>
      </c>
      <c r="KF17" s="11" t="str">
        <f t="shared" si="118"/>
        <v/>
      </c>
      <c r="KG17" s="11" t="str">
        <f t="shared" si="119"/>
        <v/>
      </c>
      <c r="KH17" s="11" t="str">
        <f t="shared" si="120"/>
        <v/>
      </c>
      <c r="KI17" s="11" t="str">
        <f t="shared" si="121"/>
        <v/>
      </c>
      <c r="KJ17" s="11" t="str">
        <f t="shared" si="122"/>
        <v/>
      </c>
      <c r="KK17" s="11" t="str">
        <f t="shared" si="123"/>
        <v/>
      </c>
      <c r="KL17" s="11" t="str">
        <f t="shared" si="124"/>
        <v/>
      </c>
      <c r="KM17" s="11" t="str">
        <f t="shared" si="125"/>
        <v/>
      </c>
      <c r="KN17" s="11" t="str">
        <f t="shared" si="126"/>
        <v/>
      </c>
      <c r="KO17" s="11" t="str">
        <f t="shared" si="127"/>
        <v/>
      </c>
      <c r="KP17" s="11" t="str">
        <f t="shared" si="128"/>
        <v/>
      </c>
      <c r="KQ17" s="15"/>
      <c r="KR17" s="15"/>
      <c r="KS17" s="15"/>
      <c r="KT17" s="15"/>
      <c r="KU17" s="15"/>
      <c r="KV17" s="15"/>
      <c r="KW17" s="15"/>
      <c r="KX17" s="15"/>
      <c r="KY17" s="15"/>
      <c r="KZ17" s="15"/>
      <c r="LA17" s="15"/>
      <c r="LB17" s="15"/>
      <c r="LC17" s="15"/>
      <c r="LD17" s="15"/>
      <c r="LE17" s="15"/>
      <c r="LF17" s="15"/>
      <c r="LG17" s="15"/>
      <c r="LH17" s="15"/>
      <c r="LI17" s="15"/>
      <c r="LJ17" s="15"/>
      <c r="LK17" s="36" t="str">
        <f t="shared" si="129"/>
        <v/>
      </c>
      <c r="LL17" s="36" t="str">
        <f t="shared" si="130"/>
        <v/>
      </c>
      <c r="LM17" s="36" t="str">
        <f t="shared" si="131"/>
        <v/>
      </c>
      <c r="LN17" s="36" t="str">
        <f t="shared" si="132"/>
        <v/>
      </c>
      <c r="LO17" s="36" t="str">
        <f t="shared" si="133"/>
        <v/>
      </c>
      <c r="LP17" s="36" t="str">
        <f t="shared" si="134"/>
        <v/>
      </c>
      <c r="LQ17" s="36" t="str">
        <f t="shared" si="135"/>
        <v/>
      </c>
      <c r="LR17" s="36" t="str">
        <f t="shared" si="136"/>
        <v/>
      </c>
      <c r="LS17" s="36" t="str">
        <f t="shared" si="137"/>
        <v/>
      </c>
      <c r="LT17" s="36" t="str">
        <f t="shared" si="138"/>
        <v/>
      </c>
      <c r="LU17" s="36" t="str">
        <f t="shared" si="139"/>
        <v/>
      </c>
      <c r="LV17" s="36" t="str">
        <f t="shared" si="140"/>
        <v/>
      </c>
      <c r="LW17" s="36" t="str">
        <f t="shared" si="141"/>
        <v/>
      </c>
      <c r="LX17" s="36" t="str">
        <f t="shared" si="142"/>
        <v/>
      </c>
      <c r="LY17" s="16"/>
      <c r="LZ17" s="16"/>
      <c r="MA17" s="16"/>
      <c r="MB17" s="16"/>
      <c r="MC17" s="16"/>
      <c r="MD17" s="16"/>
      <c r="ME17" s="16"/>
      <c r="MF17" s="16"/>
      <c r="MG17" s="16"/>
      <c r="MH17" s="16"/>
      <c r="MI17" s="16"/>
      <c r="MJ17" s="16"/>
      <c r="MK17" s="16"/>
      <c r="ML17" s="16"/>
      <c r="MM17" s="16"/>
      <c r="MN17" s="16"/>
      <c r="MO17" s="16"/>
      <c r="MP17" s="16"/>
      <c r="MQ17" s="16"/>
      <c r="MR17" s="16"/>
      <c r="MS17" s="11" t="str">
        <f t="shared" si="143"/>
        <v/>
      </c>
      <c r="MT17" s="11" t="str">
        <f t="shared" si="144"/>
        <v/>
      </c>
      <c r="MU17" s="11" t="str">
        <f t="shared" si="145"/>
        <v/>
      </c>
      <c r="MV17" s="11" t="str">
        <f t="shared" si="146"/>
        <v/>
      </c>
      <c r="MW17" s="11" t="str">
        <f t="shared" si="147"/>
        <v/>
      </c>
      <c r="MX17" s="11" t="str">
        <f t="shared" si="148"/>
        <v/>
      </c>
      <c r="MY17" s="11" t="str">
        <f t="shared" si="149"/>
        <v/>
      </c>
      <c r="MZ17" s="11" t="str">
        <f t="shared" si="150"/>
        <v/>
      </c>
      <c r="NA17" s="11" t="str">
        <f t="shared" si="151"/>
        <v/>
      </c>
      <c r="NB17" s="11" t="str">
        <f t="shared" si="152"/>
        <v/>
      </c>
      <c r="NC17" s="11" t="str">
        <f t="shared" si="153"/>
        <v/>
      </c>
      <c r="ND17" s="11" t="str">
        <f t="shared" si="154"/>
        <v/>
      </c>
      <c r="NE17" s="11" t="str">
        <f t="shared" si="155"/>
        <v/>
      </c>
      <c r="NF17" s="11" t="str">
        <f t="shared" si="156"/>
        <v/>
      </c>
      <c r="NG17" s="15"/>
      <c r="NH17" s="15"/>
      <c r="NI17" s="15"/>
      <c r="NJ17" s="15"/>
      <c r="NK17" s="15"/>
      <c r="NL17" s="15"/>
      <c r="NM17" s="15"/>
      <c r="NN17" s="15"/>
      <c r="NO17" s="15"/>
      <c r="NP17" s="15"/>
      <c r="NQ17" s="15"/>
      <c r="NR17" s="15"/>
      <c r="NS17" s="15"/>
      <c r="NT17" s="15"/>
      <c r="NU17" s="15"/>
      <c r="NV17" s="15"/>
      <c r="NW17" s="15"/>
      <c r="NX17" s="15"/>
      <c r="NY17" s="15"/>
      <c r="NZ17" s="15"/>
      <c r="OA17" s="36" t="str">
        <f t="shared" si="157"/>
        <v/>
      </c>
      <c r="OB17" s="36" t="str">
        <f t="shared" si="158"/>
        <v/>
      </c>
      <c r="OC17" s="36" t="str">
        <f t="shared" si="159"/>
        <v/>
      </c>
      <c r="OD17" s="36" t="str">
        <f t="shared" si="160"/>
        <v/>
      </c>
      <c r="OE17" s="36" t="str">
        <f t="shared" si="161"/>
        <v/>
      </c>
      <c r="OF17" s="36" t="str">
        <f t="shared" si="162"/>
        <v/>
      </c>
      <c r="OG17" s="36" t="str">
        <f t="shared" si="163"/>
        <v/>
      </c>
      <c r="OH17" s="36" t="str">
        <f t="shared" si="164"/>
        <v/>
      </c>
      <c r="OI17" s="36" t="str">
        <f t="shared" si="165"/>
        <v/>
      </c>
      <c r="OJ17" s="36" t="str">
        <f t="shared" si="166"/>
        <v/>
      </c>
      <c r="OK17" s="36" t="str">
        <f t="shared" si="167"/>
        <v/>
      </c>
      <c r="OL17" s="36" t="str">
        <f t="shared" si="168"/>
        <v/>
      </c>
      <c r="OM17" s="36" t="str">
        <f t="shared" si="169"/>
        <v/>
      </c>
      <c r="ON17" s="36" t="str">
        <f t="shared" si="170"/>
        <v/>
      </c>
      <c r="OO17" s="16"/>
      <c r="OP17" s="16"/>
      <c r="OQ17" s="16"/>
      <c r="OR17" s="16"/>
      <c r="OS17" s="16"/>
      <c r="OT17" s="16"/>
      <c r="OU17" s="16"/>
      <c r="OV17" s="16"/>
      <c r="OW17" s="16"/>
      <c r="OX17" s="16"/>
      <c r="OY17" s="16"/>
      <c r="OZ17" s="16"/>
      <c r="PA17" s="16"/>
      <c r="PB17" s="16"/>
      <c r="PC17" s="16"/>
      <c r="PD17" s="16"/>
      <c r="PE17" s="16"/>
      <c r="PF17" s="16"/>
      <c r="PG17" s="16"/>
      <c r="PH17" s="16"/>
      <c r="PI17" s="11" t="str">
        <f t="shared" si="171"/>
        <v/>
      </c>
      <c r="PJ17" s="11" t="str">
        <f t="shared" si="172"/>
        <v/>
      </c>
      <c r="PK17" s="11" t="str">
        <f t="shared" si="173"/>
        <v/>
      </c>
      <c r="PL17" s="11" t="str">
        <f t="shared" si="174"/>
        <v/>
      </c>
      <c r="PM17" s="11" t="str">
        <f t="shared" si="175"/>
        <v/>
      </c>
      <c r="PN17" s="11" t="str">
        <f t="shared" si="176"/>
        <v/>
      </c>
      <c r="PO17" s="11" t="str">
        <f t="shared" si="177"/>
        <v/>
      </c>
      <c r="PP17" s="11" t="str">
        <f t="shared" si="178"/>
        <v/>
      </c>
      <c r="PQ17" s="11" t="str">
        <f t="shared" si="179"/>
        <v/>
      </c>
      <c r="PR17" s="11" t="str">
        <f t="shared" si="180"/>
        <v/>
      </c>
      <c r="PS17" s="11" t="str">
        <f t="shared" si="181"/>
        <v/>
      </c>
      <c r="PT17" s="11" t="str">
        <f t="shared" si="182"/>
        <v/>
      </c>
      <c r="PU17" s="11" t="str">
        <f t="shared" si="183"/>
        <v/>
      </c>
      <c r="PV17" s="11" t="str">
        <f t="shared" si="184"/>
        <v/>
      </c>
      <c r="PW17" s="15"/>
      <c r="PX17" s="15"/>
      <c r="PY17" s="15"/>
      <c r="PZ17" s="15"/>
      <c r="QA17" s="15"/>
      <c r="QB17" s="15"/>
      <c r="QC17" s="15"/>
      <c r="QD17" s="15"/>
      <c r="QE17" s="15"/>
      <c r="QF17" s="15"/>
      <c r="QG17" s="15"/>
      <c r="QH17" s="15"/>
      <c r="QI17" s="15"/>
      <c r="QJ17" s="15"/>
      <c r="QK17" s="15"/>
      <c r="QL17" s="15"/>
      <c r="QM17" s="15"/>
      <c r="QN17" s="15"/>
      <c r="QO17" s="15"/>
      <c r="QP17" s="15"/>
      <c r="QQ17" s="36" t="str">
        <f t="shared" si="185"/>
        <v/>
      </c>
      <c r="QR17" s="36" t="str">
        <f t="shared" si="186"/>
        <v/>
      </c>
      <c r="QS17" s="36" t="str">
        <f t="shared" si="187"/>
        <v/>
      </c>
      <c r="QT17" s="36" t="str">
        <f t="shared" si="188"/>
        <v/>
      </c>
      <c r="QU17" s="36" t="str">
        <f t="shared" si="189"/>
        <v/>
      </c>
      <c r="QV17" s="36" t="str">
        <f t="shared" si="190"/>
        <v/>
      </c>
      <c r="QW17" s="36" t="str">
        <f t="shared" si="191"/>
        <v/>
      </c>
      <c r="QX17" s="36" t="str">
        <f t="shared" si="192"/>
        <v/>
      </c>
      <c r="QY17" s="36" t="str">
        <f t="shared" si="193"/>
        <v/>
      </c>
      <c r="QZ17" s="36" t="str">
        <f t="shared" si="194"/>
        <v/>
      </c>
      <c r="RA17" s="36" t="str">
        <f t="shared" si="195"/>
        <v/>
      </c>
      <c r="RB17" s="36" t="str">
        <f t="shared" si="196"/>
        <v/>
      </c>
      <c r="RC17" s="36" t="str">
        <f t="shared" si="197"/>
        <v/>
      </c>
      <c r="RD17" s="36" t="str">
        <f t="shared" si="198"/>
        <v/>
      </c>
      <c r="RE17" s="16"/>
      <c r="RF17" s="16"/>
      <c r="RG17" s="16"/>
      <c r="RH17" s="16"/>
      <c r="RI17" s="16"/>
      <c r="RJ17" s="16"/>
      <c r="RK17" s="16"/>
      <c r="RL17" s="16"/>
      <c r="RM17" s="16"/>
      <c r="RN17" s="16"/>
      <c r="RO17" s="16"/>
      <c r="RP17" s="16"/>
      <c r="RQ17" s="16"/>
      <c r="RR17" s="16"/>
      <c r="RS17" s="16"/>
      <c r="RT17" s="16"/>
      <c r="RU17" s="16"/>
      <c r="RV17" s="16"/>
      <c r="RW17" s="16"/>
      <c r="RX17" s="16"/>
      <c r="RY17" s="11" t="str">
        <f t="shared" si="199"/>
        <v/>
      </c>
      <c r="RZ17" s="11" t="str">
        <f t="shared" si="200"/>
        <v/>
      </c>
      <c r="SA17" s="11" t="str">
        <f t="shared" si="201"/>
        <v/>
      </c>
      <c r="SB17" s="11" t="str">
        <f t="shared" si="202"/>
        <v/>
      </c>
      <c r="SC17" s="11" t="str">
        <f t="shared" si="203"/>
        <v/>
      </c>
      <c r="SD17" s="11" t="str">
        <f t="shared" si="204"/>
        <v/>
      </c>
      <c r="SE17" s="11" t="str">
        <f t="shared" si="205"/>
        <v/>
      </c>
      <c r="SF17" s="11" t="str">
        <f t="shared" si="206"/>
        <v/>
      </c>
      <c r="SG17" s="11" t="str">
        <f t="shared" si="207"/>
        <v/>
      </c>
      <c r="SH17" s="11" t="str">
        <f t="shared" si="208"/>
        <v/>
      </c>
      <c r="SI17" s="11" t="str">
        <f t="shared" si="209"/>
        <v/>
      </c>
      <c r="SJ17" s="11" t="str">
        <f t="shared" si="210"/>
        <v/>
      </c>
      <c r="SK17" s="11" t="str">
        <f t="shared" si="211"/>
        <v/>
      </c>
      <c r="SL17" s="11" t="str">
        <f t="shared" si="212"/>
        <v/>
      </c>
      <c r="SM17" s="15"/>
      <c r="SN17" s="15"/>
      <c r="SO17" s="15"/>
      <c r="SP17" s="15"/>
      <c r="SQ17" s="15"/>
      <c r="SR17" s="15"/>
      <c r="SS17" s="15"/>
      <c r="ST17" s="15"/>
      <c r="SU17" s="15"/>
      <c r="SV17" s="15"/>
      <c r="SW17" s="15"/>
      <c r="SX17" s="15"/>
      <c r="SY17" s="15"/>
      <c r="SZ17" s="15"/>
      <c r="TA17" s="15"/>
      <c r="TB17" s="15"/>
      <c r="TC17" s="15"/>
      <c r="TD17" s="15"/>
      <c r="TE17" s="15"/>
      <c r="TF17" s="15"/>
      <c r="TG17" s="36" t="str">
        <f t="shared" si="213"/>
        <v/>
      </c>
      <c r="TH17" s="36" t="str">
        <f t="shared" si="214"/>
        <v/>
      </c>
      <c r="TI17" s="36" t="str">
        <f t="shared" si="215"/>
        <v/>
      </c>
      <c r="TJ17" s="36" t="str">
        <f t="shared" si="216"/>
        <v/>
      </c>
      <c r="TK17" s="36" t="str">
        <f t="shared" si="217"/>
        <v/>
      </c>
      <c r="TL17" s="36" t="str">
        <f t="shared" si="218"/>
        <v/>
      </c>
      <c r="TM17" s="36" t="str">
        <f t="shared" si="219"/>
        <v/>
      </c>
      <c r="TN17" s="36" t="str">
        <f t="shared" si="220"/>
        <v/>
      </c>
      <c r="TO17" s="36" t="str">
        <f t="shared" si="221"/>
        <v/>
      </c>
      <c r="TP17" s="36" t="str">
        <f t="shared" si="222"/>
        <v/>
      </c>
      <c r="TQ17" s="36" t="str">
        <f t="shared" si="223"/>
        <v/>
      </c>
      <c r="TR17" s="36" t="str">
        <f t="shared" si="224"/>
        <v/>
      </c>
      <c r="TS17" s="36" t="str">
        <f t="shared" si="225"/>
        <v/>
      </c>
      <c r="TT17" s="36" t="str">
        <f t="shared" si="226"/>
        <v/>
      </c>
      <c r="TU17" s="16"/>
      <c r="TV17" s="16"/>
      <c r="TW17" s="16"/>
      <c r="TX17" s="16"/>
      <c r="TY17" s="16"/>
      <c r="TZ17" s="16"/>
      <c r="UA17" s="16"/>
      <c r="UB17" s="16"/>
      <c r="UC17" s="16"/>
      <c r="UD17" s="16"/>
      <c r="UE17" s="16"/>
      <c r="UF17" s="16"/>
      <c r="UG17" s="16"/>
      <c r="UH17" s="16"/>
      <c r="UI17" s="16"/>
      <c r="UJ17" s="16"/>
      <c r="UK17" s="16"/>
      <c r="UL17" s="16"/>
      <c r="UM17" s="16"/>
      <c r="UN17" s="16"/>
      <c r="UO17" s="11" t="str">
        <f t="shared" si="227"/>
        <v/>
      </c>
      <c r="UP17" s="11" t="str">
        <f t="shared" si="228"/>
        <v/>
      </c>
      <c r="UQ17" s="11" t="str">
        <f t="shared" si="229"/>
        <v/>
      </c>
      <c r="UR17" s="11" t="str">
        <f t="shared" si="230"/>
        <v/>
      </c>
      <c r="US17" s="11" t="str">
        <f t="shared" si="231"/>
        <v/>
      </c>
      <c r="UT17" s="11" t="str">
        <f t="shared" si="232"/>
        <v/>
      </c>
      <c r="UU17" s="11" t="str">
        <f t="shared" si="233"/>
        <v/>
      </c>
      <c r="UV17" s="11" t="str">
        <f t="shared" si="234"/>
        <v/>
      </c>
      <c r="UW17" s="11" t="str">
        <f t="shared" si="235"/>
        <v/>
      </c>
      <c r="UX17" s="11" t="str">
        <f t="shared" si="236"/>
        <v/>
      </c>
      <c r="UY17" s="11" t="str">
        <f t="shared" si="237"/>
        <v/>
      </c>
      <c r="UZ17" s="11" t="str">
        <f t="shared" si="238"/>
        <v/>
      </c>
      <c r="VA17" s="11" t="str">
        <f t="shared" si="239"/>
        <v/>
      </c>
      <c r="VB17" s="11" t="str">
        <f t="shared" si="240"/>
        <v/>
      </c>
      <c r="VC17" s="15"/>
      <c r="VD17" s="15"/>
      <c r="VE17" s="15"/>
      <c r="VF17" s="15"/>
      <c r="VG17" s="15"/>
      <c r="VH17" s="15"/>
      <c r="VI17" s="15"/>
      <c r="VJ17" s="15"/>
      <c r="VK17" s="15"/>
      <c r="VL17" s="15"/>
      <c r="VM17" s="15"/>
      <c r="VN17" s="15"/>
      <c r="VO17" s="15"/>
      <c r="VP17" s="15"/>
      <c r="VQ17" s="15"/>
      <c r="VR17" s="15"/>
      <c r="VS17" s="15"/>
      <c r="VT17" s="15"/>
      <c r="VU17" s="15"/>
      <c r="VV17" s="15"/>
      <c r="VW17" s="36" t="str">
        <f t="shared" si="241"/>
        <v/>
      </c>
      <c r="VX17" s="36" t="str">
        <f t="shared" si="242"/>
        <v/>
      </c>
      <c r="VY17" s="36" t="str">
        <f t="shared" si="243"/>
        <v/>
      </c>
      <c r="VZ17" s="36" t="str">
        <f t="shared" si="244"/>
        <v/>
      </c>
      <c r="WA17" s="36" t="str">
        <f t="shared" si="245"/>
        <v/>
      </c>
      <c r="WB17" s="36" t="str">
        <f t="shared" si="246"/>
        <v/>
      </c>
      <c r="WC17" s="36" t="str">
        <f t="shared" si="247"/>
        <v/>
      </c>
      <c r="WD17" s="36" t="str">
        <f t="shared" si="248"/>
        <v/>
      </c>
      <c r="WE17" s="36" t="str">
        <f t="shared" si="249"/>
        <v/>
      </c>
      <c r="WF17" s="36" t="str">
        <f t="shared" si="250"/>
        <v/>
      </c>
      <c r="WG17" s="36" t="str">
        <f t="shared" si="251"/>
        <v/>
      </c>
      <c r="WH17" s="36" t="str">
        <f t="shared" si="252"/>
        <v/>
      </c>
      <c r="WI17" s="36" t="str">
        <f t="shared" si="253"/>
        <v/>
      </c>
      <c r="WJ17" s="36" t="str">
        <f t="shared" si="254"/>
        <v/>
      </c>
    </row>
    <row r="18" spans="1:608" x14ac:dyDescent="0.2">
      <c r="A18" s="4" t="str" cm="1">
        <f t="array" ref="A18">IF(AND(H18&lt;&gt;"",H18&lt;&gt;"No DD"),SUMPRODUCT((H$4:H$20&lt;&gt;"")*(H$4:H$20&lt;&gt;"No DD")*(E$4:E$20&gt;E18))+1,IF(H18="No DD",SUMPRODUCT((H$4:H$20="No DD")*(E$4:E$20&gt;E18))+1+SUMPRODUCT((H$4:H$20&lt;&gt;"")*(H$4:H$20&lt;&gt;"No DD")),""))</f>
        <v/>
      </c>
      <c r="B18" s="5" t="s">
        <v>141</v>
      </c>
      <c r="C18" s="4" t="s">
        <v>112</v>
      </c>
      <c r="D18" s="4" t="s">
        <v>80</v>
      </c>
      <c r="E18" s="9">
        <f t="shared" si="0"/>
        <v>23.860000000000003</v>
      </c>
      <c r="F18" s="3" t="str">
        <f t="shared" si="1"/>
        <v/>
      </c>
      <c r="G18" s="3" t="str">
        <f t="shared" si="2"/>
        <v/>
      </c>
      <c r="H18" s="32" t="str">
        <f t="shared" si="3"/>
        <v/>
      </c>
      <c r="I18" s="3" t="str">
        <f t="shared" si="4"/>
        <v/>
      </c>
      <c r="J18" s="8">
        <f t="shared" si="5"/>
        <v>0</v>
      </c>
      <c r="K18" s="8" t="str">
        <f t="shared" si="6"/>
        <v/>
      </c>
      <c r="L18" s="8">
        <f>IFERROR(LARGE((AI18,AL18,AP18,BJ18,BM18,BQ18,CK18,CN18,CR18),2),0)</f>
        <v>0</v>
      </c>
      <c r="M18" s="8" t="str">
        <f t="shared" si="7"/>
        <v/>
      </c>
      <c r="N18" s="8">
        <f t="shared" si="8"/>
        <v>23.860000000000003</v>
      </c>
      <c r="O18" s="11" t="str">
        <f t="shared" si="9"/>
        <v>(Any)</v>
      </c>
      <c r="P18" s="8" t="str">
        <f t="shared" si="10"/>
        <v>2025 Pan Am Championships (May 18)</v>
      </c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23"/>
      <c r="AG18" s="34" t="str">
        <f t="shared" si="11"/>
        <v/>
      </c>
      <c r="AH18" s="34" t="str">
        <f t="shared" si="12"/>
        <v/>
      </c>
      <c r="AI18" s="36" t="str">
        <f t="shared" si="13"/>
        <v/>
      </c>
      <c r="AJ18" s="36" t="str">
        <f t="shared" si="14"/>
        <v/>
      </c>
      <c r="AK18" s="36" t="str">
        <f t="shared" si="15"/>
        <v/>
      </c>
      <c r="AL18" s="36" t="str">
        <f t="shared" si="16"/>
        <v/>
      </c>
      <c r="AM18" s="36" t="str">
        <f t="shared" si="17"/>
        <v/>
      </c>
      <c r="AN18" s="36" t="str">
        <f t="shared" si="18"/>
        <v/>
      </c>
      <c r="AO18" s="36" t="str">
        <f t="shared" si="19"/>
        <v/>
      </c>
      <c r="AP18" s="36" t="str">
        <f t="shared" si="20"/>
        <v/>
      </c>
      <c r="AQ18" s="36" t="str">
        <f t="shared" si="21"/>
        <v/>
      </c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4"/>
      <c r="BH18" s="35" t="str">
        <f t="shared" si="22"/>
        <v/>
      </c>
      <c r="BI18" s="35" t="str">
        <f t="shared" si="23"/>
        <v/>
      </c>
      <c r="BJ18" s="11" t="str">
        <f t="shared" si="24"/>
        <v/>
      </c>
      <c r="BK18" s="11" t="str">
        <f t="shared" si="25"/>
        <v/>
      </c>
      <c r="BL18" s="11" t="str">
        <f t="shared" si="26"/>
        <v/>
      </c>
      <c r="BM18" s="11" t="str">
        <f t="shared" si="27"/>
        <v/>
      </c>
      <c r="BN18" s="11" t="str">
        <f t="shared" si="28"/>
        <v/>
      </c>
      <c r="BO18" s="11" t="str">
        <f t="shared" si="29"/>
        <v/>
      </c>
      <c r="BP18" s="11" t="str">
        <f t="shared" si="30"/>
        <v/>
      </c>
      <c r="BQ18" s="11" t="str">
        <f t="shared" si="31"/>
        <v/>
      </c>
      <c r="BR18" s="11" t="str">
        <f t="shared" si="32"/>
        <v/>
      </c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  <c r="CF18" s="18"/>
      <c r="CG18" s="18"/>
      <c r="CH18" s="23"/>
      <c r="CI18" s="34" t="str">
        <f t="shared" si="33"/>
        <v/>
      </c>
      <c r="CJ18" s="34" t="str">
        <f t="shared" si="34"/>
        <v/>
      </c>
      <c r="CK18" s="36" t="str">
        <f t="shared" si="35"/>
        <v/>
      </c>
      <c r="CL18" s="36" t="str">
        <f t="shared" si="36"/>
        <v/>
      </c>
      <c r="CM18" s="36" t="str">
        <f t="shared" si="37"/>
        <v/>
      </c>
      <c r="CN18" s="36" t="str">
        <f t="shared" si="38"/>
        <v/>
      </c>
      <c r="CO18" s="36" t="str">
        <f t="shared" si="39"/>
        <v/>
      </c>
      <c r="CP18" s="36" t="str">
        <f t="shared" si="40"/>
        <v/>
      </c>
      <c r="CQ18" s="36" t="str">
        <f t="shared" si="41"/>
        <v/>
      </c>
      <c r="CR18" s="36" t="str">
        <f t="shared" si="42"/>
        <v/>
      </c>
      <c r="CS18" s="36" t="str">
        <f t="shared" si="43"/>
        <v/>
      </c>
      <c r="CT18" s="47">
        <f t="shared" si="44"/>
        <v>23.860000000000003</v>
      </c>
      <c r="CU18" s="15"/>
      <c r="CV18" s="15"/>
      <c r="CW18" s="15"/>
      <c r="CX18" s="15"/>
      <c r="CY18" s="15"/>
      <c r="CZ18" s="15"/>
      <c r="DA18" s="15"/>
      <c r="DB18" s="15"/>
      <c r="DC18" s="15"/>
      <c r="DD18" s="15"/>
      <c r="DE18" s="15"/>
      <c r="DF18" s="15"/>
      <c r="DG18" s="15"/>
      <c r="DH18" s="15"/>
      <c r="DI18" s="15"/>
      <c r="DJ18" s="15"/>
      <c r="DK18" s="15"/>
      <c r="DL18" s="15"/>
      <c r="DM18" s="15"/>
      <c r="DN18" s="15"/>
      <c r="DO18" s="36" t="str">
        <f t="shared" si="45"/>
        <v/>
      </c>
      <c r="DP18" s="36" t="str">
        <f t="shared" si="46"/>
        <v/>
      </c>
      <c r="DQ18" s="36" t="str">
        <f t="shared" si="47"/>
        <v/>
      </c>
      <c r="DR18" s="36" t="str">
        <f t="shared" si="48"/>
        <v/>
      </c>
      <c r="DS18" s="36" t="str">
        <f t="shared" si="49"/>
        <v/>
      </c>
      <c r="DT18" s="36" t="str">
        <f t="shared" si="50"/>
        <v/>
      </c>
      <c r="DU18" s="36" t="str">
        <f t="shared" si="51"/>
        <v/>
      </c>
      <c r="DV18" s="36" t="str">
        <f t="shared" si="52"/>
        <v/>
      </c>
      <c r="DW18" s="36" t="str">
        <f t="shared" si="53"/>
        <v/>
      </c>
      <c r="DX18" s="36" t="str">
        <f t="shared" si="54"/>
        <v/>
      </c>
      <c r="DY18" s="36" t="str">
        <f t="shared" si="55"/>
        <v/>
      </c>
      <c r="DZ18" s="36" t="str">
        <f t="shared" si="56"/>
        <v/>
      </c>
      <c r="EA18" s="36" t="str">
        <f t="shared" si="57"/>
        <v/>
      </c>
      <c r="EB18" s="36" t="str">
        <f t="shared" si="58"/>
        <v/>
      </c>
      <c r="EC18" s="16">
        <v>0</v>
      </c>
      <c r="ED18" s="16">
        <v>0</v>
      </c>
      <c r="EE18" s="16">
        <v>0</v>
      </c>
      <c r="EF18" s="16">
        <v>0</v>
      </c>
      <c r="EG18" s="16">
        <v>0</v>
      </c>
      <c r="EH18" s="16">
        <v>4.45</v>
      </c>
      <c r="EI18" s="16">
        <v>5.35</v>
      </c>
      <c r="EJ18" s="16">
        <v>8.9</v>
      </c>
      <c r="EK18" s="16">
        <v>5.16</v>
      </c>
      <c r="EL18" s="16">
        <v>0</v>
      </c>
      <c r="EM18" s="16"/>
      <c r="EN18" s="16"/>
      <c r="EO18" s="16"/>
      <c r="EP18" s="16"/>
      <c r="EQ18" s="16"/>
      <c r="ER18" s="16">
        <v>3.05</v>
      </c>
      <c r="ES18" s="16">
        <v>3.7</v>
      </c>
      <c r="ET18" s="16">
        <v>6.3</v>
      </c>
      <c r="EU18" s="16">
        <v>4.34</v>
      </c>
      <c r="EV18" s="16">
        <v>0</v>
      </c>
      <c r="EW18" s="11" t="str">
        <f t="shared" si="59"/>
        <v/>
      </c>
      <c r="EX18" s="11" t="str">
        <f t="shared" si="60"/>
        <v/>
      </c>
      <c r="EY18" s="11" t="str">
        <f t="shared" si="61"/>
        <v/>
      </c>
      <c r="EZ18" s="11">
        <f t="shared" si="62"/>
        <v>8.9</v>
      </c>
      <c r="FA18" s="11">
        <f t="shared" si="63"/>
        <v>5.16</v>
      </c>
      <c r="FB18" s="11">
        <f t="shared" si="64"/>
        <v>23.860000000000003</v>
      </c>
      <c r="FC18" s="11">
        <f t="shared" si="65"/>
        <v>23.860000000000003</v>
      </c>
      <c r="FD18" s="11" t="str">
        <f t="shared" si="66"/>
        <v/>
      </c>
      <c r="FE18" s="11" t="str">
        <f t="shared" si="67"/>
        <v/>
      </c>
      <c r="FF18" s="11" t="str">
        <f t="shared" si="68"/>
        <v/>
      </c>
      <c r="FG18" s="11">
        <f t="shared" si="69"/>
        <v>6.3</v>
      </c>
      <c r="FH18" s="11">
        <f t="shared" si="70"/>
        <v>4.34</v>
      </c>
      <c r="FI18" s="11">
        <f t="shared" si="71"/>
        <v>17.39</v>
      </c>
      <c r="FJ18" s="11">
        <f t="shared" si="72"/>
        <v>41.25</v>
      </c>
      <c r="FK18" s="15"/>
      <c r="FL18" s="15"/>
      <c r="FM18" s="15"/>
      <c r="FN18" s="15"/>
      <c r="FO18" s="15"/>
      <c r="FP18" s="15"/>
      <c r="FQ18" s="15"/>
      <c r="FR18" s="15"/>
      <c r="FS18" s="15"/>
      <c r="FT18" s="15"/>
      <c r="FU18" s="15"/>
      <c r="FV18" s="15"/>
      <c r="FW18" s="15"/>
      <c r="FX18" s="15"/>
      <c r="FY18" s="15"/>
      <c r="FZ18" s="15"/>
      <c r="GA18" s="15"/>
      <c r="GB18" s="15"/>
      <c r="GC18" s="15"/>
      <c r="GD18" s="15"/>
      <c r="GE18" s="36" t="str">
        <f t="shared" si="73"/>
        <v/>
      </c>
      <c r="GF18" s="36" t="str">
        <f t="shared" si="74"/>
        <v/>
      </c>
      <c r="GG18" s="36" t="str">
        <f t="shared" si="75"/>
        <v/>
      </c>
      <c r="GH18" s="36" t="str">
        <f t="shared" si="76"/>
        <v/>
      </c>
      <c r="GI18" s="36" t="str">
        <f t="shared" si="77"/>
        <v/>
      </c>
      <c r="GJ18" s="36" t="str">
        <f t="shared" si="78"/>
        <v/>
      </c>
      <c r="GK18" s="36" t="str">
        <f t="shared" si="79"/>
        <v/>
      </c>
      <c r="GL18" s="36" t="str">
        <f t="shared" si="80"/>
        <v/>
      </c>
      <c r="GM18" s="36" t="str">
        <f t="shared" si="81"/>
        <v/>
      </c>
      <c r="GN18" s="36" t="str">
        <f t="shared" si="82"/>
        <v/>
      </c>
      <c r="GO18" s="36" t="str">
        <f t="shared" si="83"/>
        <v/>
      </c>
      <c r="GP18" s="36" t="str">
        <f t="shared" si="84"/>
        <v/>
      </c>
      <c r="GQ18" s="36" t="str">
        <f t="shared" si="85"/>
        <v/>
      </c>
      <c r="GR18" s="36" t="str">
        <f t="shared" si="86"/>
        <v/>
      </c>
      <c r="GS18" s="16"/>
      <c r="GT18" s="16"/>
      <c r="GU18" s="16"/>
      <c r="GV18" s="16"/>
      <c r="GW18" s="16"/>
      <c r="GX18" s="16"/>
      <c r="GY18" s="16"/>
      <c r="GZ18" s="16"/>
      <c r="HA18" s="16"/>
      <c r="HB18" s="16"/>
      <c r="HC18" s="16"/>
      <c r="HD18" s="16"/>
      <c r="HE18" s="16"/>
      <c r="HF18" s="16"/>
      <c r="HG18" s="16"/>
      <c r="HH18" s="16"/>
      <c r="HI18" s="16"/>
      <c r="HJ18" s="16"/>
      <c r="HK18" s="16"/>
      <c r="HL18" s="16"/>
      <c r="HM18" s="11" t="str">
        <f t="shared" si="87"/>
        <v/>
      </c>
      <c r="HN18" s="11" t="str">
        <f t="shared" si="88"/>
        <v/>
      </c>
      <c r="HO18" s="11" t="str">
        <f t="shared" si="89"/>
        <v/>
      </c>
      <c r="HP18" s="11" t="str">
        <f t="shared" si="90"/>
        <v/>
      </c>
      <c r="HQ18" s="11" t="str">
        <f t="shared" si="91"/>
        <v/>
      </c>
      <c r="HR18" s="11" t="str">
        <f t="shared" si="92"/>
        <v/>
      </c>
      <c r="HS18" s="11" t="str">
        <f t="shared" si="93"/>
        <v/>
      </c>
      <c r="HT18" s="11" t="str">
        <f t="shared" si="94"/>
        <v/>
      </c>
      <c r="HU18" s="11" t="str">
        <f t="shared" si="95"/>
        <v/>
      </c>
      <c r="HV18" s="11" t="str">
        <f t="shared" si="96"/>
        <v/>
      </c>
      <c r="HW18" s="11" t="str">
        <f t="shared" si="97"/>
        <v/>
      </c>
      <c r="HX18" s="11" t="str">
        <f t="shared" si="98"/>
        <v/>
      </c>
      <c r="HY18" s="11" t="str">
        <f t="shared" si="99"/>
        <v/>
      </c>
      <c r="HZ18" s="11" t="str">
        <f t="shared" si="100"/>
        <v/>
      </c>
      <c r="IA18" s="15"/>
      <c r="IB18" s="15"/>
      <c r="IC18" s="15"/>
      <c r="ID18" s="15"/>
      <c r="IE18" s="15"/>
      <c r="IF18" s="15"/>
      <c r="IG18" s="15"/>
      <c r="IH18" s="15"/>
      <c r="II18" s="15"/>
      <c r="IJ18" s="15"/>
      <c r="IK18" s="15"/>
      <c r="IL18" s="15"/>
      <c r="IM18" s="15"/>
      <c r="IN18" s="15"/>
      <c r="IO18" s="15"/>
      <c r="IP18" s="15"/>
      <c r="IQ18" s="15"/>
      <c r="IR18" s="15"/>
      <c r="IS18" s="15"/>
      <c r="IT18" s="15"/>
      <c r="IU18" s="36" t="str">
        <f t="shared" si="101"/>
        <v/>
      </c>
      <c r="IV18" s="36" t="str">
        <f t="shared" si="102"/>
        <v/>
      </c>
      <c r="IW18" s="36" t="str">
        <f t="shared" si="103"/>
        <v/>
      </c>
      <c r="IX18" s="36" t="str">
        <f t="shared" si="104"/>
        <v/>
      </c>
      <c r="IY18" s="36" t="str">
        <f t="shared" si="105"/>
        <v/>
      </c>
      <c r="IZ18" s="36" t="str">
        <f t="shared" si="106"/>
        <v/>
      </c>
      <c r="JA18" s="36" t="str">
        <f t="shared" si="107"/>
        <v/>
      </c>
      <c r="JB18" s="36" t="str">
        <f t="shared" si="108"/>
        <v/>
      </c>
      <c r="JC18" s="36" t="str">
        <f t="shared" si="109"/>
        <v/>
      </c>
      <c r="JD18" s="36" t="str">
        <f t="shared" si="110"/>
        <v/>
      </c>
      <c r="JE18" s="36" t="str">
        <f t="shared" si="111"/>
        <v/>
      </c>
      <c r="JF18" s="36" t="str">
        <f t="shared" si="112"/>
        <v/>
      </c>
      <c r="JG18" s="36" t="str">
        <f t="shared" si="113"/>
        <v/>
      </c>
      <c r="JH18" s="36" t="str">
        <f t="shared" si="114"/>
        <v/>
      </c>
      <c r="JI18" s="16"/>
      <c r="JJ18" s="16"/>
      <c r="JK18" s="16"/>
      <c r="JL18" s="16"/>
      <c r="JM18" s="16"/>
      <c r="JN18" s="16"/>
      <c r="JO18" s="16"/>
      <c r="JP18" s="16"/>
      <c r="JQ18" s="16"/>
      <c r="JR18" s="16"/>
      <c r="JS18" s="16"/>
      <c r="JT18" s="16"/>
      <c r="JU18" s="16"/>
      <c r="JV18" s="16"/>
      <c r="JW18" s="16"/>
      <c r="JX18" s="16"/>
      <c r="JY18" s="16"/>
      <c r="JZ18" s="16"/>
      <c r="KA18" s="16"/>
      <c r="KB18" s="16"/>
      <c r="KC18" s="11" t="str">
        <f t="shared" si="115"/>
        <v/>
      </c>
      <c r="KD18" s="11" t="str">
        <f t="shared" si="116"/>
        <v/>
      </c>
      <c r="KE18" s="11" t="str">
        <f t="shared" si="117"/>
        <v/>
      </c>
      <c r="KF18" s="11" t="str">
        <f t="shared" si="118"/>
        <v/>
      </c>
      <c r="KG18" s="11" t="str">
        <f t="shared" si="119"/>
        <v/>
      </c>
      <c r="KH18" s="11" t="str">
        <f t="shared" si="120"/>
        <v/>
      </c>
      <c r="KI18" s="11" t="str">
        <f t="shared" si="121"/>
        <v/>
      </c>
      <c r="KJ18" s="11" t="str">
        <f t="shared" si="122"/>
        <v/>
      </c>
      <c r="KK18" s="11" t="str">
        <f t="shared" si="123"/>
        <v/>
      </c>
      <c r="KL18" s="11" t="str">
        <f t="shared" si="124"/>
        <v/>
      </c>
      <c r="KM18" s="11" t="str">
        <f t="shared" si="125"/>
        <v/>
      </c>
      <c r="KN18" s="11" t="str">
        <f t="shared" si="126"/>
        <v/>
      </c>
      <c r="KO18" s="11" t="str">
        <f t="shared" si="127"/>
        <v/>
      </c>
      <c r="KP18" s="11" t="str">
        <f t="shared" si="128"/>
        <v/>
      </c>
      <c r="KQ18" s="15"/>
      <c r="KR18" s="15"/>
      <c r="KS18" s="15"/>
      <c r="KT18" s="15"/>
      <c r="KU18" s="15"/>
      <c r="KV18" s="15"/>
      <c r="KW18" s="15"/>
      <c r="KX18" s="15"/>
      <c r="KY18" s="15"/>
      <c r="KZ18" s="15"/>
      <c r="LA18" s="15"/>
      <c r="LB18" s="15"/>
      <c r="LC18" s="15"/>
      <c r="LD18" s="15"/>
      <c r="LE18" s="15"/>
      <c r="LF18" s="15"/>
      <c r="LG18" s="15"/>
      <c r="LH18" s="15"/>
      <c r="LI18" s="15"/>
      <c r="LJ18" s="15"/>
      <c r="LK18" s="36" t="str">
        <f t="shared" si="129"/>
        <v/>
      </c>
      <c r="LL18" s="36" t="str">
        <f t="shared" si="130"/>
        <v/>
      </c>
      <c r="LM18" s="36" t="str">
        <f t="shared" si="131"/>
        <v/>
      </c>
      <c r="LN18" s="36" t="str">
        <f t="shared" si="132"/>
        <v/>
      </c>
      <c r="LO18" s="36" t="str">
        <f t="shared" si="133"/>
        <v/>
      </c>
      <c r="LP18" s="36" t="str">
        <f t="shared" si="134"/>
        <v/>
      </c>
      <c r="LQ18" s="36" t="str">
        <f t="shared" si="135"/>
        <v/>
      </c>
      <c r="LR18" s="36" t="str">
        <f t="shared" si="136"/>
        <v/>
      </c>
      <c r="LS18" s="36" t="str">
        <f t="shared" si="137"/>
        <v/>
      </c>
      <c r="LT18" s="36" t="str">
        <f t="shared" si="138"/>
        <v/>
      </c>
      <c r="LU18" s="36" t="str">
        <f t="shared" si="139"/>
        <v/>
      </c>
      <c r="LV18" s="36" t="str">
        <f t="shared" si="140"/>
        <v/>
      </c>
      <c r="LW18" s="36" t="str">
        <f t="shared" si="141"/>
        <v/>
      </c>
      <c r="LX18" s="36" t="str">
        <f t="shared" si="142"/>
        <v/>
      </c>
      <c r="LY18" s="16"/>
      <c r="LZ18" s="16"/>
      <c r="MA18" s="16"/>
      <c r="MB18" s="16"/>
      <c r="MC18" s="16"/>
      <c r="MD18" s="16"/>
      <c r="ME18" s="16"/>
      <c r="MF18" s="16"/>
      <c r="MG18" s="16"/>
      <c r="MH18" s="16"/>
      <c r="MI18" s="16"/>
      <c r="MJ18" s="16"/>
      <c r="MK18" s="16"/>
      <c r="ML18" s="16"/>
      <c r="MM18" s="16"/>
      <c r="MN18" s="16"/>
      <c r="MO18" s="16"/>
      <c r="MP18" s="16"/>
      <c r="MQ18" s="16"/>
      <c r="MR18" s="16"/>
      <c r="MS18" s="11" t="str">
        <f t="shared" si="143"/>
        <v/>
      </c>
      <c r="MT18" s="11" t="str">
        <f t="shared" si="144"/>
        <v/>
      </c>
      <c r="MU18" s="11" t="str">
        <f t="shared" si="145"/>
        <v/>
      </c>
      <c r="MV18" s="11" t="str">
        <f t="shared" si="146"/>
        <v/>
      </c>
      <c r="MW18" s="11" t="str">
        <f t="shared" si="147"/>
        <v/>
      </c>
      <c r="MX18" s="11" t="str">
        <f t="shared" si="148"/>
        <v/>
      </c>
      <c r="MY18" s="11" t="str">
        <f t="shared" si="149"/>
        <v/>
      </c>
      <c r="MZ18" s="11" t="str">
        <f t="shared" si="150"/>
        <v/>
      </c>
      <c r="NA18" s="11" t="str">
        <f t="shared" si="151"/>
        <v/>
      </c>
      <c r="NB18" s="11" t="str">
        <f t="shared" si="152"/>
        <v/>
      </c>
      <c r="NC18" s="11" t="str">
        <f t="shared" si="153"/>
        <v/>
      </c>
      <c r="ND18" s="11" t="str">
        <f t="shared" si="154"/>
        <v/>
      </c>
      <c r="NE18" s="11" t="str">
        <f t="shared" si="155"/>
        <v/>
      </c>
      <c r="NF18" s="11" t="str">
        <f t="shared" si="156"/>
        <v/>
      </c>
      <c r="NG18" s="15"/>
      <c r="NH18" s="15"/>
      <c r="NI18" s="15"/>
      <c r="NJ18" s="15"/>
      <c r="NK18" s="15"/>
      <c r="NL18" s="15"/>
      <c r="NM18" s="15"/>
      <c r="NN18" s="15"/>
      <c r="NO18" s="15"/>
      <c r="NP18" s="15"/>
      <c r="NQ18" s="15"/>
      <c r="NR18" s="15"/>
      <c r="NS18" s="15"/>
      <c r="NT18" s="15"/>
      <c r="NU18" s="15"/>
      <c r="NV18" s="15"/>
      <c r="NW18" s="15"/>
      <c r="NX18" s="15"/>
      <c r="NY18" s="15"/>
      <c r="NZ18" s="15"/>
      <c r="OA18" s="36" t="str">
        <f t="shared" si="157"/>
        <v/>
      </c>
      <c r="OB18" s="36" t="str">
        <f t="shared" si="158"/>
        <v/>
      </c>
      <c r="OC18" s="36" t="str">
        <f t="shared" si="159"/>
        <v/>
      </c>
      <c r="OD18" s="36" t="str">
        <f t="shared" si="160"/>
        <v/>
      </c>
      <c r="OE18" s="36" t="str">
        <f t="shared" si="161"/>
        <v/>
      </c>
      <c r="OF18" s="36" t="str">
        <f t="shared" si="162"/>
        <v/>
      </c>
      <c r="OG18" s="36" t="str">
        <f t="shared" si="163"/>
        <v/>
      </c>
      <c r="OH18" s="36" t="str">
        <f t="shared" si="164"/>
        <v/>
      </c>
      <c r="OI18" s="36" t="str">
        <f t="shared" si="165"/>
        <v/>
      </c>
      <c r="OJ18" s="36" t="str">
        <f t="shared" si="166"/>
        <v/>
      </c>
      <c r="OK18" s="36" t="str">
        <f t="shared" si="167"/>
        <v/>
      </c>
      <c r="OL18" s="36" t="str">
        <f t="shared" si="168"/>
        <v/>
      </c>
      <c r="OM18" s="36" t="str">
        <f t="shared" si="169"/>
        <v/>
      </c>
      <c r="ON18" s="36" t="str">
        <f t="shared" si="170"/>
        <v/>
      </c>
      <c r="OO18" s="16"/>
      <c r="OP18" s="16"/>
      <c r="OQ18" s="16"/>
      <c r="OR18" s="16"/>
      <c r="OS18" s="16"/>
      <c r="OT18" s="16"/>
      <c r="OU18" s="16"/>
      <c r="OV18" s="16"/>
      <c r="OW18" s="16"/>
      <c r="OX18" s="16"/>
      <c r="OY18" s="16"/>
      <c r="OZ18" s="16"/>
      <c r="PA18" s="16"/>
      <c r="PB18" s="16"/>
      <c r="PC18" s="16"/>
      <c r="PD18" s="16"/>
      <c r="PE18" s="16"/>
      <c r="PF18" s="16"/>
      <c r="PG18" s="16"/>
      <c r="PH18" s="16"/>
      <c r="PI18" s="11" t="str">
        <f t="shared" si="171"/>
        <v/>
      </c>
      <c r="PJ18" s="11" t="str">
        <f t="shared" si="172"/>
        <v/>
      </c>
      <c r="PK18" s="11" t="str">
        <f t="shared" si="173"/>
        <v/>
      </c>
      <c r="PL18" s="11" t="str">
        <f t="shared" si="174"/>
        <v/>
      </c>
      <c r="PM18" s="11" t="str">
        <f t="shared" si="175"/>
        <v/>
      </c>
      <c r="PN18" s="11" t="str">
        <f t="shared" si="176"/>
        <v/>
      </c>
      <c r="PO18" s="11" t="str">
        <f t="shared" si="177"/>
        <v/>
      </c>
      <c r="PP18" s="11" t="str">
        <f t="shared" si="178"/>
        <v/>
      </c>
      <c r="PQ18" s="11" t="str">
        <f t="shared" si="179"/>
        <v/>
      </c>
      <c r="PR18" s="11" t="str">
        <f t="shared" si="180"/>
        <v/>
      </c>
      <c r="PS18" s="11" t="str">
        <f t="shared" si="181"/>
        <v/>
      </c>
      <c r="PT18" s="11" t="str">
        <f t="shared" si="182"/>
        <v/>
      </c>
      <c r="PU18" s="11" t="str">
        <f t="shared" si="183"/>
        <v/>
      </c>
      <c r="PV18" s="11" t="str">
        <f t="shared" si="184"/>
        <v/>
      </c>
      <c r="PW18" s="15"/>
      <c r="PX18" s="15"/>
      <c r="PY18" s="15"/>
      <c r="PZ18" s="15"/>
      <c r="QA18" s="15"/>
      <c r="QB18" s="15"/>
      <c r="QC18" s="15"/>
      <c r="QD18" s="15"/>
      <c r="QE18" s="15"/>
      <c r="QF18" s="15"/>
      <c r="QG18" s="15"/>
      <c r="QH18" s="15"/>
      <c r="QI18" s="15"/>
      <c r="QJ18" s="15"/>
      <c r="QK18" s="15"/>
      <c r="QL18" s="15"/>
      <c r="QM18" s="15"/>
      <c r="QN18" s="15"/>
      <c r="QO18" s="15"/>
      <c r="QP18" s="15"/>
      <c r="QQ18" s="36" t="str">
        <f t="shared" si="185"/>
        <v/>
      </c>
      <c r="QR18" s="36" t="str">
        <f t="shared" si="186"/>
        <v/>
      </c>
      <c r="QS18" s="36" t="str">
        <f t="shared" si="187"/>
        <v/>
      </c>
      <c r="QT18" s="36" t="str">
        <f t="shared" si="188"/>
        <v/>
      </c>
      <c r="QU18" s="36" t="str">
        <f t="shared" si="189"/>
        <v/>
      </c>
      <c r="QV18" s="36" t="str">
        <f t="shared" si="190"/>
        <v/>
      </c>
      <c r="QW18" s="36" t="str">
        <f t="shared" si="191"/>
        <v/>
      </c>
      <c r="QX18" s="36" t="str">
        <f t="shared" si="192"/>
        <v/>
      </c>
      <c r="QY18" s="36" t="str">
        <f t="shared" si="193"/>
        <v/>
      </c>
      <c r="QZ18" s="36" t="str">
        <f t="shared" si="194"/>
        <v/>
      </c>
      <c r="RA18" s="36" t="str">
        <f t="shared" si="195"/>
        <v/>
      </c>
      <c r="RB18" s="36" t="str">
        <f t="shared" si="196"/>
        <v/>
      </c>
      <c r="RC18" s="36" t="str">
        <f t="shared" si="197"/>
        <v/>
      </c>
      <c r="RD18" s="36" t="str">
        <f t="shared" si="198"/>
        <v/>
      </c>
      <c r="RE18" s="16"/>
      <c r="RF18" s="16"/>
      <c r="RG18" s="16"/>
      <c r="RH18" s="16"/>
      <c r="RI18" s="16"/>
      <c r="RJ18" s="16"/>
      <c r="RK18" s="16"/>
      <c r="RL18" s="16"/>
      <c r="RM18" s="16"/>
      <c r="RN18" s="16"/>
      <c r="RO18" s="16"/>
      <c r="RP18" s="16"/>
      <c r="RQ18" s="16"/>
      <c r="RR18" s="16"/>
      <c r="RS18" s="16"/>
      <c r="RT18" s="16"/>
      <c r="RU18" s="16"/>
      <c r="RV18" s="16"/>
      <c r="RW18" s="16"/>
      <c r="RX18" s="16"/>
      <c r="RY18" s="11" t="str">
        <f t="shared" si="199"/>
        <v/>
      </c>
      <c r="RZ18" s="11" t="str">
        <f t="shared" si="200"/>
        <v/>
      </c>
      <c r="SA18" s="11" t="str">
        <f t="shared" si="201"/>
        <v/>
      </c>
      <c r="SB18" s="11" t="str">
        <f t="shared" si="202"/>
        <v/>
      </c>
      <c r="SC18" s="11" t="str">
        <f t="shared" si="203"/>
        <v/>
      </c>
      <c r="SD18" s="11" t="str">
        <f t="shared" si="204"/>
        <v/>
      </c>
      <c r="SE18" s="11" t="str">
        <f t="shared" si="205"/>
        <v/>
      </c>
      <c r="SF18" s="11" t="str">
        <f t="shared" si="206"/>
        <v/>
      </c>
      <c r="SG18" s="11" t="str">
        <f t="shared" si="207"/>
        <v/>
      </c>
      <c r="SH18" s="11" t="str">
        <f t="shared" si="208"/>
        <v/>
      </c>
      <c r="SI18" s="11" t="str">
        <f t="shared" si="209"/>
        <v/>
      </c>
      <c r="SJ18" s="11" t="str">
        <f t="shared" si="210"/>
        <v/>
      </c>
      <c r="SK18" s="11" t="str">
        <f t="shared" si="211"/>
        <v/>
      </c>
      <c r="SL18" s="11" t="str">
        <f t="shared" si="212"/>
        <v/>
      </c>
      <c r="SM18" s="15"/>
      <c r="SN18" s="15"/>
      <c r="SO18" s="15"/>
      <c r="SP18" s="15"/>
      <c r="SQ18" s="15"/>
      <c r="SR18" s="15"/>
      <c r="SS18" s="15"/>
      <c r="ST18" s="15"/>
      <c r="SU18" s="15"/>
      <c r="SV18" s="15"/>
      <c r="SW18" s="15"/>
      <c r="SX18" s="15"/>
      <c r="SY18" s="15"/>
      <c r="SZ18" s="15"/>
      <c r="TA18" s="15"/>
      <c r="TB18" s="15"/>
      <c r="TC18" s="15"/>
      <c r="TD18" s="15"/>
      <c r="TE18" s="15"/>
      <c r="TF18" s="15"/>
      <c r="TG18" s="36" t="str">
        <f t="shared" si="213"/>
        <v/>
      </c>
      <c r="TH18" s="36" t="str">
        <f t="shared" si="214"/>
        <v/>
      </c>
      <c r="TI18" s="36" t="str">
        <f t="shared" si="215"/>
        <v/>
      </c>
      <c r="TJ18" s="36" t="str">
        <f t="shared" si="216"/>
        <v/>
      </c>
      <c r="TK18" s="36" t="str">
        <f t="shared" si="217"/>
        <v/>
      </c>
      <c r="TL18" s="36" t="str">
        <f t="shared" si="218"/>
        <v/>
      </c>
      <c r="TM18" s="36" t="str">
        <f t="shared" si="219"/>
        <v/>
      </c>
      <c r="TN18" s="36" t="str">
        <f t="shared" si="220"/>
        <v/>
      </c>
      <c r="TO18" s="36" t="str">
        <f t="shared" si="221"/>
        <v/>
      </c>
      <c r="TP18" s="36" t="str">
        <f t="shared" si="222"/>
        <v/>
      </c>
      <c r="TQ18" s="36" t="str">
        <f t="shared" si="223"/>
        <v/>
      </c>
      <c r="TR18" s="36" t="str">
        <f t="shared" si="224"/>
        <v/>
      </c>
      <c r="TS18" s="36" t="str">
        <f t="shared" si="225"/>
        <v/>
      </c>
      <c r="TT18" s="36" t="str">
        <f t="shared" si="226"/>
        <v/>
      </c>
      <c r="TU18" s="16"/>
      <c r="TV18" s="16"/>
      <c r="TW18" s="16"/>
      <c r="TX18" s="16"/>
      <c r="TY18" s="16"/>
      <c r="TZ18" s="16"/>
      <c r="UA18" s="16"/>
      <c r="UB18" s="16"/>
      <c r="UC18" s="16"/>
      <c r="UD18" s="16"/>
      <c r="UE18" s="16"/>
      <c r="UF18" s="16"/>
      <c r="UG18" s="16"/>
      <c r="UH18" s="16"/>
      <c r="UI18" s="16"/>
      <c r="UJ18" s="16"/>
      <c r="UK18" s="16"/>
      <c r="UL18" s="16"/>
      <c r="UM18" s="16"/>
      <c r="UN18" s="16"/>
      <c r="UO18" s="11" t="str">
        <f t="shared" si="227"/>
        <v/>
      </c>
      <c r="UP18" s="11" t="str">
        <f t="shared" si="228"/>
        <v/>
      </c>
      <c r="UQ18" s="11" t="str">
        <f t="shared" si="229"/>
        <v/>
      </c>
      <c r="UR18" s="11" t="str">
        <f t="shared" si="230"/>
        <v/>
      </c>
      <c r="US18" s="11" t="str">
        <f t="shared" si="231"/>
        <v/>
      </c>
      <c r="UT18" s="11" t="str">
        <f t="shared" si="232"/>
        <v/>
      </c>
      <c r="UU18" s="11" t="str">
        <f t="shared" si="233"/>
        <v/>
      </c>
      <c r="UV18" s="11" t="str">
        <f t="shared" si="234"/>
        <v/>
      </c>
      <c r="UW18" s="11" t="str">
        <f t="shared" si="235"/>
        <v/>
      </c>
      <c r="UX18" s="11" t="str">
        <f t="shared" si="236"/>
        <v/>
      </c>
      <c r="UY18" s="11" t="str">
        <f t="shared" si="237"/>
        <v/>
      </c>
      <c r="UZ18" s="11" t="str">
        <f t="shared" si="238"/>
        <v/>
      </c>
      <c r="VA18" s="11" t="str">
        <f t="shared" si="239"/>
        <v/>
      </c>
      <c r="VB18" s="11" t="str">
        <f t="shared" si="240"/>
        <v/>
      </c>
      <c r="VC18" s="15"/>
      <c r="VD18" s="15"/>
      <c r="VE18" s="15"/>
      <c r="VF18" s="15"/>
      <c r="VG18" s="15"/>
      <c r="VH18" s="15"/>
      <c r="VI18" s="15"/>
      <c r="VJ18" s="15"/>
      <c r="VK18" s="15"/>
      <c r="VL18" s="15"/>
      <c r="VM18" s="15"/>
      <c r="VN18" s="15"/>
      <c r="VO18" s="15"/>
      <c r="VP18" s="15"/>
      <c r="VQ18" s="15"/>
      <c r="VR18" s="15"/>
      <c r="VS18" s="15"/>
      <c r="VT18" s="15"/>
      <c r="VU18" s="15"/>
      <c r="VV18" s="15"/>
      <c r="VW18" s="36" t="str">
        <f t="shared" si="241"/>
        <v/>
      </c>
      <c r="VX18" s="36" t="str">
        <f t="shared" si="242"/>
        <v/>
      </c>
      <c r="VY18" s="36" t="str">
        <f t="shared" si="243"/>
        <v/>
      </c>
      <c r="VZ18" s="36" t="str">
        <f t="shared" si="244"/>
        <v/>
      </c>
      <c r="WA18" s="36" t="str">
        <f t="shared" si="245"/>
        <v/>
      </c>
      <c r="WB18" s="36" t="str">
        <f t="shared" si="246"/>
        <v/>
      </c>
      <c r="WC18" s="36" t="str">
        <f t="shared" si="247"/>
        <v/>
      </c>
      <c r="WD18" s="36" t="str">
        <f t="shared" si="248"/>
        <v/>
      </c>
      <c r="WE18" s="36" t="str">
        <f t="shared" si="249"/>
        <v/>
      </c>
      <c r="WF18" s="36" t="str">
        <f t="shared" si="250"/>
        <v/>
      </c>
      <c r="WG18" s="36" t="str">
        <f t="shared" si="251"/>
        <v/>
      </c>
      <c r="WH18" s="36" t="str">
        <f t="shared" si="252"/>
        <v/>
      </c>
      <c r="WI18" s="36" t="str">
        <f t="shared" si="253"/>
        <v/>
      </c>
      <c r="WJ18" s="36" t="str">
        <f t="shared" si="254"/>
        <v/>
      </c>
    </row>
    <row r="19" spans="1:608" x14ac:dyDescent="0.2">
      <c r="A19" s="4" t="str" cm="1">
        <f t="array" ref="A19">IF(AND(H19&lt;&gt;"",H19&lt;&gt;"No DD"),SUMPRODUCT((H$4:H$20&lt;&gt;"")*(H$4:H$20&lt;&gt;"No DD")*(E$4:E$20&gt;E19))+1,IF(H19="No DD",SUMPRODUCT((H$4:H$20="No DD")*(E$4:E$20&gt;E19))+1+SUMPRODUCT((H$4:H$20&lt;&gt;"")*(H$4:H$20&lt;&gt;"No DD")),""))</f>
        <v/>
      </c>
      <c r="B19" s="5" t="s">
        <v>123</v>
      </c>
      <c r="C19" s="4" t="s">
        <v>3</v>
      </c>
      <c r="D19" s="4" t="s">
        <v>126</v>
      </c>
      <c r="E19" s="9">
        <f t="shared" si="0"/>
        <v>15.090001509000993</v>
      </c>
      <c r="F19" s="3" t="str">
        <f t="shared" si="1"/>
        <v/>
      </c>
      <c r="G19" s="3" t="str">
        <f t="shared" si="2"/>
        <v/>
      </c>
      <c r="H19" s="32" t="str">
        <f t="shared" si="3"/>
        <v/>
      </c>
      <c r="I19" s="3" t="str">
        <f t="shared" si="4"/>
        <v/>
      </c>
      <c r="J19" s="8">
        <f t="shared" si="5"/>
        <v>9.93</v>
      </c>
      <c r="K19" s="8" t="str">
        <f t="shared" si="6"/>
        <v>2025 Elite Canada</v>
      </c>
      <c r="L19" s="8">
        <f>IFERROR(LARGE((AI19,AL19,AP19,BJ19,BM19,BQ19,CK19,CN19,CR19),2),0)</f>
        <v>5.16</v>
      </c>
      <c r="M19" s="8" t="str">
        <f t="shared" si="7"/>
        <v>2025 Elite Canada</v>
      </c>
      <c r="N19" s="8">
        <f t="shared" si="8"/>
        <v>0</v>
      </c>
      <c r="O19" s="11" t="str">
        <f t="shared" si="9"/>
        <v/>
      </c>
      <c r="P19" s="8" t="str">
        <f t="shared" si="10"/>
        <v/>
      </c>
      <c r="Q19" s="18">
        <v>0.7</v>
      </c>
      <c r="R19" s="18">
        <v>1</v>
      </c>
      <c r="S19" s="18">
        <v>1.5</v>
      </c>
      <c r="T19" s="18">
        <v>1.96</v>
      </c>
      <c r="U19" s="18">
        <v>0</v>
      </c>
      <c r="V19" s="18">
        <v>1.4</v>
      </c>
      <c r="W19" s="18">
        <v>1.75</v>
      </c>
      <c r="X19" s="18">
        <v>3</v>
      </c>
      <c r="Y19" s="18">
        <v>3.78</v>
      </c>
      <c r="Z19" s="18">
        <v>0</v>
      </c>
      <c r="AA19" s="18"/>
      <c r="AB19" s="18"/>
      <c r="AC19" s="18"/>
      <c r="AD19" s="18"/>
      <c r="AE19" s="18"/>
      <c r="AF19" s="23"/>
      <c r="AG19" s="34">
        <f t="shared" si="11"/>
        <v>1.5</v>
      </c>
      <c r="AH19" s="34">
        <f t="shared" si="12"/>
        <v>1.96</v>
      </c>
      <c r="AI19" s="36">
        <f t="shared" si="13"/>
        <v>5.16</v>
      </c>
      <c r="AJ19" s="36">
        <f t="shared" si="14"/>
        <v>3</v>
      </c>
      <c r="AK19" s="36">
        <f t="shared" si="15"/>
        <v>3.78</v>
      </c>
      <c r="AL19" s="36">
        <f t="shared" si="16"/>
        <v>9.93</v>
      </c>
      <c r="AM19" s="36">
        <f t="shared" si="17"/>
        <v>9.93</v>
      </c>
      <c r="AN19" s="36" t="str">
        <f t="shared" si="18"/>
        <v/>
      </c>
      <c r="AO19" s="36" t="str">
        <f t="shared" si="19"/>
        <v/>
      </c>
      <c r="AP19" s="36" t="str">
        <f t="shared" si="20"/>
        <v/>
      </c>
      <c r="AQ19" s="36">
        <f t="shared" si="21"/>
        <v>9.93</v>
      </c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4"/>
      <c r="BH19" s="35" t="str">
        <f t="shared" si="22"/>
        <v/>
      </c>
      <c r="BI19" s="35" t="str">
        <f t="shared" si="23"/>
        <v/>
      </c>
      <c r="BJ19" s="11" t="str">
        <f t="shared" si="24"/>
        <v/>
      </c>
      <c r="BK19" s="11" t="str">
        <f t="shared" si="25"/>
        <v/>
      </c>
      <c r="BL19" s="11" t="str">
        <f t="shared" si="26"/>
        <v/>
      </c>
      <c r="BM19" s="11" t="str">
        <f t="shared" si="27"/>
        <v/>
      </c>
      <c r="BN19" s="11" t="str">
        <f t="shared" si="28"/>
        <v/>
      </c>
      <c r="BO19" s="11" t="str">
        <f t="shared" si="29"/>
        <v/>
      </c>
      <c r="BP19" s="11" t="str">
        <f t="shared" si="30"/>
        <v/>
      </c>
      <c r="BQ19" s="11" t="str">
        <f t="shared" si="31"/>
        <v/>
      </c>
      <c r="BR19" s="11" t="str">
        <f t="shared" si="32"/>
        <v/>
      </c>
      <c r="BS19" s="18"/>
      <c r="BT19" s="18"/>
      <c r="BU19" s="18"/>
      <c r="BV19" s="18"/>
      <c r="BW19" s="18"/>
      <c r="BX19" s="18"/>
      <c r="BY19" s="18"/>
      <c r="BZ19" s="18"/>
      <c r="CA19" s="18"/>
      <c r="CB19" s="18"/>
      <c r="CC19" s="18"/>
      <c r="CD19" s="18"/>
      <c r="CE19" s="18"/>
      <c r="CF19" s="18"/>
      <c r="CG19" s="18"/>
      <c r="CH19" s="23"/>
      <c r="CI19" s="34" t="str">
        <f t="shared" si="33"/>
        <v/>
      </c>
      <c r="CJ19" s="34" t="str">
        <f t="shared" si="34"/>
        <v/>
      </c>
      <c r="CK19" s="36" t="str">
        <f t="shared" si="35"/>
        <v/>
      </c>
      <c r="CL19" s="36" t="str">
        <f t="shared" si="36"/>
        <v/>
      </c>
      <c r="CM19" s="36" t="str">
        <f t="shared" si="37"/>
        <v/>
      </c>
      <c r="CN19" s="36" t="str">
        <f t="shared" si="38"/>
        <v/>
      </c>
      <c r="CO19" s="36" t="str">
        <f t="shared" si="39"/>
        <v/>
      </c>
      <c r="CP19" s="36" t="str">
        <f t="shared" si="40"/>
        <v/>
      </c>
      <c r="CQ19" s="36" t="str">
        <f t="shared" si="41"/>
        <v/>
      </c>
      <c r="CR19" s="36" t="str">
        <f t="shared" si="42"/>
        <v/>
      </c>
      <c r="CS19" s="36" t="str">
        <f t="shared" si="43"/>
        <v/>
      </c>
      <c r="CT19" s="47" t="str">
        <f t="shared" si="44"/>
        <v/>
      </c>
      <c r="CU19" s="15"/>
      <c r="CV19" s="15"/>
      <c r="CW19" s="15"/>
      <c r="CX19" s="15"/>
      <c r="CY19" s="15"/>
      <c r="CZ19" s="15"/>
      <c r="DA19" s="15"/>
      <c r="DB19" s="15"/>
      <c r="DC19" s="15"/>
      <c r="DD19" s="15"/>
      <c r="DE19" s="15"/>
      <c r="DF19" s="15"/>
      <c r="DG19" s="15"/>
      <c r="DH19" s="15"/>
      <c r="DI19" s="15"/>
      <c r="DJ19" s="15"/>
      <c r="DK19" s="15"/>
      <c r="DL19" s="15"/>
      <c r="DM19" s="15"/>
      <c r="DN19" s="15"/>
      <c r="DO19" s="36" t="str">
        <f t="shared" si="45"/>
        <v/>
      </c>
      <c r="DP19" s="36" t="str">
        <f t="shared" si="46"/>
        <v/>
      </c>
      <c r="DQ19" s="36" t="str">
        <f t="shared" si="47"/>
        <v/>
      </c>
      <c r="DR19" s="36" t="str">
        <f t="shared" si="48"/>
        <v/>
      </c>
      <c r="DS19" s="36" t="str">
        <f t="shared" si="49"/>
        <v/>
      </c>
      <c r="DT19" s="36" t="str">
        <f t="shared" si="50"/>
        <v/>
      </c>
      <c r="DU19" s="36" t="str">
        <f t="shared" si="51"/>
        <v/>
      </c>
      <c r="DV19" s="36" t="str">
        <f t="shared" si="52"/>
        <v/>
      </c>
      <c r="DW19" s="36" t="str">
        <f t="shared" si="53"/>
        <v/>
      </c>
      <c r="DX19" s="36" t="str">
        <f t="shared" si="54"/>
        <v/>
      </c>
      <c r="DY19" s="36" t="str">
        <f t="shared" si="55"/>
        <v/>
      </c>
      <c r="DZ19" s="36" t="str">
        <f t="shared" si="56"/>
        <v/>
      </c>
      <c r="EA19" s="36" t="str">
        <f t="shared" si="57"/>
        <v/>
      </c>
      <c r="EB19" s="36" t="str">
        <f t="shared" si="58"/>
        <v/>
      </c>
      <c r="EC19" s="16"/>
      <c r="ED19" s="16"/>
      <c r="EE19" s="16"/>
      <c r="EF19" s="16"/>
      <c r="EG19" s="16"/>
      <c r="EH19" s="16"/>
      <c r="EI19" s="16"/>
      <c r="EJ19" s="16"/>
      <c r="EK19" s="16"/>
      <c r="EL19" s="16"/>
      <c r="EM19" s="16"/>
      <c r="EN19" s="16"/>
      <c r="EO19" s="16"/>
      <c r="EP19" s="16"/>
      <c r="EQ19" s="16"/>
      <c r="ER19" s="16"/>
      <c r="ES19" s="16"/>
      <c r="ET19" s="16"/>
      <c r="EU19" s="16"/>
      <c r="EV19" s="16"/>
      <c r="EW19" s="11" t="str">
        <f t="shared" si="59"/>
        <v/>
      </c>
      <c r="EX19" s="11" t="str">
        <f t="shared" si="60"/>
        <v/>
      </c>
      <c r="EY19" s="11" t="str">
        <f t="shared" si="61"/>
        <v/>
      </c>
      <c r="EZ19" s="11" t="str">
        <f t="shared" si="62"/>
        <v/>
      </c>
      <c r="FA19" s="11" t="str">
        <f t="shared" si="63"/>
        <v/>
      </c>
      <c r="FB19" s="11" t="str">
        <f t="shared" si="64"/>
        <v/>
      </c>
      <c r="FC19" s="11" t="str">
        <f t="shared" si="65"/>
        <v/>
      </c>
      <c r="FD19" s="11" t="str">
        <f t="shared" si="66"/>
        <v/>
      </c>
      <c r="FE19" s="11" t="str">
        <f t="shared" si="67"/>
        <v/>
      </c>
      <c r="FF19" s="11" t="str">
        <f t="shared" si="68"/>
        <v/>
      </c>
      <c r="FG19" s="11" t="str">
        <f t="shared" si="69"/>
        <v/>
      </c>
      <c r="FH19" s="11" t="str">
        <f t="shared" si="70"/>
        <v/>
      </c>
      <c r="FI19" s="11" t="str">
        <f t="shared" si="71"/>
        <v/>
      </c>
      <c r="FJ19" s="11" t="str">
        <f t="shared" si="72"/>
        <v/>
      </c>
      <c r="FK19" s="15"/>
      <c r="FL19" s="15"/>
      <c r="FM19" s="15"/>
      <c r="FN19" s="15"/>
      <c r="FO19" s="15"/>
      <c r="FP19" s="15"/>
      <c r="FQ19" s="15"/>
      <c r="FR19" s="15"/>
      <c r="FS19" s="15"/>
      <c r="FT19" s="15"/>
      <c r="FU19" s="15"/>
      <c r="FV19" s="15"/>
      <c r="FW19" s="15"/>
      <c r="FX19" s="15"/>
      <c r="FY19" s="15"/>
      <c r="FZ19" s="15"/>
      <c r="GA19" s="15"/>
      <c r="GB19" s="15"/>
      <c r="GC19" s="15"/>
      <c r="GD19" s="15"/>
      <c r="GE19" s="36" t="str">
        <f t="shared" si="73"/>
        <v/>
      </c>
      <c r="GF19" s="36" t="str">
        <f t="shared" si="74"/>
        <v/>
      </c>
      <c r="GG19" s="36" t="str">
        <f t="shared" si="75"/>
        <v/>
      </c>
      <c r="GH19" s="36" t="str">
        <f t="shared" si="76"/>
        <v/>
      </c>
      <c r="GI19" s="36" t="str">
        <f t="shared" si="77"/>
        <v/>
      </c>
      <c r="GJ19" s="36" t="str">
        <f t="shared" si="78"/>
        <v/>
      </c>
      <c r="GK19" s="36" t="str">
        <f t="shared" si="79"/>
        <v/>
      </c>
      <c r="GL19" s="36" t="str">
        <f t="shared" si="80"/>
        <v/>
      </c>
      <c r="GM19" s="36" t="str">
        <f t="shared" si="81"/>
        <v/>
      </c>
      <c r="GN19" s="36" t="str">
        <f t="shared" si="82"/>
        <v/>
      </c>
      <c r="GO19" s="36" t="str">
        <f t="shared" si="83"/>
        <v/>
      </c>
      <c r="GP19" s="36" t="str">
        <f t="shared" si="84"/>
        <v/>
      </c>
      <c r="GQ19" s="36" t="str">
        <f t="shared" si="85"/>
        <v/>
      </c>
      <c r="GR19" s="36" t="str">
        <f t="shared" si="86"/>
        <v/>
      </c>
      <c r="GS19" s="16"/>
      <c r="GT19" s="16"/>
      <c r="GU19" s="16"/>
      <c r="GV19" s="16"/>
      <c r="GW19" s="16"/>
      <c r="GX19" s="16"/>
      <c r="GY19" s="16"/>
      <c r="GZ19" s="16"/>
      <c r="HA19" s="16"/>
      <c r="HB19" s="16"/>
      <c r="HC19" s="16"/>
      <c r="HD19" s="16"/>
      <c r="HE19" s="16"/>
      <c r="HF19" s="16"/>
      <c r="HG19" s="16"/>
      <c r="HH19" s="16"/>
      <c r="HI19" s="16"/>
      <c r="HJ19" s="16"/>
      <c r="HK19" s="16"/>
      <c r="HL19" s="16"/>
      <c r="HM19" s="11" t="str">
        <f t="shared" si="87"/>
        <v/>
      </c>
      <c r="HN19" s="11" t="str">
        <f t="shared" si="88"/>
        <v/>
      </c>
      <c r="HO19" s="11" t="str">
        <f t="shared" si="89"/>
        <v/>
      </c>
      <c r="HP19" s="11" t="str">
        <f t="shared" si="90"/>
        <v/>
      </c>
      <c r="HQ19" s="11" t="str">
        <f t="shared" si="91"/>
        <v/>
      </c>
      <c r="HR19" s="11" t="str">
        <f t="shared" si="92"/>
        <v/>
      </c>
      <c r="HS19" s="11" t="str">
        <f t="shared" si="93"/>
        <v/>
      </c>
      <c r="HT19" s="11" t="str">
        <f t="shared" si="94"/>
        <v/>
      </c>
      <c r="HU19" s="11" t="str">
        <f t="shared" si="95"/>
        <v/>
      </c>
      <c r="HV19" s="11" t="str">
        <f t="shared" si="96"/>
        <v/>
      </c>
      <c r="HW19" s="11" t="str">
        <f t="shared" si="97"/>
        <v/>
      </c>
      <c r="HX19" s="11" t="str">
        <f t="shared" si="98"/>
        <v/>
      </c>
      <c r="HY19" s="11" t="str">
        <f t="shared" si="99"/>
        <v/>
      </c>
      <c r="HZ19" s="11" t="str">
        <f t="shared" si="100"/>
        <v/>
      </c>
      <c r="IA19" s="15"/>
      <c r="IB19" s="15"/>
      <c r="IC19" s="15"/>
      <c r="ID19" s="15"/>
      <c r="IE19" s="15"/>
      <c r="IF19" s="15"/>
      <c r="IG19" s="15"/>
      <c r="IH19" s="15"/>
      <c r="II19" s="15"/>
      <c r="IJ19" s="15"/>
      <c r="IK19" s="15"/>
      <c r="IL19" s="15"/>
      <c r="IM19" s="15"/>
      <c r="IN19" s="15"/>
      <c r="IO19" s="15"/>
      <c r="IP19" s="15"/>
      <c r="IQ19" s="15"/>
      <c r="IR19" s="15"/>
      <c r="IS19" s="15"/>
      <c r="IT19" s="15"/>
      <c r="IU19" s="36" t="str">
        <f t="shared" si="101"/>
        <v/>
      </c>
      <c r="IV19" s="36" t="str">
        <f t="shared" si="102"/>
        <v/>
      </c>
      <c r="IW19" s="36" t="str">
        <f t="shared" si="103"/>
        <v/>
      </c>
      <c r="IX19" s="36" t="str">
        <f t="shared" si="104"/>
        <v/>
      </c>
      <c r="IY19" s="36" t="str">
        <f t="shared" si="105"/>
        <v/>
      </c>
      <c r="IZ19" s="36" t="str">
        <f t="shared" si="106"/>
        <v/>
      </c>
      <c r="JA19" s="36" t="str">
        <f t="shared" si="107"/>
        <v/>
      </c>
      <c r="JB19" s="36" t="str">
        <f t="shared" si="108"/>
        <v/>
      </c>
      <c r="JC19" s="36" t="str">
        <f t="shared" si="109"/>
        <v/>
      </c>
      <c r="JD19" s="36" t="str">
        <f t="shared" si="110"/>
        <v/>
      </c>
      <c r="JE19" s="36" t="str">
        <f t="shared" si="111"/>
        <v/>
      </c>
      <c r="JF19" s="36" t="str">
        <f t="shared" si="112"/>
        <v/>
      </c>
      <c r="JG19" s="36" t="str">
        <f t="shared" si="113"/>
        <v/>
      </c>
      <c r="JH19" s="36" t="str">
        <f t="shared" si="114"/>
        <v/>
      </c>
      <c r="JI19" s="16"/>
      <c r="JJ19" s="16"/>
      <c r="JK19" s="16"/>
      <c r="JL19" s="16"/>
      <c r="JM19" s="16"/>
      <c r="JN19" s="16"/>
      <c r="JO19" s="16"/>
      <c r="JP19" s="16"/>
      <c r="JQ19" s="16"/>
      <c r="JR19" s="16"/>
      <c r="JS19" s="16"/>
      <c r="JT19" s="16"/>
      <c r="JU19" s="16"/>
      <c r="JV19" s="16"/>
      <c r="JW19" s="16"/>
      <c r="JX19" s="16"/>
      <c r="JY19" s="16"/>
      <c r="JZ19" s="16"/>
      <c r="KA19" s="16"/>
      <c r="KB19" s="16"/>
      <c r="KC19" s="11" t="str">
        <f t="shared" si="115"/>
        <v/>
      </c>
      <c r="KD19" s="11" t="str">
        <f t="shared" si="116"/>
        <v/>
      </c>
      <c r="KE19" s="11" t="str">
        <f t="shared" si="117"/>
        <v/>
      </c>
      <c r="KF19" s="11" t="str">
        <f t="shared" si="118"/>
        <v/>
      </c>
      <c r="KG19" s="11" t="str">
        <f t="shared" si="119"/>
        <v/>
      </c>
      <c r="KH19" s="11" t="str">
        <f t="shared" si="120"/>
        <v/>
      </c>
      <c r="KI19" s="11" t="str">
        <f t="shared" si="121"/>
        <v/>
      </c>
      <c r="KJ19" s="11" t="str">
        <f t="shared" si="122"/>
        <v/>
      </c>
      <c r="KK19" s="11" t="str">
        <f t="shared" si="123"/>
        <v/>
      </c>
      <c r="KL19" s="11" t="str">
        <f t="shared" si="124"/>
        <v/>
      </c>
      <c r="KM19" s="11" t="str">
        <f t="shared" si="125"/>
        <v/>
      </c>
      <c r="KN19" s="11" t="str">
        <f t="shared" si="126"/>
        <v/>
      </c>
      <c r="KO19" s="11" t="str">
        <f t="shared" si="127"/>
        <v/>
      </c>
      <c r="KP19" s="11" t="str">
        <f t="shared" si="128"/>
        <v/>
      </c>
      <c r="KQ19" s="15"/>
      <c r="KR19" s="15"/>
      <c r="KS19" s="15"/>
      <c r="KT19" s="15"/>
      <c r="KU19" s="15"/>
      <c r="KV19" s="15"/>
      <c r="KW19" s="15"/>
      <c r="KX19" s="15"/>
      <c r="KY19" s="15"/>
      <c r="KZ19" s="15"/>
      <c r="LA19" s="15"/>
      <c r="LB19" s="15"/>
      <c r="LC19" s="15"/>
      <c r="LD19" s="15"/>
      <c r="LE19" s="15"/>
      <c r="LF19" s="15"/>
      <c r="LG19" s="15"/>
      <c r="LH19" s="15"/>
      <c r="LI19" s="15"/>
      <c r="LJ19" s="15"/>
      <c r="LK19" s="36" t="str">
        <f t="shared" si="129"/>
        <v/>
      </c>
      <c r="LL19" s="36" t="str">
        <f t="shared" si="130"/>
        <v/>
      </c>
      <c r="LM19" s="36" t="str">
        <f t="shared" si="131"/>
        <v/>
      </c>
      <c r="LN19" s="36" t="str">
        <f t="shared" si="132"/>
        <v/>
      </c>
      <c r="LO19" s="36" t="str">
        <f t="shared" si="133"/>
        <v/>
      </c>
      <c r="LP19" s="36" t="str">
        <f t="shared" si="134"/>
        <v/>
      </c>
      <c r="LQ19" s="36" t="str">
        <f t="shared" si="135"/>
        <v/>
      </c>
      <c r="LR19" s="36" t="str">
        <f t="shared" si="136"/>
        <v/>
      </c>
      <c r="LS19" s="36" t="str">
        <f t="shared" si="137"/>
        <v/>
      </c>
      <c r="LT19" s="36" t="str">
        <f t="shared" si="138"/>
        <v/>
      </c>
      <c r="LU19" s="36" t="str">
        <f t="shared" si="139"/>
        <v/>
      </c>
      <c r="LV19" s="36" t="str">
        <f t="shared" si="140"/>
        <v/>
      </c>
      <c r="LW19" s="36" t="str">
        <f t="shared" si="141"/>
        <v/>
      </c>
      <c r="LX19" s="36" t="str">
        <f t="shared" si="142"/>
        <v/>
      </c>
      <c r="LY19" s="16"/>
      <c r="LZ19" s="16"/>
      <c r="MA19" s="16"/>
      <c r="MB19" s="16"/>
      <c r="MC19" s="16"/>
      <c r="MD19" s="16"/>
      <c r="ME19" s="16"/>
      <c r="MF19" s="16"/>
      <c r="MG19" s="16"/>
      <c r="MH19" s="16"/>
      <c r="MI19" s="16"/>
      <c r="MJ19" s="16"/>
      <c r="MK19" s="16"/>
      <c r="ML19" s="16"/>
      <c r="MM19" s="16"/>
      <c r="MN19" s="16"/>
      <c r="MO19" s="16"/>
      <c r="MP19" s="16"/>
      <c r="MQ19" s="16"/>
      <c r="MR19" s="16"/>
      <c r="MS19" s="11" t="str">
        <f t="shared" si="143"/>
        <v/>
      </c>
      <c r="MT19" s="11" t="str">
        <f t="shared" si="144"/>
        <v/>
      </c>
      <c r="MU19" s="11" t="str">
        <f t="shared" si="145"/>
        <v/>
      </c>
      <c r="MV19" s="11" t="str">
        <f t="shared" si="146"/>
        <v/>
      </c>
      <c r="MW19" s="11" t="str">
        <f t="shared" si="147"/>
        <v/>
      </c>
      <c r="MX19" s="11" t="str">
        <f t="shared" si="148"/>
        <v/>
      </c>
      <c r="MY19" s="11" t="str">
        <f t="shared" si="149"/>
        <v/>
      </c>
      <c r="MZ19" s="11" t="str">
        <f t="shared" si="150"/>
        <v/>
      </c>
      <c r="NA19" s="11" t="str">
        <f t="shared" si="151"/>
        <v/>
      </c>
      <c r="NB19" s="11" t="str">
        <f t="shared" si="152"/>
        <v/>
      </c>
      <c r="NC19" s="11" t="str">
        <f t="shared" si="153"/>
        <v/>
      </c>
      <c r="ND19" s="11" t="str">
        <f t="shared" si="154"/>
        <v/>
      </c>
      <c r="NE19" s="11" t="str">
        <f t="shared" si="155"/>
        <v/>
      </c>
      <c r="NF19" s="11" t="str">
        <f t="shared" si="156"/>
        <v/>
      </c>
      <c r="NG19" s="15"/>
      <c r="NH19" s="15"/>
      <c r="NI19" s="15"/>
      <c r="NJ19" s="15"/>
      <c r="NK19" s="15"/>
      <c r="NL19" s="15"/>
      <c r="NM19" s="15"/>
      <c r="NN19" s="15"/>
      <c r="NO19" s="15"/>
      <c r="NP19" s="15"/>
      <c r="NQ19" s="15"/>
      <c r="NR19" s="15"/>
      <c r="NS19" s="15"/>
      <c r="NT19" s="15"/>
      <c r="NU19" s="15"/>
      <c r="NV19" s="15"/>
      <c r="NW19" s="15"/>
      <c r="NX19" s="15"/>
      <c r="NY19" s="15"/>
      <c r="NZ19" s="15"/>
      <c r="OA19" s="36" t="str">
        <f t="shared" si="157"/>
        <v/>
      </c>
      <c r="OB19" s="36" t="str">
        <f t="shared" si="158"/>
        <v/>
      </c>
      <c r="OC19" s="36" t="str">
        <f t="shared" si="159"/>
        <v/>
      </c>
      <c r="OD19" s="36" t="str">
        <f t="shared" si="160"/>
        <v/>
      </c>
      <c r="OE19" s="36" t="str">
        <f t="shared" si="161"/>
        <v/>
      </c>
      <c r="OF19" s="36" t="str">
        <f t="shared" si="162"/>
        <v/>
      </c>
      <c r="OG19" s="36" t="str">
        <f t="shared" si="163"/>
        <v/>
      </c>
      <c r="OH19" s="36" t="str">
        <f t="shared" si="164"/>
        <v/>
      </c>
      <c r="OI19" s="36" t="str">
        <f t="shared" si="165"/>
        <v/>
      </c>
      <c r="OJ19" s="36" t="str">
        <f t="shared" si="166"/>
        <v/>
      </c>
      <c r="OK19" s="36" t="str">
        <f t="shared" si="167"/>
        <v/>
      </c>
      <c r="OL19" s="36" t="str">
        <f t="shared" si="168"/>
        <v/>
      </c>
      <c r="OM19" s="36" t="str">
        <f t="shared" si="169"/>
        <v/>
      </c>
      <c r="ON19" s="36" t="str">
        <f t="shared" si="170"/>
        <v/>
      </c>
      <c r="OO19" s="16"/>
      <c r="OP19" s="16"/>
      <c r="OQ19" s="16"/>
      <c r="OR19" s="16"/>
      <c r="OS19" s="16"/>
      <c r="OT19" s="16"/>
      <c r="OU19" s="16"/>
      <c r="OV19" s="16"/>
      <c r="OW19" s="16"/>
      <c r="OX19" s="16"/>
      <c r="OY19" s="16"/>
      <c r="OZ19" s="16"/>
      <c r="PA19" s="16"/>
      <c r="PB19" s="16"/>
      <c r="PC19" s="16"/>
      <c r="PD19" s="16"/>
      <c r="PE19" s="16"/>
      <c r="PF19" s="16"/>
      <c r="PG19" s="16"/>
      <c r="PH19" s="16"/>
      <c r="PI19" s="11" t="str">
        <f t="shared" si="171"/>
        <v/>
      </c>
      <c r="PJ19" s="11" t="str">
        <f t="shared" si="172"/>
        <v/>
      </c>
      <c r="PK19" s="11" t="str">
        <f t="shared" si="173"/>
        <v/>
      </c>
      <c r="PL19" s="11" t="str">
        <f t="shared" si="174"/>
        <v/>
      </c>
      <c r="PM19" s="11" t="str">
        <f t="shared" si="175"/>
        <v/>
      </c>
      <c r="PN19" s="11" t="str">
        <f t="shared" si="176"/>
        <v/>
      </c>
      <c r="PO19" s="11" t="str">
        <f t="shared" si="177"/>
        <v/>
      </c>
      <c r="PP19" s="11" t="str">
        <f t="shared" si="178"/>
        <v/>
      </c>
      <c r="PQ19" s="11" t="str">
        <f t="shared" si="179"/>
        <v/>
      </c>
      <c r="PR19" s="11" t="str">
        <f t="shared" si="180"/>
        <v/>
      </c>
      <c r="PS19" s="11" t="str">
        <f t="shared" si="181"/>
        <v/>
      </c>
      <c r="PT19" s="11" t="str">
        <f t="shared" si="182"/>
        <v/>
      </c>
      <c r="PU19" s="11" t="str">
        <f t="shared" si="183"/>
        <v/>
      </c>
      <c r="PV19" s="11" t="str">
        <f t="shared" si="184"/>
        <v/>
      </c>
      <c r="PW19" s="15"/>
      <c r="PX19" s="15"/>
      <c r="PY19" s="15"/>
      <c r="PZ19" s="15"/>
      <c r="QA19" s="15"/>
      <c r="QB19" s="15"/>
      <c r="QC19" s="15"/>
      <c r="QD19" s="15"/>
      <c r="QE19" s="15"/>
      <c r="QF19" s="15"/>
      <c r="QG19" s="15"/>
      <c r="QH19" s="15"/>
      <c r="QI19" s="15"/>
      <c r="QJ19" s="15"/>
      <c r="QK19" s="15"/>
      <c r="QL19" s="15"/>
      <c r="QM19" s="15"/>
      <c r="QN19" s="15"/>
      <c r="QO19" s="15"/>
      <c r="QP19" s="15"/>
      <c r="QQ19" s="36" t="str">
        <f t="shared" si="185"/>
        <v/>
      </c>
      <c r="QR19" s="36" t="str">
        <f t="shared" si="186"/>
        <v/>
      </c>
      <c r="QS19" s="36" t="str">
        <f t="shared" si="187"/>
        <v/>
      </c>
      <c r="QT19" s="36" t="str">
        <f t="shared" si="188"/>
        <v/>
      </c>
      <c r="QU19" s="36" t="str">
        <f t="shared" si="189"/>
        <v/>
      </c>
      <c r="QV19" s="36" t="str">
        <f t="shared" si="190"/>
        <v/>
      </c>
      <c r="QW19" s="36" t="str">
        <f t="shared" si="191"/>
        <v/>
      </c>
      <c r="QX19" s="36" t="str">
        <f t="shared" si="192"/>
        <v/>
      </c>
      <c r="QY19" s="36" t="str">
        <f t="shared" si="193"/>
        <v/>
      </c>
      <c r="QZ19" s="36" t="str">
        <f t="shared" si="194"/>
        <v/>
      </c>
      <c r="RA19" s="36" t="str">
        <f t="shared" si="195"/>
        <v/>
      </c>
      <c r="RB19" s="36" t="str">
        <f t="shared" si="196"/>
        <v/>
      </c>
      <c r="RC19" s="36" t="str">
        <f t="shared" si="197"/>
        <v/>
      </c>
      <c r="RD19" s="36" t="str">
        <f t="shared" si="198"/>
        <v/>
      </c>
      <c r="RE19" s="16"/>
      <c r="RF19" s="16"/>
      <c r="RG19" s="16"/>
      <c r="RH19" s="16"/>
      <c r="RI19" s="16"/>
      <c r="RJ19" s="16"/>
      <c r="RK19" s="16"/>
      <c r="RL19" s="16"/>
      <c r="RM19" s="16"/>
      <c r="RN19" s="16"/>
      <c r="RO19" s="16"/>
      <c r="RP19" s="16"/>
      <c r="RQ19" s="16"/>
      <c r="RR19" s="16"/>
      <c r="RS19" s="16"/>
      <c r="RT19" s="16"/>
      <c r="RU19" s="16"/>
      <c r="RV19" s="16"/>
      <c r="RW19" s="16"/>
      <c r="RX19" s="16"/>
      <c r="RY19" s="11" t="str">
        <f t="shared" si="199"/>
        <v/>
      </c>
      <c r="RZ19" s="11" t="str">
        <f t="shared" si="200"/>
        <v/>
      </c>
      <c r="SA19" s="11" t="str">
        <f t="shared" si="201"/>
        <v/>
      </c>
      <c r="SB19" s="11" t="str">
        <f t="shared" si="202"/>
        <v/>
      </c>
      <c r="SC19" s="11" t="str">
        <f t="shared" si="203"/>
        <v/>
      </c>
      <c r="SD19" s="11" t="str">
        <f t="shared" si="204"/>
        <v/>
      </c>
      <c r="SE19" s="11" t="str">
        <f t="shared" si="205"/>
        <v/>
      </c>
      <c r="SF19" s="11" t="str">
        <f t="shared" si="206"/>
        <v/>
      </c>
      <c r="SG19" s="11" t="str">
        <f t="shared" si="207"/>
        <v/>
      </c>
      <c r="SH19" s="11" t="str">
        <f t="shared" si="208"/>
        <v/>
      </c>
      <c r="SI19" s="11" t="str">
        <f t="shared" si="209"/>
        <v/>
      </c>
      <c r="SJ19" s="11" t="str">
        <f t="shared" si="210"/>
        <v/>
      </c>
      <c r="SK19" s="11" t="str">
        <f t="shared" si="211"/>
        <v/>
      </c>
      <c r="SL19" s="11" t="str">
        <f t="shared" si="212"/>
        <v/>
      </c>
      <c r="SM19" s="15"/>
      <c r="SN19" s="15"/>
      <c r="SO19" s="15"/>
      <c r="SP19" s="15"/>
      <c r="SQ19" s="15"/>
      <c r="SR19" s="15"/>
      <c r="SS19" s="15"/>
      <c r="ST19" s="15"/>
      <c r="SU19" s="15"/>
      <c r="SV19" s="15"/>
      <c r="SW19" s="15"/>
      <c r="SX19" s="15"/>
      <c r="SY19" s="15"/>
      <c r="SZ19" s="15"/>
      <c r="TA19" s="15"/>
      <c r="TB19" s="15"/>
      <c r="TC19" s="15"/>
      <c r="TD19" s="15"/>
      <c r="TE19" s="15"/>
      <c r="TF19" s="15"/>
      <c r="TG19" s="36" t="str">
        <f t="shared" si="213"/>
        <v/>
      </c>
      <c r="TH19" s="36" t="str">
        <f t="shared" si="214"/>
        <v/>
      </c>
      <c r="TI19" s="36" t="str">
        <f t="shared" si="215"/>
        <v/>
      </c>
      <c r="TJ19" s="36" t="str">
        <f t="shared" si="216"/>
        <v/>
      </c>
      <c r="TK19" s="36" t="str">
        <f t="shared" si="217"/>
        <v/>
      </c>
      <c r="TL19" s="36" t="str">
        <f t="shared" si="218"/>
        <v/>
      </c>
      <c r="TM19" s="36" t="str">
        <f t="shared" si="219"/>
        <v/>
      </c>
      <c r="TN19" s="36" t="str">
        <f t="shared" si="220"/>
        <v/>
      </c>
      <c r="TO19" s="36" t="str">
        <f t="shared" si="221"/>
        <v/>
      </c>
      <c r="TP19" s="36" t="str">
        <f t="shared" si="222"/>
        <v/>
      </c>
      <c r="TQ19" s="36" t="str">
        <f t="shared" si="223"/>
        <v/>
      </c>
      <c r="TR19" s="36" t="str">
        <f t="shared" si="224"/>
        <v/>
      </c>
      <c r="TS19" s="36" t="str">
        <f t="shared" si="225"/>
        <v/>
      </c>
      <c r="TT19" s="36" t="str">
        <f t="shared" si="226"/>
        <v/>
      </c>
      <c r="TU19" s="16"/>
      <c r="TV19" s="16"/>
      <c r="TW19" s="16"/>
      <c r="TX19" s="16"/>
      <c r="TY19" s="16"/>
      <c r="TZ19" s="16"/>
      <c r="UA19" s="16"/>
      <c r="UB19" s="16"/>
      <c r="UC19" s="16"/>
      <c r="UD19" s="16"/>
      <c r="UE19" s="16"/>
      <c r="UF19" s="16"/>
      <c r="UG19" s="16"/>
      <c r="UH19" s="16"/>
      <c r="UI19" s="16"/>
      <c r="UJ19" s="16"/>
      <c r="UK19" s="16"/>
      <c r="UL19" s="16"/>
      <c r="UM19" s="16"/>
      <c r="UN19" s="16"/>
      <c r="UO19" s="11" t="str">
        <f t="shared" si="227"/>
        <v/>
      </c>
      <c r="UP19" s="11" t="str">
        <f t="shared" si="228"/>
        <v/>
      </c>
      <c r="UQ19" s="11" t="str">
        <f t="shared" si="229"/>
        <v/>
      </c>
      <c r="UR19" s="11" t="str">
        <f t="shared" si="230"/>
        <v/>
      </c>
      <c r="US19" s="11" t="str">
        <f t="shared" si="231"/>
        <v/>
      </c>
      <c r="UT19" s="11" t="str">
        <f t="shared" si="232"/>
        <v/>
      </c>
      <c r="UU19" s="11" t="str">
        <f t="shared" si="233"/>
        <v/>
      </c>
      <c r="UV19" s="11" t="str">
        <f t="shared" si="234"/>
        <v/>
      </c>
      <c r="UW19" s="11" t="str">
        <f t="shared" si="235"/>
        <v/>
      </c>
      <c r="UX19" s="11" t="str">
        <f t="shared" si="236"/>
        <v/>
      </c>
      <c r="UY19" s="11" t="str">
        <f t="shared" si="237"/>
        <v/>
      </c>
      <c r="UZ19" s="11" t="str">
        <f t="shared" si="238"/>
        <v/>
      </c>
      <c r="VA19" s="11" t="str">
        <f t="shared" si="239"/>
        <v/>
      </c>
      <c r="VB19" s="11" t="str">
        <f t="shared" si="240"/>
        <v/>
      </c>
      <c r="VC19" s="15"/>
      <c r="VD19" s="15"/>
      <c r="VE19" s="15"/>
      <c r="VF19" s="15"/>
      <c r="VG19" s="15"/>
      <c r="VH19" s="15"/>
      <c r="VI19" s="15"/>
      <c r="VJ19" s="15"/>
      <c r="VK19" s="15"/>
      <c r="VL19" s="15"/>
      <c r="VM19" s="15"/>
      <c r="VN19" s="15"/>
      <c r="VO19" s="15"/>
      <c r="VP19" s="15"/>
      <c r="VQ19" s="15"/>
      <c r="VR19" s="15"/>
      <c r="VS19" s="15"/>
      <c r="VT19" s="15"/>
      <c r="VU19" s="15"/>
      <c r="VV19" s="15"/>
      <c r="VW19" s="36" t="str">
        <f t="shared" si="241"/>
        <v/>
      </c>
      <c r="VX19" s="36" t="str">
        <f t="shared" si="242"/>
        <v/>
      </c>
      <c r="VY19" s="36" t="str">
        <f t="shared" si="243"/>
        <v/>
      </c>
      <c r="VZ19" s="36" t="str">
        <f t="shared" si="244"/>
        <v/>
      </c>
      <c r="WA19" s="36" t="str">
        <f t="shared" si="245"/>
        <v/>
      </c>
      <c r="WB19" s="36" t="str">
        <f t="shared" si="246"/>
        <v/>
      </c>
      <c r="WC19" s="36" t="str">
        <f t="shared" si="247"/>
        <v/>
      </c>
      <c r="WD19" s="36" t="str">
        <f t="shared" si="248"/>
        <v/>
      </c>
      <c r="WE19" s="36" t="str">
        <f t="shared" si="249"/>
        <v/>
      </c>
      <c r="WF19" s="36" t="str">
        <f t="shared" si="250"/>
        <v/>
      </c>
      <c r="WG19" s="36" t="str">
        <f t="shared" si="251"/>
        <v/>
      </c>
      <c r="WH19" s="36" t="str">
        <f t="shared" si="252"/>
        <v/>
      </c>
      <c r="WI19" s="36" t="str">
        <f t="shared" si="253"/>
        <v/>
      </c>
      <c r="WJ19" s="36" t="str">
        <f t="shared" si="254"/>
        <v/>
      </c>
    </row>
    <row r="20" spans="1:608" x14ac:dyDescent="0.2">
      <c r="B20" s="5"/>
      <c r="D20" s="1"/>
    </row>
    <row r="21" spans="1:608" x14ac:dyDescent="0.2">
      <c r="G21" s="32"/>
      <c r="I21" s="32"/>
    </row>
    <row r="22" spans="1:608" x14ac:dyDescent="0.2">
      <c r="B22" s="19" t="s">
        <v>40</v>
      </c>
      <c r="C22" s="5"/>
      <c r="G22" s="3"/>
      <c r="AJ22" s="37"/>
      <c r="AK22" s="37"/>
      <c r="AL22" s="37"/>
      <c r="AN22" s="28"/>
      <c r="AO22" s="28"/>
      <c r="AQ22" s="38">
        <v>14.5</v>
      </c>
      <c r="BK22" s="37"/>
      <c r="BL22" s="37"/>
      <c r="BM22" s="37"/>
      <c r="BO22" s="28"/>
      <c r="BP22" s="28"/>
      <c r="BR22" s="38">
        <v>14.5</v>
      </c>
      <c r="CL22" s="37"/>
      <c r="CM22" s="37"/>
      <c r="CN22" s="37"/>
      <c r="CP22" s="28"/>
      <c r="CQ22" s="28"/>
      <c r="CS22" s="38">
        <v>14.5</v>
      </c>
      <c r="DO22" s="5"/>
      <c r="DP22" s="5"/>
      <c r="DY22" s="2"/>
      <c r="DZ22" s="2"/>
      <c r="EB22" s="38">
        <v>14.5</v>
      </c>
      <c r="EW22" s="5"/>
      <c r="EX22" s="5"/>
      <c r="FG22" s="2"/>
      <c r="FH22" s="2"/>
      <c r="FJ22" s="38">
        <v>14.5</v>
      </c>
      <c r="GE22" s="5"/>
      <c r="GF22" s="5"/>
      <c r="GO22" s="2"/>
      <c r="GP22" s="2"/>
      <c r="GR22" s="38">
        <v>14.5</v>
      </c>
      <c r="HM22" s="5"/>
      <c r="HN22" s="5"/>
      <c r="HW22" s="2"/>
      <c r="HX22" s="2"/>
      <c r="HZ22" s="38">
        <v>14.5</v>
      </c>
      <c r="IU22" s="5"/>
      <c r="IV22" s="5"/>
      <c r="JE22" s="2"/>
      <c r="JF22" s="2"/>
      <c r="JH22" s="38">
        <v>14.5</v>
      </c>
      <c r="KC22" s="5"/>
      <c r="KD22" s="5"/>
      <c r="KM22" s="2"/>
      <c r="KN22" s="2"/>
      <c r="KP22" s="38">
        <v>14.5</v>
      </c>
      <c r="LK22" s="5"/>
      <c r="LL22" s="5"/>
      <c r="LU22" s="2"/>
      <c r="LV22" s="2"/>
      <c r="LX22" s="38">
        <v>14.5</v>
      </c>
      <c r="MS22" s="5"/>
      <c r="MT22" s="5"/>
      <c r="NC22" s="2"/>
      <c r="ND22" s="2"/>
      <c r="NF22" s="38">
        <v>14.5</v>
      </c>
      <c r="OA22" s="5"/>
      <c r="OB22" s="5"/>
      <c r="OK22" s="2"/>
      <c r="OL22" s="2"/>
      <c r="ON22" s="38">
        <v>15.3</v>
      </c>
      <c r="PI22" s="5"/>
      <c r="PJ22" s="5"/>
      <c r="PS22" s="2"/>
      <c r="PT22" s="2"/>
      <c r="PV22" s="38">
        <v>15.3</v>
      </c>
      <c r="QQ22" s="5"/>
      <c r="QR22" s="5"/>
      <c r="RA22" s="2"/>
      <c r="RB22" s="2"/>
      <c r="RD22" s="38">
        <v>15.3</v>
      </c>
      <c r="RY22" s="5"/>
      <c r="RZ22" s="5"/>
      <c r="SI22" s="2"/>
      <c r="SJ22" s="2"/>
      <c r="SL22" s="38">
        <v>15.3</v>
      </c>
      <c r="TG22" s="5"/>
      <c r="TH22" s="5"/>
      <c r="TQ22" s="2"/>
      <c r="TR22" s="2"/>
      <c r="TT22" s="38">
        <v>15.3</v>
      </c>
      <c r="UO22" s="5"/>
      <c r="UP22" s="5"/>
      <c r="UY22" s="2"/>
      <c r="UZ22" s="2"/>
      <c r="VB22" s="38">
        <v>15.3</v>
      </c>
      <c r="VW22" s="5"/>
      <c r="VX22" s="5"/>
      <c r="WG22" s="2"/>
      <c r="WH22" s="2"/>
      <c r="WJ22" s="38">
        <v>15.3</v>
      </c>
    </row>
    <row r="23" spans="1:608" hidden="1" x14ac:dyDescent="0.2">
      <c r="B23" s="26" t="s">
        <v>39</v>
      </c>
      <c r="C23" s="5"/>
      <c r="P23" s="2"/>
      <c r="AJ23" s="37"/>
      <c r="AK23" s="37"/>
      <c r="AL23" s="37"/>
      <c r="AN23" s="28"/>
      <c r="AO23" s="28"/>
      <c r="AQ23" s="39">
        <v>1000</v>
      </c>
      <c r="BK23" s="37"/>
      <c r="BL23" s="37"/>
      <c r="BM23" s="37"/>
      <c r="BO23" s="28"/>
      <c r="BP23" s="28"/>
      <c r="BR23" s="39">
        <v>1000</v>
      </c>
      <c r="CL23" s="37"/>
      <c r="CM23" s="37"/>
      <c r="CN23" s="37"/>
      <c r="CP23" s="28"/>
      <c r="CQ23" s="28"/>
      <c r="CS23" s="39">
        <v>1000</v>
      </c>
      <c r="DO23" s="5"/>
      <c r="DP23" s="5"/>
      <c r="DY23" s="2"/>
      <c r="DZ23" s="2"/>
      <c r="EB23" s="39">
        <v>1000</v>
      </c>
      <c r="EW23" s="5"/>
      <c r="EX23" s="5"/>
      <c r="FG23" s="2"/>
      <c r="FH23" s="2"/>
      <c r="FJ23" s="39">
        <v>1000</v>
      </c>
      <c r="GE23" s="5"/>
      <c r="GF23" s="5"/>
      <c r="GO23" s="2"/>
      <c r="GP23" s="2"/>
      <c r="GR23" s="39">
        <v>1000</v>
      </c>
      <c r="HM23" s="5"/>
      <c r="HN23" s="5"/>
      <c r="HW23" s="2"/>
      <c r="HX23" s="2"/>
      <c r="HZ23" s="39">
        <v>1000</v>
      </c>
      <c r="IU23" s="5"/>
      <c r="IV23" s="5"/>
      <c r="JE23" s="2"/>
      <c r="JF23" s="2"/>
      <c r="JH23" s="39">
        <v>1000</v>
      </c>
      <c r="KC23" s="5"/>
      <c r="KD23" s="5"/>
      <c r="KM23" s="2"/>
      <c r="KN23" s="2"/>
      <c r="KP23" s="39">
        <v>1000</v>
      </c>
      <c r="LK23" s="5"/>
      <c r="LL23" s="5"/>
      <c r="LU23" s="2"/>
      <c r="LV23" s="2"/>
      <c r="LX23" s="39">
        <v>1000</v>
      </c>
      <c r="MS23" s="5"/>
      <c r="MT23" s="5"/>
      <c r="NC23" s="2"/>
      <c r="ND23" s="2"/>
      <c r="NF23" s="39">
        <v>1000</v>
      </c>
      <c r="OA23" s="5"/>
      <c r="OB23" s="5"/>
      <c r="OK23" s="2"/>
      <c r="OL23" s="2"/>
      <c r="ON23" s="39">
        <v>1000</v>
      </c>
      <c r="PI23" s="5"/>
      <c r="PJ23" s="5"/>
      <c r="PS23" s="2"/>
      <c r="PT23" s="2"/>
      <c r="PV23" s="39">
        <v>1000</v>
      </c>
      <c r="QQ23" s="5"/>
      <c r="QR23" s="5"/>
      <c r="RA23" s="2"/>
      <c r="RB23" s="2"/>
      <c r="RD23" s="39">
        <v>1000</v>
      </c>
      <c r="RY23" s="5"/>
      <c r="RZ23" s="5"/>
      <c r="SI23" s="2"/>
      <c r="SJ23" s="2"/>
      <c r="SL23" s="39">
        <v>1000</v>
      </c>
      <c r="TG23" s="5"/>
      <c r="TH23" s="5"/>
      <c r="TQ23" s="2"/>
      <c r="TR23" s="2"/>
      <c r="TT23" s="39">
        <v>1000</v>
      </c>
      <c r="UO23" s="5"/>
      <c r="UP23" s="5"/>
      <c r="UY23" s="2"/>
      <c r="UZ23" s="2"/>
      <c r="VB23" s="39">
        <v>1000</v>
      </c>
      <c r="VW23" s="5"/>
      <c r="VX23" s="5"/>
      <c r="WG23" s="2"/>
      <c r="WH23" s="2"/>
      <c r="WJ23" s="39">
        <v>1000</v>
      </c>
    </row>
    <row r="24" spans="1:608" hidden="1" x14ac:dyDescent="0.2">
      <c r="A24" s="5"/>
      <c r="B24" s="27" t="s">
        <v>50</v>
      </c>
      <c r="C24" s="5"/>
      <c r="E24" s="2"/>
      <c r="AJ24" s="37"/>
      <c r="AK24" s="37"/>
      <c r="AL24" s="37"/>
      <c r="AM24" s="28"/>
      <c r="AN24" s="28"/>
      <c r="AO24" s="28"/>
      <c r="AP24" s="28"/>
      <c r="AQ24" s="40">
        <v>1000</v>
      </c>
      <c r="BK24" s="37"/>
      <c r="BL24" s="37"/>
      <c r="BM24" s="37"/>
      <c r="BO24" s="28"/>
      <c r="BP24" s="28"/>
      <c r="BR24" s="40">
        <v>1000</v>
      </c>
      <c r="CL24" s="37"/>
      <c r="CM24" s="37"/>
      <c r="CN24" s="37"/>
      <c r="CO24" s="28"/>
      <c r="CP24" s="28"/>
      <c r="CQ24" s="28"/>
      <c r="CR24" s="28"/>
      <c r="CS24" s="40">
        <v>1000</v>
      </c>
      <c r="DO24" s="5"/>
      <c r="DP24" s="5"/>
      <c r="DY24" s="2"/>
      <c r="DZ24" s="2"/>
      <c r="EB24" s="40">
        <v>0</v>
      </c>
      <c r="EW24" s="5"/>
      <c r="EX24" s="5"/>
      <c r="FG24" s="2"/>
      <c r="FH24" s="2"/>
      <c r="FJ24" s="40">
        <v>0</v>
      </c>
      <c r="GE24" s="5"/>
      <c r="GF24" s="5"/>
      <c r="GO24" s="2"/>
      <c r="GP24" s="2"/>
      <c r="GR24" s="40">
        <v>0</v>
      </c>
      <c r="HM24" s="5"/>
      <c r="HN24" s="5"/>
      <c r="HW24" s="2"/>
      <c r="HX24" s="2"/>
      <c r="HZ24" s="40">
        <v>0</v>
      </c>
      <c r="IU24" s="5"/>
      <c r="IV24" s="5"/>
      <c r="JE24" s="2"/>
      <c r="JF24" s="2"/>
      <c r="JH24" s="40">
        <v>0</v>
      </c>
      <c r="KC24" s="5"/>
      <c r="KD24" s="5"/>
      <c r="KM24" s="2"/>
      <c r="KN24" s="2"/>
      <c r="KP24" s="40">
        <v>0</v>
      </c>
      <c r="LK24" s="5"/>
      <c r="LL24" s="5"/>
      <c r="LU24" s="2"/>
      <c r="LV24" s="2"/>
      <c r="LX24" s="40">
        <v>0</v>
      </c>
      <c r="MS24" s="5"/>
      <c r="MT24" s="5"/>
      <c r="NC24" s="2"/>
      <c r="ND24" s="2"/>
      <c r="NF24" s="40">
        <v>0</v>
      </c>
      <c r="OA24" s="5"/>
      <c r="OB24" s="5"/>
      <c r="OK24" s="2"/>
      <c r="OL24" s="2"/>
      <c r="ON24" s="40">
        <v>0</v>
      </c>
      <c r="PI24" s="5"/>
      <c r="PJ24" s="5"/>
      <c r="PS24" s="2"/>
      <c r="PT24" s="2"/>
      <c r="PV24" s="40">
        <v>0</v>
      </c>
      <c r="QQ24" s="5"/>
      <c r="QR24" s="5"/>
      <c r="RA24" s="2"/>
      <c r="RB24" s="2"/>
      <c r="RD24" s="40">
        <v>0</v>
      </c>
      <c r="RY24" s="5"/>
      <c r="RZ24" s="5"/>
      <c r="SI24" s="2"/>
      <c r="SJ24" s="2"/>
      <c r="SL24" s="40">
        <v>0</v>
      </c>
      <c r="TG24" s="5"/>
      <c r="TH24" s="5"/>
      <c r="TQ24" s="2"/>
      <c r="TR24" s="2"/>
      <c r="TT24" s="40">
        <v>0</v>
      </c>
      <c r="UO24" s="5"/>
      <c r="UP24" s="5"/>
      <c r="UY24" s="2"/>
      <c r="UZ24" s="2"/>
      <c r="VB24" s="40">
        <v>0</v>
      </c>
      <c r="VW24" s="5"/>
      <c r="VX24" s="5"/>
      <c r="WG24" s="2"/>
      <c r="WH24" s="2"/>
      <c r="WJ24" s="40">
        <v>0</v>
      </c>
    </row>
    <row r="25" spans="1:608" hidden="1" x14ac:dyDescent="0.2">
      <c r="A25" s="5"/>
      <c r="B25" s="31" t="s">
        <v>57</v>
      </c>
      <c r="C25" s="5"/>
      <c r="E25" s="2"/>
      <c r="AJ25" s="37"/>
      <c r="AK25" s="37"/>
      <c r="AL25" s="37"/>
      <c r="AM25" s="28"/>
      <c r="AN25" s="28"/>
      <c r="AO25" s="28"/>
      <c r="AP25" s="28"/>
      <c r="AQ25" s="41">
        <v>1000</v>
      </c>
      <c r="BK25" s="37"/>
      <c r="BL25" s="37"/>
      <c r="BM25" s="37"/>
      <c r="BO25" s="28"/>
      <c r="BP25" s="28"/>
      <c r="BR25" s="41">
        <v>1000</v>
      </c>
      <c r="CL25" s="37"/>
      <c r="CM25" s="37"/>
      <c r="CN25" s="37"/>
      <c r="CO25" s="28"/>
      <c r="CP25" s="28"/>
      <c r="CQ25" s="28"/>
      <c r="CR25" s="28"/>
      <c r="CS25" s="41">
        <v>1000</v>
      </c>
      <c r="DO25" s="5"/>
      <c r="DP25" s="5"/>
      <c r="DY25" s="2"/>
      <c r="DZ25" s="2"/>
      <c r="EB25" s="41">
        <v>0</v>
      </c>
      <c r="EW25" s="5"/>
      <c r="EX25" s="5"/>
      <c r="FG25" s="2"/>
      <c r="FH25" s="2"/>
      <c r="FJ25" s="41">
        <v>0</v>
      </c>
      <c r="GE25" s="5"/>
      <c r="GF25" s="5"/>
      <c r="GO25" s="2"/>
      <c r="GP25" s="2"/>
      <c r="GR25" s="41">
        <v>0</v>
      </c>
      <c r="HM25" s="5"/>
      <c r="HN25" s="5"/>
      <c r="HW25" s="2"/>
      <c r="HX25" s="2"/>
      <c r="HZ25" s="41">
        <v>0</v>
      </c>
      <c r="IU25" s="5"/>
      <c r="IV25" s="5"/>
      <c r="JE25" s="2"/>
      <c r="JF25" s="2"/>
      <c r="JH25" s="41">
        <v>0</v>
      </c>
      <c r="KC25" s="5"/>
      <c r="KD25" s="5"/>
      <c r="KM25" s="2"/>
      <c r="KN25" s="2"/>
      <c r="KP25" s="41">
        <v>0</v>
      </c>
      <c r="LK25" s="5"/>
      <c r="LL25" s="5"/>
      <c r="LU25" s="2"/>
      <c r="LV25" s="2"/>
      <c r="LX25" s="41">
        <v>0</v>
      </c>
      <c r="MS25" s="5"/>
      <c r="MT25" s="5"/>
      <c r="NC25" s="2"/>
      <c r="ND25" s="2"/>
      <c r="NF25" s="41">
        <v>0</v>
      </c>
      <c r="OA25" s="5"/>
      <c r="OB25" s="5"/>
      <c r="OK25" s="2"/>
      <c r="OL25" s="2"/>
      <c r="ON25" s="41">
        <v>0</v>
      </c>
      <c r="PI25" s="5"/>
      <c r="PJ25" s="5"/>
      <c r="PS25" s="2"/>
      <c r="PT25" s="2"/>
      <c r="PV25" s="41">
        <v>0</v>
      </c>
      <c r="QQ25" s="5"/>
      <c r="QR25" s="5"/>
      <c r="RA25" s="2"/>
      <c r="RB25" s="2"/>
      <c r="RD25" s="41">
        <v>0</v>
      </c>
      <c r="RY25" s="5"/>
      <c r="RZ25" s="5"/>
      <c r="SI25" s="2"/>
      <c r="SJ25" s="2"/>
      <c r="SL25" s="41">
        <v>0</v>
      </c>
      <c r="TG25" s="5"/>
      <c r="TH25" s="5"/>
      <c r="TQ25" s="2"/>
      <c r="TR25" s="2"/>
      <c r="TT25" s="41">
        <v>0</v>
      </c>
      <c r="UO25" s="5"/>
      <c r="UP25" s="5"/>
      <c r="UY25" s="2"/>
      <c r="UZ25" s="2"/>
      <c r="VB25" s="41">
        <v>0</v>
      </c>
      <c r="VW25" s="5"/>
      <c r="VX25" s="5"/>
      <c r="WG25" s="2"/>
      <c r="WH25" s="2"/>
      <c r="WJ25" s="41">
        <v>0</v>
      </c>
    </row>
    <row r="26" spans="1:608" x14ac:dyDescent="0.2">
      <c r="A26" s="5"/>
      <c r="B26" s="30" t="s">
        <v>37</v>
      </c>
      <c r="C26" s="5"/>
      <c r="AJ26" s="37"/>
      <c r="AK26" s="37"/>
      <c r="AL26" s="37"/>
      <c r="AM26" s="28"/>
      <c r="AN26" s="28"/>
      <c r="AO26" s="28"/>
      <c r="AP26" s="28"/>
      <c r="AQ26" s="42">
        <v>48</v>
      </c>
      <c r="BK26" s="37"/>
      <c r="BL26" s="37"/>
      <c r="BM26" s="37"/>
      <c r="BO26" s="28"/>
      <c r="BP26" s="28"/>
      <c r="BR26" s="42">
        <v>48</v>
      </c>
      <c r="CL26" s="37"/>
      <c r="CM26" s="37"/>
      <c r="CN26" s="37"/>
      <c r="CO26" s="28"/>
      <c r="CP26" s="28"/>
      <c r="CQ26" s="28"/>
      <c r="CR26" s="28"/>
      <c r="CS26" s="42">
        <v>48</v>
      </c>
      <c r="DO26" s="5"/>
      <c r="DP26" s="5"/>
      <c r="DY26" s="2"/>
      <c r="DZ26" s="2"/>
      <c r="EB26" s="42">
        <v>48</v>
      </c>
      <c r="EW26" s="5"/>
      <c r="EX26" s="5"/>
      <c r="FG26" s="2"/>
      <c r="FH26" s="2"/>
      <c r="FJ26" s="42">
        <v>48</v>
      </c>
      <c r="GE26" s="5"/>
      <c r="GF26" s="5"/>
      <c r="GO26" s="2"/>
      <c r="GP26" s="2"/>
      <c r="GR26" s="42">
        <v>48</v>
      </c>
      <c r="HM26" s="5"/>
      <c r="HN26" s="5"/>
      <c r="HW26" s="2"/>
      <c r="HX26" s="2"/>
      <c r="HZ26" s="42">
        <v>48</v>
      </c>
      <c r="IU26" s="5"/>
      <c r="IV26" s="5"/>
      <c r="JE26" s="2"/>
      <c r="JF26" s="2"/>
      <c r="JH26" s="42">
        <v>48</v>
      </c>
      <c r="KC26" s="5"/>
      <c r="KD26" s="5"/>
      <c r="KM26" s="2"/>
      <c r="KN26" s="2"/>
      <c r="KP26" s="42">
        <v>48</v>
      </c>
      <c r="LK26" s="5"/>
      <c r="LL26" s="5"/>
      <c r="LU26" s="2"/>
      <c r="LV26" s="2"/>
      <c r="LX26" s="42">
        <v>48</v>
      </c>
      <c r="MS26" s="5"/>
      <c r="MT26" s="5"/>
      <c r="NC26" s="2"/>
      <c r="ND26" s="2"/>
      <c r="NF26" s="42">
        <v>48</v>
      </c>
      <c r="OA26" s="5"/>
      <c r="OB26" s="5"/>
      <c r="OK26" s="2"/>
      <c r="OL26" s="2"/>
      <c r="ON26" s="42">
        <v>49.2</v>
      </c>
      <c r="PI26" s="5"/>
      <c r="PJ26" s="5"/>
      <c r="PS26" s="2"/>
      <c r="PT26" s="2"/>
      <c r="PV26" s="42">
        <v>49.2</v>
      </c>
      <c r="QQ26" s="5"/>
      <c r="QR26" s="5"/>
      <c r="RA26" s="2"/>
      <c r="RB26" s="2"/>
      <c r="RD26" s="42">
        <v>49.2</v>
      </c>
      <c r="RY26" s="5"/>
      <c r="RZ26" s="5"/>
      <c r="SI26" s="2"/>
      <c r="SJ26" s="2"/>
      <c r="SL26" s="42">
        <v>49.2</v>
      </c>
      <c r="TG26" s="5"/>
      <c r="TH26" s="5"/>
      <c r="TQ26" s="2"/>
      <c r="TR26" s="2"/>
      <c r="TT26" s="42">
        <v>49.2</v>
      </c>
      <c r="UO26" s="5"/>
      <c r="UP26" s="5"/>
      <c r="UY26" s="2"/>
      <c r="UZ26" s="2"/>
      <c r="VB26" s="42">
        <v>49.2</v>
      </c>
      <c r="VW26" s="5"/>
      <c r="VX26" s="5"/>
      <c r="WG26" s="2"/>
      <c r="WH26" s="2"/>
      <c r="WJ26" s="42">
        <v>49.2</v>
      </c>
    </row>
    <row r="27" spans="1:608" hidden="1" x14ac:dyDescent="0.2">
      <c r="A27" s="5"/>
      <c r="B27" s="20" t="s">
        <v>38</v>
      </c>
      <c r="C27" s="5"/>
      <c r="AJ27" s="37"/>
      <c r="AK27" s="37"/>
      <c r="AL27" s="37"/>
      <c r="AM27" s="28"/>
      <c r="AN27" s="28"/>
      <c r="AO27" s="28"/>
      <c r="AP27" s="28"/>
      <c r="AQ27" s="43">
        <v>1000</v>
      </c>
      <c r="BK27" s="37"/>
      <c r="BL27" s="37"/>
      <c r="BM27" s="37"/>
      <c r="BO27" s="28"/>
      <c r="BP27" s="28"/>
      <c r="BR27" s="43">
        <v>1000</v>
      </c>
      <c r="CL27" s="37"/>
      <c r="CM27" s="37"/>
      <c r="CN27" s="37"/>
      <c r="CO27" s="28"/>
      <c r="CP27" s="28"/>
      <c r="CQ27" s="28"/>
      <c r="CR27" s="28"/>
      <c r="CS27" s="43">
        <v>1000</v>
      </c>
      <c r="DO27" s="5"/>
      <c r="DP27" s="5"/>
      <c r="DY27" s="2"/>
      <c r="DZ27" s="2"/>
      <c r="EB27" s="43">
        <v>1000</v>
      </c>
      <c r="EW27" s="5"/>
      <c r="EX27" s="5"/>
      <c r="FG27" s="2"/>
      <c r="FH27" s="2"/>
      <c r="FJ27" s="43">
        <v>1000</v>
      </c>
      <c r="GE27" s="5"/>
      <c r="GF27" s="5"/>
      <c r="GO27" s="2"/>
      <c r="GP27" s="2"/>
      <c r="GR27" s="43">
        <v>1000</v>
      </c>
      <c r="HM27" s="5"/>
      <c r="HN27" s="5"/>
      <c r="HW27" s="2"/>
      <c r="HX27" s="2"/>
      <c r="HZ27" s="43">
        <v>1000</v>
      </c>
      <c r="IU27" s="5"/>
      <c r="IV27" s="5"/>
      <c r="JE27" s="2"/>
      <c r="JF27" s="2"/>
      <c r="JH27" s="43">
        <v>1000</v>
      </c>
      <c r="KC27" s="5"/>
      <c r="KD27" s="5"/>
      <c r="KM27" s="2"/>
      <c r="KN27" s="2"/>
      <c r="KP27" s="43">
        <v>1000</v>
      </c>
      <c r="LK27" s="5"/>
      <c r="LL27" s="5"/>
      <c r="LU27" s="2"/>
      <c r="LV27" s="2"/>
      <c r="LX27" s="43">
        <v>1000</v>
      </c>
      <c r="MS27" s="5"/>
      <c r="MT27" s="5"/>
      <c r="NC27" s="2"/>
      <c r="ND27" s="2"/>
      <c r="NF27" s="43">
        <v>1000</v>
      </c>
      <c r="OA27" s="5"/>
      <c r="OB27" s="5"/>
      <c r="OK27" s="2"/>
      <c r="OL27" s="2"/>
      <c r="ON27" s="43">
        <v>1000</v>
      </c>
      <c r="PI27" s="5"/>
      <c r="PJ27" s="5"/>
      <c r="PS27" s="2"/>
      <c r="PT27" s="2"/>
      <c r="PV27" s="43">
        <v>1000</v>
      </c>
      <c r="QQ27" s="5"/>
      <c r="QR27" s="5"/>
      <c r="RA27" s="2"/>
      <c r="RB27" s="2"/>
      <c r="RD27" s="43">
        <v>1000</v>
      </c>
      <c r="RY27" s="5"/>
      <c r="RZ27" s="5"/>
      <c r="SI27" s="2"/>
      <c r="SJ27" s="2"/>
      <c r="SL27" s="43">
        <v>1000</v>
      </c>
      <c r="TG27" s="5"/>
      <c r="TH27" s="5"/>
      <c r="TQ27" s="2"/>
      <c r="TR27" s="2"/>
      <c r="TT27" s="43">
        <v>1000</v>
      </c>
      <c r="UO27" s="5"/>
      <c r="UP27" s="5"/>
      <c r="UY27" s="2"/>
      <c r="UZ27" s="2"/>
      <c r="VB27" s="43">
        <v>1000</v>
      </c>
      <c r="VW27" s="5"/>
      <c r="VX27" s="5"/>
      <c r="WG27" s="2"/>
      <c r="WH27" s="2"/>
      <c r="WJ27" s="43">
        <v>1000</v>
      </c>
    </row>
    <row r="28" spans="1:608" hidden="1" x14ac:dyDescent="0.2">
      <c r="A28" s="5"/>
      <c r="B28" s="29" t="s">
        <v>49</v>
      </c>
      <c r="C28" s="5"/>
      <c r="AJ28" s="37"/>
      <c r="AK28" s="37"/>
      <c r="AL28" s="37"/>
      <c r="AM28" s="28"/>
      <c r="AN28" s="28"/>
      <c r="AO28" s="28"/>
      <c r="AP28" s="28"/>
      <c r="AQ28" s="44">
        <v>1000</v>
      </c>
      <c r="BK28" s="37"/>
      <c r="BL28" s="37"/>
      <c r="BM28" s="37"/>
      <c r="BO28" s="28"/>
      <c r="BP28" s="28"/>
      <c r="BR28" s="44">
        <v>1000</v>
      </c>
      <c r="CL28" s="37"/>
      <c r="CM28" s="37"/>
      <c r="CN28" s="37"/>
      <c r="CO28" s="28"/>
      <c r="CP28" s="28"/>
      <c r="CQ28" s="28"/>
      <c r="CR28" s="28"/>
      <c r="CS28" s="44">
        <v>1000</v>
      </c>
      <c r="DO28" s="5"/>
      <c r="DP28" s="5"/>
      <c r="DY28" s="2"/>
      <c r="DZ28" s="2"/>
      <c r="EA28" s="33"/>
      <c r="EB28" s="44">
        <v>1000</v>
      </c>
      <c r="EW28" s="5"/>
      <c r="EX28" s="5"/>
      <c r="FG28" s="2"/>
      <c r="FH28" s="2"/>
      <c r="FI28" s="33"/>
      <c r="FJ28" s="44">
        <v>1000</v>
      </c>
      <c r="GE28" s="5"/>
      <c r="GF28" s="5"/>
      <c r="GO28" s="2"/>
      <c r="GP28" s="2"/>
      <c r="GQ28" s="33"/>
      <c r="GR28" s="44">
        <v>1000</v>
      </c>
      <c r="HM28" s="5"/>
      <c r="HN28" s="5"/>
      <c r="HW28" s="2"/>
      <c r="HX28" s="2"/>
      <c r="HY28" s="33"/>
      <c r="HZ28" s="44">
        <v>1000</v>
      </c>
      <c r="IU28" s="5"/>
      <c r="IV28" s="5"/>
      <c r="JE28" s="2"/>
      <c r="JF28" s="2"/>
      <c r="JG28" s="33"/>
      <c r="JH28" s="44">
        <v>1000</v>
      </c>
      <c r="KC28" s="5"/>
      <c r="KD28" s="5"/>
      <c r="KM28" s="2"/>
      <c r="KN28" s="2"/>
      <c r="KO28" s="33"/>
      <c r="KP28" s="44">
        <v>1000</v>
      </c>
      <c r="LK28" s="5"/>
      <c r="LL28" s="5"/>
      <c r="LU28" s="2"/>
      <c r="LV28" s="2"/>
      <c r="LW28" s="33"/>
      <c r="LX28" s="44">
        <v>1000</v>
      </c>
      <c r="MS28" s="5"/>
      <c r="MT28" s="5"/>
      <c r="NC28" s="2"/>
      <c r="ND28" s="2"/>
      <c r="NE28" s="33"/>
      <c r="NF28" s="44">
        <v>1000</v>
      </c>
      <c r="OA28" s="5"/>
      <c r="OB28" s="5"/>
      <c r="OK28" s="2"/>
      <c r="OL28" s="2"/>
      <c r="OM28" s="33"/>
      <c r="ON28" s="44">
        <v>1000</v>
      </c>
      <c r="PI28" s="5"/>
      <c r="PJ28" s="5"/>
      <c r="PS28" s="2"/>
      <c r="PT28" s="2"/>
      <c r="PU28" s="33"/>
      <c r="PV28" s="44">
        <v>1000</v>
      </c>
      <c r="QQ28" s="5"/>
      <c r="QR28" s="5"/>
      <c r="RA28" s="2"/>
      <c r="RB28" s="2"/>
      <c r="RC28" s="33"/>
      <c r="RD28" s="44">
        <v>1000</v>
      </c>
      <c r="RY28" s="5"/>
      <c r="RZ28" s="5"/>
      <c r="SI28" s="2"/>
      <c r="SJ28" s="2"/>
      <c r="SK28" s="33"/>
      <c r="SL28" s="44">
        <v>1000</v>
      </c>
      <c r="TG28" s="5"/>
      <c r="TH28" s="5"/>
      <c r="TQ28" s="2"/>
      <c r="TR28" s="2"/>
      <c r="TS28" s="33"/>
      <c r="TT28" s="44">
        <v>1000</v>
      </c>
      <c r="UO28" s="5"/>
      <c r="UP28" s="5"/>
      <c r="UY28" s="2"/>
      <c r="UZ28" s="2"/>
      <c r="VA28" s="33"/>
      <c r="VB28" s="44">
        <v>1000</v>
      </c>
      <c r="VW28" s="5"/>
      <c r="VX28" s="5"/>
      <c r="WG28" s="2"/>
      <c r="WH28" s="2"/>
      <c r="WI28" s="33"/>
      <c r="WJ28" s="44">
        <v>1000</v>
      </c>
    </row>
    <row r="29" spans="1:608" hidden="1" x14ac:dyDescent="0.2">
      <c r="A29" s="5"/>
      <c r="B29" s="21" t="s">
        <v>30</v>
      </c>
      <c r="C29" s="5"/>
      <c r="AJ29" s="37"/>
      <c r="AK29" s="37"/>
      <c r="AL29" s="37"/>
      <c r="AM29" s="28"/>
      <c r="AN29" s="37"/>
      <c r="AO29" s="37"/>
      <c r="AP29" s="28"/>
      <c r="AQ29" s="45">
        <v>1000</v>
      </c>
      <c r="BK29" s="37"/>
      <c r="BL29" s="37"/>
      <c r="BM29" s="37"/>
      <c r="BO29" s="37"/>
      <c r="BP29" s="28"/>
      <c r="BR29" s="45">
        <v>1000</v>
      </c>
      <c r="CL29" s="37"/>
      <c r="CM29" s="37"/>
      <c r="CN29" s="37"/>
      <c r="CO29" s="28"/>
      <c r="CP29" s="37"/>
      <c r="CQ29" s="28"/>
      <c r="CR29" s="28"/>
      <c r="CS29" s="45">
        <v>1000</v>
      </c>
      <c r="DO29" s="5"/>
      <c r="DP29" s="5"/>
      <c r="DY29" s="37"/>
      <c r="DZ29" s="2"/>
      <c r="EB29" s="45">
        <v>1000</v>
      </c>
      <c r="EW29" s="5"/>
      <c r="EX29" s="5"/>
      <c r="FG29" s="37"/>
      <c r="FH29" s="2"/>
      <c r="FJ29" s="45">
        <v>1000</v>
      </c>
      <c r="GE29" s="5"/>
      <c r="GF29" s="5"/>
      <c r="GO29" s="2"/>
      <c r="GP29" s="2"/>
      <c r="GR29" s="45">
        <v>1000</v>
      </c>
      <c r="HM29" s="5"/>
      <c r="HN29" s="5"/>
      <c r="HW29" s="37"/>
      <c r="HX29" s="2"/>
      <c r="HZ29" s="45">
        <v>1000</v>
      </c>
      <c r="IU29" s="5"/>
      <c r="IV29" s="5"/>
      <c r="JE29" s="2"/>
      <c r="JF29" s="2"/>
      <c r="JH29" s="45">
        <v>1000</v>
      </c>
      <c r="KC29" s="5"/>
      <c r="KD29" s="5"/>
      <c r="KM29" s="2"/>
      <c r="KN29" s="2"/>
      <c r="KP29" s="45">
        <v>1000</v>
      </c>
      <c r="LK29" s="5"/>
      <c r="LL29" s="5"/>
      <c r="LU29" s="2"/>
      <c r="LV29" s="2"/>
      <c r="LX29" s="45">
        <v>1000</v>
      </c>
      <c r="MS29" s="5"/>
      <c r="MT29" s="5"/>
      <c r="NC29" s="2"/>
      <c r="ND29" s="2"/>
      <c r="NF29" s="45">
        <v>1000</v>
      </c>
      <c r="OA29" s="5"/>
      <c r="OB29" s="5"/>
      <c r="OK29" s="2"/>
      <c r="OL29" s="2"/>
      <c r="ON29" s="45">
        <v>1000</v>
      </c>
      <c r="PI29" s="5"/>
      <c r="PJ29" s="5"/>
      <c r="PS29" s="2"/>
      <c r="PT29" s="2"/>
      <c r="PV29" s="45">
        <v>1000</v>
      </c>
      <c r="QQ29" s="5"/>
      <c r="QR29" s="5"/>
      <c r="RA29" s="2"/>
      <c r="RB29" s="2"/>
      <c r="RD29" s="45">
        <v>1000</v>
      </c>
      <c r="RY29" s="5"/>
      <c r="RZ29" s="5"/>
      <c r="SI29" s="2"/>
      <c r="SJ29" s="2"/>
      <c r="SL29" s="45">
        <v>1000</v>
      </c>
      <c r="TG29" s="5"/>
      <c r="TH29" s="5"/>
      <c r="TQ29" s="2"/>
      <c r="TR29" s="2"/>
      <c r="TT29" s="45">
        <v>1000</v>
      </c>
      <c r="UO29" s="5"/>
      <c r="UP29" s="5"/>
      <c r="UY29" s="2"/>
      <c r="UZ29" s="2"/>
      <c r="VB29" s="45">
        <v>1000</v>
      </c>
      <c r="VW29" s="5"/>
      <c r="VX29" s="5"/>
      <c r="WG29" s="2"/>
      <c r="WH29" s="2"/>
      <c r="WJ29" s="45">
        <v>1000</v>
      </c>
    </row>
    <row r="30" spans="1:608" x14ac:dyDescent="0.2">
      <c r="B30" s="25" t="s">
        <v>43</v>
      </c>
      <c r="C30" s="2"/>
      <c r="AM30" s="28"/>
      <c r="AP30" s="28"/>
      <c r="CO30" s="28"/>
      <c r="CR30" s="28"/>
    </row>
    <row r="31" spans="1:608" x14ac:dyDescent="0.2">
      <c r="A31" s="5"/>
      <c r="B31" s="5"/>
      <c r="C31" s="17"/>
      <c r="AI31" s="28"/>
      <c r="AJ31" s="28"/>
      <c r="AK31" s="28"/>
      <c r="AL31" s="28"/>
      <c r="AM31" s="28"/>
      <c r="AP31" s="28"/>
      <c r="CK31" s="28"/>
      <c r="CL31" s="28"/>
      <c r="CM31" s="28"/>
      <c r="CN31" s="28"/>
      <c r="CO31" s="28"/>
      <c r="CR31" s="28"/>
    </row>
    <row r="32" spans="1:608" ht="17" x14ac:dyDescent="0.2">
      <c r="A32" s="5"/>
      <c r="B32" s="5"/>
      <c r="C32" s="17"/>
      <c r="N32" s="10"/>
      <c r="O32" s="10"/>
      <c r="AI32" s="28"/>
      <c r="AJ32" s="28"/>
      <c r="AK32" s="28"/>
      <c r="AL32" s="28"/>
      <c r="AM32" s="28"/>
      <c r="AP32" s="28"/>
      <c r="CK32" s="28"/>
      <c r="CL32" s="28"/>
      <c r="CM32" s="28"/>
      <c r="CN32" s="28"/>
      <c r="CO32" s="28"/>
      <c r="CR32" s="28"/>
    </row>
    <row r="33" spans="1:96" ht="17" x14ac:dyDescent="0.2">
      <c r="A33" s="5"/>
      <c r="B33" s="5"/>
      <c r="C33" s="17"/>
      <c r="N33" s="10"/>
      <c r="AI33" s="28"/>
      <c r="AJ33" s="28"/>
      <c r="AK33" s="28"/>
      <c r="AL33" s="28"/>
      <c r="AM33" s="28"/>
      <c r="AP33" s="28"/>
      <c r="CK33" s="28"/>
      <c r="CL33" s="28"/>
      <c r="CM33" s="28"/>
      <c r="CN33" s="28"/>
      <c r="CO33" s="28"/>
      <c r="CR33" s="28"/>
    </row>
    <row r="34" spans="1:96" ht="17" x14ac:dyDescent="0.2">
      <c r="N34" s="10"/>
      <c r="O34" s="10"/>
      <c r="AI34" s="28"/>
      <c r="AJ34" s="28"/>
      <c r="AK34" s="28"/>
      <c r="AL34" s="28"/>
      <c r="AM34" s="28"/>
      <c r="AP34" s="28"/>
      <c r="CK34" s="28"/>
      <c r="CL34" s="28"/>
      <c r="CM34" s="28"/>
      <c r="CN34" s="28"/>
      <c r="CO34" s="28"/>
      <c r="CR34" s="28"/>
    </row>
    <row r="35" spans="1:96" ht="17" x14ac:dyDescent="0.2">
      <c r="N35" s="10"/>
      <c r="O35" s="10"/>
      <c r="AI35" s="28"/>
      <c r="AJ35" s="28"/>
      <c r="AK35" s="28"/>
      <c r="AL35" s="28"/>
      <c r="AM35" s="28"/>
      <c r="AP35" s="28"/>
      <c r="CK35" s="28"/>
      <c r="CL35" s="28"/>
      <c r="CM35" s="28"/>
      <c r="CN35" s="28"/>
      <c r="CO35" s="28"/>
      <c r="CR35" s="28"/>
    </row>
    <row r="36" spans="1:96" ht="17" x14ac:dyDescent="0.2">
      <c r="N36" s="10"/>
      <c r="O36" s="10"/>
      <c r="AI36" s="28"/>
      <c r="AJ36" s="28"/>
      <c r="AK36" s="28"/>
      <c r="AL36" s="28"/>
      <c r="AM36" s="28"/>
      <c r="AP36" s="28"/>
      <c r="CK36" s="28"/>
      <c r="CL36" s="28"/>
      <c r="CM36" s="28"/>
      <c r="CN36" s="28"/>
      <c r="CO36" s="28"/>
      <c r="CR36" s="28"/>
    </row>
    <row r="37" spans="1:96" ht="17" x14ac:dyDescent="0.2">
      <c r="N37" s="10"/>
      <c r="O37" s="10"/>
      <c r="P37" s="10"/>
    </row>
    <row r="38" spans="1:96" ht="17" x14ac:dyDescent="0.2">
      <c r="N38" s="10"/>
      <c r="O38" s="10"/>
      <c r="P38" s="10"/>
    </row>
    <row r="39" spans="1:96" ht="17" x14ac:dyDescent="0.2">
      <c r="N39" s="10"/>
      <c r="O39" s="10"/>
      <c r="P39" s="10"/>
    </row>
    <row r="40" spans="1:96" ht="17" x14ac:dyDescent="0.2">
      <c r="N40" s="10"/>
      <c r="O40" s="10"/>
      <c r="P40" s="10"/>
    </row>
    <row r="41" spans="1:96" ht="17" x14ac:dyDescent="0.2">
      <c r="N41" s="10"/>
      <c r="O41" s="10"/>
      <c r="P41" s="10"/>
    </row>
    <row r="42" spans="1:96" ht="17" x14ac:dyDescent="0.2">
      <c r="N42" s="10"/>
      <c r="O42" s="10"/>
      <c r="P42" s="10"/>
    </row>
    <row r="43" spans="1:96" ht="17" x14ac:dyDescent="0.2">
      <c r="N43" s="10"/>
      <c r="O43" s="10"/>
      <c r="P43" s="10"/>
    </row>
    <row r="44" spans="1:96" ht="17" x14ac:dyDescent="0.2">
      <c r="N44" s="10"/>
      <c r="O44" s="10"/>
      <c r="P44" s="10"/>
    </row>
    <row r="45" spans="1:96" ht="17" x14ac:dyDescent="0.2">
      <c r="N45" s="10"/>
      <c r="O45" s="10"/>
      <c r="P45" s="10"/>
    </row>
    <row r="46" spans="1:96" ht="17" x14ac:dyDescent="0.2">
      <c r="N46" s="10"/>
      <c r="O46" s="10"/>
      <c r="P46" s="10"/>
    </row>
    <row r="47" spans="1:96" ht="17" x14ac:dyDescent="0.2">
      <c r="N47" s="10"/>
      <c r="O47" s="10"/>
      <c r="P47" s="10"/>
    </row>
    <row r="48" spans="1:96" ht="17" x14ac:dyDescent="0.2">
      <c r="N48" s="10"/>
      <c r="O48" s="10"/>
      <c r="P48" s="10"/>
    </row>
    <row r="49" spans="14:16" ht="17" x14ac:dyDescent="0.2">
      <c r="N49" s="10"/>
      <c r="O49" s="10"/>
      <c r="P49" s="10"/>
    </row>
    <row r="50" spans="14:16" ht="17" x14ac:dyDescent="0.2">
      <c r="N50" s="10"/>
      <c r="O50" s="10"/>
      <c r="P50" s="10"/>
    </row>
    <row r="51" spans="14:16" ht="17" x14ac:dyDescent="0.2">
      <c r="N51" s="10"/>
      <c r="O51" s="10"/>
      <c r="P51" s="10"/>
    </row>
  </sheetData>
  <sheetProtection sheet="1" formatCells="0" formatColumns="0" formatRows="0"/>
  <autoFilter ref="A1:WJ1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sortState xmlns:xlrd2="http://schemas.microsoft.com/office/spreadsheetml/2017/richdata2" ref="A6:WJ19">
      <sortCondition descending="1" ref="F1:F20"/>
    </sortState>
  </autoFilter>
  <mergeCells count="103">
    <mergeCell ref="A1:A3"/>
    <mergeCell ref="B1:B3"/>
    <mergeCell ref="C1:C3"/>
    <mergeCell ref="D1:D3"/>
    <mergeCell ref="E1:E3"/>
    <mergeCell ref="F1:F3"/>
    <mergeCell ref="BS1:CS1"/>
    <mergeCell ref="CU1:EB1"/>
    <mergeCell ref="EC1:FJ1"/>
    <mergeCell ref="M1:M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EM2:EQ2"/>
    <mergeCell ref="ER2:EV2"/>
    <mergeCell ref="VC1:WJ1"/>
    <mergeCell ref="Q2:U2"/>
    <mergeCell ref="V2:Z2"/>
    <mergeCell ref="AA2:AE2"/>
    <mergeCell ref="AR2:AV2"/>
    <mergeCell ref="AW2:BA2"/>
    <mergeCell ref="BB2:BF2"/>
    <mergeCell ref="BS2:BW2"/>
    <mergeCell ref="BX2:CB2"/>
    <mergeCell ref="CC2:CG2"/>
    <mergeCell ref="NG1:ON1"/>
    <mergeCell ref="OO1:PV1"/>
    <mergeCell ref="PW1:RD1"/>
    <mergeCell ref="RE1:SL1"/>
    <mergeCell ref="SM1:TT1"/>
    <mergeCell ref="TU1:VB1"/>
    <mergeCell ref="FK1:GR1"/>
    <mergeCell ref="GS1:HZ1"/>
    <mergeCell ref="IA1:JH1"/>
    <mergeCell ref="JI1:KP1"/>
    <mergeCell ref="KQ1:LX1"/>
    <mergeCell ref="LY1:NF1"/>
    <mergeCell ref="Q1:AQ1"/>
    <mergeCell ref="AR1:BR1"/>
    <mergeCell ref="FK2:FO2"/>
    <mergeCell ref="FP2:FT2"/>
    <mergeCell ref="FU2:FY2"/>
    <mergeCell ref="FZ2:GD2"/>
    <mergeCell ref="CU2:CY2"/>
    <mergeCell ref="CZ2:DD2"/>
    <mergeCell ref="DE2:DI2"/>
    <mergeCell ref="DJ2:DN2"/>
    <mergeCell ref="EC2:EG2"/>
    <mergeCell ref="EH2:EL2"/>
    <mergeCell ref="IK2:IO2"/>
    <mergeCell ref="IP2:IT2"/>
    <mergeCell ref="JI2:JM2"/>
    <mergeCell ref="JN2:JR2"/>
    <mergeCell ref="JS2:JW2"/>
    <mergeCell ref="JX2:KB2"/>
    <mergeCell ref="GS2:GW2"/>
    <mergeCell ref="GX2:HB2"/>
    <mergeCell ref="HC2:HG2"/>
    <mergeCell ref="HH2:HL2"/>
    <mergeCell ref="IA2:IE2"/>
    <mergeCell ref="IF2:IJ2"/>
    <mergeCell ref="MI2:MM2"/>
    <mergeCell ref="MN2:MR2"/>
    <mergeCell ref="NG2:NK2"/>
    <mergeCell ref="NL2:NP2"/>
    <mergeCell ref="NQ2:NU2"/>
    <mergeCell ref="NV2:NZ2"/>
    <mergeCell ref="KQ2:KU2"/>
    <mergeCell ref="KV2:KZ2"/>
    <mergeCell ref="LA2:LE2"/>
    <mergeCell ref="LF2:LJ2"/>
    <mergeCell ref="LY2:MC2"/>
    <mergeCell ref="MD2:MH2"/>
    <mergeCell ref="QG2:QK2"/>
    <mergeCell ref="QL2:QP2"/>
    <mergeCell ref="RE2:RI2"/>
    <mergeCell ref="RJ2:RN2"/>
    <mergeCell ref="RO2:RS2"/>
    <mergeCell ref="RT2:RX2"/>
    <mergeCell ref="OO2:OS2"/>
    <mergeCell ref="OT2:OX2"/>
    <mergeCell ref="OY2:PC2"/>
    <mergeCell ref="PD2:PH2"/>
    <mergeCell ref="PW2:QA2"/>
    <mergeCell ref="QB2:QF2"/>
    <mergeCell ref="UE2:UI2"/>
    <mergeCell ref="UJ2:UN2"/>
    <mergeCell ref="VC2:VG2"/>
    <mergeCell ref="VH2:VL2"/>
    <mergeCell ref="VM2:VQ2"/>
    <mergeCell ref="VR2:VV2"/>
    <mergeCell ref="SM2:SQ2"/>
    <mergeCell ref="SR2:SV2"/>
    <mergeCell ref="SW2:TA2"/>
    <mergeCell ref="TB2:TF2"/>
    <mergeCell ref="TU2:TY2"/>
    <mergeCell ref="TZ2:UD2"/>
  </mergeCells>
  <conditionalFormatting sqref="H1:H1048576">
    <cfRule type="containsText" dxfId="398" priority="129" operator="containsText" text="No DD">
      <formula>NOT(ISERROR(SEARCH("No DD",H1)))</formula>
    </cfRule>
    <cfRule type="containsText" dxfId="397" priority="130" operator="containsText" text="Merit">
      <formula>NOT(ISERROR(SEARCH("Merit",H1)))</formula>
    </cfRule>
    <cfRule type="containsText" dxfId="396" priority="131" operator="containsText" text="Excellence">
      <formula>NOT(ISERROR(SEARCH("Excellence",H1)))</formula>
    </cfRule>
    <cfRule type="containsText" dxfId="395" priority="132" operator="containsText" text="Worlds Team">
      <formula>NOT(ISERROR(SEARCH("Worlds Team",H1)))</formula>
    </cfRule>
    <cfRule type="containsText" dxfId="394" priority="133" operator="containsText" text="National Team">
      <formula>NOT(ISERROR(SEARCH("National Team",H1)))</formula>
    </cfRule>
  </conditionalFormatting>
  <conditionalFormatting sqref="Q4:AQ19">
    <cfRule type="expression" dxfId="393" priority="128" stopIfTrue="1">
      <formula>IF($AF4&lt;&gt;"",1,0)</formula>
    </cfRule>
  </conditionalFormatting>
  <conditionalFormatting sqref="AR4:BR19">
    <cfRule type="expression" dxfId="392" priority="127" stopIfTrue="1">
      <formula>IF($BG4&lt;&gt;"",1,0)</formula>
    </cfRule>
  </conditionalFormatting>
  <conditionalFormatting sqref="BS4:CS19">
    <cfRule type="expression" dxfId="391" priority="126" stopIfTrue="1">
      <formula>IF($CH4&lt;&gt;"",1,0)</formula>
    </cfRule>
  </conditionalFormatting>
  <conditionalFormatting sqref="BO30:BO1048576 BH1:BH1048576 BK1:BK1048576 BO1:BO28">
    <cfRule type="cellIs" dxfId="390" priority="122" operator="between">
      <formula>$BR$25</formula>
      <formula>1000</formula>
    </cfRule>
    <cfRule type="cellIs" dxfId="389" priority="123" operator="between">
      <formula>$BR$24</formula>
      <formula>$BR$25</formula>
    </cfRule>
    <cfRule type="cellIs" dxfId="388" priority="124" operator="between">
      <formula>$BR$23</formula>
      <formula>$BR$24</formula>
    </cfRule>
    <cfRule type="cellIs" dxfId="387" priority="125" operator="between">
      <formula>$BR$22</formula>
      <formula>$BR$23</formula>
    </cfRule>
  </conditionalFormatting>
  <conditionalFormatting sqref="CP30:CP1048576 CI1:CI1048576 CL1:CL1048576 CP1:CP28">
    <cfRule type="cellIs" dxfId="386" priority="118" operator="between">
      <formula>$CS$25</formula>
      <formula>1000</formula>
    </cfRule>
    <cfRule type="cellIs" dxfId="385" priority="119" operator="between">
      <formula>$CS$24</formula>
      <formula>$CS$25</formula>
    </cfRule>
    <cfRule type="cellIs" dxfId="384" priority="120" operator="between">
      <formula>$CS$23</formula>
      <formula>$CS$24</formula>
    </cfRule>
    <cfRule type="cellIs" dxfId="383" priority="121" operator="between">
      <formula>$CS$22</formula>
      <formula>$CS$23</formula>
    </cfRule>
  </conditionalFormatting>
  <conditionalFormatting sqref="DY30:DY1048576 DO1:DO1048576 DR1:DR1048576 DV1:DV1048576 DY1:DY28">
    <cfRule type="cellIs" dxfId="382" priority="117" operator="between">
      <formula>$EB$22</formula>
      <formula>$EB$23</formula>
    </cfRule>
  </conditionalFormatting>
  <conditionalFormatting sqref="FG30:FG1048576 EW1:EW1048576 EZ1:EZ1048576 FD1:FD1048576 FG1:FG28">
    <cfRule type="cellIs" dxfId="381" priority="116" operator="between">
      <formula>$FJ$22</formula>
      <formula>$FJ$23</formula>
    </cfRule>
  </conditionalFormatting>
  <conditionalFormatting sqref="HW30:HW1048576 HM1:HM1048576 HP1:HP1048576 HT1:HT1048576 HW1:HW28">
    <cfRule type="cellIs" dxfId="380" priority="115" operator="between">
      <formula>$HZ$22</formula>
      <formula>$HZ$23</formula>
    </cfRule>
  </conditionalFormatting>
  <conditionalFormatting sqref="AO29 AG1:AG1048576 AJ1:AJ1048576 AN1:AN1048576">
    <cfRule type="cellIs" dxfId="379" priority="111" operator="between">
      <formula>$AQ$25</formula>
      <formula>1000</formula>
    </cfRule>
    <cfRule type="cellIs" dxfId="378" priority="112" operator="between">
      <formula>$AQ$24</formula>
      <formula>$AQ$25</formula>
    </cfRule>
    <cfRule type="cellIs" dxfId="377" priority="113" operator="between">
      <formula>$AQ$23</formula>
      <formula>$AQ$24</formula>
    </cfRule>
    <cfRule type="cellIs" dxfId="376" priority="114" operator="between">
      <formula>$AQ$22</formula>
      <formula>$AQ$23</formula>
    </cfRule>
  </conditionalFormatting>
  <conditionalFormatting sqref="BO29">
    <cfRule type="cellIs" dxfId="375" priority="107" operator="between">
      <formula>$AQ$25</formula>
      <formula>1000</formula>
    </cfRule>
    <cfRule type="cellIs" dxfId="374" priority="108" operator="between">
      <formula>$AQ$24</formula>
      <formula>$AQ$25</formula>
    </cfRule>
    <cfRule type="cellIs" dxfId="373" priority="109" operator="between">
      <formula>$AQ$23</formula>
      <formula>$AQ$24</formula>
    </cfRule>
    <cfRule type="cellIs" dxfId="372" priority="110" operator="between">
      <formula>$AQ$22</formula>
      <formula>$AQ$23</formula>
    </cfRule>
  </conditionalFormatting>
  <conditionalFormatting sqref="CP29">
    <cfRule type="cellIs" dxfId="371" priority="103" operator="between">
      <formula>$AQ$25</formula>
      <formula>1000</formula>
    </cfRule>
    <cfRule type="cellIs" dxfId="370" priority="104" operator="between">
      <formula>$AQ$24</formula>
      <formula>$AQ$25</formula>
    </cfRule>
    <cfRule type="cellIs" dxfId="369" priority="105" operator="between">
      <formula>$AQ$23</formula>
      <formula>$AQ$24</formula>
    </cfRule>
    <cfRule type="cellIs" dxfId="368" priority="106" operator="between">
      <formula>$AQ$22</formula>
      <formula>$AQ$23</formula>
    </cfRule>
  </conditionalFormatting>
  <conditionalFormatting sqref="DY29">
    <cfRule type="cellIs" dxfId="367" priority="99" operator="between">
      <formula>$AQ$25</formula>
      <formula>1000</formula>
    </cfRule>
    <cfRule type="cellIs" dxfId="366" priority="100" operator="between">
      <formula>$AQ$24</formula>
      <formula>$AQ$25</formula>
    </cfRule>
    <cfRule type="cellIs" dxfId="365" priority="101" operator="between">
      <formula>$AQ$23</formula>
      <formula>$AQ$24</formula>
    </cfRule>
    <cfRule type="cellIs" dxfId="364" priority="102" operator="between">
      <formula>$AQ$22</formula>
      <formula>$AQ$23</formula>
    </cfRule>
  </conditionalFormatting>
  <conditionalFormatting sqref="FG29">
    <cfRule type="cellIs" dxfId="363" priority="95" operator="between">
      <formula>$AQ$25</formula>
      <formula>1000</formula>
    </cfRule>
    <cfRule type="cellIs" dxfId="362" priority="96" operator="between">
      <formula>$AQ$24</formula>
      <formula>$AQ$25</formula>
    </cfRule>
    <cfRule type="cellIs" dxfId="361" priority="97" operator="between">
      <formula>$AQ$23</formula>
      <formula>$AQ$24</formula>
    </cfRule>
    <cfRule type="cellIs" dxfId="360" priority="98" operator="between">
      <formula>$AQ$22</formula>
      <formula>$AQ$23</formula>
    </cfRule>
  </conditionalFormatting>
  <conditionalFormatting sqref="HW29">
    <cfRule type="cellIs" dxfId="359" priority="91" operator="between">
      <formula>$AQ$25</formula>
      <formula>1000</formula>
    </cfRule>
    <cfRule type="cellIs" dxfId="358" priority="92" operator="between">
      <formula>$AQ$24</formula>
      <formula>$AQ$25</formula>
    </cfRule>
    <cfRule type="cellIs" dxfId="357" priority="93" operator="between">
      <formula>$AQ$23</formula>
      <formula>$AQ$24</formula>
    </cfRule>
    <cfRule type="cellIs" dxfId="356" priority="94" operator="between">
      <formula>$AQ$22</formula>
      <formula>$AQ$23</formula>
    </cfRule>
  </conditionalFormatting>
  <conditionalFormatting sqref="M1:M1048576 K1:K1048576">
    <cfRule type="expression" dxfId="355" priority="88" stopIfTrue="1">
      <formula>IF(K1=$BS$1,1,0)</formula>
    </cfRule>
    <cfRule type="expression" dxfId="354" priority="89">
      <formula>IF(K1=$AR$1,1,0)</formula>
    </cfRule>
    <cfRule type="expression" dxfId="353" priority="90">
      <formula>IF(K1=$Q$1,1,0)</formula>
    </cfRule>
  </conditionalFormatting>
  <conditionalFormatting sqref="A4:A1048576">
    <cfRule type="expression" dxfId="352" priority="86">
      <formula>AND(G4&lt;&gt;"",F4="")</formula>
    </cfRule>
    <cfRule type="expression" dxfId="351" priority="87">
      <formula>IF(A4&gt;2,1,0)</formula>
    </cfRule>
  </conditionalFormatting>
  <conditionalFormatting sqref="CN1:CN1048576 AL1:AL1048576">
    <cfRule type="cellIs" dxfId="350" priority="84" operator="between">
      <formula>AQ$29</formula>
      <formula>1000</formula>
    </cfRule>
    <cfRule type="cellIs" dxfId="349" priority="85" operator="between">
      <formula>AQ$28</formula>
      <formula>AQ$29</formula>
    </cfRule>
  </conditionalFormatting>
  <conditionalFormatting sqref="DT1:DT1048576 FB1:FB1048576 GJ1:GJ1048576 HR1:HR1048576 IZ1:IZ1048576 KH1:KH1048576 LP1:LP1048576 MX1:MX1048576 OF1:OF1048576 PN1:PN1048576 QV1:QV1048576 SD1:SD1048576 TL1:TL29 UT1:UT29 WB1:WB29">
    <cfRule type="cellIs" dxfId="348" priority="82" operator="between">
      <formula>EB$29</formula>
      <formula>1000</formula>
    </cfRule>
    <cfRule type="cellIs" dxfId="347" priority="83" operator="between">
      <formula>EB$28</formula>
      <formula>EB$29</formula>
    </cfRule>
  </conditionalFormatting>
  <conditionalFormatting sqref="AI1:AI1048576 AL1:AL1048576 AP1:AP1048576">
    <cfRule type="cellIs" dxfId="346" priority="78" operator="between">
      <formula>$AQ$29</formula>
      <formula>1000</formula>
    </cfRule>
    <cfRule type="cellIs" dxfId="345" priority="79" operator="between">
      <formula>$AQ$28</formula>
      <formula>$AQ$29</formula>
    </cfRule>
    <cfRule type="cellIs" dxfId="344" priority="80" operator="between">
      <formula>$AQ$27</formula>
      <formula>$AQ$28</formula>
    </cfRule>
    <cfRule type="cellIs" dxfId="343" priority="81" operator="between">
      <formula>$AQ$26</formula>
      <formula>$AQ$27</formula>
    </cfRule>
  </conditionalFormatting>
  <conditionalFormatting sqref="BJ1:BJ1048576 BM1:BM1048576 BQ1:BQ1048576">
    <cfRule type="cellIs" dxfId="342" priority="74" operator="between">
      <formula>$BR$29</formula>
      <formula>1000</formula>
    </cfRule>
    <cfRule type="cellIs" dxfId="341" priority="75" operator="between">
      <formula>$BR$28</formula>
      <formula>$BR$29</formula>
    </cfRule>
    <cfRule type="cellIs" dxfId="340" priority="76" operator="between">
      <formula>$BR$27</formula>
      <formula>$BR$28</formula>
    </cfRule>
    <cfRule type="cellIs" dxfId="339" priority="77" operator="between">
      <formula>$BR$26</formula>
      <formula>$BR$27</formula>
    </cfRule>
  </conditionalFormatting>
  <conditionalFormatting sqref="CK1:CK1048576 CN1:CN1048576 CR1:CR1048576">
    <cfRule type="cellIs" dxfId="338" priority="70" operator="between">
      <formula>$CS$29</formula>
      <formula>1000</formula>
    </cfRule>
    <cfRule type="cellIs" dxfId="337" priority="71" operator="between">
      <formula>$CS$28</formula>
      <formula>$CS$29</formula>
    </cfRule>
    <cfRule type="cellIs" dxfId="336" priority="72" operator="between">
      <formula>$CS$27</formula>
      <formula>$CS$28</formula>
    </cfRule>
    <cfRule type="cellIs" dxfId="335" priority="73" operator="between">
      <formula>$CS$26</formula>
      <formula>$CS$27</formula>
    </cfRule>
  </conditionalFormatting>
  <conditionalFormatting sqref="MS1:MS1048576 MV1:MV1048576 MZ1:MZ1048576 NC1:NC1048576">
    <cfRule type="cellIs" dxfId="334" priority="69" operator="between">
      <formula>$NF$22</formula>
      <formula>$NF$23</formula>
    </cfRule>
  </conditionalFormatting>
  <conditionalFormatting sqref="DQ1:DQ1048576 DT1:DT1048576 DX1:DX1048576 EA1:EA1048576">
    <cfRule type="cellIs" dxfId="333" priority="65" operator="between">
      <formula>$EB$29</formula>
      <formula>1000</formula>
    </cfRule>
    <cfRule type="cellIs" dxfId="332" priority="66" operator="between">
      <formula>$EB$28</formula>
      <formula>$EB$29</formula>
    </cfRule>
    <cfRule type="cellIs" dxfId="331" priority="67" operator="between">
      <formula>$EB$27</formula>
      <formula>$EB$28</formula>
    </cfRule>
    <cfRule type="cellIs" dxfId="330" priority="68" operator="between">
      <formula>$EB$26</formula>
      <formula>$EB$27</formula>
    </cfRule>
  </conditionalFormatting>
  <conditionalFormatting sqref="EY1:EY1048576 FB1:FB1048576 FF1:FF1048576 FI1:FI1048576">
    <cfRule type="cellIs" dxfId="329" priority="61" operator="between">
      <formula>$FJ$29</formula>
      <formula>1000</formula>
    </cfRule>
    <cfRule type="cellIs" dxfId="328" priority="62" operator="between">
      <formula>$FJ$28</formula>
      <formula>$FJ$29</formula>
    </cfRule>
    <cfRule type="cellIs" dxfId="327" priority="63" operator="between">
      <formula>$FJ$27</formula>
      <formula>$FJ$28</formula>
    </cfRule>
    <cfRule type="cellIs" dxfId="326" priority="64" operator="between">
      <formula>$FJ$26</formula>
      <formula>$FJ$27</formula>
    </cfRule>
  </conditionalFormatting>
  <conditionalFormatting sqref="GE1:GE1048576 GH1:GH1048576 GL1:GL1048576 GO1:GO1048576">
    <cfRule type="cellIs" dxfId="325" priority="59" stopIfTrue="1" operator="between">
      <formula>$GR$23</formula>
      <formula>1000</formula>
    </cfRule>
    <cfRule type="cellIs" dxfId="324" priority="60" operator="between">
      <formula>$GR$22</formula>
      <formula>$GR$23</formula>
    </cfRule>
  </conditionalFormatting>
  <conditionalFormatting sqref="GG1:GG1048576 GJ1:GJ1048576 GN1:GN1048576 GQ1:GQ1048576">
    <cfRule type="cellIs" dxfId="323" priority="55" operator="between">
      <formula>$GR$29</formula>
      <formula>1000</formula>
    </cfRule>
    <cfRule type="cellIs" dxfId="322" priority="56" operator="between">
      <formula>$GR$28</formula>
      <formula>$GR$29</formula>
    </cfRule>
    <cfRule type="cellIs" dxfId="321" priority="57" operator="between">
      <formula>$GR$27</formula>
      <formula>$GR$28</formula>
    </cfRule>
    <cfRule type="cellIs" dxfId="320" priority="58" operator="between">
      <formula>$GR$26</formula>
      <formula>$GR$27</formula>
    </cfRule>
  </conditionalFormatting>
  <conditionalFormatting sqref="HO1:HO1048576 HR1:HR1048576 HV1:HV1048576 HY1:HY1048576">
    <cfRule type="cellIs" dxfId="319" priority="51" operator="between">
      <formula>$HZ$29</formula>
      <formula>1000</formula>
    </cfRule>
    <cfRule type="cellIs" dxfId="318" priority="52" operator="between">
      <formula>$HZ$28</formula>
      <formula>$HZ$29</formula>
    </cfRule>
    <cfRule type="cellIs" dxfId="317" priority="53" operator="between">
      <formula>$HZ$27</formula>
      <formula>$HZ$28</formula>
    </cfRule>
    <cfRule type="cellIs" dxfId="316" priority="54" operator="between">
      <formula>$HZ$26</formula>
      <formula>$HZ$27</formula>
    </cfRule>
  </conditionalFormatting>
  <conditionalFormatting sqref="IU1:IU1048576 IX1:IX1048576 JB1:JB1048576 JE1:JE1048576">
    <cfRule type="cellIs" dxfId="315" priority="49" stopIfTrue="1" operator="between">
      <formula>$JH$23</formula>
      <formula>1000</formula>
    </cfRule>
    <cfRule type="cellIs" dxfId="314" priority="50" operator="between">
      <formula>$JH$22</formula>
      <formula>$JH$23</formula>
    </cfRule>
  </conditionalFormatting>
  <conditionalFormatting sqref="IW1:IW1048576 IZ1:IZ1048576 JD1:JD1048576 JG1:JG1048576">
    <cfRule type="cellIs" dxfId="313" priority="45" operator="between">
      <formula>$JH$29</formula>
      <formula>1000</formula>
    </cfRule>
    <cfRule type="cellIs" dxfId="312" priority="46" operator="between">
      <formula>$JH$28</formula>
      <formula>$JH$29</formula>
    </cfRule>
    <cfRule type="cellIs" dxfId="311" priority="47" operator="between">
      <formula>$JH$27</formula>
      <formula>$JH$28</formula>
    </cfRule>
    <cfRule type="cellIs" dxfId="310" priority="48" operator="between">
      <formula>$JH$26</formula>
      <formula>$JH$27</formula>
    </cfRule>
  </conditionalFormatting>
  <conditionalFormatting sqref="KC1:KC1048576 KF1:KF1048576 KJ1:KJ1048576 KM1:KM1048576">
    <cfRule type="cellIs" dxfId="309" priority="43" stopIfTrue="1" operator="between">
      <formula>$KP$23</formula>
      <formula>1000</formula>
    </cfRule>
    <cfRule type="cellIs" dxfId="308" priority="44" operator="between">
      <formula>$KP$22</formula>
      <formula>$KP$23</formula>
    </cfRule>
  </conditionalFormatting>
  <conditionalFormatting sqref="KE1:KE1048576 KH1:KH1048576 KL1:KL1048576 KO1:KO1048576">
    <cfRule type="cellIs" dxfId="307" priority="39" operator="between">
      <formula>$KP$29</formula>
      <formula>1000</formula>
    </cfRule>
    <cfRule type="cellIs" dxfId="306" priority="40" operator="between">
      <formula>$KP$28</formula>
      <formula>$KP$29</formula>
    </cfRule>
    <cfRule type="cellIs" dxfId="305" priority="41" operator="between">
      <formula>$KP$27</formula>
      <formula>$KP$28</formula>
    </cfRule>
    <cfRule type="cellIs" dxfId="304" priority="42" operator="between">
      <formula>$KP$26</formula>
      <formula>$KP$27</formula>
    </cfRule>
  </conditionalFormatting>
  <conditionalFormatting sqref="LK1:LK1048576 LN1:LN1048576 LR1:LR1048576 LU1:LU1048576">
    <cfRule type="cellIs" dxfId="303" priority="37" stopIfTrue="1" operator="between">
      <formula>$LX$23</formula>
      <formula>1000</formula>
    </cfRule>
    <cfRule type="cellIs" dxfId="302" priority="38" operator="between">
      <formula>$LX$22</formula>
      <formula>$LX$23</formula>
    </cfRule>
  </conditionalFormatting>
  <conditionalFormatting sqref="LM1:LM1048576 LP1:LP1048576 LT1:LT1048576 LW1:LW1048576">
    <cfRule type="cellIs" dxfId="301" priority="33" operator="between">
      <formula>$LX$29</formula>
      <formula>1000</formula>
    </cfRule>
    <cfRule type="cellIs" dxfId="300" priority="34" operator="between">
      <formula>$LX$28</formula>
      <formula>$LX$29</formula>
    </cfRule>
    <cfRule type="cellIs" dxfId="299" priority="35" operator="between">
      <formula>$LX$27</formula>
      <formula>$LX$28</formula>
    </cfRule>
    <cfRule type="cellIs" dxfId="298" priority="36" operator="between">
      <formula>$LX$26</formula>
      <formula>$LX$27</formula>
    </cfRule>
  </conditionalFormatting>
  <conditionalFormatting sqref="MS1:MS1048576 MV1:MV1048576 MZ1:MZ1048576">
    <cfRule type="cellIs" dxfId="297" priority="32" operator="between">
      <formula>$NF$23</formula>
      <formula>1000</formula>
    </cfRule>
  </conditionalFormatting>
  <conditionalFormatting sqref="MU1:MU1048576 MX1:MX1048576 NB1:NB1048576 NE1:NE1048576">
    <cfRule type="cellIs" dxfId="296" priority="28" operator="between">
      <formula>$NF$29</formula>
      <formula>1000</formula>
    </cfRule>
    <cfRule type="cellIs" dxfId="295" priority="29" operator="between">
      <formula>$NF$28</formula>
      <formula>$NF$29</formula>
    </cfRule>
    <cfRule type="cellIs" dxfId="294" priority="30" operator="between">
      <formula>$NF$27</formula>
      <formula>$NF$28</formula>
    </cfRule>
    <cfRule type="cellIs" dxfId="293" priority="31" operator="between">
      <formula>$NF$26</formula>
      <formula>$NF$27</formula>
    </cfRule>
  </conditionalFormatting>
  <conditionalFormatting sqref="OA1:OA1048576 OD1:OD1048576 OH1:OH1048576 OK1:OK1048576">
    <cfRule type="cellIs" dxfId="292" priority="26" stopIfTrue="1" operator="between">
      <formula>$ON$23</formula>
      <formula>1000</formula>
    </cfRule>
    <cfRule type="cellIs" dxfId="291" priority="27" operator="between">
      <formula>$ON$22</formula>
      <formula>$ON$23</formula>
    </cfRule>
  </conditionalFormatting>
  <conditionalFormatting sqref="OC1:OC1048576 OF1:OF1048576 OJ1:OJ1048576 OM1:OM1048576">
    <cfRule type="cellIs" dxfId="290" priority="22" operator="between">
      <formula>$ON$29</formula>
      <formula>1000</formula>
    </cfRule>
    <cfRule type="cellIs" dxfId="289" priority="23" operator="between">
      <formula>$ON$28</formula>
      <formula>$ON$29</formula>
    </cfRule>
    <cfRule type="cellIs" dxfId="288" priority="24" operator="between">
      <formula>$ON$27</formula>
      <formula>$ON$28</formula>
    </cfRule>
    <cfRule type="cellIs" dxfId="287" priority="25" operator="between">
      <formula>$ON$26</formula>
      <formula>$ON$27</formula>
    </cfRule>
  </conditionalFormatting>
  <conditionalFormatting sqref="PI1:PI1048576 PL1:PL1048576 PP1:PP1048576 PS1:PS1048576">
    <cfRule type="cellIs" dxfId="286" priority="20" stopIfTrue="1" operator="between">
      <formula>$PV$23</formula>
      <formula>1000</formula>
    </cfRule>
    <cfRule type="cellIs" dxfId="285" priority="21" operator="between">
      <formula>$PV$22</formula>
      <formula>$PV$23</formula>
    </cfRule>
  </conditionalFormatting>
  <conditionalFormatting sqref="PK1:PK1048576 PN1:PN1048576 PR1:PR1048576 PU1:PU1048576">
    <cfRule type="cellIs" dxfId="284" priority="16" operator="between">
      <formula>$PV$29</formula>
      <formula>1000</formula>
    </cfRule>
    <cfRule type="cellIs" dxfId="283" priority="17" operator="between">
      <formula>$PV$28</formula>
      <formula>$PV$29</formula>
    </cfRule>
    <cfRule type="cellIs" dxfId="282" priority="18" operator="between">
      <formula>$PV$27</formula>
      <formula>$PV$28</formula>
    </cfRule>
    <cfRule type="cellIs" dxfId="281" priority="19" operator="between">
      <formula>$PV$26</formula>
      <formula>$PV$27</formula>
    </cfRule>
  </conditionalFormatting>
  <conditionalFormatting sqref="QQ1:QQ1048576 QT1:QT1048576 QX1:QX1048576 RA1:RA1048576">
    <cfRule type="cellIs" dxfId="280" priority="14" stopIfTrue="1" operator="between">
      <formula>$RD$23</formula>
      <formula>1000</formula>
    </cfRule>
    <cfRule type="cellIs" dxfId="279" priority="15" operator="between">
      <formula>$RD$22</formula>
      <formula>$RD$23</formula>
    </cfRule>
  </conditionalFormatting>
  <conditionalFormatting sqref="QS1:QS1048576 QV1:QV1048576 QZ1:QZ1048576 RC1:RC1048576">
    <cfRule type="cellIs" dxfId="278" priority="10" operator="between">
      <formula>$RD$29</formula>
      <formula>1000</formula>
    </cfRule>
    <cfRule type="cellIs" dxfId="277" priority="11" operator="between">
      <formula>$RD$28</formula>
      <formula>$RD$29</formula>
    </cfRule>
    <cfRule type="cellIs" dxfId="276" priority="12" operator="between">
      <formula>$RD$27</formula>
      <formula>$RD$28</formula>
    </cfRule>
    <cfRule type="cellIs" dxfId="275" priority="13" operator="between">
      <formula>$RD$26</formula>
      <formula>$RD$27</formula>
    </cfRule>
  </conditionalFormatting>
  <conditionalFormatting sqref="RY1:RY1048576 SB1:SB1048576 SF1:SF1048576 SI1:SI1048576 TG1:TG29 TJ1:TJ29 TN1:TN29 TQ1:TQ29 UO1:UO29 UR1:UR29 UV1:UV29 UY1:UY29 VW1:VW29 VZ1:VZ29 WD1:WD29 WG1:WG29">
    <cfRule type="cellIs" dxfId="274" priority="8" operator="between">
      <formula>$SL$23</formula>
      <formula>1000</formula>
    </cfRule>
    <cfRule type="cellIs" dxfId="273" priority="9" operator="between">
      <formula>$SL$22</formula>
      <formula>$SL$23</formula>
    </cfRule>
  </conditionalFormatting>
  <conditionalFormatting sqref="SA1:SA1048576 SD1:SD1048576 SH1:SH1048576 SK1:SK1048576 TI1:TI29 TL1:TL29 TP1:TP29 TS1:TS29 UQ1:UQ29 UT1:UT29 UX1:UX29 VA1:VA29 VY1:VY29 WB1:WB29 WF1:WF29 WI1:WI29">
    <cfRule type="cellIs" dxfId="272" priority="4" operator="between">
      <formula>$SL$29</formula>
      <formula>1000</formula>
    </cfRule>
    <cfRule type="cellIs" dxfId="271" priority="5" operator="between">
      <formula>$SL$28</formula>
      <formula>$SL$29</formula>
    </cfRule>
    <cfRule type="cellIs" dxfId="270" priority="6" operator="between">
      <formula>$SL$27</formula>
      <formula>$SL$28</formula>
    </cfRule>
    <cfRule type="cellIs" dxfId="269" priority="7" operator="between">
      <formula>$SL$26</formula>
      <formula>$SL$27</formula>
    </cfRule>
  </conditionalFormatting>
  <conditionalFormatting sqref="DY1:DY1048576 DO1:DO1048576 DR1:DR1048576 DV1:DV1048576">
    <cfRule type="cellIs" dxfId="268" priority="3" stopIfTrue="1" operator="between">
      <formula>$EB$23</formula>
      <formula>1000</formula>
    </cfRule>
  </conditionalFormatting>
  <conditionalFormatting sqref="FG1:FG1048576 EW1:EW1048576 EZ1:EZ1048576 FD1:FD1048576">
    <cfRule type="cellIs" dxfId="267" priority="2" stopIfTrue="1" operator="between">
      <formula>$FJ$23</formula>
      <formula>1000</formula>
    </cfRule>
  </conditionalFormatting>
  <conditionalFormatting sqref="HW1:HW1048576 HM1:HM1048576 HP1:HP1048576 HT1:HT1048576">
    <cfRule type="cellIs" dxfId="266" priority="1" stopIfTrue="1" operator="between">
      <formula>$HZ$23</formula>
      <formula>1000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DA5CF-E447-7843-BB0A-1186439A2812}">
  <sheetPr codeName="Sheet8"/>
  <dimension ref="A1:XT46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0.33203125" bestFit="1" customWidth="1"/>
    <col min="3" max="3" width="8.1640625" bestFit="1" customWidth="1"/>
    <col min="4" max="4" width="12" customWidth="1"/>
    <col min="6" max="6" width="16.33203125" customWidth="1"/>
    <col min="7" max="7" width="10.83203125" customWidth="1"/>
    <col min="8" max="8" width="13.33203125" bestFit="1" customWidth="1"/>
    <col min="9" max="9" width="19" hidden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2" customWidth="1"/>
    <col min="44" max="59" width="10.83203125" hidden="1" customWidth="1"/>
    <col min="60" max="70" width="10.83203125" style="32" customWidth="1"/>
    <col min="71" max="86" width="10.83203125" hidden="1" customWidth="1"/>
    <col min="87" max="97" width="10.83203125" style="32" customWidth="1"/>
    <col min="98" max="98" width="12.83203125" style="32" customWidth="1"/>
    <col min="99" max="118" width="10.83203125" hidden="1" customWidth="1"/>
    <col min="119" max="131" width="10.83203125" customWidth="1"/>
    <col min="132" max="132" width="10.83203125" style="32" customWidth="1"/>
    <col min="133" max="152" width="10.83203125" hidden="1" customWidth="1"/>
    <col min="153" max="165" width="10.83203125" customWidth="1"/>
    <col min="166" max="166" width="10.83203125" style="32" customWidth="1"/>
    <col min="167" max="186" width="10.83203125" hidden="1" customWidth="1"/>
    <col min="187" max="199" width="10.83203125" customWidth="1"/>
    <col min="200" max="200" width="10.83203125" style="32" customWidth="1"/>
    <col min="201" max="220" width="10.83203125" hidden="1" customWidth="1"/>
    <col min="221" max="233" width="10.83203125" customWidth="1"/>
    <col min="234" max="234" width="10.83203125" style="32" customWidth="1"/>
    <col min="235" max="254" width="10.83203125" hidden="1" customWidth="1"/>
    <col min="255" max="267" width="10.83203125" customWidth="1"/>
    <col min="268" max="268" width="10.83203125" style="32" customWidth="1"/>
    <col min="269" max="288" width="10.83203125" hidden="1" customWidth="1"/>
    <col min="289" max="302" width="10.83203125" customWidth="1"/>
    <col min="303" max="322" width="10.83203125" hidden="1" customWidth="1"/>
    <col min="323" max="336" width="10.83203125" customWidth="1"/>
    <col min="337" max="356" width="10.83203125" hidden="1" customWidth="1"/>
    <col min="357" max="370" width="10.83203125" customWidth="1"/>
    <col min="371" max="390" width="10.83203125" hidden="1" customWidth="1"/>
    <col min="391" max="404" width="10.83203125" customWidth="1"/>
    <col min="405" max="533" width="10.83203125" hidden="1" customWidth="1"/>
    <col min="534" max="534" width="11.83203125" hidden="1" customWidth="1"/>
    <col min="535" max="535" width="12.83203125" hidden="1" customWidth="1"/>
    <col min="536" max="567" width="10.83203125" hidden="1" customWidth="1"/>
    <col min="568" max="568" width="11.83203125" hidden="1" customWidth="1"/>
    <col min="569" max="569" width="12.83203125" hidden="1" customWidth="1"/>
    <col min="570" max="601" width="10.83203125" hidden="1" customWidth="1"/>
    <col min="602" max="602" width="11.83203125" hidden="1" customWidth="1"/>
    <col min="603" max="603" width="12.83203125" hidden="1" customWidth="1"/>
    <col min="604" max="608" width="10.83203125" hidden="1" customWidth="1"/>
  </cols>
  <sheetData>
    <row r="1" spans="1:608" x14ac:dyDescent="0.2">
      <c r="A1" s="56" t="s">
        <v>1</v>
      </c>
      <c r="B1" s="56" t="s">
        <v>26</v>
      </c>
      <c r="C1" s="56" t="s">
        <v>0</v>
      </c>
      <c r="D1" s="56" t="s">
        <v>44</v>
      </c>
      <c r="E1" s="56" t="s">
        <v>2</v>
      </c>
      <c r="F1" s="60" t="s">
        <v>188</v>
      </c>
      <c r="G1" s="56" t="s">
        <v>9</v>
      </c>
      <c r="H1" s="56" t="s">
        <v>10</v>
      </c>
      <c r="I1" s="56" t="s">
        <v>61</v>
      </c>
      <c r="J1" s="57" t="s">
        <v>75</v>
      </c>
      <c r="K1" s="58" t="s">
        <v>28</v>
      </c>
      <c r="L1" s="57" t="s">
        <v>86</v>
      </c>
      <c r="M1" s="58" t="s">
        <v>28</v>
      </c>
      <c r="N1" s="61" t="s">
        <v>12</v>
      </c>
      <c r="O1" s="58" t="s">
        <v>29</v>
      </c>
      <c r="P1" s="58" t="s">
        <v>28</v>
      </c>
      <c r="Q1" s="52" t="s">
        <v>118</v>
      </c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52"/>
      <c r="AF1" s="52"/>
      <c r="AG1" s="52"/>
      <c r="AH1" s="52"/>
      <c r="AI1" s="52"/>
      <c r="AJ1" s="52"/>
      <c r="AK1" s="52"/>
      <c r="AL1" s="52"/>
      <c r="AM1" s="52"/>
      <c r="AN1" s="52"/>
      <c r="AO1" s="52"/>
      <c r="AP1" s="52"/>
      <c r="AQ1" s="52"/>
      <c r="AR1" s="53" t="s">
        <v>145</v>
      </c>
      <c r="AS1" s="53"/>
      <c r="AT1" s="53"/>
      <c r="AU1" s="53"/>
      <c r="AV1" s="53"/>
      <c r="AW1" s="53"/>
      <c r="AX1" s="53"/>
      <c r="AY1" s="53"/>
      <c r="AZ1" s="53"/>
      <c r="BA1" s="53"/>
      <c r="BB1" s="53"/>
      <c r="BC1" s="53"/>
      <c r="BD1" s="53"/>
      <c r="BE1" s="53"/>
      <c r="BF1" s="53"/>
      <c r="BG1" s="53"/>
      <c r="BH1" s="53"/>
      <c r="BI1" s="53"/>
      <c r="BJ1" s="53"/>
      <c r="BK1" s="53"/>
      <c r="BL1" s="53"/>
      <c r="BM1" s="53"/>
      <c r="BN1" s="53"/>
      <c r="BO1" s="53"/>
      <c r="BP1" s="53"/>
      <c r="BQ1" s="53"/>
      <c r="BR1" s="53"/>
      <c r="BS1" s="52" t="s">
        <v>161</v>
      </c>
      <c r="BT1" s="52"/>
      <c r="BU1" s="52"/>
      <c r="BV1" s="52"/>
      <c r="BW1" s="52"/>
      <c r="BX1" s="52"/>
      <c r="BY1" s="52"/>
      <c r="BZ1" s="52"/>
      <c r="CA1" s="52"/>
      <c r="CB1" s="52"/>
      <c r="CC1" s="52"/>
      <c r="CD1" s="52"/>
      <c r="CE1" s="52"/>
      <c r="CF1" s="52"/>
      <c r="CG1" s="52"/>
      <c r="CH1" s="52"/>
      <c r="CI1" s="52"/>
      <c r="CJ1" s="52"/>
      <c r="CK1" s="52"/>
      <c r="CL1" s="52"/>
      <c r="CM1" s="52"/>
      <c r="CN1" s="52"/>
      <c r="CO1" s="52"/>
      <c r="CP1" s="52"/>
      <c r="CQ1" s="52"/>
      <c r="CR1" s="52"/>
      <c r="CS1" s="52"/>
      <c r="CT1" s="50"/>
      <c r="CU1" s="52" t="s">
        <v>137</v>
      </c>
      <c r="CV1" s="52"/>
      <c r="CW1" s="52"/>
      <c r="CX1" s="52"/>
      <c r="CY1" s="52"/>
      <c r="CZ1" s="52"/>
      <c r="DA1" s="52"/>
      <c r="DB1" s="52"/>
      <c r="DC1" s="52"/>
      <c r="DD1" s="52"/>
      <c r="DE1" s="52"/>
      <c r="DF1" s="52"/>
      <c r="DG1" s="52"/>
      <c r="DH1" s="52"/>
      <c r="DI1" s="52"/>
      <c r="DJ1" s="52"/>
      <c r="DK1" s="52"/>
      <c r="DL1" s="52"/>
      <c r="DM1" s="52"/>
      <c r="DN1" s="52"/>
      <c r="DO1" s="52"/>
      <c r="DP1" s="52"/>
      <c r="DQ1" s="52"/>
      <c r="DR1" s="52"/>
      <c r="DS1" s="52"/>
      <c r="DT1" s="52"/>
      <c r="DU1" s="52"/>
      <c r="DV1" s="52"/>
      <c r="DW1" s="52"/>
      <c r="DX1" s="52"/>
      <c r="DY1" s="52"/>
      <c r="DZ1" s="52"/>
      <c r="EA1" s="52"/>
      <c r="EB1" s="52"/>
      <c r="EC1" s="53" t="s">
        <v>140</v>
      </c>
      <c r="ED1" s="53"/>
      <c r="EE1" s="53"/>
      <c r="EF1" s="53"/>
      <c r="EG1" s="53"/>
      <c r="EH1" s="53"/>
      <c r="EI1" s="53"/>
      <c r="EJ1" s="53"/>
      <c r="EK1" s="53"/>
      <c r="EL1" s="53"/>
      <c r="EM1" s="53"/>
      <c r="EN1" s="53"/>
      <c r="EO1" s="53"/>
      <c r="EP1" s="53"/>
      <c r="EQ1" s="53"/>
      <c r="ER1" s="53"/>
      <c r="ES1" s="53"/>
      <c r="ET1" s="53"/>
      <c r="EU1" s="53"/>
      <c r="EV1" s="53"/>
      <c r="EW1" s="53"/>
      <c r="EX1" s="53"/>
      <c r="EY1" s="53"/>
      <c r="EZ1" s="53"/>
      <c r="FA1" s="53"/>
      <c r="FB1" s="53"/>
      <c r="FC1" s="53"/>
      <c r="FD1" s="53"/>
      <c r="FE1" s="53"/>
      <c r="FF1" s="53"/>
      <c r="FG1" s="53"/>
      <c r="FH1" s="53"/>
      <c r="FI1" s="53"/>
      <c r="FJ1" s="53"/>
      <c r="FK1" s="52" t="s">
        <v>152</v>
      </c>
      <c r="FL1" s="52"/>
      <c r="FM1" s="52"/>
      <c r="FN1" s="52"/>
      <c r="FO1" s="52"/>
      <c r="FP1" s="52"/>
      <c r="FQ1" s="52"/>
      <c r="FR1" s="52"/>
      <c r="FS1" s="52"/>
      <c r="FT1" s="52"/>
      <c r="FU1" s="52"/>
      <c r="FV1" s="52"/>
      <c r="FW1" s="52"/>
      <c r="FX1" s="52"/>
      <c r="FY1" s="52"/>
      <c r="FZ1" s="52"/>
      <c r="GA1" s="52"/>
      <c r="GB1" s="52"/>
      <c r="GC1" s="52"/>
      <c r="GD1" s="52"/>
      <c r="GE1" s="52"/>
      <c r="GF1" s="52"/>
      <c r="GG1" s="52"/>
      <c r="GH1" s="52"/>
      <c r="GI1" s="52"/>
      <c r="GJ1" s="52"/>
      <c r="GK1" s="52"/>
      <c r="GL1" s="52"/>
      <c r="GM1" s="52"/>
      <c r="GN1" s="52"/>
      <c r="GO1" s="52"/>
      <c r="GP1" s="52"/>
      <c r="GQ1" s="52"/>
      <c r="GR1" s="52"/>
      <c r="GS1" s="53" t="s">
        <v>157</v>
      </c>
      <c r="GT1" s="53"/>
      <c r="GU1" s="53"/>
      <c r="GV1" s="53"/>
      <c r="GW1" s="53"/>
      <c r="GX1" s="53"/>
      <c r="GY1" s="53"/>
      <c r="GZ1" s="53"/>
      <c r="HA1" s="53"/>
      <c r="HB1" s="53"/>
      <c r="HC1" s="53"/>
      <c r="HD1" s="53"/>
      <c r="HE1" s="53"/>
      <c r="HF1" s="53"/>
      <c r="HG1" s="53"/>
      <c r="HH1" s="53"/>
      <c r="HI1" s="53"/>
      <c r="HJ1" s="53"/>
      <c r="HK1" s="53"/>
      <c r="HL1" s="53"/>
      <c r="HM1" s="53"/>
      <c r="HN1" s="53"/>
      <c r="HO1" s="53"/>
      <c r="HP1" s="53"/>
      <c r="HQ1" s="53"/>
      <c r="HR1" s="53"/>
      <c r="HS1" s="53"/>
      <c r="HT1" s="53"/>
      <c r="HU1" s="53"/>
      <c r="HV1" s="53"/>
      <c r="HW1" s="53"/>
      <c r="HX1" s="53"/>
      <c r="HY1" s="53"/>
      <c r="HZ1" s="53"/>
      <c r="IA1" s="52" t="s">
        <v>156</v>
      </c>
      <c r="IB1" s="52"/>
      <c r="IC1" s="52"/>
      <c r="ID1" s="52"/>
      <c r="IE1" s="52"/>
      <c r="IF1" s="52"/>
      <c r="IG1" s="52"/>
      <c r="IH1" s="52"/>
      <c r="II1" s="52"/>
      <c r="IJ1" s="52"/>
      <c r="IK1" s="52"/>
      <c r="IL1" s="52"/>
      <c r="IM1" s="52"/>
      <c r="IN1" s="52"/>
      <c r="IO1" s="52"/>
      <c r="IP1" s="52"/>
      <c r="IQ1" s="52"/>
      <c r="IR1" s="52"/>
      <c r="IS1" s="52"/>
      <c r="IT1" s="52"/>
      <c r="IU1" s="52"/>
      <c r="IV1" s="52"/>
      <c r="IW1" s="52"/>
      <c r="IX1" s="52"/>
      <c r="IY1" s="52"/>
      <c r="IZ1" s="52"/>
      <c r="JA1" s="52"/>
      <c r="JB1" s="52"/>
      <c r="JC1" s="52"/>
      <c r="JD1" s="52"/>
      <c r="JE1" s="52"/>
      <c r="JF1" s="52"/>
      <c r="JG1" s="52"/>
      <c r="JH1" s="52"/>
      <c r="JI1" s="53" t="s">
        <v>164</v>
      </c>
      <c r="JJ1" s="53"/>
      <c r="JK1" s="53"/>
      <c r="JL1" s="53"/>
      <c r="JM1" s="53"/>
      <c r="JN1" s="53"/>
      <c r="JO1" s="53"/>
      <c r="JP1" s="53"/>
      <c r="JQ1" s="53"/>
      <c r="JR1" s="53"/>
      <c r="JS1" s="53"/>
      <c r="JT1" s="53"/>
      <c r="JU1" s="53"/>
      <c r="JV1" s="53"/>
      <c r="JW1" s="53"/>
      <c r="JX1" s="53"/>
      <c r="JY1" s="53"/>
      <c r="JZ1" s="53"/>
      <c r="KA1" s="53"/>
      <c r="KB1" s="53"/>
      <c r="KC1" s="53"/>
      <c r="KD1" s="53"/>
      <c r="KE1" s="53"/>
      <c r="KF1" s="53"/>
      <c r="KG1" s="53"/>
      <c r="KH1" s="53"/>
      <c r="KI1" s="53"/>
      <c r="KJ1" s="53"/>
      <c r="KK1" s="53"/>
      <c r="KL1" s="53"/>
      <c r="KM1" s="53"/>
      <c r="KN1" s="53"/>
      <c r="KO1" s="53"/>
      <c r="KP1" s="53"/>
      <c r="KQ1" s="52" t="s">
        <v>173</v>
      </c>
      <c r="KR1" s="52"/>
      <c r="KS1" s="52"/>
      <c r="KT1" s="52"/>
      <c r="KU1" s="52"/>
      <c r="KV1" s="52"/>
      <c r="KW1" s="52"/>
      <c r="KX1" s="52"/>
      <c r="KY1" s="52"/>
      <c r="KZ1" s="52"/>
      <c r="LA1" s="52"/>
      <c r="LB1" s="52"/>
      <c r="LC1" s="52"/>
      <c r="LD1" s="52"/>
      <c r="LE1" s="52"/>
      <c r="LF1" s="52"/>
      <c r="LG1" s="52"/>
      <c r="LH1" s="52"/>
      <c r="LI1" s="52"/>
      <c r="LJ1" s="52"/>
      <c r="LK1" s="52"/>
      <c r="LL1" s="52"/>
      <c r="LM1" s="52"/>
      <c r="LN1" s="52"/>
      <c r="LO1" s="52"/>
      <c r="LP1" s="52"/>
      <c r="LQ1" s="52"/>
      <c r="LR1" s="52"/>
      <c r="LS1" s="52"/>
      <c r="LT1" s="52"/>
      <c r="LU1" s="52"/>
      <c r="LV1" s="52"/>
      <c r="LW1" s="52"/>
      <c r="LX1" s="52"/>
      <c r="LY1" s="53" t="s">
        <v>176</v>
      </c>
      <c r="LZ1" s="53"/>
      <c r="MA1" s="53"/>
      <c r="MB1" s="53"/>
      <c r="MC1" s="53"/>
      <c r="MD1" s="53"/>
      <c r="ME1" s="53"/>
      <c r="MF1" s="53"/>
      <c r="MG1" s="53"/>
      <c r="MH1" s="53"/>
      <c r="MI1" s="53"/>
      <c r="MJ1" s="53"/>
      <c r="MK1" s="53"/>
      <c r="ML1" s="53"/>
      <c r="MM1" s="53"/>
      <c r="MN1" s="53"/>
      <c r="MO1" s="53"/>
      <c r="MP1" s="53"/>
      <c r="MQ1" s="53"/>
      <c r="MR1" s="53"/>
      <c r="MS1" s="53"/>
      <c r="MT1" s="53"/>
      <c r="MU1" s="53"/>
      <c r="MV1" s="53"/>
      <c r="MW1" s="53"/>
      <c r="MX1" s="53"/>
      <c r="MY1" s="53"/>
      <c r="MZ1" s="53"/>
      <c r="NA1" s="53"/>
      <c r="NB1" s="53"/>
      <c r="NC1" s="53"/>
      <c r="ND1" s="53"/>
      <c r="NE1" s="53"/>
      <c r="NF1" s="53"/>
      <c r="NG1" s="52" t="s">
        <v>182</v>
      </c>
      <c r="NH1" s="52"/>
      <c r="NI1" s="52"/>
      <c r="NJ1" s="52"/>
      <c r="NK1" s="52"/>
      <c r="NL1" s="52"/>
      <c r="NM1" s="52"/>
      <c r="NN1" s="52"/>
      <c r="NO1" s="52"/>
      <c r="NP1" s="52"/>
      <c r="NQ1" s="52"/>
      <c r="NR1" s="52"/>
      <c r="NS1" s="52"/>
      <c r="NT1" s="52"/>
      <c r="NU1" s="52"/>
      <c r="NV1" s="52"/>
      <c r="NW1" s="52"/>
      <c r="NX1" s="52"/>
      <c r="NY1" s="52"/>
      <c r="NZ1" s="52"/>
      <c r="OA1" s="52"/>
      <c r="OB1" s="52"/>
      <c r="OC1" s="52"/>
      <c r="OD1" s="52"/>
      <c r="OE1" s="52"/>
      <c r="OF1" s="52"/>
      <c r="OG1" s="52"/>
      <c r="OH1" s="52"/>
      <c r="OI1" s="52"/>
      <c r="OJ1" s="52"/>
      <c r="OK1" s="52"/>
      <c r="OL1" s="52"/>
      <c r="OM1" s="52"/>
      <c r="ON1" s="52"/>
      <c r="OO1" s="53"/>
      <c r="OP1" s="53"/>
      <c r="OQ1" s="53"/>
      <c r="OR1" s="53"/>
      <c r="OS1" s="53"/>
      <c r="OT1" s="53"/>
      <c r="OU1" s="53"/>
      <c r="OV1" s="53"/>
      <c r="OW1" s="53"/>
      <c r="OX1" s="53"/>
      <c r="OY1" s="53"/>
      <c r="OZ1" s="53"/>
      <c r="PA1" s="53"/>
      <c r="PB1" s="53"/>
      <c r="PC1" s="53"/>
      <c r="PD1" s="53"/>
      <c r="PE1" s="53"/>
      <c r="PF1" s="53"/>
      <c r="PG1" s="53"/>
      <c r="PH1" s="53"/>
      <c r="PI1" s="53"/>
      <c r="PJ1" s="53"/>
      <c r="PK1" s="53"/>
      <c r="PL1" s="53"/>
      <c r="PM1" s="53"/>
      <c r="PN1" s="53"/>
      <c r="PO1" s="53"/>
      <c r="PP1" s="53"/>
      <c r="PQ1" s="53"/>
      <c r="PR1" s="53"/>
      <c r="PS1" s="53"/>
      <c r="PT1" s="53"/>
      <c r="PU1" s="53"/>
      <c r="PV1" s="53"/>
      <c r="PW1" s="52"/>
      <c r="PX1" s="52"/>
      <c r="PY1" s="52"/>
      <c r="PZ1" s="52"/>
      <c r="QA1" s="52"/>
      <c r="QB1" s="52"/>
      <c r="QC1" s="52"/>
      <c r="QD1" s="52"/>
      <c r="QE1" s="52"/>
      <c r="QF1" s="52"/>
      <c r="QG1" s="52"/>
      <c r="QH1" s="52"/>
      <c r="QI1" s="52"/>
      <c r="QJ1" s="52"/>
      <c r="QK1" s="52"/>
      <c r="QL1" s="52"/>
      <c r="QM1" s="52"/>
      <c r="QN1" s="52"/>
      <c r="QO1" s="52"/>
      <c r="QP1" s="52"/>
      <c r="QQ1" s="52"/>
      <c r="QR1" s="52"/>
      <c r="QS1" s="52"/>
      <c r="QT1" s="52"/>
      <c r="QU1" s="52"/>
      <c r="QV1" s="52"/>
      <c r="QW1" s="52"/>
      <c r="QX1" s="52"/>
      <c r="QY1" s="52"/>
      <c r="QZ1" s="52"/>
      <c r="RA1" s="52"/>
      <c r="RB1" s="52"/>
      <c r="RC1" s="52"/>
      <c r="RD1" s="52"/>
      <c r="RE1" s="53"/>
      <c r="RF1" s="53"/>
      <c r="RG1" s="53"/>
      <c r="RH1" s="53"/>
      <c r="RI1" s="53"/>
      <c r="RJ1" s="53"/>
      <c r="RK1" s="53"/>
      <c r="RL1" s="53"/>
      <c r="RM1" s="53"/>
      <c r="RN1" s="53"/>
      <c r="RO1" s="53"/>
      <c r="RP1" s="53"/>
      <c r="RQ1" s="53"/>
      <c r="RR1" s="53"/>
      <c r="RS1" s="53"/>
      <c r="RT1" s="53"/>
      <c r="RU1" s="53"/>
      <c r="RV1" s="53"/>
      <c r="RW1" s="53"/>
      <c r="RX1" s="53"/>
      <c r="RY1" s="53"/>
      <c r="RZ1" s="53"/>
      <c r="SA1" s="53"/>
      <c r="SB1" s="53"/>
      <c r="SC1" s="53"/>
      <c r="SD1" s="53"/>
      <c r="SE1" s="53"/>
      <c r="SF1" s="53"/>
      <c r="SG1" s="53"/>
      <c r="SH1" s="53"/>
      <c r="SI1" s="53"/>
      <c r="SJ1" s="53"/>
      <c r="SK1" s="53"/>
      <c r="SL1" s="53"/>
      <c r="SM1" s="52"/>
      <c r="SN1" s="52"/>
      <c r="SO1" s="52"/>
      <c r="SP1" s="52"/>
      <c r="SQ1" s="52"/>
      <c r="SR1" s="52"/>
      <c r="SS1" s="52"/>
      <c r="ST1" s="52"/>
      <c r="SU1" s="52"/>
      <c r="SV1" s="52"/>
      <c r="SW1" s="52"/>
      <c r="SX1" s="52"/>
      <c r="SY1" s="52"/>
      <c r="SZ1" s="52"/>
      <c r="TA1" s="52"/>
      <c r="TB1" s="52"/>
      <c r="TC1" s="52"/>
      <c r="TD1" s="52"/>
      <c r="TE1" s="52"/>
      <c r="TF1" s="52"/>
      <c r="TG1" s="52"/>
      <c r="TH1" s="52"/>
      <c r="TI1" s="52"/>
      <c r="TJ1" s="52"/>
      <c r="TK1" s="52"/>
      <c r="TL1" s="52"/>
      <c r="TM1" s="52"/>
      <c r="TN1" s="52"/>
      <c r="TO1" s="52"/>
      <c r="TP1" s="52"/>
      <c r="TQ1" s="52"/>
      <c r="TR1" s="52"/>
      <c r="TS1" s="52"/>
      <c r="TT1" s="52"/>
      <c r="TU1" s="53"/>
      <c r="TV1" s="53"/>
      <c r="TW1" s="53"/>
      <c r="TX1" s="53"/>
      <c r="TY1" s="53"/>
      <c r="TZ1" s="53"/>
      <c r="UA1" s="53"/>
      <c r="UB1" s="53"/>
      <c r="UC1" s="53"/>
      <c r="UD1" s="53"/>
      <c r="UE1" s="53"/>
      <c r="UF1" s="53"/>
      <c r="UG1" s="53"/>
      <c r="UH1" s="53"/>
      <c r="UI1" s="53"/>
      <c r="UJ1" s="53"/>
      <c r="UK1" s="53"/>
      <c r="UL1" s="53"/>
      <c r="UM1" s="53"/>
      <c r="UN1" s="53"/>
      <c r="UO1" s="53"/>
      <c r="UP1" s="53"/>
      <c r="UQ1" s="53"/>
      <c r="UR1" s="53"/>
      <c r="US1" s="53"/>
      <c r="UT1" s="53"/>
      <c r="UU1" s="53"/>
      <c r="UV1" s="53"/>
      <c r="UW1" s="53"/>
      <c r="UX1" s="53"/>
      <c r="UY1" s="53"/>
      <c r="UZ1" s="53"/>
      <c r="VA1" s="53"/>
      <c r="VB1" s="53"/>
      <c r="VC1" s="52"/>
      <c r="VD1" s="52"/>
      <c r="VE1" s="52"/>
      <c r="VF1" s="52"/>
      <c r="VG1" s="52"/>
      <c r="VH1" s="52"/>
      <c r="VI1" s="52"/>
      <c r="VJ1" s="52"/>
      <c r="VK1" s="52"/>
      <c r="VL1" s="52"/>
      <c r="VM1" s="52"/>
      <c r="VN1" s="52"/>
      <c r="VO1" s="52"/>
      <c r="VP1" s="52"/>
      <c r="VQ1" s="52"/>
      <c r="VR1" s="52"/>
      <c r="VS1" s="52"/>
      <c r="VT1" s="52"/>
      <c r="VU1" s="52"/>
      <c r="VV1" s="52"/>
      <c r="VW1" s="52"/>
      <c r="VX1" s="52"/>
      <c r="VY1" s="52"/>
      <c r="VZ1" s="52"/>
      <c r="WA1" s="52"/>
      <c r="WB1" s="52"/>
      <c r="WC1" s="52"/>
      <c r="WD1" s="52"/>
      <c r="WE1" s="52"/>
      <c r="WF1" s="52"/>
      <c r="WG1" s="52"/>
      <c r="WH1" s="52"/>
      <c r="WI1" s="52"/>
      <c r="WJ1" s="52"/>
    </row>
    <row r="2" spans="1:608" x14ac:dyDescent="0.2">
      <c r="A2" s="56"/>
      <c r="B2" s="56"/>
      <c r="C2" s="56"/>
      <c r="D2" s="56"/>
      <c r="E2" s="56"/>
      <c r="F2" s="60"/>
      <c r="G2" s="56"/>
      <c r="H2" s="56"/>
      <c r="I2" s="56"/>
      <c r="J2" s="57"/>
      <c r="K2" s="58"/>
      <c r="L2" s="57"/>
      <c r="M2" s="58"/>
      <c r="N2" s="61"/>
      <c r="O2" s="58"/>
      <c r="P2" s="58"/>
      <c r="Q2" s="54" t="s">
        <v>17</v>
      </c>
      <c r="R2" s="54"/>
      <c r="S2" s="54"/>
      <c r="T2" s="54"/>
      <c r="U2" s="54"/>
      <c r="V2" s="54" t="s">
        <v>18</v>
      </c>
      <c r="W2" s="54"/>
      <c r="X2" s="54"/>
      <c r="Y2" s="54"/>
      <c r="Z2" s="54"/>
      <c r="AA2" s="54" t="s">
        <v>21</v>
      </c>
      <c r="AB2" s="54"/>
      <c r="AC2" s="54"/>
      <c r="AD2" s="54"/>
      <c r="AE2" s="54"/>
      <c r="AF2" s="14"/>
      <c r="AG2" s="14" t="s">
        <v>67</v>
      </c>
      <c r="AH2" s="14" t="s">
        <v>68</v>
      </c>
      <c r="AI2" s="14" t="s">
        <v>19</v>
      </c>
      <c r="AJ2" s="14" t="s">
        <v>58</v>
      </c>
      <c r="AK2" s="14" t="s">
        <v>69</v>
      </c>
      <c r="AL2" s="14" t="s">
        <v>20</v>
      </c>
      <c r="AM2" s="14" t="s">
        <v>22</v>
      </c>
      <c r="AN2" s="14" t="s">
        <v>70</v>
      </c>
      <c r="AO2" s="14" t="s">
        <v>71</v>
      </c>
      <c r="AP2" s="14" t="s">
        <v>21</v>
      </c>
      <c r="AQ2" s="14" t="s">
        <v>16</v>
      </c>
      <c r="AR2" s="55" t="s">
        <v>17</v>
      </c>
      <c r="AS2" s="55"/>
      <c r="AT2" s="55"/>
      <c r="AU2" s="55"/>
      <c r="AV2" s="55"/>
      <c r="AW2" s="55" t="s">
        <v>18</v>
      </c>
      <c r="AX2" s="55"/>
      <c r="AY2" s="55"/>
      <c r="AZ2" s="55"/>
      <c r="BA2" s="55"/>
      <c r="BB2" s="55" t="s">
        <v>21</v>
      </c>
      <c r="BC2" s="55"/>
      <c r="BD2" s="55"/>
      <c r="BE2" s="55"/>
      <c r="BF2" s="55"/>
      <c r="BG2" s="13"/>
      <c r="BH2" s="13" t="s">
        <v>67</v>
      </c>
      <c r="BI2" s="13" t="s">
        <v>68</v>
      </c>
      <c r="BJ2" s="13" t="s">
        <v>19</v>
      </c>
      <c r="BK2" s="13" t="s">
        <v>58</v>
      </c>
      <c r="BL2" s="13" t="s">
        <v>69</v>
      </c>
      <c r="BM2" s="13" t="s">
        <v>20</v>
      </c>
      <c r="BN2" s="13" t="s">
        <v>22</v>
      </c>
      <c r="BO2" s="13" t="s">
        <v>70</v>
      </c>
      <c r="BP2" s="13" t="s">
        <v>71</v>
      </c>
      <c r="BQ2" s="13" t="s">
        <v>21</v>
      </c>
      <c r="BR2" s="13" t="s">
        <v>16</v>
      </c>
      <c r="BS2" s="54" t="s">
        <v>17</v>
      </c>
      <c r="BT2" s="54"/>
      <c r="BU2" s="54"/>
      <c r="BV2" s="54"/>
      <c r="BW2" s="54"/>
      <c r="BX2" s="54" t="s">
        <v>18</v>
      </c>
      <c r="BY2" s="54"/>
      <c r="BZ2" s="54"/>
      <c r="CA2" s="54"/>
      <c r="CB2" s="54"/>
      <c r="CC2" s="54" t="s">
        <v>21</v>
      </c>
      <c r="CD2" s="54"/>
      <c r="CE2" s="54"/>
      <c r="CF2" s="54"/>
      <c r="CG2" s="54"/>
      <c r="CH2" s="14"/>
      <c r="CI2" s="14" t="s">
        <v>67</v>
      </c>
      <c r="CJ2" s="14" t="s">
        <v>68</v>
      </c>
      <c r="CK2" s="14" t="s">
        <v>19</v>
      </c>
      <c r="CL2" s="14" t="s">
        <v>58</v>
      </c>
      <c r="CM2" s="14" t="s">
        <v>69</v>
      </c>
      <c r="CN2" s="14" t="s">
        <v>20</v>
      </c>
      <c r="CO2" s="14" t="s">
        <v>22</v>
      </c>
      <c r="CP2" s="14" t="s">
        <v>70</v>
      </c>
      <c r="CQ2" s="14" t="s">
        <v>71</v>
      </c>
      <c r="CR2" s="14" t="s">
        <v>21</v>
      </c>
      <c r="CS2" s="14" t="s">
        <v>16</v>
      </c>
      <c r="CT2" s="46" t="s">
        <v>187</v>
      </c>
      <c r="CU2" s="54" t="s">
        <v>17</v>
      </c>
      <c r="CV2" s="54"/>
      <c r="CW2" s="54"/>
      <c r="CX2" s="54"/>
      <c r="CY2" s="54"/>
      <c r="CZ2" s="54" t="s">
        <v>18</v>
      </c>
      <c r="DA2" s="54"/>
      <c r="DB2" s="54"/>
      <c r="DC2" s="54"/>
      <c r="DD2" s="54"/>
      <c r="DE2" s="54" t="s">
        <v>72</v>
      </c>
      <c r="DF2" s="54"/>
      <c r="DG2" s="54"/>
      <c r="DH2" s="54"/>
      <c r="DI2" s="54"/>
      <c r="DJ2" s="54" t="s">
        <v>21</v>
      </c>
      <c r="DK2" s="54"/>
      <c r="DL2" s="54"/>
      <c r="DM2" s="54"/>
      <c r="DN2" s="54"/>
      <c r="DO2" s="14" t="s">
        <v>67</v>
      </c>
      <c r="DP2" s="14" t="s">
        <v>68</v>
      </c>
      <c r="DQ2" s="14" t="s">
        <v>19</v>
      </c>
      <c r="DR2" s="14" t="s">
        <v>58</v>
      </c>
      <c r="DS2" s="14" t="s">
        <v>69</v>
      </c>
      <c r="DT2" s="14" t="s">
        <v>20</v>
      </c>
      <c r="DU2" s="14" t="s">
        <v>22</v>
      </c>
      <c r="DV2" s="14" t="s">
        <v>73</v>
      </c>
      <c r="DW2" s="14" t="s">
        <v>74</v>
      </c>
      <c r="DX2" s="14" t="s">
        <v>72</v>
      </c>
      <c r="DY2" s="14" t="s">
        <v>70</v>
      </c>
      <c r="DZ2" s="14" t="s">
        <v>71</v>
      </c>
      <c r="EA2" s="14" t="s">
        <v>21</v>
      </c>
      <c r="EB2" s="14" t="s">
        <v>16</v>
      </c>
      <c r="EC2" s="55" t="s">
        <v>17</v>
      </c>
      <c r="ED2" s="55"/>
      <c r="EE2" s="55"/>
      <c r="EF2" s="55"/>
      <c r="EG2" s="55"/>
      <c r="EH2" s="55" t="s">
        <v>18</v>
      </c>
      <c r="EI2" s="55"/>
      <c r="EJ2" s="55"/>
      <c r="EK2" s="55"/>
      <c r="EL2" s="55"/>
      <c r="EM2" s="55" t="s">
        <v>72</v>
      </c>
      <c r="EN2" s="55"/>
      <c r="EO2" s="55"/>
      <c r="EP2" s="55"/>
      <c r="EQ2" s="55"/>
      <c r="ER2" s="55" t="s">
        <v>21</v>
      </c>
      <c r="ES2" s="55"/>
      <c r="ET2" s="55"/>
      <c r="EU2" s="55"/>
      <c r="EV2" s="55"/>
      <c r="EW2" s="13" t="s">
        <v>67</v>
      </c>
      <c r="EX2" s="13" t="s">
        <v>68</v>
      </c>
      <c r="EY2" s="13" t="s">
        <v>19</v>
      </c>
      <c r="EZ2" s="13" t="s">
        <v>58</v>
      </c>
      <c r="FA2" s="13" t="s">
        <v>69</v>
      </c>
      <c r="FB2" s="13" t="s">
        <v>20</v>
      </c>
      <c r="FC2" s="13" t="s">
        <v>22</v>
      </c>
      <c r="FD2" s="13" t="s">
        <v>73</v>
      </c>
      <c r="FE2" s="13" t="s">
        <v>74</v>
      </c>
      <c r="FF2" s="13" t="s">
        <v>72</v>
      </c>
      <c r="FG2" s="13" t="s">
        <v>70</v>
      </c>
      <c r="FH2" s="13" t="s">
        <v>71</v>
      </c>
      <c r="FI2" s="13" t="s">
        <v>21</v>
      </c>
      <c r="FJ2" s="13" t="s">
        <v>16</v>
      </c>
      <c r="FK2" s="54" t="s">
        <v>17</v>
      </c>
      <c r="FL2" s="54"/>
      <c r="FM2" s="54"/>
      <c r="FN2" s="54"/>
      <c r="FO2" s="54"/>
      <c r="FP2" s="54" t="s">
        <v>18</v>
      </c>
      <c r="FQ2" s="54"/>
      <c r="FR2" s="54"/>
      <c r="FS2" s="54"/>
      <c r="FT2" s="54"/>
      <c r="FU2" s="54" t="s">
        <v>72</v>
      </c>
      <c r="FV2" s="54"/>
      <c r="FW2" s="54"/>
      <c r="FX2" s="54"/>
      <c r="FY2" s="54"/>
      <c r="FZ2" s="54" t="s">
        <v>21</v>
      </c>
      <c r="GA2" s="54"/>
      <c r="GB2" s="54"/>
      <c r="GC2" s="54"/>
      <c r="GD2" s="54"/>
      <c r="GE2" s="14" t="s">
        <v>67</v>
      </c>
      <c r="GF2" s="14" t="s">
        <v>68</v>
      </c>
      <c r="GG2" s="14" t="s">
        <v>19</v>
      </c>
      <c r="GH2" s="14" t="s">
        <v>58</v>
      </c>
      <c r="GI2" s="14" t="s">
        <v>69</v>
      </c>
      <c r="GJ2" s="14" t="s">
        <v>20</v>
      </c>
      <c r="GK2" s="14" t="s">
        <v>22</v>
      </c>
      <c r="GL2" s="14" t="s">
        <v>73</v>
      </c>
      <c r="GM2" s="14" t="s">
        <v>74</v>
      </c>
      <c r="GN2" s="14" t="s">
        <v>72</v>
      </c>
      <c r="GO2" s="14" t="s">
        <v>70</v>
      </c>
      <c r="GP2" s="14" t="s">
        <v>71</v>
      </c>
      <c r="GQ2" s="14" t="s">
        <v>21</v>
      </c>
      <c r="GR2" s="14" t="s">
        <v>16</v>
      </c>
      <c r="GS2" s="55" t="s">
        <v>17</v>
      </c>
      <c r="GT2" s="55"/>
      <c r="GU2" s="55"/>
      <c r="GV2" s="55"/>
      <c r="GW2" s="55"/>
      <c r="GX2" s="55" t="s">
        <v>18</v>
      </c>
      <c r="GY2" s="55"/>
      <c r="GZ2" s="55"/>
      <c r="HA2" s="55"/>
      <c r="HB2" s="55"/>
      <c r="HC2" s="55" t="s">
        <v>72</v>
      </c>
      <c r="HD2" s="55"/>
      <c r="HE2" s="55"/>
      <c r="HF2" s="55"/>
      <c r="HG2" s="55"/>
      <c r="HH2" s="55" t="s">
        <v>21</v>
      </c>
      <c r="HI2" s="55"/>
      <c r="HJ2" s="55"/>
      <c r="HK2" s="55"/>
      <c r="HL2" s="55"/>
      <c r="HM2" s="13" t="s">
        <v>67</v>
      </c>
      <c r="HN2" s="13" t="s">
        <v>68</v>
      </c>
      <c r="HO2" s="13" t="s">
        <v>19</v>
      </c>
      <c r="HP2" s="13" t="s">
        <v>58</v>
      </c>
      <c r="HQ2" s="13" t="s">
        <v>69</v>
      </c>
      <c r="HR2" s="13" t="s">
        <v>20</v>
      </c>
      <c r="HS2" s="13" t="s">
        <v>22</v>
      </c>
      <c r="HT2" s="13" t="s">
        <v>73</v>
      </c>
      <c r="HU2" s="13" t="s">
        <v>74</v>
      </c>
      <c r="HV2" s="13" t="s">
        <v>72</v>
      </c>
      <c r="HW2" s="13" t="s">
        <v>70</v>
      </c>
      <c r="HX2" s="13" t="s">
        <v>71</v>
      </c>
      <c r="HY2" s="13" t="s">
        <v>21</v>
      </c>
      <c r="HZ2" s="13" t="s">
        <v>16</v>
      </c>
      <c r="IA2" s="54" t="s">
        <v>17</v>
      </c>
      <c r="IB2" s="54"/>
      <c r="IC2" s="54"/>
      <c r="ID2" s="54"/>
      <c r="IE2" s="54"/>
      <c r="IF2" s="54" t="s">
        <v>18</v>
      </c>
      <c r="IG2" s="54"/>
      <c r="IH2" s="54"/>
      <c r="II2" s="54"/>
      <c r="IJ2" s="54"/>
      <c r="IK2" s="54" t="s">
        <v>72</v>
      </c>
      <c r="IL2" s="54"/>
      <c r="IM2" s="54"/>
      <c r="IN2" s="54"/>
      <c r="IO2" s="54"/>
      <c r="IP2" s="54" t="s">
        <v>21</v>
      </c>
      <c r="IQ2" s="54"/>
      <c r="IR2" s="54"/>
      <c r="IS2" s="54"/>
      <c r="IT2" s="54"/>
      <c r="IU2" s="14" t="s">
        <v>67</v>
      </c>
      <c r="IV2" s="14" t="s">
        <v>68</v>
      </c>
      <c r="IW2" s="14" t="s">
        <v>19</v>
      </c>
      <c r="IX2" s="14" t="s">
        <v>58</v>
      </c>
      <c r="IY2" s="14" t="s">
        <v>69</v>
      </c>
      <c r="IZ2" s="14" t="s">
        <v>20</v>
      </c>
      <c r="JA2" s="14" t="s">
        <v>22</v>
      </c>
      <c r="JB2" s="14" t="s">
        <v>73</v>
      </c>
      <c r="JC2" s="14" t="s">
        <v>74</v>
      </c>
      <c r="JD2" s="14" t="s">
        <v>72</v>
      </c>
      <c r="JE2" s="14" t="s">
        <v>70</v>
      </c>
      <c r="JF2" s="14" t="s">
        <v>71</v>
      </c>
      <c r="JG2" s="14" t="s">
        <v>21</v>
      </c>
      <c r="JH2" s="14" t="s">
        <v>16</v>
      </c>
      <c r="JI2" s="55" t="s">
        <v>17</v>
      </c>
      <c r="JJ2" s="55"/>
      <c r="JK2" s="55"/>
      <c r="JL2" s="55"/>
      <c r="JM2" s="55"/>
      <c r="JN2" s="55" t="s">
        <v>18</v>
      </c>
      <c r="JO2" s="55"/>
      <c r="JP2" s="55"/>
      <c r="JQ2" s="55"/>
      <c r="JR2" s="55"/>
      <c r="JS2" s="55" t="s">
        <v>72</v>
      </c>
      <c r="JT2" s="55"/>
      <c r="JU2" s="55"/>
      <c r="JV2" s="55"/>
      <c r="JW2" s="55"/>
      <c r="JX2" s="55" t="s">
        <v>21</v>
      </c>
      <c r="JY2" s="55"/>
      <c r="JZ2" s="55"/>
      <c r="KA2" s="55"/>
      <c r="KB2" s="55"/>
      <c r="KC2" s="13" t="s">
        <v>67</v>
      </c>
      <c r="KD2" s="13" t="s">
        <v>68</v>
      </c>
      <c r="KE2" s="13" t="s">
        <v>19</v>
      </c>
      <c r="KF2" s="13" t="s">
        <v>58</v>
      </c>
      <c r="KG2" s="13" t="s">
        <v>69</v>
      </c>
      <c r="KH2" s="13" t="s">
        <v>20</v>
      </c>
      <c r="KI2" s="13" t="s">
        <v>22</v>
      </c>
      <c r="KJ2" s="13" t="s">
        <v>73</v>
      </c>
      <c r="KK2" s="13" t="s">
        <v>74</v>
      </c>
      <c r="KL2" s="13" t="s">
        <v>72</v>
      </c>
      <c r="KM2" s="13" t="s">
        <v>70</v>
      </c>
      <c r="KN2" s="13" t="s">
        <v>71</v>
      </c>
      <c r="KO2" s="13" t="s">
        <v>21</v>
      </c>
      <c r="KP2" s="13" t="s">
        <v>16</v>
      </c>
      <c r="KQ2" s="54" t="s">
        <v>17</v>
      </c>
      <c r="KR2" s="54"/>
      <c r="KS2" s="54"/>
      <c r="KT2" s="54"/>
      <c r="KU2" s="54"/>
      <c r="KV2" s="54" t="s">
        <v>18</v>
      </c>
      <c r="KW2" s="54"/>
      <c r="KX2" s="54"/>
      <c r="KY2" s="54"/>
      <c r="KZ2" s="54"/>
      <c r="LA2" s="54" t="s">
        <v>72</v>
      </c>
      <c r="LB2" s="54"/>
      <c r="LC2" s="54"/>
      <c r="LD2" s="54"/>
      <c r="LE2" s="54"/>
      <c r="LF2" s="54" t="s">
        <v>21</v>
      </c>
      <c r="LG2" s="54"/>
      <c r="LH2" s="54"/>
      <c r="LI2" s="54"/>
      <c r="LJ2" s="54"/>
      <c r="LK2" s="14" t="s">
        <v>67</v>
      </c>
      <c r="LL2" s="14" t="s">
        <v>68</v>
      </c>
      <c r="LM2" s="14" t="s">
        <v>19</v>
      </c>
      <c r="LN2" s="14" t="s">
        <v>58</v>
      </c>
      <c r="LO2" s="14" t="s">
        <v>69</v>
      </c>
      <c r="LP2" s="14" t="s">
        <v>20</v>
      </c>
      <c r="LQ2" s="14" t="s">
        <v>22</v>
      </c>
      <c r="LR2" s="14" t="s">
        <v>73</v>
      </c>
      <c r="LS2" s="14" t="s">
        <v>74</v>
      </c>
      <c r="LT2" s="14" t="s">
        <v>72</v>
      </c>
      <c r="LU2" s="14" t="s">
        <v>70</v>
      </c>
      <c r="LV2" s="14" t="s">
        <v>71</v>
      </c>
      <c r="LW2" s="14" t="s">
        <v>21</v>
      </c>
      <c r="LX2" s="14" t="s">
        <v>16</v>
      </c>
      <c r="LY2" s="55" t="s">
        <v>17</v>
      </c>
      <c r="LZ2" s="55"/>
      <c r="MA2" s="55"/>
      <c r="MB2" s="55"/>
      <c r="MC2" s="55"/>
      <c r="MD2" s="55" t="s">
        <v>18</v>
      </c>
      <c r="ME2" s="55"/>
      <c r="MF2" s="55"/>
      <c r="MG2" s="55"/>
      <c r="MH2" s="55"/>
      <c r="MI2" s="55" t="s">
        <v>72</v>
      </c>
      <c r="MJ2" s="55"/>
      <c r="MK2" s="55"/>
      <c r="ML2" s="55"/>
      <c r="MM2" s="55"/>
      <c r="MN2" s="55" t="s">
        <v>21</v>
      </c>
      <c r="MO2" s="55"/>
      <c r="MP2" s="55"/>
      <c r="MQ2" s="55"/>
      <c r="MR2" s="55"/>
      <c r="MS2" s="13" t="s">
        <v>67</v>
      </c>
      <c r="MT2" s="13" t="s">
        <v>68</v>
      </c>
      <c r="MU2" s="13" t="s">
        <v>19</v>
      </c>
      <c r="MV2" s="13" t="s">
        <v>58</v>
      </c>
      <c r="MW2" s="13" t="s">
        <v>69</v>
      </c>
      <c r="MX2" s="13" t="s">
        <v>20</v>
      </c>
      <c r="MY2" s="13" t="s">
        <v>22</v>
      </c>
      <c r="MZ2" s="13" t="s">
        <v>73</v>
      </c>
      <c r="NA2" s="13" t="s">
        <v>74</v>
      </c>
      <c r="NB2" s="13" t="s">
        <v>72</v>
      </c>
      <c r="NC2" s="13" t="s">
        <v>70</v>
      </c>
      <c r="ND2" s="13" t="s">
        <v>71</v>
      </c>
      <c r="NE2" s="13" t="s">
        <v>21</v>
      </c>
      <c r="NF2" s="13" t="s">
        <v>16</v>
      </c>
      <c r="NG2" s="54" t="s">
        <v>17</v>
      </c>
      <c r="NH2" s="54"/>
      <c r="NI2" s="54"/>
      <c r="NJ2" s="54"/>
      <c r="NK2" s="54"/>
      <c r="NL2" s="54" t="s">
        <v>18</v>
      </c>
      <c r="NM2" s="54"/>
      <c r="NN2" s="54"/>
      <c r="NO2" s="54"/>
      <c r="NP2" s="54"/>
      <c r="NQ2" s="54" t="s">
        <v>72</v>
      </c>
      <c r="NR2" s="54"/>
      <c r="NS2" s="54"/>
      <c r="NT2" s="54"/>
      <c r="NU2" s="54"/>
      <c r="NV2" s="54" t="s">
        <v>21</v>
      </c>
      <c r="NW2" s="54"/>
      <c r="NX2" s="54"/>
      <c r="NY2" s="54"/>
      <c r="NZ2" s="54"/>
      <c r="OA2" s="14" t="s">
        <v>67</v>
      </c>
      <c r="OB2" s="14" t="s">
        <v>68</v>
      </c>
      <c r="OC2" s="14" t="s">
        <v>19</v>
      </c>
      <c r="OD2" s="14" t="s">
        <v>58</v>
      </c>
      <c r="OE2" s="14" t="s">
        <v>69</v>
      </c>
      <c r="OF2" s="14" t="s">
        <v>20</v>
      </c>
      <c r="OG2" s="14" t="s">
        <v>22</v>
      </c>
      <c r="OH2" s="14" t="s">
        <v>73</v>
      </c>
      <c r="OI2" s="14" t="s">
        <v>74</v>
      </c>
      <c r="OJ2" s="14" t="s">
        <v>72</v>
      </c>
      <c r="OK2" s="14" t="s">
        <v>70</v>
      </c>
      <c r="OL2" s="14" t="s">
        <v>71</v>
      </c>
      <c r="OM2" s="14" t="s">
        <v>21</v>
      </c>
      <c r="ON2" s="14" t="s">
        <v>16</v>
      </c>
      <c r="OO2" s="55" t="s">
        <v>17</v>
      </c>
      <c r="OP2" s="55"/>
      <c r="OQ2" s="55"/>
      <c r="OR2" s="55"/>
      <c r="OS2" s="55"/>
      <c r="OT2" s="55" t="s">
        <v>18</v>
      </c>
      <c r="OU2" s="55"/>
      <c r="OV2" s="55"/>
      <c r="OW2" s="55"/>
      <c r="OX2" s="55"/>
      <c r="OY2" s="55" t="s">
        <v>72</v>
      </c>
      <c r="OZ2" s="55"/>
      <c r="PA2" s="55"/>
      <c r="PB2" s="55"/>
      <c r="PC2" s="55"/>
      <c r="PD2" s="55" t="s">
        <v>21</v>
      </c>
      <c r="PE2" s="55"/>
      <c r="PF2" s="55"/>
      <c r="PG2" s="55"/>
      <c r="PH2" s="55"/>
      <c r="PI2" s="13" t="s">
        <v>67</v>
      </c>
      <c r="PJ2" s="13" t="s">
        <v>68</v>
      </c>
      <c r="PK2" s="13" t="s">
        <v>19</v>
      </c>
      <c r="PL2" s="13" t="s">
        <v>58</v>
      </c>
      <c r="PM2" s="13" t="s">
        <v>69</v>
      </c>
      <c r="PN2" s="13" t="s">
        <v>20</v>
      </c>
      <c r="PO2" s="13" t="s">
        <v>22</v>
      </c>
      <c r="PP2" s="13" t="s">
        <v>73</v>
      </c>
      <c r="PQ2" s="13" t="s">
        <v>74</v>
      </c>
      <c r="PR2" s="13" t="s">
        <v>72</v>
      </c>
      <c r="PS2" s="13" t="s">
        <v>70</v>
      </c>
      <c r="PT2" s="13" t="s">
        <v>71</v>
      </c>
      <c r="PU2" s="13" t="s">
        <v>21</v>
      </c>
      <c r="PV2" s="13" t="s">
        <v>16</v>
      </c>
      <c r="PW2" s="54" t="s">
        <v>17</v>
      </c>
      <c r="PX2" s="54"/>
      <c r="PY2" s="54"/>
      <c r="PZ2" s="54"/>
      <c r="QA2" s="54"/>
      <c r="QB2" s="54" t="s">
        <v>18</v>
      </c>
      <c r="QC2" s="54"/>
      <c r="QD2" s="54"/>
      <c r="QE2" s="54"/>
      <c r="QF2" s="54"/>
      <c r="QG2" s="54" t="s">
        <v>72</v>
      </c>
      <c r="QH2" s="54"/>
      <c r="QI2" s="54"/>
      <c r="QJ2" s="54"/>
      <c r="QK2" s="54"/>
      <c r="QL2" s="54" t="s">
        <v>21</v>
      </c>
      <c r="QM2" s="54"/>
      <c r="QN2" s="54"/>
      <c r="QO2" s="54"/>
      <c r="QP2" s="54"/>
      <c r="QQ2" s="14" t="s">
        <v>67</v>
      </c>
      <c r="QR2" s="14" t="s">
        <v>68</v>
      </c>
      <c r="QS2" s="14" t="s">
        <v>19</v>
      </c>
      <c r="QT2" s="14" t="s">
        <v>58</v>
      </c>
      <c r="QU2" s="14" t="s">
        <v>69</v>
      </c>
      <c r="QV2" s="14" t="s">
        <v>20</v>
      </c>
      <c r="QW2" s="14" t="s">
        <v>22</v>
      </c>
      <c r="QX2" s="14" t="s">
        <v>73</v>
      </c>
      <c r="QY2" s="14" t="s">
        <v>74</v>
      </c>
      <c r="QZ2" s="14" t="s">
        <v>72</v>
      </c>
      <c r="RA2" s="14" t="s">
        <v>70</v>
      </c>
      <c r="RB2" s="14" t="s">
        <v>71</v>
      </c>
      <c r="RC2" s="14" t="s">
        <v>21</v>
      </c>
      <c r="RD2" s="14" t="s">
        <v>16</v>
      </c>
      <c r="RE2" s="55" t="s">
        <v>17</v>
      </c>
      <c r="RF2" s="55"/>
      <c r="RG2" s="55"/>
      <c r="RH2" s="55"/>
      <c r="RI2" s="55"/>
      <c r="RJ2" s="55" t="s">
        <v>18</v>
      </c>
      <c r="RK2" s="55"/>
      <c r="RL2" s="55"/>
      <c r="RM2" s="55"/>
      <c r="RN2" s="55"/>
      <c r="RO2" s="55" t="s">
        <v>72</v>
      </c>
      <c r="RP2" s="55"/>
      <c r="RQ2" s="55"/>
      <c r="RR2" s="55"/>
      <c r="RS2" s="55"/>
      <c r="RT2" s="55" t="s">
        <v>21</v>
      </c>
      <c r="RU2" s="55"/>
      <c r="RV2" s="55"/>
      <c r="RW2" s="55"/>
      <c r="RX2" s="55"/>
      <c r="RY2" s="13" t="s">
        <v>67</v>
      </c>
      <c r="RZ2" s="13" t="s">
        <v>68</v>
      </c>
      <c r="SA2" s="13" t="s">
        <v>19</v>
      </c>
      <c r="SB2" s="13" t="s">
        <v>58</v>
      </c>
      <c r="SC2" s="13" t="s">
        <v>69</v>
      </c>
      <c r="SD2" s="13" t="s">
        <v>20</v>
      </c>
      <c r="SE2" s="13" t="s">
        <v>22</v>
      </c>
      <c r="SF2" s="13" t="s">
        <v>73</v>
      </c>
      <c r="SG2" s="13" t="s">
        <v>74</v>
      </c>
      <c r="SH2" s="13" t="s">
        <v>72</v>
      </c>
      <c r="SI2" s="13" t="s">
        <v>70</v>
      </c>
      <c r="SJ2" s="13" t="s">
        <v>71</v>
      </c>
      <c r="SK2" s="13" t="s">
        <v>21</v>
      </c>
      <c r="SL2" s="13" t="s">
        <v>16</v>
      </c>
      <c r="SM2" s="54" t="s">
        <v>17</v>
      </c>
      <c r="SN2" s="54"/>
      <c r="SO2" s="54"/>
      <c r="SP2" s="54"/>
      <c r="SQ2" s="54"/>
      <c r="SR2" s="54" t="s">
        <v>18</v>
      </c>
      <c r="SS2" s="54"/>
      <c r="ST2" s="54"/>
      <c r="SU2" s="54"/>
      <c r="SV2" s="54"/>
      <c r="SW2" s="54" t="s">
        <v>72</v>
      </c>
      <c r="SX2" s="54"/>
      <c r="SY2" s="54"/>
      <c r="SZ2" s="54"/>
      <c r="TA2" s="54"/>
      <c r="TB2" s="54" t="s">
        <v>21</v>
      </c>
      <c r="TC2" s="54"/>
      <c r="TD2" s="54"/>
      <c r="TE2" s="54"/>
      <c r="TF2" s="54"/>
      <c r="TG2" s="14" t="s">
        <v>67</v>
      </c>
      <c r="TH2" s="14" t="s">
        <v>68</v>
      </c>
      <c r="TI2" s="14" t="s">
        <v>19</v>
      </c>
      <c r="TJ2" s="14" t="s">
        <v>58</v>
      </c>
      <c r="TK2" s="14" t="s">
        <v>69</v>
      </c>
      <c r="TL2" s="14" t="s">
        <v>20</v>
      </c>
      <c r="TM2" s="14" t="s">
        <v>22</v>
      </c>
      <c r="TN2" s="14" t="s">
        <v>73</v>
      </c>
      <c r="TO2" s="14" t="s">
        <v>74</v>
      </c>
      <c r="TP2" s="14" t="s">
        <v>72</v>
      </c>
      <c r="TQ2" s="14" t="s">
        <v>70</v>
      </c>
      <c r="TR2" s="14" t="s">
        <v>71</v>
      </c>
      <c r="TS2" s="14" t="s">
        <v>21</v>
      </c>
      <c r="TT2" s="14" t="s">
        <v>16</v>
      </c>
      <c r="TU2" s="55" t="s">
        <v>17</v>
      </c>
      <c r="TV2" s="55"/>
      <c r="TW2" s="55"/>
      <c r="TX2" s="55"/>
      <c r="TY2" s="55"/>
      <c r="TZ2" s="55" t="s">
        <v>18</v>
      </c>
      <c r="UA2" s="55"/>
      <c r="UB2" s="55"/>
      <c r="UC2" s="55"/>
      <c r="UD2" s="55"/>
      <c r="UE2" s="55" t="s">
        <v>72</v>
      </c>
      <c r="UF2" s="55"/>
      <c r="UG2" s="55"/>
      <c r="UH2" s="55"/>
      <c r="UI2" s="55"/>
      <c r="UJ2" s="55" t="s">
        <v>21</v>
      </c>
      <c r="UK2" s="55"/>
      <c r="UL2" s="55"/>
      <c r="UM2" s="55"/>
      <c r="UN2" s="55"/>
      <c r="UO2" s="13" t="s">
        <v>67</v>
      </c>
      <c r="UP2" s="13" t="s">
        <v>68</v>
      </c>
      <c r="UQ2" s="13" t="s">
        <v>19</v>
      </c>
      <c r="UR2" s="13" t="s">
        <v>58</v>
      </c>
      <c r="US2" s="13" t="s">
        <v>69</v>
      </c>
      <c r="UT2" s="13" t="s">
        <v>20</v>
      </c>
      <c r="UU2" s="13" t="s">
        <v>22</v>
      </c>
      <c r="UV2" s="13" t="s">
        <v>73</v>
      </c>
      <c r="UW2" s="13" t="s">
        <v>74</v>
      </c>
      <c r="UX2" s="13" t="s">
        <v>72</v>
      </c>
      <c r="UY2" s="13" t="s">
        <v>70</v>
      </c>
      <c r="UZ2" s="13" t="s">
        <v>71</v>
      </c>
      <c r="VA2" s="13" t="s">
        <v>21</v>
      </c>
      <c r="VB2" s="13" t="s">
        <v>16</v>
      </c>
      <c r="VC2" s="54" t="s">
        <v>17</v>
      </c>
      <c r="VD2" s="54"/>
      <c r="VE2" s="54"/>
      <c r="VF2" s="54"/>
      <c r="VG2" s="54"/>
      <c r="VH2" s="54" t="s">
        <v>18</v>
      </c>
      <c r="VI2" s="54"/>
      <c r="VJ2" s="54"/>
      <c r="VK2" s="54"/>
      <c r="VL2" s="54"/>
      <c r="VM2" s="54" t="s">
        <v>72</v>
      </c>
      <c r="VN2" s="54"/>
      <c r="VO2" s="54"/>
      <c r="VP2" s="54"/>
      <c r="VQ2" s="54"/>
      <c r="VR2" s="54" t="s">
        <v>21</v>
      </c>
      <c r="VS2" s="54"/>
      <c r="VT2" s="54"/>
      <c r="VU2" s="54"/>
      <c r="VV2" s="54"/>
      <c r="VW2" s="14" t="s">
        <v>67</v>
      </c>
      <c r="VX2" s="14" t="s">
        <v>68</v>
      </c>
      <c r="VY2" s="14" t="s">
        <v>19</v>
      </c>
      <c r="VZ2" s="14" t="s">
        <v>58</v>
      </c>
      <c r="WA2" s="14" t="s">
        <v>69</v>
      </c>
      <c r="WB2" s="14" t="s">
        <v>20</v>
      </c>
      <c r="WC2" s="14" t="s">
        <v>22</v>
      </c>
      <c r="WD2" s="14" t="s">
        <v>73</v>
      </c>
      <c r="WE2" s="14" t="s">
        <v>74</v>
      </c>
      <c r="WF2" s="14" t="s">
        <v>72</v>
      </c>
      <c r="WG2" s="14" t="s">
        <v>70</v>
      </c>
      <c r="WH2" s="14" t="s">
        <v>71</v>
      </c>
      <c r="WI2" s="14" t="s">
        <v>21</v>
      </c>
      <c r="WJ2" s="14" t="s">
        <v>16</v>
      </c>
    </row>
    <row r="3" spans="1:608" x14ac:dyDescent="0.2">
      <c r="A3" s="56"/>
      <c r="B3" s="56"/>
      <c r="C3" s="56"/>
      <c r="D3" s="56"/>
      <c r="E3" s="56"/>
      <c r="F3" s="60"/>
      <c r="G3" s="56"/>
      <c r="H3" s="56"/>
      <c r="I3" s="56"/>
      <c r="J3" s="57"/>
      <c r="K3" s="58"/>
      <c r="L3" s="57"/>
      <c r="M3" s="58"/>
      <c r="N3" s="61"/>
      <c r="O3" s="58"/>
      <c r="P3" s="58"/>
      <c r="Q3" s="14" t="s">
        <v>13</v>
      </c>
      <c r="R3" s="14" t="s">
        <v>14</v>
      </c>
      <c r="S3" s="14" t="s">
        <v>8</v>
      </c>
      <c r="T3" s="14" t="s">
        <v>15</v>
      </c>
      <c r="U3" s="14" t="s">
        <v>27</v>
      </c>
      <c r="V3" s="14" t="s">
        <v>13</v>
      </c>
      <c r="W3" s="14" t="s">
        <v>14</v>
      </c>
      <c r="X3" s="14" t="s">
        <v>8</v>
      </c>
      <c r="Y3" s="14" t="s">
        <v>15</v>
      </c>
      <c r="Z3" s="14" t="s">
        <v>27</v>
      </c>
      <c r="AA3" s="14" t="s">
        <v>13</v>
      </c>
      <c r="AB3" s="14" t="s">
        <v>14</v>
      </c>
      <c r="AC3" s="14" t="s">
        <v>8</v>
      </c>
      <c r="AD3" s="14" t="s">
        <v>15</v>
      </c>
      <c r="AE3" s="14" t="s">
        <v>27</v>
      </c>
      <c r="AF3" s="14" t="s">
        <v>41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13</v>
      </c>
      <c r="AS3" s="13" t="s">
        <v>14</v>
      </c>
      <c r="AT3" s="13" t="s">
        <v>8</v>
      </c>
      <c r="AU3" s="13" t="s">
        <v>15</v>
      </c>
      <c r="AV3" s="13" t="s">
        <v>27</v>
      </c>
      <c r="AW3" s="13" t="s">
        <v>13</v>
      </c>
      <c r="AX3" s="13" t="s">
        <v>14</v>
      </c>
      <c r="AY3" s="13" t="s">
        <v>8</v>
      </c>
      <c r="AZ3" s="13" t="s">
        <v>15</v>
      </c>
      <c r="BA3" s="13" t="s">
        <v>27</v>
      </c>
      <c r="BB3" s="13" t="s">
        <v>13</v>
      </c>
      <c r="BC3" s="13" t="s">
        <v>14</v>
      </c>
      <c r="BD3" s="13" t="s">
        <v>8</v>
      </c>
      <c r="BE3" s="13" t="s">
        <v>15</v>
      </c>
      <c r="BF3" s="13" t="s">
        <v>27</v>
      </c>
      <c r="BG3" s="13" t="s">
        <v>41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13</v>
      </c>
      <c r="BT3" s="14" t="s">
        <v>14</v>
      </c>
      <c r="BU3" s="14" t="s">
        <v>8</v>
      </c>
      <c r="BV3" s="14" t="s">
        <v>15</v>
      </c>
      <c r="BW3" s="14" t="s">
        <v>27</v>
      </c>
      <c r="BX3" s="14" t="s">
        <v>13</v>
      </c>
      <c r="BY3" s="14" t="s">
        <v>14</v>
      </c>
      <c r="BZ3" s="14" t="s">
        <v>8</v>
      </c>
      <c r="CA3" s="14" t="s">
        <v>15</v>
      </c>
      <c r="CB3" s="14" t="s">
        <v>27</v>
      </c>
      <c r="CC3" s="14" t="s">
        <v>13</v>
      </c>
      <c r="CD3" s="14" t="s">
        <v>14</v>
      </c>
      <c r="CE3" s="14" t="s">
        <v>8</v>
      </c>
      <c r="CF3" s="14" t="s">
        <v>15</v>
      </c>
      <c r="CG3" s="14" t="s">
        <v>27</v>
      </c>
      <c r="CH3" s="14" t="s">
        <v>41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46"/>
      <c r="CU3" s="14" t="s">
        <v>13</v>
      </c>
      <c r="CV3" s="14" t="s">
        <v>14</v>
      </c>
      <c r="CW3" s="14" t="s">
        <v>8</v>
      </c>
      <c r="CX3" s="14" t="s">
        <v>15</v>
      </c>
      <c r="CY3" s="14" t="s">
        <v>27</v>
      </c>
      <c r="CZ3" s="14" t="s">
        <v>13</v>
      </c>
      <c r="DA3" s="14" t="s">
        <v>14</v>
      </c>
      <c r="DB3" s="14" t="s">
        <v>8</v>
      </c>
      <c r="DC3" s="14" t="s">
        <v>15</v>
      </c>
      <c r="DD3" s="14" t="s">
        <v>27</v>
      </c>
      <c r="DE3" s="14" t="s">
        <v>13</v>
      </c>
      <c r="DF3" s="14" t="s">
        <v>14</v>
      </c>
      <c r="DG3" s="14" t="s">
        <v>8</v>
      </c>
      <c r="DH3" s="14" t="s">
        <v>15</v>
      </c>
      <c r="DI3" s="14" t="s">
        <v>27</v>
      </c>
      <c r="DJ3" s="14" t="s">
        <v>13</v>
      </c>
      <c r="DK3" s="14" t="s">
        <v>14</v>
      </c>
      <c r="DL3" s="14" t="s">
        <v>8</v>
      </c>
      <c r="DM3" s="14" t="s">
        <v>15</v>
      </c>
      <c r="DN3" s="14" t="s">
        <v>27</v>
      </c>
      <c r="DO3" s="6"/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14"/>
      <c r="EC3" s="13" t="s">
        <v>13</v>
      </c>
      <c r="ED3" s="13" t="s">
        <v>14</v>
      </c>
      <c r="EE3" s="13" t="s">
        <v>8</v>
      </c>
      <c r="EF3" s="13" t="s">
        <v>15</v>
      </c>
      <c r="EG3" s="13" t="s">
        <v>27</v>
      </c>
      <c r="EH3" s="13" t="s">
        <v>13</v>
      </c>
      <c r="EI3" s="13" t="s">
        <v>14</v>
      </c>
      <c r="EJ3" s="13" t="s">
        <v>8</v>
      </c>
      <c r="EK3" s="13" t="s">
        <v>15</v>
      </c>
      <c r="EL3" s="13" t="s">
        <v>27</v>
      </c>
      <c r="EM3" s="13" t="s">
        <v>13</v>
      </c>
      <c r="EN3" s="13" t="s">
        <v>14</v>
      </c>
      <c r="EO3" s="13" t="s">
        <v>8</v>
      </c>
      <c r="EP3" s="13" t="s">
        <v>15</v>
      </c>
      <c r="EQ3" s="13" t="s">
        <v>27</v>
      </c>
      <c r="ER3" s="13" t="s">
        <v>13</v>
      </c>
      <c r="ES3" s="13" t="s">
        <v>14</v>
      </c>
      <c r="ET3" s="13" t="s">
        <v>8</v>
      </c>
      <c r="EU3" s="13" t="s">
        <v>15</v>
      </c>
      <c r="EV3" s="13" t="s">
        <v>27</v>
      </c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13"/>
      <c r="FK3" s="14" t="s">
        <v>13</v>
      </c>
      <c r="FL3" s="14" t="s">
        <v>14</v>
      </c>
      <c r="FM3" s="14" t="s">
        <v>8</v>
      </c>
      <c r="FN3" s="14" t="s">
        <v>15</v>
      </c>
      <c r="FO3" s="14" t="s">
        <v>27</v>
      </c>
      <c r="FP3" s="14" t="s">
        <v>13</v>
      </c>
      <c r="FQ3" s="14" t="s">
        <v>14</v>
      </c>
      <c r="FR3" s="14" t="s">
        <v>8</v>
      </c>
      <c r="FS3" s="14" t="s">
        <v>15</v>
      </c>
      <c r="FT3" s="14" t="s">
        <v>27</v>
      </c>
      <c r="FU3" s="14" t="s">
        <v>13</v>
      </c>
      <c r="FV3" s="14" t="s">
        <v>14</v>
      </c>
      <c r="FW3" s="14" t="s">
        <v>8</v>
      </c>
      <c r="FX3" s="14" t="s">
        <v>15</v>
      </c>
      <c r="FY3" s="14" t="s">
        <v>27</v>
      </c>
      <c r="FZ3" s="14" t="s">
        <v>13</v>
      </c>
      <c r="GA3" s="14" t="s">
        <v>14</v>
      </c>
      <c r="GB3" s="14" t="s">
        <v>8</v>
      </c>
      <c r="GC3" s="14" t="s">
        <v>15</v>
      </c>
      <c r="GD3" s="14" t="s">
        <v>27</v>
      </c>
      <c r="GE3" s="6"/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14"/>
      <c r="GS3" s="13" t="s">
        <v>13</v>
      </c>
      <c r="GT3" s="13" t="s">
        <v>14</v>
      </c>
      <c r="GU3" s="13" t="s">
        <v>8</v>
      </c>
      <c r="GV3" s="13" t="s">
        <v>15</v>
      </c>
      <c r="GW3" s="13" t="s">
        <v>27</v>
      </c>
      <c r="GX3" s="13" t="s">
        <v>13</v>
      </c>
      <c r="GY3" s="13" t="s">
        <v>14</v>
      </c>
      <c r="GZ3" s="13" t="s">
        <v>8</v>
      </c>
      <c r="HA3" s="13" t="s">
        <v>15</v>
      </c>
      <c r="HB3" s="13" t="s">
        <v>27</v>
      </c>
      <c r="HC3" s="13" t="s">
        <v>13</v>
      </c>
      <c r="HD3" s="13" t="s">
        <v>14</v>
      </c>
      <c r="HE3" s="13" t="s">
        <v>8</v>
      </c>
      <c r="HF3" s="13" t="s">
        <v>15</v>
      </c>
      <c r="HG3" s="13" t="s">
        <v>27</v>
      </c>
      <c r="HH3" s="13" t="s">
        <v>13</v>
      </c>
      <c r="HI3" s="13" t="s">
        <v>14</v>
      </c>
      <c r="HJ3" s="13" t="s">
        <v>8</v>
      </c>
      <c r="HK3" s="13" t="s">
        <v>15</v>
      </c>
      <c r="HL3" s="13" t="s">
        <v>27</v>
      </c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13"/>
      <c r="IA3" s="14" t="s">
        <v>13</v>
      </c>
      <c r="IB3" s="14" t="s">
        <v>14</v>
      </c>
      <c r="IC3" s="14" t="s">
        <v>8</v>
      </c>
      <c r="ID3" s="14" t="s">
        <v>15</v>
      </c>
      <c r="IE3" s="14" t="s">
        <v>27</v>
      </c>
      <c r="IF3" s="14" t="s">
        <v>13</v>
      </c>
      <c r="IG3" s="14" t="s">
        <v>14</v>
      </c>
      <c r="IH3" s="14" t="s">
        <v>8</v>
      </c>
      <c r="II3" s="14" t="s">
        <v>15</v>
      </c>
      <c r="IJ3" s="14" t="s">
        <v>27</v>
      </c>
      <c r="IK3" s="14" t="s">
        <v>13</v>
      </c>
      <c r="IL3" s="14" t="s">
        <v>14</v>
      </c>
      <c r="IM3" s="14" t="s">
        <v>8</v>
      </c>
      <c r="IN3" s="14" t="s">
        <v>15</v>
      </c>
      <c r="IO3" s="14" t="s">
        <v>27</v>
      </c>
      <c r="IP3" s="14" t="s">
        <v>13</v>
      </c>
      <c r="IQ3" s="14" t="s">
        <v>14</v>
      </c>
      <c r="IR3" s="14" t="s">
        <v>8</v>
      </c>
      <c r="IS3" s="14" t="s">
        <v>15</v>
      </c>
      <c r="IT3" s="14" t="s">
        <v>27</v>
      </c>
      <c r="IU3" s="6"/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14"/>
      <c r="JI3" s="13" t="s">
        <v>13</v>
      </c>
      <c r="JJ3" s="13" t="s">
        <v>14</v>
      </c>
      <c r="JK3" s="13" t="s">
        <v>8</v>
      </c>
      <c r="JL3" s="13" t="s">
        <v>15</v>
      </c>
      <c r="JM3" s="13" t="s">
        <v>27</v>
      </c>
      <c r="JN3" s="13" t="s">
        <v>13</v>
      </c>
      <c r="JO3" s="13" t="s">
        <v>14</v>
      </c>
      <c r="JP3" s="13" t="s">
        <v>8</v>
      </c>
      <c r="JQ3" s="13" t="s">
        <v>15</v>
      </c>
      <c r="JR3" s="13" t="s">
        <v>27</v>
      </c>
      <c r="JS3" s="13" t="s">
        <v>13</v>
      </c>
      <c r="JT3" s="13" t="s">
        <v>14</v>
      </c>
      <c r="JU3" s="13" t="s">
        <v>8</v>
      </c>
      <c r="JV3" s="13" t="s">
        <v>15</v>
      </c>
      <c r="JW3" s="13" t="s">
        <v>27</v>
      </c>
      <c r="JX3" s="13" t="s">
        <v>13</v>
      </c>
      <c r="JY3" s="13" t="s">
        <v>14</v>
      </c>
      <c r="JZ3" s="13" t="s">
        <v>8</v>
      </c>
      <c r="KA3" s="13" t="s">
        <v>15</v>
      </c>
      <c r="KB3" s="13" t="s">
        <v>27</v>
      </c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14" t="s">
        <v>13</v>
      </c>
      <c r="KR3" s="14" t="s">
        <v>14</v>
      </c>
      <c r="KS3" s="14" t="s">
        <v>8</v>
      </c>
      <c r="KT3" s="14" t="s">
        <v>15</v>
      </c>
      <c r="KU3" s="14" t="s">
        <v>27</v>
      </c>
      <c r="KV3" s="14" t="s">
        <v>13</v>
      </c>
      <c r="KW3" s="14" t="s">
        <v>14</v>
      </c>
      <c r="KX3" s="14" t="s">
        <v>8</v>
      </c>
      <c r="KY3" s="14" t="s">
        <v>15</v>
      </c>
      <c r="KZ3" s="14" t="s">
        <v>27</v>
      </c>
      <c r="LA3" s="14" t="s">
        <v>13</v>
      </c>
      <c r="LB3" s="14" t="s">
        <v>14</v>
      </c>
      <c r="LC3" s="14" t="s">
        <v>8</v>
      </c>
      <c r="LD3" s="14" t="s">
        <v>15</v>
      </c>
      <c r="LE3" s="14" t="s">
        <v>27</v>
      </c>
      <c r="LF3" s="14" t="s">
        <v>13</v>
      </c>
      <c r="LG3" s="14" t="s">
        <v>14</v>
      </c>
      <c r="LH3" s="14" t="s">
        <v>8</v>
      </c>
      <c r="LI3" s="14" t="s">
        <v>15</v>
      </c>
      <c r="LJ3" s="14" t="s">
        <v>27</v>
      </c>
      <c r="LK3" s="6"/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13" t="s">
        <v>13</v>
      </c>
      <c r="LZ3" s="13" t="s">
        <v>14</v>
      </c>
      <c r="MA3" s="13" t="s">
        <v>8</v>
      </c>
      <c r="MB3" s="13" t="s">
        <v>15</v>
      </c>
      <c r="MC3" s="13" t="s">
        <v>27</v>
      </c>
      <c r="MD3" s="13" t="s">
        <v>13</v>
      </c>
      <c r="ME3" s="13" t="s">
        <v>14</v>
      </c>
      <c r="MF3" s="13" t="s">
        <v>8</v>
      </c>
      <c r="MG3" s="13" t="s">
        <v>15</v>
      </c>
      <c r="MH3" s="13" t="s">
        <v>27</v>
      </c>
      <c r="MI3" s="13" t="s">
        <v>13</v>
      </c>
      <c r="MJ3" s="13" t="s">
        <v>14</v>
      </c>
      <c r="MK3" s="13" t="s">
        <v>8</v>
      </c>
      <c r="ML3" s="13" t="s">
        <v>15</v>
      </c>
      <c r="MM3" s="13" t="s">
        <v>27</v>
      </c>
      <c r="MN3" s="13" t="s">
        <v>13</v>
      </c>
      <c r="MO3" s="13" t="s">
        <v>14</v>
      </c>
      <c r="MP3" s="13" t="s">
        <v>8</v>
      </c>
      <c r="MQ3" s="13" t="s">
        <v>15</v>
      </c>
      <c r="MR3" s="13" t="s">
        <v>27</v>
      </c>
      <c r="MS3" s="7"/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14" t="s">
        <v>13</v>
      </c>
      <c r="NH3" s="14" t="s">
        <v>14</v>
      </c>
      <c r="NI3" s="14" t="s">
        <v>8</v>
      </c>
      <c r="NJ3" s="14" t="s">
        <v>15</v>
      </c>
      <c r="NK3" s="14" t="s">
        <v>27</v>
      </c>
      <c r="NL3" s="14" t="s">
        <v>13</v>
      </c>
      <c r="NM3" s="14" t="s">
        <v>14</v>
      </c>
      <c r="NN3" s="14" t="s">
        <v>8</v>
      </c>
      <c r="NO3" s="14" t="s">
        <v>15</v>
      </c>
      <c r="NP3" s="14" t="s">
        <v>27</v>
      </c>
      <c r="NQ3" s="14" t="s">
        <v>13</v>
      </c>
      <c r="NR3" s="14" t="s">
        <v>14</v>
      </c>
      <c r="NS3" s="14" t="s">
        <v>8</v>
      </c>
      <c r="NT3" s="14" t="s">
        <v>15</v>
      </c>
      <c r="NU3" s="14" t="s">
        <v>27</v>
      </c>
      <c r="NV3" s="14" t="s">
        <v>13</v>
      </c>
      <c r="NW3" s="14" t="s">
        <v>14</v>
      </c>
      <c r="NX3" s="14" t="s">
        <v>8</v>
      </c>
      <c r="NY3" s="14" t="s">
        <v>15</v>
      </c>
      <c r="NZ3" s="14" t="s">
        <v>27</v>
      </c>
      <c r="OA3" s="6"/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13" t="s">
        <v>13</v>
      </c>
      <c r="OP3" s="13" t="s">
        <v>14</v>
      </c>
      <c r="OQ3" s="13" t="s">
        <v>8</v>
      </c>
      <c r="OR3" s="13" t="s">
        <v>15</v>
      </c>
      <c r="OS3" s="13" t="s">
        <v>27</v>
      </c>
      <c r="OT3" s="13" t="s">
        <v>13</v>
      </c>
      <c r="OU3" s="13" t="s">
        <v>14</v>
      </c>
      <c r="OV3" s="13" t="s">
        <v>8</v>
      </c>
      <c r="OW3" s="13" t="s">
        <v>15</v>
      </c>
      <c r="OX3" s="13" t="s">
        <v>27</v>
      </c>
      <c r="OY3" s="13" t="s">
        <v>13</v>
      </c>
      <c r="OZ3" s="13" t="s">
        <v>14</v>
      </c>
      <c r="PA3" s="13" t="s">
        <v>8</v>
      </c>
      <c r="PB3" s="13" t="s">
        <v>15</v>
      </c>
      <c r="PC3" s="13" t="s">
        <v>27</v>
      </c>
      <c r="PD3" s="13" t="s">
        <v>13</v>
      </c>
      <c r="PE3" s="13" t="s">
        <v>14</v>
      </c>
      <c r="PF3" s="13" t="s">
        <v>8</v>
      </c>
      <c r="PG3" s="13" t="s">
        <v>15</v>
      </c>
      <c r="PH3" s="13" t="s">
        <v>27</v>
      </c>
      <c r="PI3" s="7"/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14" t="s">
        <v>13</v>
      </c>
      <c r="PX3" s="14" t="s">
        <v>14</v>
      </c>
      <c r="PY3" s="14" t="s">
        <v>8</v>
      </c>
      <c r="PZ3" s="14" t="s">
        <v>15</v>
      </c>
      <c r="QA3" s="14" t="s">
        <v>27</v>
      </c>
      <c r="QB3" s="14" t="s">
        <v>13</v>
      </c>
      <c r="QC3" s="14" t="s">
        <v>14</v>
      </c>
      <c r="QD3" s="14" t="s">
        <v>8</v>
      </c>
      <c r="QE3" s="14" t="s">
        <v>15</v>
      </c>
      <c r="QF3" s="14" t="s">
        <v>27</v>
      </c>
      <c r="QG3" s="14" t="s">
        <v>13</v>
      </c>
      <c r="QH3" s="14" t="s">
        <v>14</v>
      </c>
      <c r="QI3" s="14" t="s">
        <v>8</v>
      </c>
      <c r="QJ3" s="14" t="s">
        <v>15</v>
      </c>
      <c r="QK3" s="14" t="s">
        <v>27</v>
      </c>
      <c r="QL3" s="14" t="s">
        <v>13</v>
      </c>
      <c r="QM3" s="14" t="s">
        <v>14</v>
      </c>
      <c r="QN3" s="14" t="s">
        <v>8</v>
      </c>
      <c r="QO3" s="14" t="s">
        <v>15</v>
      </c>
      <c r="QP3" s="14" t="s">
        <v>27</v>
      </c>
      <c r="QQ3" s="6"/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13" t="s">
        <v>13</v>
      </c>
      <c r="RF3" s="13" t="s">
        <v>14</v>
      </c>
      <c r="RG3" s="13" t="s">
        <v>8</v>
      </c>
      <c r="RH3" s="13" t="s">
        <v>15</v>
      </c>
      <c r="RI3" s="13" t="s">
        <v>27</v>
      </c>
      <c r="RJ3" s="13" t="s">
        <v>13</v>
      </c>
      <c r="RK3" s="13" t="s">
        <v>14</v>
      </c>
      <c r="RL3" s="13" t="s">
        <v>8</v>
      </c>
      <c r="RM3" s="13" t="s">
        <v>15</v>
      </c>
      <c r="RN3" s="13" t="s">
        <v>27</v>
      </c>
      <c r="RO3" s="13" t="s">
        <v>13</v>
      </c>
      <c r="RP3" s="13" t="s">
        <v>14</v>
      </c>
      <c r="RQ3" s="13" t="s">
        <v>8</v>
      </c>
      <c r="RR3" s="13" t="s">
        <v>15</v>
      </c>
      <c r="RS3" s="13" t="s">
        <v>27</v>
      </c>
      <c r="RT3" s="13" t="s">
        <v>13</v>
      </c>
      <c r="RU3" s="13" t="s">
        <v>14</v>
      </c>
      <c r="RV3" s="13" t="s">
        <v>8</v>
      </c>
      <c r="RW3" s="13" t="s">
        <v>15</v>
      </c>
      <c r="RX3" s="13" t="s">
        <v>27</v>
      </c>
      <c r="RY3" s="7"/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14" t="s">
        <v>13</v>
      </c>
      <c r="SN3" s="14" t="s">
        <v>14</v>
      </c>
      <c r="SO3" s="14" t="s">
        <v>8</v>
      </c>
      <c r="SP3" s="14" t="s">
        <v>15</v>
      </c>
      <c r="SQ3" s="14" t="s">
        <v>27</v>
      </c>
      <c r="SR3" s="14" t="s">
        <v>13</v>
      </c>
      <c r="SS3" s="14" t="s">
        <v>14</v>
      </c>
      <c r="ST3" s="14" t="s">
        <v>8</v>
      </c>
      <c r="SU3" s="14" t="s">
        <v>15</v>
      </c>
      <c r="SV3" s="14" t="s">
        <v>27</v>
      </c>
      <c r="SW3" s="14" t="s">
        <v>13</v>
      </c>
      <c r="SX3" s="14" t="s">
        <v>14</v>
      </c>
      <c r="SY3" s="14" t="s">
        <v>8</v>
      </c>
      <c r="SZ3" s="14" t="s">
        <v>15</v>
      </c>
      <c r="TA3" s="14" t="s">
        <v>27</v>
      </c>
      <c r="TB3" s="14" t="s">
        <v>13</v>
      </c>
      <c r="TC3" s="14" t="s">
        <v>14</v>
      </c>
      <c r="TD3" s="14" t="s">
        <v>8</v>
      </c>
      <c r="TE3" s="14" t="s">
        <v>15</v>
      </c>
      <c r="TF3" s="14" t="s">
        <v>27</v>
      </c>
      <c r="TG3" s="6"/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13" t="s">
        <v>13</v>
      </c>
      <c r="TV3" s="13" t="s">
        <v>14</v>
      </c>
      <c r="TW3" s="13" t="s">
        <v>8</v>
      </c>
      <c r="TX3" s="13" t="s">
        <v>15</v>
      </c>
      <c r="TY3" s="13" t="s">
        <v>27</v>
      </c>
      <c r="TZ3" s="13" t="s">
        <v>13</v>
      </c>
      <c r="UA3" s="13" t="s">
        <v>14</v>
      </c>
      <c r="UB3" s="13" t="s">
        <v>8</v>
      </c>
      <c r="UC3" s="13" t="s">
        <v>15</v>
      </c>
      <c r="UD3" s="13" t="s">
        <v>27</v>
      </c>
      <c r="UE3" s="13" t="s">
        <v>13</v>
      </c>
      <c r="UF3" s="13" t="s">
        <v>14</v>
      </c>
      <c r="UG3" s="13" t="s">
        <v>8</v>
      </c>
      <c r="UH3" s="13" t="s">
        <v>15</v>
      </c>
      <c r="UI3" s="13" t="s">
        <v>27</v>
      </c>
      <c r="UJ3" s="13" t="s">
        <v>13</v>
      </c>
      <c r="UK3" s="13" t="s">
        <v>14</v>
      </c>
      <c r="UL3" s="13" t="s">
        <v>8</v>
      </c>
      <c r="UM3" s="13" t="s">
        <v>15</v>
      </c>
      <c r="UN3" s="13" t="s">
        <v>27</v>
      </c>
      <c r="UO3" s="7"/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14" t="s">
        <v>13</v>
      </c>
      <c r="VD3" s="14" t="s">
        <v>14</v>
      </c>
      <c r="VE3" s="14" t="s">
        <v>8</v>
      </c>
      <c r="VF3" s="14" t="s">
        <v>15</v>
      </c>
      <c r="VG3" s="14" t="s">
        <v>27</v>
      </c>
      <c r="VH3" s="14" t="s">
        <v>13</v>
      </c>
      <c r="VI3" s="14" t="s">
        <v>14</v>
      </c>
      <c r="VJ3" s="14" t="s">
        <v>8</v>
      </c>
      <c r="VK3" s="14" t="s">
        <v>15</v>
      </c>
      <c r="VL3" s="14" t="s">
        <v>27</v>
      </c>
      <c r="VM3" s="14" t="s">
        <v>13</v>
      </c>
      <c r="VN3" s="14" t="s">
        <v>14</v>
      </c>
      <c r="VO3" s="14" t="s">
        <v>8</v>
      </c>
      <c r="VP3" s="14" t="s">
        <v>15</v>
      </c>
      <c r="VQ3" s="14" t="s">
        <v>27</v>
      </c>
      <c r="VR3" s="14" t="s">
        <v>13</v>
      </c>
      <c r="VS3" s="14" t="s">
        <v>14</v>
      </c>
      <c r="VT3" s="14" t="s">
        <v>8</v>
      </c>
      <c r="VU3" s="14" t="s">
        <v>15</v>
      </c>
      <c r="VV3" s="14" t="s">
        <v>27</v>
      </c>
      <c r="VW3" s="6"/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</row>
    <row r="4" spans="1:608" x14ac:dyDescent="0.2">
      <c r="A4" s="4" cm="1">
        <f t="array" ref="A4">IF(AND(H4&lt;&gt;"",H4&lt;&gt;"No DD"),SUMPRODUCT((H$4:H$15&lt;&gt;"")*(H$4:H$15&lt;&gt;"No DD")*(E$4:E$15&gt;E4))+1,IF(H4="No DD",SUMPRODUCT((H$4:H$15="No DD")*(E$4:E$15&gt;E4))+1+SUMPRODUCT((H$4:H$15&lt;&gt;"")*(H$4:H$15&lt;&gt;"No DD")),""))</f>
        <v>1</v>
      </c>
      <c r="B4" s="5" t="s">
        <v>66</v>
      </c>
      <c r="C4" s="4" t="s">
        <v>7</v>
      </c>
      <c r="D4" s="4" t="s">
        <v>117</v>
      </c>
      <c r="E4" s="9">
        <f t="shared" ref="E4:E14" si="0">J4+L4+N4+(J4+L4)*0.0000001+MAX(J4,L4)*0.0000000000001</f>
        <v>99.820009794004903</v>
      </c>
      <c r="F4" s="3" t="str">
        <f t="shared" ref="F4:F14" si="1">IF(OR(AND(AG4&gt;=AQ$17,AG4&lt;&gt;"",AI4&gt;=AQ$21,AI4&lt;&gt;"",AF4=""),AND(AJ4&gt;=AQ$17,AJ4&lt;&gt;"",AL4&gt;=AQ$21,AL4&lt;&gt;"",AF4=""),AND(AN4&gt;=AQ$17,AN4&lt;&gt;"",AP4&gt;=AQ$21,AP4&lt;&gt;"",AF4=""),AND(BH4&gt;=BR$17,BH4&lt;&gt;"",BJ4&gt;=BR$21,BJ4&lt;&gt;"",BG4=""),AND(BK4&gt;=BR$17,BK4&lt;&gt;"",BM4&gt;=BR$21,BM4&lt;&gt;"",BG4=""),AND(BO4&gt;=BR$17,BO4&lt;&gt;"",BQ4&gt;=BR$21,BQ4&lt;&gt;"",BG4=""),AND(CI4&gt;=CS$17,CI4&lt;&gt;"",CK4&gt;=CS$21,CK4&lt;&gt;"",CH4=""),AND(CL4&gt;=CS$17,CL4&lt;&gt;"",CN4&gt;=CS$21,CN4&lt;&gt;"",CH4=""),AND(CP4&gt;=CS$17,CP4&lt;&gt;"",CR4&gt;=CS$21,CR4&lt;&gt;"",CH4=""),AND(DO4&gt;=EB$17,DO4&lt;&gt;"",DQ4&gt;=EB$21,DQ4&lt;&gt;""),AND(DR4&gt;=EB$17,DR4&lt;&gt;"",DT4&gt;=EB$21,DT4&lt;&gt;""),AND(DV4&gt;=EB$17,DV4&lt;&gt;"",DX4&gt;=EB$21,DX4&lt;&gt;""),AND(DY4&gt;=EB$17,DY4&lt;&gt;"",EA4&gt;=EB$21,EA4&lt;&gt;""),AND(EW4&gt;=FJ$17,EW4&lt;&gt;"",EY4&gt;=FJ$21,EY4&lt;&gt;""),AND(EZ4&gt;=FJ$17,EZ4&lt;&gt;"",FB4&gt;=FJ$21,FB4&lt;&gt;""),AND(FD4&gt;=FJ$17,FD4&lt;&gt;"",FF4&gt;=FJ$21,FF4&lt;&gt;""),AND(FG4&gt;=FJ$17,FG4&lt;&gt;"",FI4&gt;=FJ$21,FI4&lt;&gt;""),AND(GE4&gt;=GR$17,GE4&lt;&gt;"",GG4&gt;=GR$21,GG4&lt;&gt;""),AND(GH4&gt;=GR$17,GH4&lt;&gt;"",GJ4&gt;=GR$21,GJ4&lt;&gt;""),AND(GL4&gt;=GR$17,GL4&lt;&gt;"",GN4&gt;=GR$21,GN4&lt;&gt;""),AND(GO4&gt;=GR$17,GO4&lt;&gt;"",GQ4&gt;=GR$21,GQ4&lt;&gt;""),AND(HM4&gt;=HZ$17,HM4&lt;&gt;"",HO4&gt;=HZ$21,HO4&lt;&gt;""),AND(HP4&gt;=HZ$17,HP4&lt;&gt;"",HR4&gt;=HZ$21,HR4&lt;&gt;""),AND(HT4&gt;=HZ$17,HT4&lt;&gt;"",HV4&gt;=HZ$21,HV4&lt;&gt;""),AND(HW4&gt;=HZ$17,HW4&lt;&gt;"",HY4&gt;=HZ$21,HY4&lt;&gt;""),AND(IU4&gt;=JH$17,IU4&lt;&gt;"",IW4&gt;=JH$21,IW4&lt;&gt;""),AND(IX4&gt;=JH$17,IX4&lt;&gt;"",IZ4&gt;=JH$21,IZ4&lt;&gt;""),AND(JB4&gt;=JH$17,JB4&lt;&gt;"",JD4&gt;=JH$21,JD4&lt;&gt;""),AND(JE4&gt;=JH$17,JE4&lt;&gt;"",JG4&gt;=JH$21,JG4&lt;&gt;""),AND(KC4&gt;=KP$17,KC4&lt;&gt;"",KE4&gt;=KP$21,KE4&lt;&gt;""),AND(KF4&gt;=KP$17,KF4&lt;&gt;"",KH4&gt;=KP$21,KH4&lt;&gt;""),AND(KJ4&gt;=KP$17,KJ4&lt;&gt;"",KL4&gt;=KP$21,KL4&lt;&gt;""),AND(KM4&gt;=KP$17,KM4&lt;&gt;"",KO4&gt;=KP$21,KO4&lt;&gt;""),AND(LK4&gt;=LX$17,LK4&lt;&gt;"",LM4&gt;=LX$21,LM4&lt;&gt;""),AND(LN4&gt;=LX$17,LN4&lt;&gt;"",LP4&gt;=LX$21,LP4&lt;&gt;""),AND(LR4&gt;=LX$17,LR4&lt;&gt;"",LT4&gt;=LX$21,LT4&lt;&gt;""),AND(LU4&gt;=LX$17,LU4&lt;&gt;"",LW4&gt;=LX$21,LW4&lt;&gt;""),AND(MS4&gt;=NF$17,MS4&lt;&gt;"",MU4&gt;=NF$21,MU4&lt;&gt;""),AND(MV4&gt;=NF$17,MV4&lt;&gt;"",MX4&gt;=NF$21,MX4&lt;&gt;""),AND(MZ4&gt;=NF$17,MZ4&lt;&gt;"",NB4&gt;=NF$21,NB4&lt;&gt;""),AND(NC4&gt;=NF$17,NC4&lt;&gt;"",NE4&gt;=NF$21,NE4&lt;&gt;""),AND(OA4&gt;=ON$17,OA4&lt;&gt;"",OC4&gt;=ON$21,OC4&lt;&gt;""),AND(OD4&gt;=ON$17,OD4&lt;&gt;"",OF4&gt;=ON$21,OF4&lt;&gt;""),AND(OH4&gt;=ON$17,OH4&lt;&gt;"",OJ4&gt;=ON$21,OJ4&lt;&gt;""),AND(OK4&gt;=ON$17,OK4&lt;&gt;"",OM4&gt;=ON$21,OM4&lt;&gt;""),AND(PI4&gt;=PV$17,PI4&lt;&gt;"",PK4&gt;=PV$21,PK4&lt;&gt;""),AND(PL4&gt;=PV$17,PL4&lt;&gt;"",PN4&gt;=PV$21,PN4&lt;&gt;""),AND(PP4&gt;=PV$17,PP4&lt;&gt;"",PR4&gt;=PV$21,PR4&lt;&gt;""),AND(PS4&gt;=PV$17,PS4&lt;&gt;"",PU4&gt;=PV$21,PU4&lt;&gt;""),AND(QQ4&gt;=RD$17,QQ4&lt;&gt;"",QS4&gt;=RD$21,QS4&lt;&gt;""),AND(QT4&gt;=RD$17,QT4&lt;&gt;"",QV4&gt;=RD$21,QV4&lt;&gt;""),AND(QX4&gt;=RD$17,QX4&lt;&gt;"",QZ4&gt;=RD$21,QZ4&lt;&gt;""),AND(RA4&gt;=RD$17,RA4&lt;&gt;"",RC4&gt;=RD$21,RC4&lt;&gt;""),AND(RY4&gt;=SL$17,RY4&lt;&gt;"",SA4&gt;=SL$21,SA4&lt;&gt;""),AND(SB4&gt;=SL$17,SB4&lt;&gt;"",SD4&gt;=SL$21,SD4&lt;&gt;""),AND(SF4&gt;=SL$17,SF4&lt;&gt;"",SH4&gt;=SL$21,SH4&lt;&gt;""),AND(SI4&gt;=SL$17,SI4&lt;&gt;"",SK4&gt;=SL$21,SK4&lt;&gt;""),AND(TG4&gt;=TT$17,TG4&lt;&gt;"",TI4&gt;=TT$21,TI4&lt;&gt;""),AND(TJ4&gt;=TT$17,TJ4&lt;&gt;"",TL4&gt;=TT$21,TL4&lt;&gt;""),AND(TN4&gt;=TT$17,TN4&lt;&gt;"",TP4&gt;=TT$21,TXN4&lt;&gt;""),AND(TQ4&gt;=TT$17,TQ4&lt;&gt;"",TS4&gt;=TT$21,TS4&lt;&gt;""),AND(UO4&gt;=VB$17,UO4&lt;&gt;"",UQ4&gt;=VB$21,UQ4&lt;&gt;""),AND(UR4&gt;=VB$17,UR4&lt;&gt;"",UT4&gt;=VB$21,UT4&lt;&gt;""),AND(UV4&gt;=VB$17,UV4&lt;&gt;"",UX4&gt;=VB$21,UX4&lt;&gt;""),AND(UY4&gt;=VB$17,UY4&lt;&gt;"",VA4&gt;=VB$21,VA4&lt;&gt;""),AND(VW4&gt;=WJ$17,VW4&lt;&gt;"",VY4&gt;=WJ$21,VY4&lt;&gt;""),AND(VZ4&gt;=WJ$17,VZ4&lt;&gt;"",WB4&gt;=WJ$21,WB4&lt;&gt;""),AND(WD4&gt;=WJ$17,WD4&lt;&gt;"",WF4&gt;=WJ$21,WF4&lt;&gt;""),AND(WG4&gt;=WJ$17,WG4&lt;&gt;"",WI4&gt;=WJ$21,WI4&lt;&gt;"")),"P","")</f>
        <v>P</v>
      </c>
      <c r="G4" s="3" t="str">
        <f t="shared" ref="G4:G14" si="2">IF(OR(AND(AI4&gt;=AQ$21,AI4&lt;&gt;"",AF4=""),AND(AL4&gt;=AQ$21,AL4&lt;&gt;"",AF4=""),AND(AP4&gt;=AQ$21,AP4&lt;&gt;"",AF4=""),AND(BJ4&gt;=BR$21,BJ4&lt;&gt;"",BG4=""),AND(BM4&gt;=BR$21,BM4&lt;&gt;"",BG4=""),AND(BQ4&gt;=BR$21,BQ4&lt;&gt;"",BG4=""),AND(CK4&gt;=CS$21,CK4&lt;&gt;"",CH4=""),AND(CN4&gt;=CS$21,CN4&lt;&gt;"",CH4=""),AND(CR4&gt;=CS$21,CR4&lt;&gt;"",CH4=""),AND(DQ4&gt;=EB$21,DQ4&lt;&gt;""),AND(DT4&gt;=EB$21,DT4&lt;&gt;""),AND(DX4&gt;=EB$21,DX4&lt;&gt;""),AND(EA4&gt;=EB$21,EA4&lt;&gt;""),AND(EY4&gt;=FJ$21,EY4&lt;&gt;""),AND(FB4&gt;=FJ$21,FB4&lt;&gt;""),AND(FF4&gt;=FJ$21,FF4&lt;&gt;""),AND(FI4&gt;=FJ$21,FI4&lt;&gt;""),AND(GG4&gt;=GR$21,GG4&lt;&gt;""),AND(GJ4&gt;=GR$21,GJ4&lt;&gt;""),AND(GN4&gt;=GR$21,GN4&lt;&gt;""),AND(GQ4&gt;=GR$21,GQ4&lt;&gt;""),AND(HO4&gt;=HZ$21,HO4&lt;&gt;""),AND(HR4&gt;=HZ$21,HR4&lt;&gt;""),AND(HV4&gt;=HZ$21,HV4&lt;&gt;""),AND(HY4&gt;=HZ$21,HY4&lt;&gt;""),AND(IW4&gt;=JH$21,IW4&lt;&gt;""),AND(IZ4&gt;=JH$21,IZ4&lt;&gt;""),AND(JD4&gt;=JH$21,JD4&lt;&gt;""),AND(JG4&gt;=JH$21,JG4&lt;&gt;""),AND(KE4&gt;=KP$21,KE4&lt;&gt;""),AND(KH4&gt;=KP$21,KH4&lt;&gt;""),AND(KL4&gt;=KP$21,KL4&lt;&gt;""),AND(KO4&gt;=KP$21,KO4&lt;&gt;""),AND(LM4&gt;=LX$21,LM4&lt;&gt;""),AND(LP4&gt;=LX$21,LP4&lt;&gt;""),AND(LT4&gt;=LX$21,LT4&lt;&gt;""),AND(LW4&gt;=LX$21,LW4&lt;&gt;""),AND(MU4&gt;=NF$21,MU4&lt;&gt;""),AND(MX4&gt;=NF$21,MX4&lt;&gt;""),AND(NB4&gt;=NF$21,NB4&lt;&gt;""),AND(NE4&gt;=NF$21,NE4&lt;&gt;""),AND(OC4&gt;=ON$21,OC4&lt;&gt;""),AND(OF4&gt;=ON$21,OF4&lt;&gt;""),AND(OJ4&gt;=ON$21,OJ4&lt;&gt;""),AND(OM4&gt;=ON$21,OM4&lt;&gt;""),AND(PK4&gt;=PV$21,PK4&lt;&gt;""),AND(PN4&gt;=PV$21,PN4&lt;&gt;""),AND(PR4&gt;=PV$21,PR4&lt;&gt;""),AND(PU4&gt;=PV$21,PU4&lt;&gt;""),AND(QS4&gt;=RD$21,QS4&lt;&gt;""),AND(QV4&gt;=RD$21,QV4&lt;&gt;""),AND(QZ4&gt;=RD$21,QZ4&lt;&gt;""),AND(RC4&gt;=RD$21,RC4&lt;&gt;""),AND(SA4&gt;=SL$21,SA4&lt;&gt;""),AND(SD4&gt;=SL$21,SD4&lt;&gt;""),AND(SH4&gt;=SL$21,SH4&lt;&gt;""),AND(SK4&gt;=SL$21,SK4&lt;&gt;""),AND(TI4&gt;=TT$21,TI4&lt;&gt;""),AND(TL4&gt;=TT$21,TL4&lt;&gt;""),AND(TP4&gt;=TT$21,TXN4&lt;&gt;""),AND(TS4&gt;=TT$21,TS4&lt;&gt;""),AND(UQ4&gt;=VB$21,UQ4&lt;&gt;""),AND(UT4&gt;=VB$21,UT4&lt;&gt;""),AND(UX4&gt;=VB$21,UX4&lt;&gt;""),AND(VA4&gt;=VB$21,VA4&lt;&gt;""),AND(VY4&gt;=WJ$21,VY4&lt;&gt;""),AND(WB4&gt;=WJ$21,WB4&lt;&gt;""),AND(WF4&gt;=WJ$21,WF4&lt;&gt;""),AND(WI4&gt;=WJ$21,WI4&lt;&gt;"")),"P","")</f>
        <v>P</v>
      </c>
      <c r="H4" s="32" t="str">
        <f t="shared" ref="H4:H14" si="3">IF(AND(G4="P",F4=""),"No DD",IF(OR(AND(AG4&gt;=AQ$20,AG4&lt;&gt;"",AI4&gt;=AQ$24,AI4&lt;&gt;"",AF4=""),AND(AJ4&gt;=AQ$20,AJ4&lt;&gt;"",AL4&gt;=AQ$24,AL4&lt;&gt;"",AF4=""),AND(AN4&gt;=AQ$20,AN4&lt;&gt;"",AP4&gt;=AQ$24,AP4&lt;&gt;"",AF4=""),AND(BH4&gt;=BR$20,BH4&lt;&gt;"",BJ4&gt;=BR$24,BJ4&lt;&gt;"",BG4=""),AND(BK4&gt;=BR$20,BK4&lt;&gt;"",BM4&gt;=BR$24,BM4&lt;&gt;"",BG4=""),AND(BO4&gt;=BR$20,BO4&lt;&gt;"",BQ4&gt;=BR$24,BQ4&lt;&gt;"",BG4=""),AND(CI4&gt;=CS$20,CI4&lt;&gt;"",CK4&gt;=CS$24,CK4&lt;&gt;"",CH4=""),AND(CL4&gt;=CS$20,CL4&lt;&gt;"",CN4&gt;=CS$24,CN4&lt;&gt;"",CH4=""),AND(CP4&gt;=CS$20,CP4&lt;&gt;"",CR4&gt;=CS$24,CR4&lt;&gt;"",CH4=""),AND(DO4&gt;=EB$20,DO4&lt;&gt;"",DQ4&gt;=EB$24,DQ4&lt;&gt;""),AND(DR4&gt;=EB$20,DR4&lt;&gt;"",DT4&gt;=EB$24,DT4&lt;&gt;""),AND(DV4&gt;=EB$20,DV4&lt;&gt;"",DX4&gt;=EB$24,DX4&lt;&gt;""),AND(DY4&gt;=EB$20,DY4&lt;&gt;"",EA4&gt;=EB$24,EA4&lt;&gt;""),AND(EW4&gt;=FJ$20,EW4&lt;&gt;"",EY4&gt;=FJ$24,EY4&lt;&gt;""),AND(EZ4&gt;=FJ$20,EZ4&lt;&gt;"",FB4&gt;=FJ$24,FB4&lt;&gt;""),AND(FD4&gt;=FJ$20,FD4&lt;&gt;"",FF4&gt;=FJ$24,FF4&lt;&gt;""),AND(FG4&gt;=FJ$20,FG4&lt;&gt;"",FI4&gt;=FJ$24,FI4&lt;&gt;""),AND(GE4&gt;=GR$20,GE4&lt;&gt;"",GG4&gt;=GR$24,GG4&lt;&gt;""),AND(GH4&gt;=GR$20,GH4&lt;&gt;"",GJ4&gt;=GR$24,GJ4&lt;&gt;""),AND(GL4&gt;=GR$20,GL4&lt;&gt;"",GN4&gt;=GR$24,GN4&lt;&gt;""),AND(GO4&gt;=GR$20,GO4&lt;&gt;"",GQ4&gt;=GR$24,GQ4&lt;&gt;""),AND(HM4&gt;=HZ$20,HM4&lt;&gt;"",HO4&gt;=HZ$24,HO4&lt;&gt;""),AND(HP4&gt;=HZ$20,HP4&lt;&gt;"",HR4&gt;=HZ$24,HR4&lt;&gt;""),AND(HT4&gt;=HZ$20,HT4&lt;&gt;"",HV4&gt;=HZ$24,HV4&lt;&gt;""),AND(HW4&gt;=HZ$20,HW4&lt;&gt;"",HY4&gt;=HZ$24,HY4&lt;&gt;""),AND(IU4&gt;=JH$20,IU4&lt;&gt;"",IW4&gt;=JH$24,IW4&lt;&gt;""),AND(IX4&gt;=JH$20,IX4&lt;&gt;"",IZ4&gt;=JH$24,IZ4&lt;&gt;""),AND(JB4&gt;=JH$20,JB4&lt;&gt;"",JD4&gt;=JH$24,JD4&lt;&gt;""),AND(JE4&gt;=JH$20,JE4&lt;&gt;"",JG4&gt;=JH$24,JG4&lt;&gt;""),AND(KC4&gt;=KP$20,KC4&lt;&gt;"",KE4&gt;=KP$24,KE4&lt;&gt;""),AND(KF4&gt;=KP$20,KF4&lt;&gt;"",KH4&gt;=KP$24,KH4&lt;&gt;""),AND(KJ4&gt;=KP$20,KJ4&lt;&gt;"",KL4&gt;=KP$24,KL4&lt;&gt;""),AND(KM4&gt;=KP$20,KM4&lt;&gt;"",KO4&gt;=KP$24,KO4&lt;&gt;""),AND(LK4&gt;=LX$20,LK4&lt;&gt;"",LM4&gt;=LX$24,LM4&lt;&gt;""),AND(LN4&gt;=LX$20,LN4&lt;&gt;"",LP4&gt;=LX$24,LP4&lt;&gt;""),AND(LR4&gt;=LX$20,LR4&lt;&gt;"",LT4&gt;=LX$24,LT4&lt;&gt;""),AND(LU4&gt;=LX$20,LU4&lt;&gt;"",LW4&gt;=LX$24,LW4&lt;&gt;""),AND(MS4&gt;=NF$20,MS4&lt;&gt;"",MU4&gt;=NF$24,MU4&lt;&gt;""),AND(MV4&gt;=NF$20,MV4&lt;&gt;"",MX4&gt;=NF$24,MX4&lt;&gt;""),AND(MZ4&gt;=NF$20,MZ4&lt;&gt;"",NB4&gt;=NF$24,NB4&lt;&gt;""),AND(NC4&gt;=NF$20,NC4&lt;&gt;"",NE4&gt;=NF$24,NE4&lt;&gt;""),AND(OA4&gt;=ON$20,OA4&lt;&gt;"",OC4&gt;=ON$24,OC4&lt;&gt;""),AND(OD4&gt;=ON$20,OD4&lt;&gt;"",OF4&gt;=ON$24,OF4&lt;&gt;""),AND(OH4&gt;=ON$20,OH4&lt;&gt;"",OJ4&gt;=ON$24,OJ4&lt;&gt;""),AND(OK4&gt;=ON$20,OK4&lt;&gt;"",OM4&gt;=ON$24,OM4&lt;&gt;""),AND(PI4&gt;=PV$20,PI4&lt;&gt;"",PK4&gt;=PV$24,PK4&lt;&gt;""),AND(PL4&gt;=PV$20,PL4&lt;&gt;"",PN4&gt;=PV$24,PN4&lt;&gt;""),AND(PP4&gt;=PV$20,PP4&lt;&gt;"",PR4&gt;=PV$24,PR4&lt;&gt;""),AND(PS4&gt;=PV$20,PS4&lt;&gt;"",PU4&gt;=PV$24,PU4&lt;&gt;""),AND(QQ4&gt;=RD$20,QQ4&lt;&gt;"",QS4&gt;=RD$24,QS4&lt;&gt;""),AND(QT4&gt;=RD$20,QT4&lt;&gt;"",QV4&gt;=RD$24,QV4&lt;&gt;""),AND(QX4&gt;=RD$20,QX4&lt;&gt;"",QZ4&gt;=RD$24,QZ4&lt;&gt;""),AND(RA4&gt;=RD$20,RA4&lt;&gt;"",RC4&gt;=RD$24,RC4&lt;&gt;""),AND(RY4&gt;=SL$20,RY4&lt;&gt;"",SA4&gt;=SL$24,SA4&lt;&gt;""),AND(SB4&gt;=SL$20,SB4&lt;&gt;"",SD4&gt;=SL$24,SD4&lt;&gt;""),AND(SF4&gt;=SL$20,SF4&lt;&gt;"",SH4&gt;=SL$24,SH4&lt;&gt;""),AND(SI4&gt;=SL$20,SI4&lt;&gt;"",SK4&gt;=SL$24,SK4&lt;&gt;""),AND(TG4&gt;=TT$20,TG4&lt;&gt;"",TI4&gt;=TT$24,TI4&lt;&gt;""),AND(TJ4&gt;=TT$20,TJ4&lt;&gt;"",TL4&gt;=TT$24,TL4&lt;&gt;""),AND(TN4&gt;=TT$20,TN4&lt;&gt;"",TP4&gt;=TT$344,TXN4&lt;&gt;""),AND(TQ4&gt;=TT$20,TQ4&lt;&gt;"",TS4&gt;=TT$24,TS4&lt;&gt;""),AND(UO4&gt;=VB$20,UO4&lt;&gt;"",UQ4&gt;=VB$24,UQ4&lt;&gt;""),AND(UR4&gt;=VB$20,UR4&lt;&gt;"",UT4&gt;=VB$24,UT4&lt;&gt;""),AND(UV4&gt;=VB$20,UV4&lt;&gt;"",UX4&gt;=VB$24,UX4&lt;&gt;""),AND(UY4&gt;=VB$20,UY4&lt;&gt;"",VA4&gt;=VB$24,VA4&lt;&gt;""),AND(VW4&gt;=WJ$20,VW4&lt;&gt;"",VY4&gt;=WJ$24,VY4&lt;&gt;""),AND(VZ4&gt;=WJ$20,VZ4&lt;&gt;"",WB4&gt;=WJ$24,WB4&lt;&gt;""),AND(WD4&gt;=WJ$20,WD4&lt;&gt;"",WF4&gt;=WJ$24,WF4&lt;&gt;""),AND(WG4&gt;=WJ$20,WG4&lt;&gt;"",WI4&gt;=WJ$24,WI4&lt;&gt;"")),"Merit",IF(OR(AND(AG4&gt;=AQ$19,AG4&lt;&gt;"",AI4&gt;=AQ$23,AI4&lt;&gt;"",AF4=""),AND(AJ4&gt;=AQ$19,AJ4&lt;&gt;"",AL4&gt;=AQ$23,AL4&lt;&gt;"",AF4=""),AND(AN4&gt;=AQ$19,AN4&lt;&gt;"",AP4&gt;=AQ$23,AP4&lt;&gt;"",AF4=""),AND(BH4&gt;=BR$19,BH4&lt;&gt;"",BJ4&gt;=BR$23,BJ4&lt;&gt;"",BG4=""),AND(BK4&gt;=BR$19,BK4&lt;&gt;"",BM4&gt;=BR$23,BM4&lt;&gt;"",BG4=""),AND(BO4&gt;=BR$19,BO4&lt;&gt;"",BQ4&gt;=BR$23,BQ4&lt;&gt;"",BG4=""),AND(CI4&gt;=CS$19,CI4&lt;&gt;"",CK4&gt;=CS$23,CK4&lt;&gt;"",CH4=""),AND(CL4&gt;=CS$19,CL4&lt;&gt;"",CN4&gt;=CS$23,CN4&lt;&gt;"",CH4=""),AND(CP4&gt;=CS$19,CP4&lt;&gt;"",CR4&gt;=CS$23,CR4&lt;&gt;"",CH4=""),AND(DO4&gt;=EB$19,DO4&lt;&gt;"",DQ4&gt;=EB$23,DQ4&lt;&gt;""),AND(DR4&gt;=EB$19,DR4&lt;&gt;"",DT4&gt;=EB$23,DT4&lt;&gt;""),AND(DV4&gt;=EB$19,DV4&lt;&gt;"",DX4&gt;=EB$23,DX4&lt;&gt;""),AND(DY4&gt;=EB$19,DY4&lt;&gt;"",EA4&gt;=EB$23,EA4&lt;&gt;""),AND(EW4&gt;=FJ$19,EW4&lt;&gt;"",EY4&gt;=FJ$23,EY4&lt;&gt;""),AND(EZ4&gt;=FJ$19,EZ4&lt;&gt;"",FB4&gt;=FJ$23,FB4&lt;&gt;""),AND(FD4&gt;=FJ$19,FD4&lt;&gt;"",FF4&gt;=FJ$23,FF4&lt;&gt;""),AND(FG4&gt;=FJ$19,FG4&lt;&gt;"",FI4&gt;=FJ$23,FI4&lt;&gt;""),AND(GE4&gt;=GR$19,GE4&lt;&gt;"",GG4&gt;=GR$23,GG4&lt;&gt;""),AND(GH4&gt;=GR$19,GH4&lt;&gt;"",GJ4&gt;=GR$23,GJ4&lt;&gt;""),AND(GL4&gt;=GR$19,GL4&lt;&gt;"",GN4&gt;=GR$23,GN4&lt;&gt;""),AND(GO4&gt;=GR$19,GO4&lt;&gt;"",GQ4&gt;=GR$23,GQ4&lt;&gt;""),AND(HM4&gt;=HZ$19,HM4&lt;&gt;"",HO4&gt;=HZ$23,HO4&lt;&gt;""),AND(HP4&gt;=HZ$19,HP4&lt;&gt;"",HR4&gt;=HZ$23,HR4&lt;&gt;""),AND(HT4&gt;=HZ$19,HT4&lt;&gt;"",HV4&gt;=HZ$23,HV4&lt;&gt;""),AND(HW4&gt;=HZ$19,HW4&lt;&gt;"",HY4&gt;=HZ$23,HY4&lt;&gt;""),AND(IU4&gt;=JH$19,IU4&lt;&gt;"",IW4&gt;=JH$23,IW4&lt;&gt;""),AND(IX4&gt;=JH$19,IX4&lt;&gt;"",IZ4&gt;=JH$23,IZ4&lt;&gt;""),AND(JB4&gt;=JH$19,JB4&lt;&gt;"",JD4&gt;=JH$23,JD4&lt;&gt;""),AND(JE4&gt;=JH$19,JE4&lt;&gt;"",JG4&gt;=JH$23,JG4&lt;&gt;""),AND(KC4&gt;=KP$19,KC4&lt;&gt;"",KE4&gt;=KP$23,KE4&lt;&gt;""),AND(KF4&gt;=KP$19,KF4&lt;&gt;"",KH4&gt;=KP$23,KH4&lt;&gt;""),AND(KJ4&gt;=KP$19,KJ4&lt;&gt;"",KL4&gt;=KP$23,KL4&lt;&gt;""),AND(KM4&gt;=KP$19,KM4&lt;&gt;"",KO4&gt;=KP$23,KO4&lt;&gt;""),AND(LK4&gt;=LX$19,LK4&lt;&gt;"",LM4&gt;=LX$23,LM4&lt;&gt;""),AND(LN4&gt;=LX$19,LN4&lt;&gt;"",LP4&gt;=LX$23,LP4&lt;&gt;""),AND(LR4&gt;=LX$19,LR4&lt;&gt;"",LT4&gt;=LX$23,LT4&lt;&gt;""),AND(LU4&gt;=LX$19,LU4&lt;&gt;"",LW4&gt;=LX$23,LW4&lt;&gt;""),AND(MS4&gt;=NF$19,MS4&lt;&gt;"",MU4&gt;=NF$23,MU4&lt;&gt;""),AND(MV4&gt;=NF$19,MV4&lt;&gt;"",MX4&gt;=NF$23,MX4&lt;&gt;""),AND(MZ4&gt;=NF$19,MZ4&lt;&gt;"",NB4&gt;=NF$23,NB4&lt;&gt;""),AND(NC4&gt;=NF$19,NC4&lt;&gt;"",NE4&gt;=NF$23,NE4&lt;&gt;""),AND(OA4&gt;=ON$19,OA4&lt;&gt;"",OC4&gt;=ON$23,OC4&lt;&gt;""),AND(OD4&gt;=ON$19,OD4&lt;&gt;"",OF4&gt;=ON$23,OF4&lt;&gt;""),AND(OH4&gt;=ON$19,OH4&lt;&gt;"",OJ4&gt;=ON$23,OJ4&lt;&gt;""),AND(OK4&gt;=ON$19,OK4&lt;&gt;"",OM4&gt;=ON$23,OM4&lt;&gt;""),AND(PI4&gt;=PV$19,PI4&lt;&gt;"",PK4&gt;=PV$23,PK4&lt;&gt;""),AND(PL4&gt;=PV$19,PL4&lt;&gt;"",PN4&gt;=PV$23,PN4&lt;&gt;""),AND(PP4&gt;=PV$19,PP4&lt;&gt;"",PR4&gt;=PV$23,PR4&lt;&gt;""),AND(PS4&gt;=PV$19,PS4&lt;&gt;"",PU4&gt;=PV$23,PU4&lt;&gt;""),AND(QQ4&gt;=RD$19,QQ4&lt;&gt;"",QS4&gt;=RD$23,QS4&lt;&gt;""),AND(QT4&gt;=RD$19,QT4&lt;&gt;"",QV4&gt;=RD$23,QV4&lt;&gt;""),AND(QX4&gt;=RD$19,QX4&lt;&gt;"",QZ4&gt;=RD$23,QZ4&lt;&gt;""),AND(RA4&gt;=RD$19,RA4&lt;&gt;"",RC4&gt;=RD$23,RC4&lt;&gt;""),AND(RY4&gt;=SL$19,RY4&lt;&gt;"",SA4&gt;=SL$23,SA4&lt;&gt;""),AND(SB4&gt;=SL$19,SB4&lt;&gt;"",SD4&gt;=SL$23,SD4&lt;&gt;""),AND(SF4&gt;=SL$19,SF4&lt;&gt;"",SH4&gt;=SL$23,SH4&lt;&gt;""),AND(SI4&gt;=SL$19,SI4&lt;&gt;"",SK4&gt;=SL$23,SK4&lt;&gt;""),AND(TG4&gt;=TT$19,TG4&lt;&gt;"",TI4&gt;=TT$23,TI4&lt;&gt;""),AND(TJ4&gt;=TT$19,TJ4&lt;&gt;"",TL4&gt;=TT$23,TL4&lt;&gt;""),AND(TN4&gt;=TT$19,TN4&lt;&gt;"",TP4&gt;=TT$23,TXN4&lt;&gt;""),AND(TQ4&gt;=TT$19,TQ4&lt;&gt;"",TS4&gt;=TT$23,TS4&lt;&gt;""),AND(UO4&gt;=VB$19,UO4&lt;&gt;"",UQ4&gt;=VB$23,UQ4&lt;&gt;""),AND(UR4&gt;=VB$19,UR4&lt;&gt;"",UT4&gt;=VB$23,UT4&lt;&gt;""),AND(UV4&gt;=VB$19,UV4&lt;&gt;"",UX4&gt;=VB$23,UX4&lt;&gt;""),AND(UY4&gt;=VB$19,UY4&lt;&gt;"",VA4&gt;=VB$23,VA4&lt;&gt;""),AND(VW4&gt;=WJ$19,VW4&lt;&gt;"",VY4&gt;=WJ$23,VY4&lt;&gt;""),AND(VZ4&gt;=WJ$19,VZ4&lt;&gt;"",WB4&gt;=WJ$23,WB4&lt;&gt;""),AND(WD4&gt;=WJ$19,WD4&lt;&gt;"",WF4&gt;=WJ$23,WF4&lt;&gt;""),AND(WG4&gt;=WJ$19,WG4&lt;&gt;"",WI4&gt;=WJ$23,WI4&lt;&gt;"")),"Excellence",IF(I4="P","Worlds Team",IF(F4="P","National Team","")))))</f>
        <v>National Team</v>
      </c>
      <c r="I4" s="3" t="str">
        <f t="shared" ref="I4:I14" si="4">IF(OR(AND(AG4&gt;=AQ$18,AG4&lt;&gt;"",AI4&gt;=AQ$22,AI4&lt;&gt;"",AF4=""),AND(AJ4&gt;=AQ$18,AJ4&lt;&gt;"",AL4&gt;=AQ$22,AL4&lt;&gt;"",AF4=""),AND(AN4&gt;=AQ$18,AN4&lt;&gt;"",AP4&gt;=AQ$22,AP4&lt;&gt;"",AF4=""),AND(BH4&gt;=BR$18,BH4&lt;&gt;"",BJ4&gt;=BR$22,BJ4&lt;&gt;"",BG4=""),AND(BK4&gt;=BR$18,BK4&lt;&gt;"",BM4&gt;=BR$22,BM4&lt;&gt;"",BG4=""),AND(BO4&gt;=BR$18,BO4&lt;&gt;"",BQ4&gt;=BR$22,BQ4&lt;&gt;"",BG4=""),AND(CI4&gt;=CS$18,CI4&lt;&gt;"",CK4&gt;=CS$22,CK4&lt;&gt;"",CH4=""),AND(CL4&gt;=CS$18,CL4&lt;&gt;"",CN4&gt;=CS$22,CN4&lt;&gt;"",CH4=""),AND(CP4&gt;=CS$18,CP4&lt;&gt;"",CR4&gt;=CS$22,CR4&lt;&gt;"",CH4=""),AND(DO4&gt;=EB$18,DO4&lt;&gt;"",DQ4&gt;=EB$22,DQ4&lt;&gt;""),AND(DR4&gt;=EB$18,DR4&lt;&gt;"",DT4&gt;=EB$22,DT4&lt;&gt;""),AND(DV4&gt;=EB$18,DV4&lt;&gt;"",DX4&gt;=EB$22,DX4&lt;&gt;""),AND(DY4&gt;=EB$18,DY4&lt;&gt;"",EA4&gt;=EB$22,EA4&lt;&gt;""),AND(EW4&gt;=FJ$18,EW4&lt;&gt;"",EY4&gt;=FJ$22,EY4&lt;&gt;""),AND(EZ4&gt;=FJ$18,EZ4&lt;&gt;"",FB4&gt;=FJ$22,FB4&lt;&gt;""),AND(FD4&gt;=FJ$18,FD4&lt;&gt;"",FF4&gt;=FJ$22,FF4&lt;&gt;""),AND(FG4&gt;=FJ$18,FG4&lt;&gt;"",FI4&gt;=FJ$22,FI4&lt;&gt;""),AND(GE4&gt;=GR$18,GE4&lt;&gt;"",GG4&gt;=GR$22,GG4&lt;&gt;""),AND(GH4&gt;=GR$18,GH4&lt;&gt;"",GJ4&gt;=GR$22,GJ4&lt;&gt;""),AND(GL4&gt;=GR$18,GL4&lt;&gt;"",GN4&gt;=GR$22,GN4&lt;&gt;""),AND(GO4&gt;=GR$18,GO4&lt;&gt;"",GQ4&gt;=GR$22,GQ4&lt;&gt;""),AND(HM4&gt;=HZ$18,HM4&lt;&gt;"",HO4&gt;=HZ$22,HO4&lt;&gt;""),AND(HP4&gt;=HZ$18,HP4&lt;&gt;"",HR4&gt;=HZ$22,HR4&lt;&gt;""),AND(HT4&gt;=HZ$18,HT4&lt;&gt;"",HV4&gt;=HZ$22,HV4&lt;&gt;""),AND(HW4&gt;=HZ$18,HW4&lt;&gt;"",HY4&gt;=HZ$22,HY4&lt;&gt;""),AND(IU4&gt;=JH$18,IU4&lt;&gt;"",IW4&gt;=JH$22,IW4&lt;&gt;""),AND(IX4&gt;=JH$18,IX4&lt;&gt;"",IZ4&gt;=JH$22,IZ4&lt;&gt;""),AND(JB4&gt;=JH$18,JB4&lt;&gt;"",JD4&gt;=JH$22,JD4&lt;&gt;""),AND(JE4&gt;=JH$18,JE4&lt;&gt;"",JG4&gt;=JH$22,JG4&lt;&gt;""),AND(KC4&gt;=KP$18,KC4&lt;&gt;"",KE4&gt;=KP$22,KE4&lt;&gt;""),AND(KF4&gt;=KP$18,KF4&lt;&gt;"",KH4&gt;=KP$22,KH4&lt;&gt;""),AND(KJ4&gt;=KP$18,KJ4&lt;&gt;"",KL4&gt;=KP$22,KL4&lt;&gt;""),AND(KM4&gt;=KP$18,KM4&lt;&gt;"",KO4&gt;=KP$22,KO4&lt;&gt;""),AND(LK4&gt;=LX$18,LK4&lt;&gt;"",LM4&gt;=LX$22,LM4&lt;&gt;""),AND(LN4&gt;=LX$18,LN4&lt;&gt;"",LP4&gt;=LX$22,LP4&lt;&gt;""),AND(LR4&gt;=LX$18,LR4&lt;&gt;"",LT4&gt;=LX$22,LT4&lt;&gt;""),AND(LU4&gt;=LX$18,LU4&lt;&gt;"",LW4&gt;=LX$22,LW4&lt;&gt;""),AND(MS4&gt;=NF$18,MS4&lt;&gt;"",MU4&gt;=NF$22,MU4&lt;&gt;""),AND(MV4&gt;=NF$18,MV4&lt;&gt;"",MX4&gt;=NF$22,MX4&lt;&gt;""),AND(MZ4&gt;=NF$18,MZ4&lt;&gt;"",NB4&gt;=NF$22,NB4&lt;&gt;""),AND(NC4&gt;=NF$18,NC4&lt;&gt;"",NE4&gt;=NF$22,NE4&lt;&gt;""),AND(OA4&gt;=ON$18,OA4&lt;&gt;"",OC4&gt;=ON$22,OC4&lt;&gt;""),AND(OD4&gt;=ON$18,OD4&lt;&gt;"",OF4&gt;=ON$22,OF4&lt;&gt;""),AND(OH4&gt;=ON$18,OH4&lt;&gt;"",OJ4&gt;=ON$22,OJ4&lt;&gt;""),AND(OK4&gt;=ON$18,OK4&lt;&gt;"",OM4&gt;=ON$22,OM4&lt;&gt;""),AND(PI4&gt;=PV$18,PI4&lt;&gt;"",PK4&gt;=PV$22,PK4&lt;&gt;""),AND(PL4&gt;=PV$18,PL4&lt;&gt;"",PN4&gt;=PV$22,PN4&lt;&gt;""),AND(PP4&gt;=PV$18,PP4&lt;&gt;"",PR4&gt;=PV$22,PR4&lt;&gt;""),AND(PS4&gt;=PV$18,PS4&lt;&gt;"",PU4&gt;=PV$22,PU4&lt;&gt;""),AND(QQ4&gt;=RD$18,QQ4&lt;&gt;"",QS4&gt;=RD$22,QS4&lt;&gt;""),AND(QT4&gt;=RD$18,QT4&lt;&gt;"",QV4&gt;=RD$22,QV4&lt;&gt;""),AND(QX4&gt;=RD$18,QX4&lt;&gt;"",QZ4&gt;=RD$22,QZ4&lt;&gt;""),AND(RA4&gt;=RD$18,RA4&lt;&gt;"",RC4&gt;=RD$22,RC4&lt;&gt;""),AND(RY4&gt;=SL$18,RY4&lt;&gt;"",SA4&gt;=SL$22,SA4&lt;&gt;""),AND(SB4&gt;=SL$18,SB4&lt;&gt;"",SD4&gt;=SL$22,SD4&lt;&gt;""),AND(SF4&gt;=SL$18,SF4&lt;&gt;"",SH4&gt;=SL$22,SH4&lt;&gt;""),AND(SI4&gt;=SL$18,SI4&lt;&gt;"",SK4&gt;=SL$22,SK4&lt;&gt;""),AND(TG4&gt;=TT$18,TG4&lt;&gt;"",TI4&gt;=TT$22,TI4&lt;&gt;""),AND(TJ4&gt;=TT$18,TJ4&lt;&gt;"",TL4&gt;=TT$22,TL4&lt;&gt;""),AND(TN4&gt;=TT$18,TN4&lt;&gt;"",TP4&gt;=TT$22,TXN4&lt;&gt;""),AND(TQ4&gt;=TT$18,TQ4&lt;&gt;"",TS4&gt;=TT$22,TS4&lt;&gt;""),AND(UO4&gt;=VB$18,UO4&lt;&gt;"",UQ4&gt;=VB$22,UQ4&lt;&gt;""),AND(UR4&gt;=VB$18,UR4&lt;&gt;"",UT4&gt;=VB$22,UT4&lt;&gt;""),AND(UV4&gt;=VB$18,UV4&lt;&gt;"",UX4&gt;=VB$22,UX4&lt;&gt;""),AND(UY4&gt;=VB$18,UY4&lt;&gt;"",VA4&gt;=VB$22,VA4&lt;&gt;""),AND(VW4&gt;=WJ$18,VW4&lt;&gt;"",VY4&gt;=WJ$22,VY4&lt;&gt;""),AND(VZ4&gt;=WJ$18,VZ4&lt;&gt;"",WB4&gt;=WJ$22,WB4&lt;&gt;""),AND(WD4&gt;=WJ$18,WD4&lt;&gt;"",WF4&gt;=WJ$22,WF4&lt;&gt;""),AND(WG4&gt;=WJ$18,WG4&lt;&gt;"",WI4&gt;=WJ$22,WI4&lt;&gt;"")),"P","")</f>
        <v/>
      </c>
      <c r="J4" s="8">
        <f t="shared" ref="J4:J14" si="5">MAX(AI4,AL4,AP4,BJ4,BM4,BQ4,CK4,CN4,CR4)</f>
        <v>49.129999999999995</v>
      </c>
      <c r="K4" s="8" t="str">
        <f t="shared" ref="K4:K14" si="6">IF(J4="","",IF(OR(J4=CK4,J4=CN4,J4=CR4),$BS$1,IF(OR(J4=BJ4,J4=BM4,J4=BQ4),$AR$1,IF(OR(J4=AI4,J4=AL4,J4=AP4),$Q$1,""))))</f>
        <v>2025 Elite Canada</v>
      </c>
      <c r="L4" s="8">
        <f>IFERROR(LARGE((AI4,AL4,AP4,BJ4,BM4,BQ4,CK4,CN4,CR4),2),0)</f>
        <v>48.81</v>
      </c>
      <c r="M4" s="8" t="str">
        <f t="shared" ref="M4:M14" si="7">IF(L4="","",IF(OR(L4=CK4,L4=CN4,L4=CR4),$BS$1,IF(OR(L4=BJ4,L4=BM4,L4=BQ4),$AR$1,IF(OR(L4=AI4,L4=AL4,L4=AP4),$Q$1,""))))</f>
        <v>2025 Elite Canada</v>
      </c>
      <c r="N4" s="8">
        <f t="shared" ref="N4:N14" si="8">IF(MAX(CT4,0)&gt;0,MAX(CT4,0),0)</f>
        <v>1.8799999999999955</v>
      </c>
      <c r="O4" s="11" t="str">
        <f t="shared" ref="O4:O14" si="9">IF(N4=0,"",IF(N4=CT4,"("&amp;CT$2&amp;")"))</f>
        <v>(Any)</v>
      </c>
      <c r="P4" s="8" t="str">
        <f t="shared" ref="P4:P14" si="10">IF(N4=0,"",IF(N4+MAX(L4,0)=MAX(WC4,WF4,WI4),$VC$1,IF(N4+MAX(L4,0)=MAX(UU4,UX4,VA4),$TU$1,IF(N4+MAX(L4,0)=MAX(TM4,TP4,TS4),$SM$1,IF(N4+MAX(L4,0)=MAX(SE4,SH4,SK4),$RE$1,IF(N4+MAX(L4,0)=MAX(QW4,QZ4,RC4),$PW$1,IF(N4+MAX(L4,0)=MAX(PO4,PR4,PU4),$OO$1,IF(N4+MAX(L4,0)=MAX(OG4,OJ4,OM4),$NG$1,IF(N4+MAX(L4,0)=MAX(MY4,NB4,NE4),$LY$1,IF(N4+MAX(L4,0)=MAX(LQ4,LT4,LW4),$KQ$1,IF(N4+MAX(L4,0)=MAX(KI4,KL4,KO4),$JI$1,IF(N4+MAX(L4,0)=MAX(JA4,JD4,JG4),$IA$1,IF(N4+MAX(L4,0)=MAX(HS4,HV4,HY4),$GS$1,IF(N4+MAX(L4,0)=MAX(GK4,GN4,GQ4),$FK$1,IF(N4+MAX(L4,0)=MAX(FC4,FF4,FI4),$EC$1,IF(N4+MAX(L4,0)=MAX(DU4,DX4,EA4),$CU$1))))))))))))))))</f>
        <v>2025 World Cup GER (Sept 21)</v>
      </c>
      <c r="Q4" s="18">
        <v>8.5500000000000007</v>
      </c>
      <c r="R4" s="18">
        <v>9</v>
      </c>
      <c r="S4" s="18">
        <v>12.2</v>
      </c>
      <c r="T4" s="18">
        <v>19.059999999999999</v>
      </c>
      <c r="U4" s="18">
        <v>0</v>
      </c>
      <c r="V4" s="18">
        <v>8.68</v>
      </c>
      <c r="W4" s="18">
        <v>9.35</v>
      </c>
      <c r="X4" s="18">
        <v>12.2</v>
      </c>
      <c r="Y4" s="18">
        <v>18.899999999999999</v>
      </c>
      <c r="Z4" s="18">
        <v>0</v>
      </c>
      <c r="AA4" s="18">
        <v>1.63</v>
      </c>
      <c r="AB4" s="18">
        <v>1.8</v>
      </c>
      <c r="AC4" s="18">
        <v>3</v>
      </c>
      <c r="AD4" s="18">
        <v>3.26</v>
      </c>
      <c r="AE4" s="18">
        <v>0</v>
      </c>
      <c r="AF4" s="23"/>
      <c r="AG4" s="34">
        <f t="shared" ref="AG4:AG14" si="11">IF(S4&gt;0,S4,"")</f>
        <v>12.2</v>
      </c>
      <c r="AH4" s="34">
        <f t="shared" ref="AH4:AH14" si="12">IF(T4&gt;0,T4,"")</f>
        <v>19.059999999999999</v>
      </c>
      <c r="AI4" s="36">
        <f t="shared" ref="AI4:AI14" si="13">IF(SUM(Q4:T4)-U4&gt;0,SUM(Q4:T4)-U4,"")</f>
        <v>48.81</v>
      </c>
      <c r="AJ4" s="36">
        <f t="shared" ref="AJ4:AJ14" si="14">IF(X4&gt;0,X4,"")</f>
        <v>12.2</v>
      </c>
      <c r="AK4" s="36">
        <f t="shared" ref="AK4:AK14" si="15">IF(Y4&gt;0,Y4,"")</f>
        <v>18.899999999999999</v>
      </c>
      <c r="AL4" s="36">
        <f t="shared" ref="AL4:AL14" si="16">IF(SUM(V4:Y4)-Z4&gt;0,SUM(V4:Y4)-Z4,"")</f>
        <v>49.129999999999995</v>
      </c>
      <c r="AM4" s="36">
        <f t="shared" ref="AM4:AM14" si="17">IF(AI4="","",MAX(AI4,AL4))</f>
        <v>49.129999999999995</v>
      </c>
      <c r="AN4" s="36">
        <f t="shared" ref="AN4:AN14" si="18">IF(AC4&gt;0,AC4,"")</f>
        <v>3</v>
      </c>
      <c r="AO4" s="36">
        <f t="shared" ref="AO4:AO14" si="19">IF(AD4&gt;0,AD4,"")</f>
        <v>3.26</v>
      </c>
      <c r="AP4" s="36">
        <f t="shared" ref="AP4:AP14" si="20">IF(SUM(AA4:AD4)-AE4&gt;0,SUM(AA4:AD4)-AE4,"")</f>
        <v>9.69</v>
      </c>
      <c r="AQ4" s="36">
        <f t="shared" ref="AQ4:AQ14" si="21">IF(SUM(AM4,AP4)&gt;0,SUM(AM4,AP4),"")</f>
        <v>58.819999999999993</v>
      </c>
      <c r="AR4" s="22">
        <v>4.04</v>
      </c>
      <c r="AS4" s="22">
        <v>4.8</v>
      </c>
      <c r="AT4" s="22">
        <v>7.1</v>
      </c>
      <c r="AU4" s="22">
        <v>8.7200000000000006</v>
      </c>
      <c r="AV4" s="22">
        <v>0</v>
      </c>
      <c r="AW4" s="22">
        <v>0.75</v>
      </c>
      <c r="AX4" s="22">
        <v>0.9</v>
      </c>
      <c r="AY4" s="22">
        <v>1.7</v>
      </c>
      <c r="AZ4" s="22">
        <v>1.48</v>
      </c>
      <c r="BA4" s="22">
        <v>0</v>
      </c>
      <c r="BB4" s="22">
        <v>8.19</v>
      </c>
      <c r="BC4" s="22">
        <v>8.9499999999999993</v>
      </c>
      <c r="BD4" s="22">
        <v>14</v>
      </c>
      <c r="BE4" s="22">
        <v>14.28</v>
      </c>
      <c r="BF4" s="22">
        <v>0</v>
      </c>
      <c r="BG4" s="24"/>
      <c r="BH4" s="35">
        <f t="shared" ref="BH4:BH14" si="22">IF(AT4&gt;0,AT4,"")</f>
        <v>7.1</v>
      </c>
      <c r="BI4" s="35">
        <f t="shared" ref="BI4:BI14" si="23">IF(AU4&gt;0,AU4,"")</f>
        <v>8.7200000000000006</v>
      </c>
      <c r="BJ4" s="11">
        <f t="shared" ref="BJ4:BJ14" si="24">IF(SUM(AR4:AU4)-AV4&gt;0,SUM(AR4:AU4)-AV4,"")</f>
        <v>24.66</v>
      </c>
      <c r="BK4" s="11">
        <f t="shared" ref="BK4:BK14" si="25">IF(AY4&gt;0,AY4,"")</f>
        <v>1.7</v>
      </c>
      <c r="BL4" s="11">
        <f t="shared" ref="BL4:BL14" si="26">IF(AZ4&gt;0,AZ4,"")</f>
        <v>1.48</v>
      </c>
      <c r="BM4" s="11">
        <f t="shared" ref="BM4:BM14" si="27">IF(SUM(AW4:AZ4)-BA4&gt;0,SUM(AW4:AZ4)-BA4,"")</f>
        <v>4.83</v>
      </c>
      <c r="BN4" s="11">
        <f t="shared" ref="BN4:BN14" si="28">IF(BJ4="","",MAX(BJ4,BM4))</f>
        <v>24.66</v>
      </c>
      <c r="BO4" s="11">
        <f t="shared" ref="BO4:BO14" si="29">IF(BD4&gt;0,BD4,"")</f>
        <v>14</v>
      </c>
      <c r="BP4" s="11">
        <f t="shared" ref="BP4:BP14" si="30">IF(BE4&gt;0,BE4,"")</f>
        <v>14.28</v>
      </c>
      <c r="BQ4" s="11">
        <f t="shared" ref="BQ4:BQ14" si="31">IF(SUM(BB4:BE4)-BF4&gt;0,SUM(BB4:BE4)-BF4,"")</f>
        <v>45.42</v>
      </c>
      <c r="BR4" s="11">
        <f t="shared" ref="BR4:BR14" si="32">IF(SUM(BN4,BQ4)&gt;0,SUM(BN4,BQ4),"")</f>
        <v>70.08</v>
      </c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23"/>
      <c r="CI4" s="34" t="str">
        <f t="shared" ref="CI4:CI14" si="33">IF(BU4&gt;0,BU4,"")</f>
        <v/>
      </c>
      <c r="CJ4" s="34" t="str">
        <f t="shared" ref="CJ4:CJ14" si="34">IF(BV4&gt;0,BV4,"")</f>
        <v/>
      </c>
      <c r="CK4" s="36" t="str">
        <f t="shared" ref="CK4:CK14" si="35">IF(SUM(BS4:BV4)-BW4&gt;0,SUM(BS4:BV4)-BW4,"")</f>
        <v/>
      </c>
      <c r="CL4" s="36" t="str">
        <f t="shared" ref="CL4:CL14" si="36">IF(BZ4&gt;0,BZ4,"")</f>
        <v/>
      </c>
      <c r="CM4" s="36" t="str">
        <f t="shared" ref="CM4:CM14" si="37">IF(CA4&gt;0,CA4,"")</f>
        <v/>
      </c>
      <c r="CN4" s="36" t="str">
        <f t="shared" ref="CN4:CN14" si="38">IF(SUM(BX4:CA4)-CB4&gt;0,SUM(BX4:CA4)-CB4,"")</f>
        <v/>
      </c>
      <c r="CO4" s="36" t="str">
        <f t="shared" ref="CO4:CO14" si="39">IF(CK4="","",MAX(CK4,CN4))</f>
        <v/>
      </c>
      <c r="CP4" s="36" t="str">
        <f t="shared" ref="CP4:CP14" si="40">IF(CE4&gt;0,CE4,"")</f>
        <v/>
      </c>
      <c r="CQ4" s="36" t="str">
        <f t="shared" ref="CQ4:CQ14" si="41">IF(CF4&gt;0,CF4,"")</f>
        <v/>
      </c>
      <c r="CR4" s="36" t="str">
        <f t="shared" ref="CR4:CR14" si="42">IF(SUM(CC4:CF4)-CG4&gt;0,SUM(CC4:CF4)-CG4,"")</f>
        <v/>
      </c>
      <c r="CS4" s="36" t="str">
        <f t="shared" ref="CS4:CS14" si="43">IF(SUM(CO4,CR4)&gt;0,SUM(CO4,CR4),"")</f>
        <v/>
      </c>
      <c r="CT4" s="47">
        <f t="shared" ref="CT4:CT14" si="44">IF(MAX(DU4,DX4,EA4,FC4,FF4,FI4,GK4,GN4,GQ4,HS4,HV4,HY4,JA4,JD4,JG4,KI4,KL4,KO4,LQ4,LT4,LW4,MY4,NB4,NE4,OG4,OJ4,OM4,PO4,PR4,PU4,QW4,QZ4,RC4,SE4,SH4,SK4,TM4,TP4,TS4,UU4,UX4,VA4,WC4,WF4,WI4)-MAX(L4,0)&gt;0.001,MAX(DU4,DX4,EA4,FC4,FF4,FI4,GK4,GN4,GQ4,HS4,HV4,HY4,JA4,JD4,JG4,KI4,KL4,KO4,LQ4,LT4,LW4,MY4,NB4,NE4,OG4,OJ4,OM4,PO4,PR4,PU4,QW4,QZ4,RC4,SE4,SH4,SK4,TM4,TP4,TS4,UU4,UX4,VA4,WC4,WF4,WI4)-MAX(L4,0),"")</f>
        <v>1.8799999999999955</v>
      </c>
      <c r="CU4" s="15">
        <v>8.1999999999999993</v>
      </c>
      <c r="CV4" s="15">
        <v>9.6</v>
      </c>
      <c r="CW4" s="15">
        <v>12.2</v>
      </c>
      <c r="CX4" s="15">
        <v>18.38</v>
      </c>
      <c r="CY4" s="15">
        <v>0</v>
      </c>
      <c r="CZ4" s="15">
        <v>8</v>
      </c>
      <c r="DA4" s="15">
        <v>9.15</v>
      </c>
      <c r="DB4" s="15">
        <v>14</v>
      </c>
      <c r="DC4" s="15">
        <v>17.88</v>
      </c>
      <c r="DD4" s="15">
        <v>0</v>
      </c>
      <c r="DE4" s="15"/>
      <c r="DF4" s="15"/>
      <c r="DG4" s="15"/>
      <c r="DH4" s="15"/>
      <c r="DI4" s="15"/>
      <c r="DJ4" s="15">
        <v>4.2</v>
      </c>
      <c r="DK4" s="15">
        <v>4.55</v>
      </c>
      <c r="DL4" s="15">
        <v>7.1</v>
      </c>
      <c r="DM4" s="15">
        <v>9.1999999999999993</v>
      </c>
      <c r="DN4" s="15">
        <v>0</v>
      </c>
      <c r="DO4" s="36">
        <f t="shared" ref="DO4:DO14" si="45">IF(CW4&gt;0,CW4,"")</f>
        <v>12.2</v>
      </c>
      <c r="DP4" s="36">
        <f t="shared" ref="DP4:DP14" si="46">IF(CX4&gt;0,CX4,"")</f>
        <v>18.38</v>
      </c>
      <c r="DQ4" s="36">
        <f t="shared" ref="DQ4:DQ14" si="47">IF(SUM(CU4:CX4)-CY4&gt;0,SUM(CU4:CX4)-CY4,"")</f>
        <v>48.379999999999995</v>
      </c>
      <c r="DR4" s="36">
        <f t="shared" ref="DR4:DR14" si="48">IF(DB4&gt;0,DB4,"")</f>
        <v>14</v>
      </c>
      <c r="DS4" s="36">
        <f t="shared" ref="DS4:DS14" si="49">IF(DC4&gt;0,DC4,"")</f>
        <v>17.88</v>
      </c>
      <c r="DT4" s="36">
        <f t="shared" ref="DT4:DT14" si="50">IF(SUM(CZ4:DC4)-DD4&gt;0,SUM(CZ4:DC4)-DD4,"")</f>
        <v>49.03</v>
      </c>
      <c r="DU4" s="36">
        <f t="shared" ref="DU4:DU14" si="51">IF(MAX(DQ4,DT4)&gt;0,MAX(DQ4,DT4),"")</f>
        <v>49.03</v>
      </c>
      <c r="DV4" s="36" t="str">
        <f t="shared" ref="DV4:DV14" si="52">IF(DG4&gt;0,DG4,"")</f>
        <v/>
      </c>
      <c r="DW4" s="36" t="str">
        <f t="shared" ref="DW4:DW14" si="53">IF(DH4&gt;0,DH4,"")</f>
        <v/>
      </c>
      <c r="DX4" s="36" t="str">
        <f t="shared" ref="DX4:DX14" si="54">IF(SUM(DE4:DH4)-DI4&gt;0,SUM(DE4:DH4)-DI4,"")</f>
        <v/>
      </c>
      <c r="DY4" s="36">
        <f t="shared" ref="DY4:DY14" si="55">IF(DL4&gt;0,DL4,"")</f>
        <v>7.1</v>
      </c>
      <c r="DZ4" s="36">
        <f t="shared" ref="DZ4:DZ14" si="56">IF(DM4&gt;0,DM4,"")</f>
        <v>9.1999999999999993</v>
      </c>
      <c r="EA4" s="36">
        <f t="shared" ref="EA4:EA14" si="57">IF(SUM(DJ4:DM4)-DN4&gt;0,SUM(DJ4:DM4)-DN4,"")</f>
        <v>25.049999999999997</v>
      </c>
      <c r="EB4" s="36">
        <f t="shared" ref="EB4:EB14" si="58">IF(SUM(DU4,DX4,EA4)&gt;0,SUM(DU4,DX4,EA4),"")</f>
        <v>74.08</v>
      </c>
      <c r="EC4" s="16"/>
      <c r="ED4" s="16"/>
      <c r="EE4" s="16"/>
      <c r="EF4" s="16"/>
      <c r="EG4" s="16"/>
      <c r="EH4" s="16"/>
      <c r="EI4" s="16"/>
      <c r="EJ4" s="16"/>
      <c r="EK4" s="16"/>
      <c r="EL4" s="16"/>
      <c r="EM4" s="16"/>
      <c r="EN4" s="16"/>
      <c r="EO4" s="16"/>
      <c r="EP4" s="16"/>
      <c r="EQ4" s="16"/>
      <c r="ER4" s="16"/>
      <c r="ES4" s="16"/>
      <c r="ET4" s="16"/>
      <c r="EU4" s="16"/>
      <c r="EV4" s="16"/>
      <c r="EW4" s="11" t="str">
        <f t="shared" ref="EW4:EW14" si="59">IF(EE4&gt;0,EE4,"")</f>
        <v/>
      </c>
      <c r="EX4" s="11" t="str">
        <f t="shared" ref="EX4:EX14" si="60">IF(EF4&gt;0,EF4,"")</f>
        <v/>
      </c>
      <c r="EY4" s="11" t="str">
        <f t="shared" ref="EY4:EY14" si="61">IF(SUM(EC4:EF4)-EG4&gt;0,SUM(EC4:EF4)-EG4,"")</f>
        <v/>
      </c>
      <c r="EZ4" s="11" t="str">
        <f t="shared" ref="EZ4:EZ14" si="62">IF(EJ4&gt;0,EJ4,"")</f>
        <v/>
      </c>
      <c r="FA4" s="11" t="str">
        <f t="shared" ref="FA4:FA14" si="63">IF(EK4&gt;0,EK4,"")</f>
        <v/>
      </c>
      <c r="FB4" s="11" t="str">
        <f t="shared" ref="FB4:FB14" si="64">IF(SUM(EH4:EK4)-EL4&gt;0,SUM(EH4:EK4)-EL4,"")</f>
        <v/>
      </c>
      <c r="FC4" s="11" t="str">
        <f t="shared" ref="FC4:FC14" si="65">IF(MAX(EY4,FB4)&gt;0,MAX(EY4,FB4),"")</f>
        <v/>
      </c>
      <c r="FD4" s="11" t="str">
        <f t="shared" ref="FD4:FD14" si="66">IF(EO4&gt;0,EO4,"")</f>
        <v/>
      </c>
      <c r="FE4" s="11" t="str">
        <f t="shared" ref="FE4:FE14" si="67">IF(EP4&gt;0,EP4,"")</f>
        <v/>
      </c>
      <c r="FF4" s="11" t="str">
        <f t="shared" ref="FF4:FF14" si="68">IF(SUM(EM4:EP4)-EQ4&gt;0,SUM(EM4:EP4)-EQ4,"")</f>
        <v/>
      </c>
      <c r="FG4" s="11" t="str">
        <f t="shared" ref="FG4:FG14" si="69">IF(ET4&gt;0,ET4,"")</f>
        <v/>
      </c>
      <c r="FH4" s="11" t="str">
        <f t="shared" ref="FH4:FH14" si="70">IF(EU4&gt;0,EU4,"")</f>
        <v/>
      </c>
      <c r="FI4" s="11" t="str">
        <f t="shared" ref="FI4:FI14" si="71">IF(SUM(ER4:EU4)-EV4&gt;0,SUM(ER4:EU4)-EV4,"")</f>
        <v/>
      </c>
      <c r="FJ4" s="11" t="str">
        <f t="shared" ref="FJ4:FJ14" si="72">IF(SUM(FC4,FF4,FI4)&gt;0,SUM(FC4,FF4,FI4),"")</f>
        <v/>
      </c>
      <c r="FK4" s="15">
        <v>7.5</v>
      </c>
      <c r="FL4" s="15">
        <v>9.25</v>
      </c>
      <c r="FM4" s="15">
        <v>14</v>
      </c>
      <c r="FN4" s="15">
        <v>17.739999999999998</v>
      </c>
      <c r="FO4" s="15">
        <v>0.2</v>
      </c>
      <c r="FP4" s="15">
        <v>7.55</v>
      </c>
      <c r="FQ4" s="15">
        <v>9.4</v>
      </c>
      <c r="FR4" s="15">
        <v>14</v>
      </c>
      <c r="FS4" s="15">
        <v>15.78</v>
      </c>
      <c r="FT4" s="15">
        <v>0</v>
      </c>
      <c r="FU4" s="15"/>
      <c r="FV4" s="15"/>
      <c r="FW4" s="15"/>
      <c r="FX4" s="15"/>
      <c r="FY4" s="15"/>
      <c r="FZ4" s="15">
        <v>8</v>
      </c>
      <c r="GA4" s="15">
        <v>9.3000000000000007</v>
      </c>
      <c r="GB4" s="15">
        <v>14</v>
      </c>
      <c r="GC4" s="15">
        <v>17.28</v>
      </c>
      <c r="GD4" s="15">
        <v>0</v>
      </c>
      <c r="GE4" s="36">
        <f t="shared" ref="GE4:GE14" si="73">IF(FM4&gt;0,FM4,"")</f>
        <v>14</v>
      </c>
      <c r="GF4" s="36">
        <f t="shared" ref="GF4:GF14" si="74">IF(FN4&gt;0,FN4,"")</f>
        <v>17.739999999999998</v>
      </c>
      <c r="GG4" s="36">
        <f t="shared" ref="GG4:GG14" si="75">IF(SUM(FK4:FN4)-FO4&gt;0,SUM(FK4:FN4)-FO4,"")</f>
        <v>48.289999999999992</v>
      </c>
      <c r="GH4" s="36">
        <f t="shared" ref="GH4:GH14" si="76">IF(FR4&gt;0,FR4,"")</f>
        <v>14</v>
      </c>
      <c r="GI4" s="36">
        <f t="shared" ref="GI4:GI14" si="77">IF(FS4&gt;0,FS4,"")</f>
        <v>15.78</v>
      </c>
      <c r="GJ4" s="36">
        <f t="shared" ref="GJ4:GJ14" si="78">IF(SUM(FP4:FS4)-FT4&gt;0,SUM(FP4:FS4)-FT4,"")</f>
        <v>46.73</v>
      </c>
      <c r="GK4" s="36">
        <f t="shared" ref="GK4:GK14" si="79">IF(MAX(GG4,GJ4)&gt;0,MAX(GG4,GJ4),"")</f>
        <v>48.289999999999992</v>
      </c>
      <c r="GL4" s="36" t="str">
        <f t="shared" ref="GL4:GL14" si="80">IF(FW4&gt;0,FW4,"")</f>
        <v/>
      </c>
      <c r="GM4" s="36" t="str">
        <f t="shared" ref="GM4:GM14" si="81">IF(FX4&gt;0,FX4,"")</f>
        <v/>
      </c>
      <c r="GN4" s="36" t="str">
        <f t="shared" ref="GN4:GN14" si="82">IF(SUM(FU4:FX4)-FY4&gt;0,SUM(FU4:FX4)-FY4,"")</f>
        <v/>
      </c>
      <c r="GO4" s="36">
        <f t="shared" ref="GO4:GO14" si="83">IF(GB4&gt;0,GB4,"")</f>
        <v>14</v>
      </c>
      <c r="GP4" s="36">
        <f t="shared" ref="GP4:GP14" si="84">IF(GC4&gt;0,GC4,"")</f>
        <v>17.28</v>
      </c>
      <c r="GQ4" s="36">
        <f t="shared" ref="GQ4:GQ14" si="85">IF(SUM(FZ4:GC4)-GD4&gt;0,SUM(FZ4:GC4)-GD4,"")</f>
        <v>48.58</v>
      </c>
      <c r="GR4" s="36">
        <f t="shared" ref="GR4:GR14" si="86">IF(SUM(GK4,GN4,GQ4)&gt;0,SUM(GK4,GN4,GQ4),"")</f>
        <v>96.86999999999999</v>
      </c>
      <c r="GS4" s="16">
        <v>7.65</v>
      </c>
      <c r="GT4" s="16">
        <v>9.15</v>
      </c>
      <c r="GU4" s="16">
        <v>14</v>
      </c>
      <c r="GV4" s="16">
        <v>18.079999999999998</v>
      </c>
      <c r="GW4" s="16">
        <v>0.4</v>
      </c>
      <c r="GX4" s="16">
        <v>7.45</v>
      </c>
      <c r="GY4" s="16">
        <v>9.4499999999999993</v>
      </c>
      <c r="GZ4" s="16">
        <v>14</v>
      </c>
      <c r="HA4" s="16">
        <v>17.28</v>
      </c>
      <c r="HB4" s="16">
        <v>0</v>
      </c>
      <c r="HC4" s="16">
        <v>3.15</v>
      </c>
      <c r="HD4" s="16">
        <v>3.6</v>
      </c>
      <c r="HE4" s="16">
        <v>5.6</v>
      </c>
      <c r="HF4" s="16">
        <v>7.5</v>
      </c>
      <c r="HG4" s="16">
        <v>0</v>
      </c>
      <c r="HH4" s="16">
        <v>7.5</v>
      </c>
      <c r="HI4" s="16">
        <v>9.4</v>
      </c>
      <c r="HJ4" s="16">
        <v>14</v>
      </c>
      <c r="HK4" s="16">
        <v>16.84</v>
      </c>
      <c r="HL4" s="16">
        <v>0</v>
      </c>
      <c r="HM4" s="11">
        <f t="shared" ref="HM4:HM14" si="87">IF(GU4&gt;0,GU4,"")</f>
        <v>14</v>
      </c>
      <c r="HN4" s="11">
        <f t="shared" ref="HN4:HN14" si="88">IF(GV4&gt;0,GV4,"")</f>
        <v>18.079999999999998</v>
      </c>
      <c r="HO4" s="11">
        <f t="shared" ref="HO4:HO14" si="89">IF(SUM(GS4:GV4)-GW4&gt;0,SUM(GS4:GV4)-GW4,"")</f>
        <v>48.48</v>
      </c>
      <c r="HP4" s="11">
        <f t="shared" ref="HP4:HP14" si="90">IF(GZ4&gt;0,GZ4,"")</f>
        <v>14</v>
      </c>
      <c r="HQ4" s="11">
        <f t="shared" ref="HQ4:HQ14" si="91">IF(HA4&gt;0,HA4,"")</f>
        <v>17.28</v>
      </c>
      <c r="HR4" s="11">
        <f t="shared" ref="HR4:HR14" si="92">IF(SUM(GX4:HA4)-HB4&gt;0,SUM(GX4:HA4)-HB4,"")</f>
        <v>48.18</v>
      </c>
      <c r="HS4" s="11">
        <f t="shared" ref="HS4:HS14" si="93">IF(MAX(HO4,HR4)&gt;0,MAX(HO4,HR4),"")</f>
        <v>48.48</v>
      </c>
      <c r="HT4" s="11">
        <f t="shared" ref="HT4:HT14" si="94">IF(HE4&gt;0,HE4,"")</f>
        <v>5.6</v>
      </c>
      <c r="HU4" s="11">
        <f t="shared" ref="HU4:HU14" si="95">IF(HF4&gt;0,HF4,"")</f>
        <v>7.5</v>
      </c>
      <c r="HV4" s="11">
        <f t="shared" ref="HV4:HV14" si="96">IF(SUM(HC4:HF4)-HG4&gt;0,SUM(HC4:HF4)-HG4,"")</f>
        <v>19.850000000000001</v>
      </c>
      <c r="HW4" s="11">
        <f t="shared" ref="HW4:HW14" si="97">IF(HJ4&gt;0,HJ4,"")</f>
        <v>14</v>
      </c>
      <c r="HX4" s="11">
        <f t="shared" ref="HX4:HX14" si="98">IF(HK4&gt;0,HK4,"")</f>
        <v>16.84</v>
      </c>
      <c r="HY4" s="11">
        <f t="shared" ref="HY4:HY14" si="99">IF(SUM(HH4:HK4)-HL4&gt;0,SUM(HH4:HK4)-HL4,"")</f>
        <v>47.739999999999995</v>
      </c>
      <c r="HZ4" s="11">
        <f t="shared" ref="HZ4:HZ14" si="100">IF(SUM(HS4,HV4,HY4)&gt;0,SUM(HS4,HV4,HY4),"")</f>
        <v>116.07</v>
      </c>
      <c r="IA4" s="15"/>
      <c r="IB4" s="15"/>
      <c r="IC4" s="15"/>
      <c r="ID4" s="15"/>
      <c r="IE4" s="15"/>
      <c r="IF4" s="15"/>
      <c r="IG4" s="15"/>
      <c r="IH4" s="15"/>
      <c r="II4" s="15"/>
      <c r="IJ4" s="15"/>
      <c r="IK4" s="15"/>
      <c r="IL4" s="15"/>
      <c r="IM4" s="15"/>
      <c r="IN4" s="15"/>
      <c r="IO4" s="15"/>
      <c r="IP4" s="15"/>
      <c r="IQ4" s="15"/>
      <c r="IR4" s="15"/>
      <c r="IS4" s="15"/>
      <c r="IT4" s="15"/>
      <c r="IU4" s="36" t="str">
        <f t="shared" ref="IU4:IU14" si="101">IF(IC4&gt;0,IC4,"")</f>
        <v/>
      </c>
      <c r="IV4" s="36" t="str">
        <f t="shared" ref="IV4:IV14" si="102">IF(ID4&gt;0,ID4,"")</f>
        <v/>
      </c>
      <c r="IW4" s="36" t="str">
        <f t="shared" ref="IW4:IW14" si="103">IF(SUM(IA4:ID4)-IE4&gt;0,SUM(IA4:ID4)-IE4,"")</f>
        <v/>
      </c>
      <c r="IX4" s="36" t="str">
        <f t="shared" ref="IX4:IX14" si="104">IF(IH4&gt;0,IH4,"")</f>
        <v/>
      </c>
      <c r="IY4" s="36" t="str">
        <f t="shared" ref="IY4:IY14" si="105">IF(II4&gt;0,II4,"")</f>
        <v/>
      </c>
      <c r="IZ4" s="36" t="str">
        <f t="shared" ref="IZ4:IZ14" si="106">IF(SUM(IF4:II4)-IJ4&gt;0,SUM(IF4:II4)-IJ4,"")</f>
        <v/>
      </c>
      <c r="JA4" s="36" t="str">
        <f t="shared" ref="JA4:JA14" si="107">IF(MAX(IW4,IZ4)&gt;0,MAX(IW4,IZ4),"")</f>
        <v/>
      </c>
      <c r="JB4" s="36" t="str">
        <f t="shared" ref="JB4:JB14" si="108">IF(IM4&gt;0,IM4,"")</f>
        <v/>
      </c>
      <c r="JC4" s="36" t="str">
        <f t="shared" ref="JC4:JC14" si="109">IF(IN4&gt;0,IN4,"")</f>
        <v/>
      </c>
      <c r="JD4" s="36" t="str">
        <f t="shared" ref="JD4:JD14" si="110">IF(SUM(IK4:IN4)-IO4&gt;0,SUM(IK4:IN4)-IO4,"")</f>
        <v/>
      </c>
      <c r="JE4" s="36" t="str">
        <f t="shared" ref="JE4:JE14" si="111">IF(IR4&gt;0,IR4,"")</f>
        <v/>
      </c>
      <c r="JF4" s="36" t="str">
        <f t="shared" ref="JF4:JF14" si="112">IF(IS4&gt;0,IS4,"")</f>
        <v/>
      </c>
      <c r="JG4" s="36" t="str">
        <f t="shared" ref="JG4:JG14" si="113">IF(SUM(IP4:IS4)-IT4&gt;0,SUM(IP4:IS4)-IT4,"")</f>
        <v/>
      </c>
      <c r="JH4" s="36" t="str">
        <f t="shared" ref="JH4:JH14" si="114">IF(SUM(JA4,JD4,JG4)&gt;0,SUM(JA4,JD4,JG4),"")</f>
        <v/>
      </c>
      <c r="JI4" s="16">
        <v>6.95</v>
      </c>
      <c r="JJ4" s="16">
        <v>8.3000000000000007</v>
      </c>
      <c r="JK4" s="16">
        <v>12.3</v>
      </c>
      <c r="JL4" s="16">
        <v>10.96</v>
      </c>
      <c r="JM4" s="16">
        <v>0</v>
      </c>
      <c r="JN4" s="16">
        <v>8.35</v>
      </c>
      <c r="JO4" s="16">
        <v>9.4</v>
      </c>
      <c r="JP4" s="16">
        <v>14</v>
      </c>
      <c r="JQ4" s="16">
        <v>18.940000000000001</v>
      </c>
      <c r="JR4" s="16">
        <v>0</v>
      </c>
      <c r="JS4" s="16"/>
      <c r="JT4" s="16"/>
      <c r="JU4" s="16"/>
      <c r="JV4" s="16"/>
      <c r="JW4" s="16"/>
      <c r="JX4" s="16">
        <v>8.15</v>
      </c>
      <c r="JY4" s="16">
        <v>9.25</v>
      </c>
      <c r="JZ4" s="16">
        <v>14</v>
      </c>
      <c r="KA4" s="16">
        <v>17.739999999999998</v>
      </c>
      <c r="KB4" s="16">
        <v>0</v>
      </c>
      <c r="KC4" s="11">
        <f t="shared" ref="KC4:KC14" si="115">IF(JK4&gt;0,JK4,"")</f>
        <v>12.3</v>
      </c>
      <c r="KD4" s="11">
        <f t="shared" ref="KD4:KD14" si="116">IF(JL4&gt;0,JL4,"")</f>
        <v>10.96</v>
      </c>
      <c r="KE4" s="11">
        <f t="shared" ref="KE4:KE14" si="117">IF(SUM(JI4:JL4)-JM4&gt;0,SUM(JI4:JL4)-JM4,"")</f>
        <v>38.510000000000005</v>
      </c>
      <c r="KF4" s="11">
        <f t="shared" ref="KF4:KF14" si="118">IF(JP4&gt;0,JP4,"")</f>
        <v>14</v>
      </c>
      <c r="KG4" s="11">
        <f t="shared" ref="KG4:KG14" si="119">IF(JQ4&gt;0,JQ4,"")</f>
        <v>18.940000000000001</v>
      </c>
      <c r="KH4" s="11">
        <f t="shared" ref="KH4:KH14" si="120">IF(SUM(JN4:JQ4)-JR4&gt;0,SUM(JN4:JQ4)-JR4,"")</f>
        <v>50.69</v>
      </c>
      <c r="KI4" s="11">
        <f t="shared" ref="KI4:KI14" si="121">IF(MAX(KE4,KH4)&gt;0,MAX(KE4,KH4),"")</f>
        <v>50.69</v>
      </c>
      <c r="KJ4" s="11" t="str">
        <f t="shared" ref="KJ4:KJ14" si="122">IF(JU4&gt;0,JU4,"")</f>
        <v/>
      </c>
      <c r="KK4" s="11" t="str">
        <f t="shared" ref="KK4:KK14" si="123">IF(JV4&gt;0,JV4,"")</f>
        <v/>
      </c>
      <c r="KL4" s="11" t="str">
        <f t="shared" ref="KL4:KL14" si="124">IF(SUM(JS4:JV4)-JW4&gt;0,SUM(JS4:JV4)-JW4,"")</f>
        <v/>
      </c>
      <c r="KM4" s="11">
        <f t="shared" ref="KM4:KM14" si="125">IF(JZ4&gt;0,JZ4,"")</f>
        <v>14</v>
      </c>
      <c r="KN4" s="11">
        <f t="shared" ref="KN4:KN14" si="126">IF(KA4&gt;0,KA4,"")</f>
        <v>17.739999999999998</v>
      </c>
      <c r="KO4" s="11">
        <f t="shared" ref="KO4:KO14" si="127">IF(SUM(JX4:KA4)-KB4&gt;0,SUM(JX4:KA4)-KB4,"")</f>
        <v>49.14</v>
      </c>
      <c r="KP4" s="11">
        <f t="shared" ref="KP4:KP14" si="128">IF(SUM(KI4,KL4,KO4)&gt;0,SUM(KI4,KL4,KO4),"")</f>
        <v>99.83</v>
      </c>
      <c r="KQ4" s="15">
        <v>7.85</v>
      </c>
      <c r="KR4" s="15">
        <v>9.25</v>
      </c>
      <c r="KS4" s="15">
        <v>14</v>
      </c>
      <c r="KT4" s="15">
        <v>16.7</v>
      </c>
      <c r="KU4" s="15">
        <v>0</v>
      </c>
      <c r="KV4" s="15">
        <v>7.8</v>
      </c>
      <c r="KW4" s="15">
        <v>9.35</v>
      </c>
      <c r="KX4" s="15">
        <v>14</v>
      </c>
      <c r="KY4" s="15">
        <v>18.12</v>
      </c>
      <c r="KZ4" s="15">
        <v>0</v>
      </c>
      <c r="LA4" s="15"/>
      <c r="LB4" s="15"/>
      <c r="LC4" s="15"/>
      <c r="LD4" s="15"/>
      <c r="LE4" s="15"/>
      <c r="LF4" s="15">
        <v>7.9</v>
      </c>
      <c r="LG4" s="15">
        <v>9.4499999999999993</v>
      </c>
      <c r="LH4" s="15">
        <v>14</v>
      </c>
      <c r="LI4" s="15">
        <v>18.88</v>
      </c>
      <c r="LJ4" s="15">
        <v>0</v>
      </c>
      <c r="LK4" s="36">
        <f t="shared" ref="LK4:LK14" si="129">IF(KS4&gt;0,KS4,"")</f>
        <v>14</v>
      </c>
      <c r="LL4" s="36">
        <f t="shared" ref="LL4:LL14" si="130">IF(KT4&gt;0,KT4,"")</f>
        <v>16.7</v>
      </c>
      <c r="LM4" s="36">
        <f t="shared" ref="LM4:LM14" si="131">IF(SUM(KQ4:KT4)-KU4&gt;0,SUM(KQ4:KT4)-KU4,"")</f>
        <v>47.8</v>
      </c>
      <c r="LN4" s="36">
        <f t="shared" ref="LN4:LN14" si="132">IF(KX4&gt;0,KX4,"")</f>
        <v>14</v>
      </c>
      <c r="LO4" s="36">
        <f t="shared" ref="LO4:LO14" si="133">IF(KY4&gt;0,KY4,"")</f>
        <v>18.12</v>
      </c>
      <c r="LP4" s="36">
        <f t="shared" ref="LP4:LP14" si="134">IF(SUM(KV4:KY4)-KZ4&gt;0,SUM(KV4:KY4)-KZ4,"")</f>
        <v>49.269999999999996</v>
      </c>
      <c r="LQ4" s="36">
        <f t="shared" ref="LQ4:LQ14" si="135">IF(MAX(LM4,LP4)&gt;0,MAX(LM4,LP4),"")</f>
        <v>49.269999999999996</v>
      </c>
      <c r="LR4" s="36" t="str">
        <f t="shared" ref="LR4:LR14" si="136">IF(LC4&gt;0,LC4,"")</f>
        <v/>
      </c>
      <c r="LS4" s="36" t="str">
        <f t="shared" ref="LS4:LS14" si="137">IF(LD4&gt;0,LD4,"")</f>
        <v/>
      </c>
      <c r="LT4" s="36" t="str">
        <f t="shared" ref="LT4:LT14" si="138">IF(SUM(LA4:LD4)-LE4&gt;0,SUM(LA4:LD4)-LE4,"")</f>
        <v/>
      </c>
      <c r="LU4" s="36">
        <f t="shared" ref="LU4:LU14" si="139">IF(LH4&gt;0,LH4,"")</f>
        <v>14</v>
      </c>
      <c r="LV4" s="36">
        <f t="shared" ref="LV4:LV14" si="140">IF(LI4&gt;0,LI4,"")</f>
        <v>18.88</v>
      </c>
      <c r="LW4" s="36">
        <f t="shared" ref="LW4:LW14" si="141">IF(SUM(LF4:LI4)-LJ4&gt;0,SUM(LF4:LI4)-LJ4,"")</f>
        <v>50.230000000000004</v>
      </c>
      <c r="LX4" s="36">
        <f t="shared" ref="LX4:LX14" si="142">IF(SUM(LQ4,LT4,LW4)&gt;0,SUM(LQ4,LT4,LW4),"")</f>
        <v>99.5</v>
      </c>
      <c r="LY4" s="16">
        <v>3.95</v>
      </c>
      <c r="LZ4" s="16">
        <v>4.6500000000000004</v>
      </c>
      <c r="MA4" s="16">
        <v>7.1</v>
      </c>
      <c r="MB4" s="16">
        <v>7.88</v>
      </c>
      <c r="MC4" s="16">
        <v>0</v>
      </c>
      <c r="MD4" s="16">
        <v>4.0999999999999996</v>
      </c>
      <c r="ME4" s="16">
        <v>4.6500000000000004</v>
      </c>
      <c r="MF4" s="16">
        <v>7.1</v>
      </c>
      <c r="MG4" s="16">
        <v>8.6999999999999993</v>
      </c>
      <c r="MH4" s="16">
        <v>0.2</v>
      </c>
      <c r="MI4" s="16"/>
      <c r="MJ4" s="16"/>
      <c r="MK4" s="16"/>
      <c r="ML4" s="16"/>
      <c r="MM4" s="16"/>
      <c r="MN4" s="16"/>
      <c r="MO4" s="16"/>
      <c r="MP4" s="16"/>
      <c r="MQ4" s="16"/>
      <c r="MR4" s="16"/>
      <c r="MS4" s="11">
        <f t="shared" ref="MS4:MS14" si="143">IF(MA4&gt;0,MA4,"")</f>
        <v>7.1</v>
      </c>
      <c r="MT4" s="11">
        <f t="shared" ref="MT4:MT14" si="144">IF(MB4&gt;0,MB4,"")</f>
        <v>7.88</v>
      </c>
      <c r="MU4" s="11">
        <f t="shared" ref="MU4:MU14" si="145">IF(SUM(LY4:MB4)-MC4&gt;0,SUM(LY4:MB4)-MC4,"")</f>
        <v>23.580000000000002</v>
      </c>
      <c r="MV4" s="11">
        <f t="shared" ref="MV4:MV14" si="146">IF(MF4&gt;0,MF4,"")</f>
        <v>7.1</v>
      </c>
      <c r="MW4" s="11">
        <f t="shared" ref="MW4:MW14" si="147">IF(MG4&gt;0,MG4,"")</f>
        <v>8.6999999999999993</v>
      </c>
      <c r="MX4" s="11">
        <f t="shared" ref="MX4:MX14" si="148">IF(SUM(MD4:MG4)-MH4&gt;0,SUM(MD4:MG4)-MH4,"")</f>
        <v>24.349999999999998</v>
      </c>
      <c r="MY4" s="11">
        <f t="shared" ref="MY4:MY14" si="149">IF(MAX(MU4,MX4)&gt;0,MAX(MU4,MX4),"")</f>
        <v>24.349999999999998</v>
      </c>
      <c r="MZ4" s="11" t="str">
        <f t="shared" ref="MZ4:MZ14" si="150">IF(MK4&gt;0,MK4,"")</f>
        <v/>
      </c>
      <c r="NA4" s="11" t="str">
        <f t="shared" ref="NA4:NA14" si="151">IF(ML4&gt;0,ML4,"")</f>
        <v/>
      </c>
      <c r="NB4" s="11" t="str">
        <f t="shared" ref="NB4:NB14" si="152">IF(SUM(MI4:ML4)-MM4&gt;0,SUM(MI4:ML4)-MM4,"")</f>
        <v/>
      </c>
      <c r="NC4" s="11" t="str">
        <f t="shared" ref="NC4:NC14" si="153">IF(MP4&gt;0,MP4,"")</f>
        <v/>
      </c>
      <c r="ND4" s="11" t="str">
        <f t="shared" ref="ND4:ND14" si="154">IF(MQ4&gt;0,MQ4,"")</f>
        <v/>
      </c>
      <c r="NE4" s="11" t="str">
        <f t="shared" ref="NE4:NE14" si="155">IF(SUM(MN4:MQ4)-MR4&gt;0,SUM(MN4:MQ4)-MR4,"")</f>
        <v/>
      </c>
      <c r="NF4" s="11">
        <f t="shared" ref="NF4:NF14" si="156">IF(SUM(MY4,NB4,NE4)&gt;0,SUM(MY4,NB4,NE4),"")</f>
        <v>24.349999999999998</v>
      </c>
      <c r="NG4" s="15"/>
      <c r="NH4" s="15"/>
      <c r="NI4" s="15"/>
      <c r="NJ4" s="15"/>
      <c r="NK4" s="15"/>
      <c r="NL4" s="15"/>
      <c r="NM4" s="15"/>
      <c r="NN4" s="15"/>
      <c r="NO4" s="15"/>
      <c r="NP4" s="15"/>
      <c r="NQ4" s="15"/>
      <c r="NR4" s="15"/>
      <c r="NS4" s="15"/>
      <c r="NT4" s="15"/>
      <c r="NU4" s="15"/>
      <c r="NV4" s="15"/>
      <c r="NW4" s="15"/>
      <c r="NX4" s="15"/>
      <c r="NY4" s="15"/>
      <c r="NZ4" s="15"/>
      <c r="OA4" s="36" t="str">
        <f t="shared" ref="OA4:OA14" si="157">IF(NI4&gt;0,NI4,"")</f>
        <v/>
      </c>
      <c r="OB4" s="36" t="str">
        <f t="shared" ref="OB4:OB14" si="158">IF(NJ4&gt;0,NJ4,"")</f>
        <v/>
      </c>
      <c r="OC4" s="36" t="str">
        <f t="shared" ref="OC4:OC14" si="159">IF(SUM(NG4:NJ4)-NK4&gt;0,SUM(NG4:NJ4)-NK4,"")</f>
        <v/>
      </c>
      <c r="OD4" s="36" t="str">
        <f t="shared" ref="OD4:OD14" si="160">IF(NN4&gt;0,NN4,"")</f>
        <v/>
      </c>
      <c r="OE4" s="36" t="str">
        <f t="shared" ref="OE4:OE14" si="161">IF(NO4&gt;0,NO4,"")</f>
        <v/>
      </c>
      <c r="OF4" s="36" t="str">
        <f t="shared" ref="OF4:OF14" si="162">IF(SUM(NL4:NO4)-NP4&gt;0,SUM(NL4:NO4)-NP4,"")</f>
        <v/>
      </c>
      <c r="OG4" s="36" t="str">
        <f t="shared" ref="OG4:OG14" si="163">IF(MAX(OC4,OF4)&gt;0,MAX(OC4,OF4),"")</f>
        <v/>
      </c>
      <c r="OH4" s="36" t="str">
        <f t="shared" ref="OH4:OH14" si="164">IF(NS4&gt;0,NS4,"")</f>
        <v/>
      </c>
      <c r="OI4" s="36" t="str">
        <f t="shared" ref="OI4:OI14" si="165">IF(NT4&gt;0,NT4,"")</f>
        <v/>
      </c>
      <c r="OJ4" s="36" t="str">
        <f t="shared" ref="OJ4:OJ14" si="166">IF(SUM(NQ4:NT4)-NU4&gt;0,SUM(NQ4:NT4)-NU4,"")</f>
        <v/>
      </c>
      <c r="OK4" s="36" t="str">
        <f t="shared" ref="OK4:OK14" si="167">IF(NX4&gt;0,NX4,"")</f>
        <v/>
      </c>
      <c r="OL4" s="36" t="str">
        <f t="shared" ref="OL4:OL14" si="168">IF(NY4&gt;0,NY4,"")</f>
        <v/>
      </c>
      <c r="OM4" s="36" t="str">
        <f t="shared" ref="OM4:OM14" si="169">IF(SUM(NV4:NY4)-NZ4&gt;0,SUM(NV4:NY4)-NZ4,"")</f>
        <v/>
      </c>
      <c r="ON4" s="36" t="str">
        <f t="shared" ref="ON4:ON14" si="170">IF(SUM(OG4,OJ4,OM4)&gt;0,SUM(OG4,OJ4,OM4),"")</f>
        <v/>
      </c>
      <c r="OO4" s="16"/>
      <c r="OP4" s="16"/>
      <c r="OQ4" s="16"/>
      <c r="OR4" s="16"/>
      <c r="OS4" s="16"/>
      <c r="OT4" s="16"/>
      <c r="OU4" s="16"/>
      <c r="OV4" s="16"/>
      <c r="OW4" s="16"/>
      <c r="OX4" s="16"/>
      <c r="OY4" s="16"/>
      <c r="OZ4" s="16"/>
      <c r="PA4" s="16"/>
      <c r="PB4" s="16"/>
      <c r="PC4" s="16"/>
      <c r="PD4" s="16"/>
      <c r="PE4" s="16"/>
      <c r="PF4" s="16"/>
      <c r="PG4" s="16"/>
      <c r="PH4" s="16"/>
      <c r="PI4" s="11" t="str">
        <f t="shared" ref="PI4:PI14" si="171">IF(OQ4&gt;0,OQ4,"")</f>
        <v/>
      </c>
      <c r="PJ4" s="11" t="str">
        <f t="shared" ref="PJ4:PJ14" si="172">IF(OR4&gt;0,OR4,"")</f>
        <v/>
      </c>
      <c r="PK4" s="11" t="str">
        <f t="shared" ref="PK4:PK14" si="173">IF(SUM(OO4:OR4)-OS4&gt;0,SUM(OO4:OR4)-OS4,"")</f>
        <v/>
      </c>
      <c r="PL4" s="11" t="str">
        <f t="shared" ref="PL4:PL14" si="174">IF(OV4&gt;0,OV4,"")</f>
        <v/>
      </c>
      <c r="PM4" s="11" t="str">
        <f t="shared" ref="PM4:PM14" si="175">IF(OW4&gt;0,OW4,"")</f>
        <v/>
      </c>
      <c r="PN4" s="11" t="str">
        <f t="shared" ref="PN4:PN14" si="176">IF(SUM(OT4:OW4)-OX4&gt;0,SUM(OT4:OW4)-OX4,"")</f>
        <v/>
      </c>
      <c r="PO4" s="11" t="str">
        <f t="shared" ref="PO4:PO14" si="177">IF(MAX(PK4,PN4)&gt;0,MAX(PK4,PN4),"")</f>
        <v/>
      </c>
      <c r="PP4" s="11" t="str">
        <f t="shared" ref="PP4:PP14" si="178">IF(PA4&gt;0,PA4,"")</f>
        <v/>
      </c>
      <c r="PQ4" s="11" t="str">
        <f t="shared" ref="PQ4:PQ14" si="179">IF(PB4&gt;0,PB4,"")</f>
        <v/>
      </c>
      <c r="PR4" s="11" t="str">
        <f t="shared" ref="PR4:PR14" si="180">IF(SUM(OY4:PB4)-PC4&gt;0,SUM(OY4:PB4)-PC4,"")</f>
        <v/>
      </c>
      <c r="PS4" s="11" t="str">
        <f t="shared" ref="PS4:PS14" si="181">IF(PF4&gt;0,PF4,"")</f>
        <v/>
      </c>
      <c r="PT4" s="11" t="str">
        <f t="shared" ref="PT4:PT14" si="182">IF(PG4&gt;0,PG4,"")</f>
        <v/>
      </c>
      <c r="PU4" s="11" t="str">
        <f t="shared" ref="PU4:PU14" si="183">IF(SUM(PD4:PG4)-PH4&gt;0,SUM(PD4:PG4)-PH4,"")</f>
        <v/>
      </c>
      <c r="PV4" s="11" t="str">
        <f t="shared" ref="PV4:PV14" si="184">IF(SUM(PO4,PR4,PU4)&gt;0,SUM(PO4,PR4,PU4),"")</f>
        <v/>
      </c>
      <c r="PW4" s="15"/>
      <c r="PX4" s="15"/>
      <c r="PY4" s="15"/>
      <c r="PZ4" s="15"/>
      <c r="QA4" s="15"/>
      <c r="QB4" s="15"/>
      <c r="QC4" s="15"/>
      <c r="QD4" s="15"/>
      <c r="QE4" s="15"/>
      <c r="QF4" s="15"/>
      <c r="QG4" s="15"/>
      <c r="QH4" s="15"/>
      <c r="QI4" s="15"/>
      <c r="QJ4" s="15"/>
      <c r="QK4" s="15"/>
      <c r="QL4" s="15"/>
      <c r="QM4" s="15"/>
      <c r="QN4" s="15"/>
      <c r="QO4" s="15"/>
      <c r="QP4" s="15"/>
      <c r="QQ4" s="36" t="str">
        <f t="shared" ref="QQ4:QQ14" si="185">IF(PY4&gt;0,PY4,"")</f>
        <v/>
      </c>
      <c r="QR4" s="36" t="str">
        <f t="shared" ref="QR4:QR14" si="186">IF(PZ4&gt;0,PZ4,"")</f>
        <v/>
      </c>
      <c r="QS4" s="36" t="str">
        <f t="shared" ref="QS4:QS14" si="187">IF(SUM(PW4:PZ4)-QA4&gt;0,SUM(PW4:PZ4)-QA4,"")</f>
        <v/>
      </c>
      <c r="QT4" s="36" t="str">
        <f t="shared" ref="QT4:QT14" si="188">IF(QD4&gt;0,QD4,"")</f>
        <v/>
      </c>
      <c r="QU4" s="36" t="str">
        <f t="shared" ref="QU4:QU14" si="189">IF(QE4&gt;0,QE4,"")</f>
        <v/>
      </c>
      <c r="QV4" s="36" t="str">
        <f t="shared" ref="QV4:QV14" si="190">IF(SUM(QB4:QE4)-QF4&gt;0,SUM(QB4:QE4)-QF4,"")</f>
        <v/>
      </c>
      <c r="QW4" s="36" t="str">
        <f t="shared" ref="QW4:QW14" si="191">IF(MAX(QS4,QV4)&gt;0,MAX(QS4,QV4),"")</f>
        <v/>
      </c>
      <c r="QX4" s="36" t="str">
        <f t="shared" ref="QX4:QX14" si="192">IF(QI4&gt;0,QI4,"")</f>
        <v/>
      </c>
      <c r="QY4" s="36" t="str">
        <f t="shared" ref="QY4:QY14" si="193">IF(QJ4&gt;0,QJ4,"")</f>
        <v/>
      </c>
      <c r="QZ4" s="36" t="str">
        <f t="shared" ref="QZ4:QZ14" si="194">IF(SUM(QG4:QJ4)-QK4&gt;0,SUM(QG4:QJ4)-QK4,"")</f>
        <v/>
      </c>
      <c r="RA4" s="36" t="str">
        <f t="shared" ref="RA4:RA14" si="195">IF(QN4&gt;0,QN4,"")</f>
        <v/>
      </c>
      <c r="RB4" s="36" t="str">
        <f t="shared" ref="RB4:RB14" si="196">IF(QO4&gt;0,QO4,"")</f>
        <v/>
      </c>
      <c r="RC4" s="36" t="str">
        <f t="shared" ref="RC4:RC14" si="197">IF(SUM(QL4:QO4)-QP4&gt;0,SUM(QL4:QO4)-QP4,"")</f>
        <v/>
      </c>
      <c r="RD4" s="36" t="str">
        <f t="shared" ref="RD4:RD14" si="198">IF(SUM(QW4,QZ4,RC4)&gt;0,SUM(QW4,QZ4,RC4),"")</f>
        <v/>
      </c>
      <c r="RE4" s="16"/>
      <c r="RF4" s="16"/>
      <c r="RG4" s="16"/>
      <c r="RH4" s="16"/>
      <c r="RI4" s="16"/>
      <c r="RJ4" s="16"/>
      <c r="RK4" s="16"/>
      <c r="RL4" s="16"/>
      <c r="RM4" s="16"/>
      <c r="RN4" s="16"/>
      <c r="RO4" s="16"/>
      <c r="RP4" s="16"/>
      <c r="RQ4" s="16"/>
      <c r="RR4" s="16"/>
      <c r="RS4" s="16"/>
      <c r="RT4" s="16"/>
      <c r="RU4" s="16"/>
      <c r="RV4" s="16"/>
      <c r="RW4" s="16"/>
      <c r="RX4" s="16"/>
      <c r="RY4" s="11" t="str">
        <f t="shared" ref="RY4:RY14" si="199">IF(RG4&gt;0,RG4,"")</f>
        <v/>
      </c>
      <c r="RZ4" s="11" t="str">
        <f t="shared" ref="RZ4:RZ14" si="200">IF(RH4&gt;0,RH4,"")</f>
        <v/>
      </c>
      <c r="SA4" s="11" t="str">
        <f t="shared" ref="SA4:SA14" si="201">IF(SUM(RE4:RH4)-RI4&gt;0,SUM(RE4:RH4)-RI4,"")</f>
        <v/>
      </c>
      <c r="SB4" s="11" t="str">
        <f t="shared" ref="SB4:SB14" si="202">IF(RL4&gt;0,RL4,"")</f>
        <v/>
      </c>
      <c r="SC4" s="11" t="str">
        <f t="shared" ref="SC4:SC14" si="203">IF(RM4&gt;0,RM4,"")</f>
        <v/>
      </c>
      <c r="SD4" s="11" t="str">
        <f t="shared" ref="SD4:SD14" si="204">IF(SUM(RJ4:RM4)-RN4&gt;0,SUM(RJ4:RM4)-RN4,"")</f>
        <v/>
      </c>
      <c r="SE4" s="11" t="str">
        <f t="shared" ref="SE4:SE14" si="205">IF(MAX(SA4,SD4)&gt;0,MAX(SA4,SD4),"")</f>
        <v/>
      </c>
      <c r="SF4" s="11" t="str">
        <f t="shared" ref="SF4:SF14" si="206">IF(RQ4&gt;0,RQ4,"")</f>
        <v/>
      </c>
      <c r="SG4" s="11" t="str">
        <f t="shared" ref="SG4:SG14" si="207">IF(RR4&gt;0,RR4,"")</f>
        <v/>
      </c>
      <c r="SH4" s="11" t="str">
        <f t="shared" ref="SH4:SH14" si="208">IF(SUM(RO4:RR4)-RS4&gt;0,SUM(RO4:RR4)-RS4,"")</f>
        <v/>
      </c>
      <c r="SI4" s="11" t="str">
        <f t="shared" ref="SI4:SI14" si="209">IF(RV4&gt;0,RV4,"")</f>
        <v/>
      </c>
      <c r="SJ4" s="11" t="str">
        <f t="shared" ref="SJ4:SJ14" si="210">IF(RW4&gt;0,RW4,"")</f>
        <v/>
      </c>
      <c r="SK4" s="11" t="str">
        <f t="shared" ref="SK4:SK14" si="211">IF(SUM(RT4:RW4)-RX4&gt;0,SUM(RT4:RW4)-RX4,"")</f>
        <v/>
      </c>
      <c r="SL4" s="11" t="str">
        <f t="shared" ref="SL4:SL14" si="212">IF(SUM(SE4,SH4,SK4)&gt;0,SUM(SE4,SH4,SK4),"")</f>
        <v/>
      </c>
      <c r="SM4" s="15"/>
      <c r="SN4" s="15"/>
      <c r="SO4" s="15"/>
      <c r="SP4" s="15"/>
      <c r="SQ4" s="15"/>
      <c r="SR4" s="15"/>
      <c r="SS4" s="15"/>
      <c r="ST4" s="15"/>
      <c r="SU4" s="15"/>
      <c r="SV4" s="15"/>
      <c r="SW4" s="15"/>
      <c r="SX4" s="15"/>
      <c r="SY4" s="15"/>
      <c r="SZ4" s="15"/>
      <c r="TA4" s="15"/>
      <c r="TB4" s="15"/>
      <c r="TC4" s="15"/>
      <c r="TD4" s="15"/>
      <c r="TE4" s="15"/>
      <c r="TF4" s="15"/>
      <c r="TG4" s="36" t="str">
        <f t="shared" ref="TG4:TG14" si="213">IF(SO4&gt;0,SO4,"")</f>
        <v/>
      </c>
      <c r="TH4" s="36" t="str">
        <f t="shared" ref="TH4:TH14" si="214">IF(SP4&gt;0,SP4,"")</f>
        <v/>
      </c>
      <c r="TI4" s="36" t="str">
        <f t="shared" ref="TI4:TI14" si="215">IF(SUM(SM4:SP4)-SQ4&gt;0,SUM(SM4:SP4)-SQ4,"")</f>
        <v/>
      </c>
      <c r="TJ4" s="36" t="str">
        <f t="shared" ref="TJ4:TJ14" si="216">IF(ST4&gt;0,ST4,"")</f>
        <v/>
      </c>
      <c r="TK4" s="36" t="str">
        <f t="shared" ref="TK4:TK14" si="217">IF(SU4&gt;0,SU4,"")</f>
        <v/>
      </c>
      <c r="TL4" s="36" t="str">
        <f t="shared" ref="TL4:TL14" si="218">IF(SUM(SR4:SU4)-SV4&gt;0,SUM(SR4:SU4)-SV4,"")</f>
        <v/>
      </c>
      <c r="TM4" s="36" t="str">
        <f t="shared" ref="TM4:TM14" si="219">IF(MAX(TI4,TL4)&gt;0,MAX(TI4,TL4),"")</f>
        <v/>
      </c>
      <c r="TN4" s="36" t="str">
        <f t="shared" ref="TN4:TN14" si="220">IF(SY4&gt;0,SY4,"")</f>
        <v/>
      </c>
      <c r="TO4" s="36" t="str">
        <f t="shared" ref="TO4:TO14" si="221">IF(SZ4&gt;0,SZ4,"")</f>
        <v/>
      </c>
      <c r="TP4" s="36" t="str">
        <f t="shared" ref="TP4:TP14" si="222">IF(SUM(SW4:SZ4)-TA4&gt;0,SUM(SW4:SZ4)-TA4,"")</f>
        <v/>
      </c>
      <c r="TQ4" s="36" t="str">
        <f t="shared" ref="TQ4:TQ14" si="223">IF(TD4&gt;0,TD4,"")</f>
        <v/>
      </c>
      <c r="TR4" s="36" t="str">
        <f t="shared" ref="TR4:TR14" si="224">IF(TE4&gt;0,TE4,"")</f>
        <v/>
      </c>
      <c r="TS4" s="36" t="str">
        <f t="shared" ref="TS4:TS14" si="225">IF(SUM(TB4:TE4)-TF4&gt;0,SUM(TB4:TE4)-TF4,"")</f>
        <v/>
      </c>
      <c r="TT4" s="36" t="str">
        <f t="shared" ref="TT4:TT14" si="226">IF(SUM(TM4,TP4,TS4)&gt;0,SUM(TM4,TP4,TS4),"")</f>
        <v/>
      </c>
      <c r="TU4" s="16"/>
      <c r="TV4" s="16"/>
      <c r="TW4" s="16"/>
      <c r="TX4" s="16"/>
      <c r="TY4" s="16"/>
      <c r="TZ4" s="16"/>
      <c r="UA4" s="16"/>
      <c r="UB4" s="16"/>
      <c r="UC4" s="16"/>
      <c r="UD4" s="16"/>
      <c r="UE4" s="16"/>
      <c r="UF4" s="16"/>
      <c r="UG4" s="16"/>
      <c r="UH4" s="16"/>
      <c r="UI4" s="16"/>
      <c r="UJ4" s="16"/>
      <c r="UK4" s="16"/>
      <c r="UL4" s="16"/>
      <c r="UM4" s="16"/>
      <c r="UN4" s="16"/>
      <c r="UO4" s="11" t="str">
        <f t="shared" ref="UO4:UO14" si="227">IF(TW4&gt;0,TW4,"")</f>
        <v/>
      </c>
      <c r="UP4" s="11" t="str">
        <f t="shared" ref="UP4:UP14" si="228">IF(TX4&gt;0,TX4,"")</f>
        <v/>
      </c>
      <c r="UQ4" s="11" t="str">
        <f t="shared" ref="UQ4:UQ14" si="229">IF(SUM(TU4:TX4)-TY4&gt;0,SUM(TU4:TX4)-TY4,"")</f>
        <v/>
      </c>
      <c r="UR4" s="11" t="str">
        <f t="shared" ref="UR4:UR14" si="230">IF(UB4&gt;0,UB4,"")</f>
        <v/>
      </c>
      <c r="US4" s="11" t="str">
        <f t="shared" ref="US4:US14" si="231">IF(UC4&gt;0,UC4,"")</f>
        <v/>
      </c>
      <c r="UT4" s="11" t="str">
        <f t="shared" ref="UT4:UT14" si="232">IF(SUM(TZ4:UC4)-UD4&gt;0,SUM(TZ4:UC4)-UD4,"")</f>
        <v/>
      </c>
      <c r="UU4" s="11" t="str">
        <f t="shared" ref="UU4:UU14" si="233">IF(MAX(UQ4,UT4)&gt;0,MAX(UQ4,UT4),"")</f>
        <v/>
      </c>
      <c r="UV4" s="11" t="str">
        <f t="shared" ref="UV4:UV14" si="234">IF(UG4&gt;0,UG4,"")</f>
        <v/>
      </c>
      <c r="UW4" s="11" t="str">
        <f t="shared" ref="UW4:UW14" si="235">IF(UH4&gt;0,UH4,"")</f>
        <v/>
      </c>
      <c r="UX4" s="11" t="str">
        <f t="shared" ref="UX4:UX14" si="236">IF(SUM(UE4:UH4)-UI4&gt;0,SUM(UE4:UH4)-UI4,"")</f>
        <v/>
      </c>
      <c r="UY4" s="11" t="str">
        <f t="shared" ref="UY4:UY14" si="237">IF(UL4&gt;0,UL4,"")</f>
        <v/>
      </c>
      <c r="UZ4" s="11" t="str">
        <f t="shared" ref="UZ4:UZ14" si="238">IF(UM4&gt;0,UM4,"")</f>
        <v/>
      </c>
      <c r="VA4" s="11" t="str">
        <f t="shared" ref="VA4:VA14" si="239">IF(SUM(UJ4:UM4)-UN4&gt;0,SUM(UJ4:UM4)-UN4,"")</f>
        <v/>
      </c>
      <c r="VB4" s="11" t="str">
        <f t="shared" ref="VB4:VB14" si="240">IF(SUM(UU4,UX4,VA4)&gt;0,SUM(UU4,UX4,VA4),"")</f>
        <v/>
      </c>
      <c r="VC4" s="15"/>
      <c r="VD4" s="15"/>
      <c r="VE4" s="15"/>
      <c r="VF4" s="15"/>
      <c r="VG4" s="15"/>
      <c r="VH4" s="15"/>
      <c r="VI4" s="15"/>
      <c r="VJ4" s="15"/>
      <c r="VK4" s="15"/>
      <c r="VL4" s="15"/>
      <c r="VM4" s="15"/>
      <c r="VN4" s="15"/>
      <c r="VO4" s="15"/>
      <c r="VP4" s="15"/>
      <c r="VQ4" s="15"/>
      <c r="VR4" s="15"/>
      <c r="VS4" s="15"/>
      <c r="VT4" s="15"/>
      <c r="VU4" s="15"/>
      <c r="VV4" s="15"/>
      <c r="VW4" s="36" t="str">
        <f t="shared" ref="VW4:VW14" si="241">IF(VE4&gt;0,VE4,"")</f>
        <v/>
      </c>
      <c r="VX4" s="36" t="str">
        <f t="shared" ref="VX4:VX14" si="242">IF(VF4&gt;0,VF4,"")</f>
        <v/>
      </c>
      <c r="VY4" s="36" t="str">
        <f t="shared" ref="VY4:VY14" si="243">IF(SUM(VC4:VF4)-VG4&gt;0,SUM(VC4:VF4)-VG4,"")</f>
        <v/>
      </c>
      <c r="VZ4" s="36" t="str">
        <f t="shared" ref="VZ4:VZ14" si="244">IF(VJ4&gt;0,VJ4,"")</f>
        <v/>
      </c>
      <c r="WA4" s="36" t="str">
        <f t="shared" ref="WA4:WA14" si="245">IF(VK4&gt;0,VK4,"")</f>
        <v/>
      </c>
      <c r="WB4" s="36" t="str">
        <f t="shared" ref="WB4:WB14" si="246">IF(SUM(VH4:VK4)-VL4&gt;0,SUM(VH4:VK4)-VL4,"")</f>
        <v/>
      </c>
      <c r="WC4" s="36" t="str">
        <f t="shared" ref="WC4:WC14" si="247">IF(MAX(VY4,WB4)&gt;0,MAX(VY4,WB4),"")</f>
        <v/>
      </c>
      <c r="WD4" s="36" t="str">
        <f t="shared" ref="WD4:WD14" si="248">IF(VO4&gt;0,VO4,"")</f>
        <v/>
      </c>
      <c r="WE4" s="36" t="str">
        <f t="shared" ref="WE4:WE14" si="249">IF(VP4&gt;0,VP4,"")</f>
        <v/>
      </c>
      <c r="WF4" s="36" t="str">
        <f t="shared" ref="WF4:WF14" si="250">IF(SUM(VM4:VP4)-VQ4&gt;0,SUM(VM4:VP4)-VQ4,"")</f>
        <v/>
      </c>
      <c r="WG4" s="36" t="str">
        <f t="shared" ref="WG4:WG14" si="251">IF(VT4&gt;0,VT4,"")</f>
        <v/>
      </c>
      <c r="WH4" s="36" t="str">
        <f t="shared" ref="WH4:WH14" si="252">IF(VU4&gt;0,VU4,"")</f>
        <v/>
      </c>
      <c r="WI4" s="36" t="str">
        <f t="shared" ref="WI4:WI14" si="253">IF(SUM(VR4:VU4)-VV4&gt;0,SUM(VR4:VU4)-VV4,"")</f>
        <v/>
      </c>
      <c r="WJ4" s="36" t="str">
        <f t="shared" ref="WJ4:WJ14" si="254">IF(SUM(WC4,WF4,WI4)&gt;0,SUM(WC4,WF4,WI4),"")</f>
        <v/>
      </c>
    </row>
    <row r="5" spans="1:608" x14ac:dyDescent="0.2">
      <c r="A5" s="4" cm="1">
        <f t="array" ref="A5">IF(AND(H5&lt;&gt;"",H5&lt;&gt;"No DD"),SUMPRODUCT((H$4:H$15&lt;&gt;"")*(H$4:H$15&lt;&gt;"No DD")*(E$4:E$15&gt;E5))+1,IF(H5="No DD",SUMPRODUCT((H$4:H$15="No DD")*(E$4:E$15&gt;E5))+1+SUMPRODUCT((H$4:H$15&lt;&gt;"")*(H$4:H$15&lt;&gt;"No DD")),""))</f>
        <v>2</v>
      </c>
      <c r="B5" s="5" t="s">
        <v>115</v>
      </c>
      <c r="C5" s="4" t="s">
        <v>107</v>
      </c>
      <c r="D5" s="4" t="s">
        <v>114</v>
      </c>
      <c r="E5" s="9">
        <f t="shared" si="0"/>
        <v>95.31000948500477</v>
      </c>
      <c r="F5" s="3" t="str">
        <f t="shared" si="1"/>
        <v>P</v>
      </c>
      <c r="G5" s="3" t="str">
        <f t="shared" si="2"/>
        <v>P</v>
      </c>
      <c r="H5" s="32" t="str">
        <f t="shared" si="3"/>
        <v>National Team</v>
      </c>
      <c r="I5" s="3" t="str">
        <f t="shared" si="4"/>
        <v/>
      </c>
      <c r="J5" s="8">
        <f t="shared" si="5"/>
        <v>47.71</v>
      </c>
      <c r="K5" s="8" t="str">
        <f t="shared" si="6"/>
        <v>2025 Elite Canada</v>
      </c>
      <c r="L5" s="8">
        <f>IFERROR(LARGE((AI5,AL5,AP5,BJ5,BM5,BQ5,CK5,CN5,CR5),2),0)</f>
        <v>47.14</v>
      </c>
      <c r="M5" s="8" t="str">
        <f t="shared" si="7"/>
        <v>2025 Elite Canada</v>
      </c>
      <c r="N5" s="8">
        <f t="shared" si="8"/>
        <v>0.45999999999999375</v>
      </c>
      <c r="O5" s="11" t="str">
        <f t="shared" si="9"/>
        <v>(Any)</v>
      </c>
      <c r="P5" s="8" t="str">
        <f t="shared" si="10"/>
        <v>2025 Junior Pan Am Games (Aug 12)</v>
      </c>
      <c r="Q5" s="18">
        <v>7.43</v>
      </c>
      <c r="R5" s="18">
        <v>9.5</v>
      </c>
      <c r="S5" s="18">
        <v>11.8</v>
      </c>
      <c r="T5" s="18">
        <v>18.98</v>
      </c>
      <c r="U5" s="18">
        <v>0</v>
      </c>
      <c r="V5" s="18">
        <v>7.48</v>
      </c>
      <c r="W5" s="18">
        <v>9.3000000000000007</v>
      </c>
      <c r="X5" s="18">
        <v>11.8</v>
      </c>
      <c r="Y5" s="18">
        <v>18.559999999999999</v>
      </c>
      <c r="Z5" s="18">
        <v>0</v>
      </c>
      <c r="AA5" s="18">
        <v>7.63</v>
      </c>
      <c r="AB5" s="18">
        <v>9.3000000000000007</v>
      </c>
      <c r="AC5" s="18">
        <v>11.8</v>
      </c>
      <c r="AD5" s="18">
        <v>17.72</v>
      </c>
      <c r="AE5" s="18">
        <v>0</v>
      </c>
      <c r="AF5" s="23"/>
      <c r="AG5" s="34">
        <f t="shared" si="11"/>
        <v>11.8</v>
      </c>
      <c r="AH5" s="34">
        <f t="shared" si="12"/>
        <v>18.98</v>
      </c>
      <c r="AI5" s="36">
        <f t="shared" si="13"/>
        <v>47.71</v>
      </c>
      <c r="AJ5" s="36">
        <f t="shared" si="14"/>
        <v>11.8</v>
      </c>
      <c r="AK5" s="36">
        <f t="shared" si="15"/>
        <v>18.559999999999999</v>
      </c>
      <c r="AL5" s="36">
        <f t="shared" si="16"/>
        <v>47.14</v>
      </c>
      <c r="AM5" s="36">
        <f t="shared" si="17"/>
        <v>47.71</v>
      </c>
      <c r="AN5" s="36">
        <f t="shared" si="18"/>
        <v>11.8</v>
      </c>
      <c r="AO5" s="36">
        <f t="shared" si="19"/>
        <v>17.72</v>
      </c>
      <c r="AP5" s="36">
        <f t="shared" si="20"/>
        <v>46.45</v>
      </c>
      <c r="AQ5" s="36">
        <f t="shared" si="21"/>
        <v>94.16</v>
      </c>
      <c r="AR5" s="22">
        <v>7.4</v>
      </c>
      <c r="AS5" s="22">
        <v>9.5500000000000007</v>
      </c>
      <c r="AT5" s="22">
        <v>11.8</v>
      </c>
      <c r="AU5" s="22">
        <v>18.04</v>
      </c>
      <c r="AV5" s="22">
        <v>0</v>
      </c>
      <c r="AW5" s="22">
        <v>1.99</v>
      </c>
      <c r="AX5" s="22">
        <v>2.7</v>
      </c>
      <c r="AY5" s="22">
        <v>4.0999999999999996</v>
      </c>
      <c r="AZ5" s="22">
        <v>5.76</v>
      </c>
      <c r="BA5" s="22">
        <v>0</v>
      </c>
      <c r="BB5" s="22">
        <v>7.55</v>
      </c>
      <c r="BC5" s="22">
        <v>9.4</v>
      </c>
      <c r="BD5" s="22">
        <v>11.8</v>
      </c>
      <c r="BE5" s="22">
        <v>17.96</v>
      </c>
      <c r="BF5" s="22">
        <v>0</v>
      </c>
      <c r="BG5" s="24"/>
      <c r="BH5" s="35">
        <f t="shared" si="22"/>
        <v>11.8</v>
      </c>
      <c r="BI5" s="35">
        <f t="shared" si="23"/>
        <v>18.04</v>
      </c>
      <c r="BJ5" s="11">
        <f t="shared" si="24"/>
        <v>46.790000000000006</v>
      </c>
      <c r="BK5" s="11">
        <f t="shared" si="25"/>
        <v>4.0999999999999996</v>
      </c>
      <c r="BL5" s="11">
        <f t="shared" si="26"/>
        <v>5.76</v>
      </c>
      <c r="BM5" s="11">
        <f t="shared" si="27"/>
        <v>14.549999999999999</v>
      </c>
      <c r="BN5" s="11">
        <f t="shared" si="28"/>
        <v>46.790000000000006</v>
      </c>
      <c r="BO5" s="11">
        <f t="shared" si="29"/>
        <v>11.8</v>
      </c>
      <c r="BP5" s="11">
        <f t="shared" si="30"/>
        <v>17.96</v>
      </c>
      <c r="BQ5" s="11">
        <f t="shared" si="31"/>
        <v>46.71</v>
      </c>
      <c r="BR5" s="11">
        <f t="shared" si="32"/>
        <v>93.5</v>
      </c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23"/>
      <c r="CI5" s="34" t="str">
        <f t="shared" si="33"/>
        <v/>
      </c>
      <c r="CJ5" s="34" t="str">
        <f t="shared" si="34"/>
        <v/>
      </c>
      <c r="CK5" s="36" t="str">
        <f t="shared" si="35"/>
        <v/>
      </c>
      <c r="CL5" s="36" t="str">
        <f t="shared" si="36"/>
        <v/>
      </c>
      <c r="CM5" s="36" t="str">
        <f t="shared" si="37"/>
        <v/>
      </c>
      <c r="CN5" s="36" t="str">
        <f t="shared" si="38"/>
        <v/>
      </c>
      <c r="CO5" s="36" t="str">
        <f t="shared" si="39"/>
        <v/>
      </c>
      <c r="CP5" s="36" t="str">
        <f t="shared" si="40"/>
        <v/>
      </c>
      <c r="CQ5" s="36" t="str">
        <f t="shared" si="41"/>
        <v/>
      </c>
      <c r="CR5" s="36" t="str">
        <f t="shared" si="42"/>
        <v/>
      </c>
      <c r="CS5" s="36" t="str">
        <f t="shared" si="43"/>
        <v/>
      </c>
      <c r="CT5" s="47">
        <f t="shared" si="44"/>
        <v>0.45999999999999375</v>
      </c>
      <c r="CU5" s="15"/>
      <c r="CV5" s="15"/>
      <c r="CW5" s="15"/>
      <c r="CX5" s="15"/>
      <c r="CY5" s="15"/>
      <c r="CZ5" s="15"/>
      <c r="DA5" s="15"/>
      <c r="DB5" s="15"/>
      <c r="DC5" s="15"/>
      <c r="DD5" s="15"/>
      <c r="DE5" s="15"/>
      <c r="DF5" s="15"/>
      <c r="DG5" s="15"/>
      <c r="DH5" s="15"/>
      <c r="DI5" s="15"/>
      <c r="DJ5" s="15"/>
      <c r="DK5" s="15"/>
      <c r="DL5" s="15"/>
      <c r="DM5" s="15"/>
      <c r="DN5" s="15"/>
      <c r="DO5" s="36" t="str">
        <f t="shared" si="45"/>
        <v/>
      </c>
      <c r="DP5" s="36" t="str">
        <f t="shared" si="46"/>
        <v/>
      </c>
      <c r="DQ5" s="36" t="str">
        <f t="shared" si="47"/>
        <v/>
      </c>
      <c r="DR5" s="36" t="str">
        <f t="shared" si="48"/>
        <v/>
      </c>
      <c r="DS5" s="36" t="str">
        <f t="shared" si="49"/>
        <v/>
      </c>
      <c r="DT5" s="36" t="str">
        <f t="shared" si="50"/>
        <v/>
      </c>
      <c r="DU5" s="36" t="str">
        <f t="shared" si="51"/>
        <v/>
      </c>
      <c r="DV5" s="36" t="str">
        <f t="shared" si="52"/>
        <v/>
      </c>
      <c r="DW5" s="36" t="str">
        <f t="shared" si="53"/>
        <v/>
      </c>
      <c r="DX5" s="36" t="str">
        <f t="shared" si="54"/>
        <v/>
      </c>
      <c r="DY5" s="36" t="str">
        <f t="shared" si="55"/>
        <v/>
      </c>
      <c r="DZ5" s="36" t="str">
        <f t="shared" si="56"/>
        <v/>
      </c>
      <c r="EA5" s="36" t="str">
        <f t="shared" si="57"/>
        <v/>
      </c>
      <c r="EB5" s="36" t="str">
        <f t="shared" si="58"/>
        <v/>
      </c>
      <c r="EC5" s="16"/>
      <c r="ED5" s="16"/>
      <c r="EE5" s="16"/>
      <c r="EF5" s="16"/>
      <c r="EG5" s="16"/>
      <c r="EH5" s="16"/>
      <c r="EI5" s="16"/>
      <c r="EJ5" s="16"/>
      <c r="EK5" s="16"/>
      <c r="EL5" s="16"/>
      <c r="EM5" s="16"/>
      <c r="EN5" s="16"/>
      <c r="EO5" s="16"/>
      <c r="EP5" s="16"/>
      <c r="EQ5" s="16"/>
      <c r="ER5" s="16"/>
      <c r="ES5" s="16"/>
      <c r="ET5" s="16"/>
      <c r="EU5" s="16"/>
      <c r="EV5" s="16"/>
      <c r="EW5" s="11" t="str">
        <f t="shared" si="59"/>
        <v/>
      </c>
      <c r="EX5" s="11" t="str">
        <f t="shared" si="60"/>
        <v/>
      </c>
      <c r="EY5" s="11" t="str">
        <f t="shared" si="61"/>
        <v/>
      </c>
      <c r="EZ5" s="11" t="str">
        <f t="shared" si="62"/>
        <v/>
      </c>
      <c r="FA5" s="11" t="str">
        <f t="shared" si="63"/>
        <v/>
      </c>
      <c r="FB5" s="11" t="str">
        <f t="shared" si="64"/>
        <v/>
      </c>
      <c r="FC5" s="11" t="str">
        <f t="shared" si="65"/>
        <v/>
      </c>
      <c r="FD5" s="11" t="str">
        <f t="shared" si="66"/>
        <v/>
      </c>
      <c r="FE5" s="11" t="str">
        <f t="shared" si="67"/>
        <v/>
      </c>
      <c r="FF5" s="11" t="str">
        <f t="shared" si="68"/>
        <v/>
      </c>
      <c r="FG5" s="11" t="str">
        <f t="shared" si="69"/>
        <v/>
      </c>
      <c r="FH5" s="11" t="str">
        <f t="shared" si="70"/>
        <v/>
      </c>
      <c r="FI5" s="11" t="str">
        <f t="shared" si="71"/>
        <v/>
      </c>
      <c r="FJ5" s="11" t="str">
        <f t="shared" si="72"/>
        <v/>
      </c>
      <c r="FK5" s="15">
        <v>6.95</v>
      </c>
      <c r="FL5" s="15">
        <v>9.25</v>
      </c>
      <c r="FM5" s="15">
        <v>12.9</v>
      </c>
      <c r="FN5" s="15">
        <v>18.18</v>
      </c>
      <c r="FO5" s="15">
        <v>0</v>
      </c>
      <c r="FP5" s="15">
        <v>7.2</v>
      </c>
      <c r="FQ5" s="15">
        <v>9</v>
      </c>
      <c r="FR5" s="15">
        <v>12.9</v>
      </c>
      <c r="FS5" s="15">
        <v>18.100000000000001</v>
      </c>
      <c r="FT5" s="15">
        <v>0</v>
      </c>
      <c r="FU5" s="15"/>
      <c r="FV5" s="15"/>
      <c r="FW5" s="15"/>
      <c r="FX5" s="15"/>
      <c r="FY5" s="15"/>
      <c r="FZ5" s="15"/>
      <c r="GA5" s="15"/>
      <c r="GB5" s="15"/>
      <c r="GC5" s="15"/>
      <c r="GD5" s="15"/>
      <c r="GE5" s="36">
        <f t="shared" si="73"/>
        <v>12.9</v>
      </c>
      <c r="GF5" s="36">
        <f t="shared" si="74"/>
        <v>18.18</v>
      </c>
      <c r="GG5" s="36">
        <f t="shared" si="75"/>
        <v>47.28</v>
      </c>
      <c r="GH5" s="36">
        <f t="shared" si="76"/>
        <v>12.9</v>
      </c>
      <c r="GI5" s="36">
        <f t="shared" si="77"/>
        <v>18.100000000000001</v>
      </c>
      <c r="GJ5" s="36">
        <f t="shared" si="78"/>
        <v>47.2</v>
      </c>
      <c r="GK5" s="36">
        <f t="shared" si="79"/>
        <v>47.28</v>
      </c>
      <c r="GL5" s="36" t="str">
        <f t="shared" si="80"/>
        <v/>
      </c>
      <c r="GM5" s="36" t="str">
        <f t="shared" si="81"/>
        <v/>
      </c>
      <c r="GN5" s="36" t="str">
        <f t="shared" si="82"/>
        <v/>
      </c>
      <c r="GO5" s="36" t="str">
        <f t="shared" si="83"/>
        <v/>
      </c>
      <c r="GP5" s="36" t="str">
        <f t="shared" si="84"/>
        <v/>
      </c>
      <c r="GQ5" s="36" t="str">
        <f t="shared" si="85"/>
        <v/>
      </c>
      <c r="GR5" s="36">
        <f t="shared" si="86"/>
        <v>47.28</v>
      </c>
      <c r="GS5" s="16"/>
      <c r="GT5" s="16"/>
      <c r="GU5" s="16"/>
      <c r="GV5" s="16"/>
      <c r="GW5" s="16"/>
      <c r="GX5" s="16"/>
      <c r="GY5" s="16"/>
      <c r="GZ5" s="16"/>
      <c r="HA5" s="16"/>
      <c r="HB5" s="16"/>
      <c r="HC5" s="16"/>
      <c r="HD5" s="16"/>
      <c r="HE5" s="16"/>
      <c r="HF5" s="16"/>
      <c r="HG5" s="16"/>
      <c r="HH5" s="16"/>
      <c r="HI5" s="16"/>
      <c r="HJ5" s="16"/>
      <c r="HK5" s="16"/>
      <c r="HL5" s="16"/>
      <c r="HM5" s="11" t="str">
        <f t="shared" si="87"/>
        <v/>
      </c>
      <c r="HN5" s="11" t="str">
        <f t="shared" si="88"/>
        <v/>
      </c>
      <c r="HO5" s="11" t="str">
        <f t="shared" si="89"/>
        <v/>
      </c>
      <c r="HP5" s="11" t="str">
        <f t="shared" si="90"/>
        <v/>
      </c>
      <c r="HQ5" s="11" t="str">
        <f t="shared" si="91"/>
        <v/>
      </c>
      <c r="HR5" s="11" t="str">
        <f t="shared" si="92"/>
        <v/>
      </c>
      <c r="HS5" s="11" t="str">
        <f t="shared" si="93"/>
        <v/>
      </c>
      <c r="HT5" s="11" t="str">
        <f t="shared" si="94"/>
        <v/>
      </c>
      <c r="HU5" s="11" t="str">
        <f t="shared" si="95"/>
        <v/>
      </c>
      <c r="HV5" s="11" t="str">
        <f t="shared" si="96"/>
        <v/>
      </c>
      <c r="HW5" s="11" t="str">
        <f t="shared" si="97"/>
        <v/>
      </c>
      <c r="HX5" s="11" t="str">
        <f t="shared" si="98"/>
        <v/>
      </c>
      <c r="HY5" s="11" t="str">
        <f t="shared" si="99"/>
        <v/>
      </c>
      <c r="HZ5" s="11" t="str">
        <f t="shared" si="100"/>
        <v/>
      </c>
      <c r="IA5" s="15">
        <v>2.75</v>
      </c>
      <c r="IB5" s="15">
        <v>3.65</v>
      </c>
      <c r="IC5" s="15">
        <v>5.4</v>
      </c>
      <c r="ID5" s="15">
        <v>7.64</v>
      </c>
      <c r="IE5" s="15">
        <v>0</v>
      </c>
      <c r="IF5" s="15"/>
      <c r="IG5" s="15"/>
      <c r="IH5" s="15"/>
      <c r="II5" s="15"/>
      <c r="IJ5" s="15"/>
      <c r="IK5" s="15"/>
      <c r="IL5" s="15"/>
      <c r="IM5" s="15"/>
      <c r="IN5" s="15"/>
      <c r="IO5" s="15"/>
      <c r="IP5" s="15">
        <v>7.27</v>
      </c>
      <c r="IQ5" s="15">
        <v>9.4499999999999993</v>
      </c>
      <c r="IR5" s="15">
        <v>11.8</v>
      </c>
      <c r="IS5" s="15">
        <v>19.079999999999998</v>
      </c>
      <c r="IT5" s="15">
        <v>0</v>
      </c>
      <c r="IU5" s="36">
        <f t="shared" si="101"/>
        <v>5.4</v>
      </c>
      <c r="IV5" s="36">
        <f t="shared" si="102"/>
        <v>7.64</v>
      </c>
      <c r="IW5" s="36">
        <f t="shared" si="103"/>
        <v>19.440000000000001</v>
      </c>
      <c r="IX5" s="36" t="str">
        <f t="shared" si="104"/>
        <v/>
      </c>
      <c r="IY5" s="36" t="str">
        <f t="shared" si="105"/>
        <v/>
      </c>
      <c r="IZ5" s="36" t="str">
        <f t="shared" si="106"/>
        <v/>
      </c>
      <c r="JA5" s="36">
        <f t="shared" si="107"/>
        <v>19.440000000000001</v>
      </c>
      <c r="JB5" s="36" t="str">
        <f t="shared" si="108"/>
        <v/>
      </c>
      <c r="JC5" s="36" t="str">
        <f t="shared" si="109"/>
        <v/>
      </c>
      <c r="JD5" s="36" t="str">
        <f t="shared" si="110"/>
        <v/>
      </c>
      <c r="JE5" s="36">
        <f t="shared" si="111"/>
        <v>11.8</v>
      </c>
      <c r="JF5" s="36">
        <f t="shared" si="112"/>
        <v>19.079999999999998</v>
      </c>
      <c r="JG5" s="36">
        <f t="shared" si="113"/>
        <v>47.599999999999994</v>
      </c>
      <c r="JH5" s="36">
        <f t="shared" si="114"/>
        <v>67.039999999999992</v>
      </c>
      <c r="JI5" s="16"/>
      <c r="JJ5" s="16"/>
      <c r="JK5" s="16"/>
      <c r="JL5" s="16"/>
      <c r="JM5" s="16"/>
      <c r="JN5" s="16"/>
      <c r="JO5" s="16"/>
      <c r="JP5" s="16"/>
      <c r="JQ5" s="16"/>
      <c r="JR5" s="16"/>
      <c r="JS5" s="16"/>
      <c r="JT5" s="16"/>
      <c r="JU5" s="16"/>
      <c r="JV5" s="16"/>
      <c r="JW5" s="16"/>
      <c r="JX5" s="16"/>
      <c r="JY5" s="16"/>
      <c r="JZ5" s="16"/>
      <c r="KA5" s="16"/>
      <c r="KB5" s="16"/>
      <c r="KC5" s="11" t="str">
        <f t="shared" si="115"/>
        <v/>
      </c>
      <c r="KD5" s="11" t="str">
        <f t="shared" si="116"/>
        <v/>
      </c>
      <c r="KE5" s="11" t="str">
        <f t="shared" si="117"/>
        <v/>
      </c>
      <c r="KF5" s="11" t="str">
        <f t="shared" si="118"/>
        <v/>
      </c>
      <c r="KG5" s="11" t="str">
        <f t="shared" si="119"/>
        <v/>
      </c>
      <c r="KH5" s="11" t="str">
        <f t="shared" si="120"/>
        <v/>
      </c>
      <c r="KI5" s="11" t="str">
        <f t="shared" si="121"/>
        <v/>
      </c>
      <c r="KJ5" s="11" t="str">
        <f t="shared" si="122"/>
        <v/>
      </c>
      <c r="KK5" s="11" t="str">
        <f t="shared" si="123"/>
        <v/>
      </c>
      <c r="KL5" s="11" t="str">
        <f t="shared" si="124"/>
        <v/>
      </c>
      <c r="KM5" s="11" t="str">
        <f t="shared" si="125"/>
        <v/>
      </c>
      <c r="KN5" s="11" t="str">
        <f t="shared" si="126"/>
        <v/>
      </c>
      <c r="KO5" s="11" t="str">
        <f t="shared" si="127"/>
        <v/>
      </c>
      <c r="KP5" s="11" t="str">
        <f t="shared" si="128"/>
        <v/>
      </c>
      <c r="KQ5" s="15"/>
      <c r="KR5" s="15"/>
      <c r="KS5" s="15"/>
      <c r="KT5" s="15"/>
      <c r="KU5" s="15"/>
      <c r="KV5" s="15"/>
      <c r="KW5" s="15"/>
      <c r="KX5" s="15"/>
      <c r="KY5" s="15"/>
      <c r="KZ5" s="15"/>
      <c r="LA5" s="15"/>
      <c r="LB5" s="15"/>
      <c r="LC5" s="15"/>
      <c r="LD5" s="15"/>
      <c r="LE5" s="15"/>
      <c r="LF5" s="15"/>
      <c r="LG5" s="15"/>
      <c r="LH5" s="15"/>
      <c r="LI5" s="15"/>
      <c r="LJ5" s="15"/>
      <c r="LK5" s="36" t="str">
        <f t="shared" si="129"/>
        <v/>
      </c>
      <c r="LL5" s="36" t="str">
        <f t="shared" si="130"/>
        <v/>
      </c>
      <c r="LM5" s="36" t="str">
        <f t="shared" si="131"/>
        <v/>
      </c>
      <c r="LN5" s="36" t="str">
        <f t="shared" si="132"/>
        <v/>
      </c>
      <c r="LO5" s="36" t="str">
        <f t="shared" si="133"/>
        <v/>
      </c>
      <c r="LP5" s="36" t="str">
        <f t="shared" si="134"/>
        <v/>
      </c>
      <c r="LQ5" s="36" t="str">
        <f t="shared" si="135"/>
        <v/>
      </c>
      <c r="LR5" s="36" t="str">
        <f t="shared" si="136"/>
        <v/>
      </c>
      <c r="LS5" s="36" t="str">
        <f t="shared" si="137"/>
        <v/>
      </c>
      <c r="LT5" s="36" t="str">
        <f t="shared" si="138"/>
        <v/>
      </c>
      <c r="LU5" s="36" t="str">
        <f t="shared" si="139"/>
        <v/>
      </c>
      <c r="LV5" s="36" t="str">
        <f t="shared" si="140"/>
        <v/>
      </c>
      <c r="LW5" s="36" t="str">
        <f t="shared" si="141"/>
        <v/>
      </c>
      <c r="LX5" s="36" t="str">
        <f t="shared" si="142"/>
        <v/>
      </c>
      <c r="LY5" s="16"/>
      <c r="LZ5" s="16"/>
      <c r="MA5" s="16"/>
      <c r="MB5" s="16"/>
      <c r="MC5" s="16"/>
      <c r="MD5" s="16"/>
      <c r="ME5" s="16"/>
      <c r="MF5" s="16"/>
      <c r="MG5" s="16"/>
      <c r="MH5" s="16"/>
      <c r="MI5" s="16"/>
      <c r="MJ5" s="16"/>
      <c r="MK5" s="16"/>
      <c r="ML5" s="16"/>
      <c r="MM5" s="16"/>
      <c r="MN5" s="16"/>
      <c r="MO5" s="16"/>
      <c r="MP5" s="16"/>
      <c r="MQ5" s="16"/>
      <c r="MR5" s="16"/>
      <c r="MS5" s="11" t="str">
        <f t="shared" si="143"/>
        <v/>
      </c>
      <c r="MT5" s="11" t="str">
        <f t="shared" si="144"/>
        <v/>
      </c>
      <c r="MU5" s="11" t="str">
        <f t="shared" si="145"/>
        <v/>
      </c>
      <c r="MV5" s="11" t="str">
        <f t="shared" si="146"/>
        <v/>
      </c>
      <c r="MW5" s="11" t="str">
        <f t="shared" si="147"/>
        <v/>
      </c>
      <c r="MX5" s="11" t="str">
        <f t="shared" si="148"/>
        <v/>
      </c>
      <c r="MY5" s="11" t="str">
        <f t="shared" si="149"/>
        <v/>
      </c>
      <c r="MZ5" s="11" t="str">
        <f t="shared" si="150"/>
        <v/>
      </c>
      <c r="NA5" s="11" t="str">
        <f t="shared" si="151"/>
        <v/>
      </c>
      <c r="NB5" s="11" t="str">
        <f t="shared" si="152"/>
        <v/>
      </c>
      <c r="NC5" s="11" t="str">
        <f t="shared" si="153"/>
        <v/>
      </c>
      <c r="ND5" s="11" t="str">
        <f t="shared" si="154"/>
        <v/>
      </c>
      <c r="NE5" s="11" t="str">
        <f t="shared" si="155"/>
        <v/>
      </c>
      <c r="NF5" s="11" t="str">
        <f t="shared" si="156"/>
        <v/>
      </c>
      <c r="NG5" s="15"/>
      <c r="NH5" s="15"/>
      <c r="NI5" s="15"/>
      <c r="NJ5" s="15"/>
      <c r="NK5" s="15"/>
      <c r="NL5" s="15"/>
      <c r="NM5" s="15"/>
      <c r="NN5" s="15"/>
      <c r="NO5" s="15"/>
      <c r="NP5" s="15"/>
      <c r="NQ5" s="15"/>
      <c r="NR5" s="15"/>
      <c r="NS5" s="15"/>
      <c r="NT5" s="15"/>
      <c r="NU5" s="15"/>
      <c r="NV5" s="15"/>
      <c r="NW5" s="15"/>
      <c r="NX5" s="15"/>
      <c r="NY5" s="15"/>
      <c r="NZ5" s="15"/>
      <c r="OA5" s="36" t="str">
        <f t="shared" si="157"/>
        <v/>
      </c>
      <c r="OB5" s="36" t="str">
        <f t="shared" si="158"/>
        <v/>
      </c>
      <c r="OC5" s="36" t="str">
        <f t="shared" si="159"/>
        <v/>
      </c>
      <c r="OD5" s="36" t="str">
        <f t="shared" si="160"/>
        <v/>
      </c>
      <c r="OE5" s="36" t="str">
        <f t="shared" si="161"/>
        <v/>
      </c>
      <c r="OF5" s="36" t="str">
        <f t="shared" si="162"/>
        <v/>
      </c>
      <c r="OG5" s="36" t="str">
        <f t="shared" si="163"/>
        <v/>
      </c>
      <c r="OH5" s="36" t="str">
        <f t="shared" si="164"/>
        <v/>
      </c>
      <c r="OI5" s="36" t="str">
        <f t="shared" si="165"/>
        <v/>
      </c>
      <c r="OJ5" s="36" t="str">
        <f t="shared" si="166"/>
        <v/>
      </c>
      <c r="OK5" s="36" t="str">
        <f t="shared" si="167"/>
        <v/>
      </c>
      <c r="OL5" s="36" t="str">
        <f t="shared" si="168"/>
        <v/>
      </c>
      <c r="OM5" s="36" t="str">
        <f t="shared" si="169"/>
        <v/>
      </c>
      <c r="ON5" s="36" t="str">
        <f t="shared" si="170"/>
        <v/>
      </c>
      <c r="OO5" s="16"/>
      <c r="OP5" s="16"/>
      <c r="OQ5" s="16"/>
      <c r="OR5" s="16"/>
      <c r="OS5" s="16"/>
      <c r="OT5" s="16"/>
      <c r="OU5" s="16"/>
      <c r="OV5" s="16"/>
      <c r="OW5" s="16"/>
      <c r="OX5" s="16"/>
      <c r="OY5" s="16"/>
      <c r="OZ5" s="16"/>
      <c r="PA5" s="16"/>
      <c r="PB5" s="16"/>
      <c r="PC5" s="16"/>
      <c r="PD5" s="16"/>
      <c r="PE5" s="16"/>
      <c r="PF5" s="16"/>
      <c r="PG5" s="16"/>
      <c r="PH5" s="16"/>
      <c r="PI5" s="11" t="str">
        <f t="shared" si="171"/>
        <v/>
      </c>
      <c r="PJ5" s="11" t="str">
        <f t="shared" si="172"/>
        <v/>
      </c>
      <c r="PK5" s="11" t="str">
        <f t="shared" si="173"/>
        <v/>
      </c>
      <c r="PL5" s="11" t="str">
        <f t="shared" si="174"/>
        <v/>
      </c>
      <c r="PM5" s="11" t="str">
        <f t="shared" si="175"/>
        <v/>
      </c>
      <c r="PN5" s="11" t="str">
        <f t="shared" si="176"/>
        <v/>
      </c>
      <c r="PO5" s="11" t="str">
        <f t="shared" si="177"/>
        <v/>
      </c>
      <c r="PP5" s="11" t="str">
        <f t="shared" si="178"/>
        <v/>
      </c>
      <c r="PQ5" s="11" t="str">
        <f t="shared" si="179"/>
        <v/>
      </c>
      <c r="PR5" s="11" t="str">
        <f t="shared" si="180"/>
        <v/>
      </c>
      <c r="PS5" s="11" t="str">
        <f t="shared" si="181"/>
        <v/>
      </c>
      <c r="PT5" s="11" t="str">
        <f t="shared" si="182"/>
        <v/>
      </c>
      <c r="PU5" s="11" t="str">
        <f t="shared" si="183"/>
        <v/>
      </c>
      <c r="PV5" s="11" t="str">
        <f t="shared" si="184"/>
        <v/>
      </c>
      <c r="PW5" s="15"/>
      <c r="PX5" s="15"/>
      <c r="PY5" s="15"/>
      <c r="PZ5" s="15"/>
      <c r="QA5" s="15"/>
      <c r="QB5" s="15"/>
      <c r="QC5" s="15"/>
      <c r="QD5" s="15"/>
      <c r="QE5" s="15"/>
      <c r="QF5" s="15"/>
      <c r="QG5" s="15"/>
      <c r="QH5" s="15"/>
      <c r="QI5" s="15"/>
      <c r="QJ5" s="15"/>
      <c r="QK5" s="15"/>
      <c r="QL5" s="15"/>
      <c r="QM5" s="15"/>
      <c r="QN5" s="15"/>
      <c r="QO5" s="15"/>
      <c r="QP5" s="15"/>
      <c r="QQ5" s="36" t="str">
        <f t="shared" si="185"/>
        <v/>
      </c>
      <c r="QR5" s="36" t="str">
        <f t="shared" si="186"/>
        <v/>
      </c>
      <c r="QS5" s="36" t="str">
        <f t="shared" si="187"/>
        <v/>
      </c>
      <c r="QT5" s="36" t="str">
        <f t="shared" si="188"/>
        <v/>
      </c>
      <c r="QU5" s="36" t="str">
        <f t="shared" si="189"/>
        <v/>
      </c>
      <c r="QV5" s="36" t="str">
        <f t="shared" si="190"/>
        <v/>
      </c>
      <c r="QW5" s="36" t="str">
        <f t="shared" si="191"/>
        <v/>
      </c>
      <c r="QX5" s="36" t="str">
        <f t="shared" si="192"/>
        <v/>
      </c>
      <c r="QY5" s="36" t="str">
        <f t="shared" si="193"/>
        <v/>
      </c>
      <c r="QZ5" s="36" t="str">
        <f t="shared" si="194"/>
        <v/>
      </c>
      <c r="RA5" s="36" t="str">
        <f t="shared" si="195"/>
        <v/>
      </c>
      <c r="RB5" s="36" t="str">
        <f t="shared" si="196"/>
        <v/>
      </c>
      <c r="RC5" s="36" t="str">
        <f t="shared" si="197"/>
        <v/>
      </c>
      <c r="RD5" s="36" t="str">
        <f t="shared" si="198"/>
        <v/>
      </c>
      <c r="RE5" s="16"/>
      <c r="RF5" s="16"/>
      <c r="RG5" s="16"/>
      <c r="RH5" s="16"/>
      <c r="RI5" s="16"/>
      <c r="RJ5" s="16"/>
      <c r="RK5" s="16"/>
      <c r="RL5" s="16"/>
      <c r="RM5" s="16"/>
      <c r="RN5" s="16"/>
      <c r="RO5" s="16"/>
      <c r="RP5" s="16"/>
      <c r="RQ5" s="16"/>
      <c r="RR5" s="16"/>
      <c r="RS5" s="16"/>
      <c r="RT5" s="16"/>
      <c r="RU5" s="16"/>
      <c r="RV5" s="16"/>
      <c r="RW5" s="16"/>
      <c r="RX5" s="16"/>
      <c r="RY5" s="11" t="str">
        <f t="shared" si="199"/>
        <v/>
      </c>
      <c r="RZ5" s="11" t="str">
        <f t="shared" si="200"/>
        <v/>
      </c>
      <c r="SA5" s="11" t="str">
        <f t="shared" si="201"/>
        <v/>
      </c>
      <c r="SB5" s="11" t="str">
        <f t="shared" si="202"/>
        <v/>
      </c>
      <c r="SC5" s="11" t="str">
        <f t="shared" si="203"/>
        <v/>
      </c>
      <c r="SD5" s="11" t="str">
        <f t="shared" si="204"/>
        <v/>
      </c>
      <c r="SE5" s="11" t="str">
        <f t="shared" si="205"/>
        <v/>
      </c>
      <c r="SF5" s="11" t="str">
        <f t="shared" si="206"/>
        <v/>
      </c>
      <c r="SG5" s="11" t="str">
        <f t="shared" si="207"/>
        <v/>
      </c>
      <c r="SH5" s="11" t="str">
        <f t="shared" si="208"/>
        <v/>
      </c>
      <c r="SI5" s="11" t="str">
        <f t="shared" si="209"/>
        <v/>
      </c>
      <c r="SJ5" s="11" t="str">
        <f t="shared" si="210"/>
        <v/>
      </c>
      <c r="SK5" s="11" t="str">
        <f t="shared" si="211"/>
        <v/>
      </c>
      <c r="SL5" s="11" t="str">
        <f t="shared" si="212"/>
        <v/>
      </c>
      <c r="SM5" s="15"/>
      <c r="SN5" s="15"/>
      <c r="SO5" s="15"/>
      <c r="SP5" s="15"/>
      <c r="SQ5" s="15"/>
      <c r="SR5" s="15"/>
      <c r="SS5" s="15"/>
      <c r="ST5" s="15"/>
      <c r="SU5" s="15"/>
      <c r="SV5" s="15"/>
      <c r="SW5" s="15"/>
      <c r="SX5" s="15"/>
      <c r="SY5" s="15"/>
      <c r="SZ5" s="15"/>
      <c r="TA5" s="15"/>
      <c r="TB5" s="15"/>
      <c r="TC5" s="15"/>
      <c r="TD5" s="15"/>
      <c r="TE5" s="15"/>
      <c r="TF5" s="15"/>
      <c r="TG5" s="36" t="str">
        <f t="shared" si="213"/>
        <v/>
      </c>
      <c r="TH5" s="36" t="str">
        <f t="shared" si="214"/>
        <v/>
      </c>
      <c r="TI5" s="36" t="str">
        <f t="shared" si="215"/>
        <v/>
      </c>
      <c r="TJ5" s="36" t="str">
        <f t="shared" si="216"/>
        <v/>
      </c>
      <c r="TK5" s="36" t="str">
        <f t="shared" si="217"/>
        <v/>
      </c>
      <c r="TL5" s="36" t="str">
        <f t="shared" si="218"/>
        <v/>
      </c>
      <c r="TM5" s="36" t="str">
        <f t="shared" si="219"/>
        <v/>
      </c>
      <c r="TN5" s="36" t="str">
        <f t="shared" si="220"/>
        <v/>
      </c>
      <c r="TO5" s="36" t="str">
        <f t="shared" si="221"/>
        <v/>
      </c>
      <c r="TP5" s="36" t="str">
        <f t="shared" si="222"/>
        <v/>
      </c>
      <c r="TQ5" s="36" t="str">
        <f t="shared" si="223"/>
        <v/>
      </c>
      <c r="TR5" s="36" t="str">
        <f t="shared" si="224"/>
        <v/>
      </c>
      <c r="TS5" s="36" t="str">
        <f t="shared" si="225"/>
        <v/>
      </c>
      <c r="TT5" s="36" t="str">
        <f t="shared" si="226"/>
        <v/>
      </c>
      <c r="TU5" s="16"/>
      <c r="TV5" s="16"/>
      <c r="TW5" s="16"/>
      <c r="TX5" s="16"/>
      <c r="TY5" s="16"/>
      <c r="TZ5" s="16"/>
      <c r="UA5" s="16"/>
      <c r="UB5" s="16"/>
      <c r="UC5" s="16"/>
      <c r="UD5" s="16"/>
      <c r="UE5" s="16"/>
      <c r="UF5" s="16"/>
      <c r="UG5" s="16"/>
      <c r="UH5" s="16"/>
      <c r="UI5" s="16"/>
      <c r="UJ5" s="16"/>
      <c r="UK5" s="16"/>
      <c r="UL5" s="16"/>
      <c r="UM5" s="16"/>
      <c r="UN5" s="16"/>
      <c r="UO5" s="11" t="str">
        <f t="shared" si="227"/>
        <v/>
      </c>
      <c r="UP5" s="11" t="str">
        <f t="shared" si="228"/>
        <v/>
      </c>
      <c r="UQ5" s="11" t="str">
        <f t="shared" si="229"/>
        <v/>
      </c>
      <c r="UR5" s="11" t="str">
        <f t="shared" si="230"/>
        <v/>
      </c>
      <c r="US5" s="11" t="str">
        <f t="shared" si="231"/>
        <v/>
      </c>
      <c r="UT5" s="11" t="str">
        <f t="shared" si="232"/>
        <v/>
      </c>
      <c r="UU5" s="11" t="str">
        <f t="shared" si="233"/>
        <v/>
      </c>
      <c r="UV5" s="11" t="str">
        <f t="shared" si="234"/>
        <v/>
      </c>
      <c r="UW5" s="11" t="str">
        <f t="shared" si="235"/>
        <v/>
      </c>
      <c r="UX5" s="11" t="str">
        <f t="shared" si="236"/>
        <v/>
      </c>
      <c r="UY5" s="11" t="str">
        <f t="shared" si="237"/>
        <v/>
      </c>
      <c r="UZ5" s="11" t="str">
        <f t="shared" si="238"/>
        <v/>
      </c>
      <c r="VA5" s="11" t="str">
        <f t="shared" si="239"/>
        <v/>
      </c>
      <c r="VB5" s="11" t="str">
        <f t="shared" si="240"/>
        <v/>
      </c>
      <c r="VC5" s="15"/>
      <c r="VD5" s="15"/>
      <c r="VE5" s="15"/>
      <c r="VF5" s="15"/>
      <c r="VG5" s="15"/>
      <c r="VH5" s="15"/>
      <c r="VI5" s="15"/>
      <c r="VJ5" s="15"/>
      <c r="VK5" s="15"/>
      <c r="VL5" s="15"/>
      <c r="VM5" s="15"/>
      <c r="VN5" s="15"/>
      <c r="VO5" s="15"/>
      <c r="VP5" s="15"/>
      <c r="VQ5" s="15"/>
      <c r="VR5" s="15"/>
      <c r="VS5" s="15"/>
      <c r="VT5" s="15"/>
      <c r="VU5" s="15"/>
      <c r="VV5" s="15"/>
      <c r="VW5" s="36" t="str">
        <f t="shared" si="241"/>
        <v/>
      </c>
      <c r="VX5" s="36" t="str">
        <f t="shared" si="242"/>
        <v/>
      </c>
      <c r="VY5" s="36" t="str">
        <f t="shared" si="243"/>
        <v/>
      </c>
      <c r="VZ5" s="36" t="str">
        <f t="shared" si="244"/>
        <v/>
      </c>
      <c r="WA5" s="36" t="str">
        <f t="shared" si="245"/>
        <v/>
      </c>
      <c r="WB5" s="36" t="str">
        <f t="shared" si="246"/>
        <v/>
      </c>
      <c r="WC5" s="36" t="str">
        <f t="shared" si="247"/>
        <v/>
      </c>
      <c r="WD5" s="36" t="str">
        <f t="shared" si="248"/>
        <v/>
      </c>
      <c r="WE5" s="36" t="str">
        <f t="shared" si="249"/>
        <v/>
      </c>
      <c r="WF5" s="36" t="str">
        <f t="shared" si="250"/>
        <v/>
      </c>
      <c r="WG5" s="36" t="str">
        <f t="shared" si="251"/>
        <v/>
      </c>
      <c r="WH5" s="36" t="str">
        <f t="shared" si="252"/>
        <v/>
      </c>
      <c r="WI5" s="36" t="str">
        <f t="shared" si="253"/>
        <v/>
      </c>
      <c r="WJ5" s="36" t="str">
        <f t="shared" si="254"/>
        <v/>
      </c>
    </row>
    <row r="6" spans="1:608" x14ac:dyDescent="0.2">
      <c r="A6" s="4" cm="1">
        <f t="array" ref="A6">IF(AND(H6&lt;&gt;"",H6&lt;&gt;"No DD"),SUMPRODUCT((H$4:H$15&lt;&gt;"")*(H$4:H$15&lt;&gt;"No DD")*(E$4:E$15&gt;E6))+1,IF(H6="No DD",SUMPRODUCT((H$4:H$15="No DD")*(E$4:E$15&gt;E6))+1+SUMPRODUCT((H$4:H$15&lt;&gt;"")*(H$4:H$15&lt;&gt;"No DD")),""))</f>
        <v>3</v>
      </c>
      <c r="B6" s="5" t="s">
        <v>81</v>
      </c>
      <c r="C6" s="4" t="s">
        <v>6</v>
      </c>
      <c r="D6" s="4" t="s">
        <v>80</v>
      </c>
      <c r="E6" s="9">
        <f t="shared" si="0"/>
        <v>95.140009514004774</v>
      </c>
      <c r="F6" s="3" t="str">
        <f t="shared" si="1"/>
        <v>P</v>
      </c>
      <c r="G6" s="3" t="str">
        <f t="shared" si="2"/>
        <v>P</v>
      </c>
      <c r="H6" s="32" t="str">
        <f t="shared" si="3"/>
        <v>National Team</v>
      </c>
      <c r="I6" s="3" t="str">
        <f t="shared" si="4"/>
        <v/>
      </c>
      <c r="J6" s="8">
        <f t="shared" si="5"/>
        <v>47.78</v>
      </c>
      <c r="K6" s="8" t="str">
        <f t="shared" si="6"/>
        <v>2025 Nationals</v>
      </c>
      <c r="L6" s="8">
        <f>IFERROR(LARGE((AI6,AL6,AP6,BJ6,BM6,BQ6,CK6,CN6,CR6),2),0)</f>
        <v>47.36</v>
      </c>
      <c r="M6" s="8" t="str">
        <f t="shared" si="7"/>
        <v>2025 Elite Canada</v>
      </c>
      <c r="N6" s="8">
        <f t="shared" si="8"/>
        <v>0</v>
      </c>
      <c r="O6" s="11" t="str">
        <f t="shared" si="9"/>
        <v/>
      </c>
      <c r="P6" s="8" t="str">
        <f t="shared" si="10"/>
        <v/>
      </c>
      <c r="Q6" s="18">
        <v>7.2</v>
      </c>
      <c r="R6" s="18">
        <v>9.0500000000000007</v>
      </c>
      <c r="S6" s="18">
        <v>11.8</v>
      </c>
      <c r="T6" s="18">
        <v>14.28</v>
      </c>
      <c r="U6" s="18">
        <v>0.4</v>
      </c>
      <c r="V6" s="18">
        <v>7.55</v>
      </c>
      <c r="W6" s="18">
        <v>9.15</v>
      </c>
      <c r="X6" s="18">
        <v>11.8</v>
      </c>
      <c r="Y6" s="18">
        <v>17.48</v>
      </c>
      <c r="Z6" s="18">
        <v>0</v>
      </c>
      <c r="AA6" s="18">
        <v>7.5</v>
      </c>
      <c r="AB6" s="18">
        <v>9.1999999999999993</v>
      </c>
      <c r="AC6" s="18">
        <v>11.8</v>
      </c>
      <c r="AD6" s="18">
        <v>18.86</v>
      </c>
      <c r="AE6" s="18">
        <v>0</v>
      </c>
      <c r="AF6" s="23"/>
      <c r="AG6" s="34">
        <f t="shared" si="11"/>
        <v>11.8</v>
      </c>
      <c r="AH6" s="34">
        <f t="shared" si="12"/>
        <v>14.28</v>
      </c>
      <c r="AI6" s="36">
        <f t="shared" si="13"/>
        <v>41.93</v>
      </c>
      <c r="AJ6" s="36">
        <f t="shared" si="14"/>
        <v>11.8</v>
      </c>
      <c r="AK6" s="36">
        <f t="shared" si="15"/>
        <v>17.48</v>
      </c>
      <c r="AL6" s="36">
        <f t="shared" si="16"/>
        <v>45.980000000000004</v>
      </c>
      <c r="AM6" s="36">
        <f t="shared" si="17"/>
        <v>45.980000000000004</v>
      </c>
      <c r="AN6" s="36">
        <f t="shared" si="18"/>
        <v>11.8</v>
      </c>
      <c r="AO6" s="36">
        <f t="shared" si="19"/>
        <v>18.86</v>
      </c>
      <c r="AP6" s="36">
        <f t="shared" si="20"/>
        <v>47.36</v>
      </c>
      <c r="AQ6" s="36">
        <f t="shared" si="21"/>
        <v>93.34</v>
      </c>
      <c r="AR6" s="22">
        <v>7.83</v>
      </c>
      <c r="AS6" s="22">
        <v>9.35</v>
      </c>
      <c r="AT6" s="22">
        <v>11.8</v>
      </c>
      <c r="AU6" s="22">
        <v>17.96</v>
      </c>
      <c r="AV6" s="22">
        <v>0</v>
      </c>
      <c r="AW6" s="22">
        <v>7.45</v>
      </c>
      <c r="AX6" s="22">
        <v>9.25</v>
      </c>
      <c r="AY6" s="22">
        <v>11.8</v>
      </c>
      <c r="AZ6" s="22">
        <v>15.94</v>
      </c>
      <c r="BA6" s="22">
        <v>0</v>
      </c>
      <c r="BB6" s="22">
        <v>8.15</v>
      </c>
      <c r="BC6" s="22">
        <v>9.35</v>
      </c>
      <c r="BD6" s="22">
        <v>11.8</v>
      </c>
      <c r="BE6" s="22">
        <v>18.48</v>
      </c>
      <c r="BF6" s="22">
        <v>0</v>
      </c>
      <c r="BG6" s="24"/>
      <c r="BH6" s="35">
        <f t="shared" si="22"/>
        <v>11.8</v>
      </c>
      <c r="BI6" s="35">
        <f t="shared" si="23"/>
        <v>17.96</v>
      </c>
      <c r="BJ6" s="11">
        <f t="shared" si="24"/>
        <v>46.94</v>
      </c>
      <c r="BK6" s="11">
        <f t="shared" si="25"/>
        <v>11.8</v>
      </c>
      <c r="BL6" s="11">
        <f t="shared" si="26"/>
        <v>15.94</v>
      </c>
      <c r="BM6" s="11">
        <f t="shared" si="27"/>
        <v>44.44</v>
      </c>
      <c r="BN6" s="11">
        <f t="shared" si="28"/>
        <v>46.94</v>
      </c>
      <c r="BO6" s="11">
        <f t="shared" si="29"/>
        <v>11.8</v>
      </c>
      <c r="BP6" s="11">
        <f t="shared" si="30"/>
        <v>18.48</v>
      </c>
      <c r="BQ6" s="11">
        <f t="shared" si="31"/>
        <v>47.78</v>
      </c>
      <c r="BR6" s="11">
        <f t="shared" si="32"/>
        <v>94.72</v>
      </c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23"/>
      <c r="CI6" s="34" t="str">
        <f t="shared" si="33"/>
        <v/>
      </c>
      <c r="CJ6" s="34" t="str">
        <f t="shared" si="34"/>
        <v/>
      </c>
      <c r="CK6" s="36" t="str">
        <f t="shared" si="35"/>
        <v/>
      </c>
      <c r="CL6" s="36" t="str">
        <f t="shared" si="36"/>
        <v/>
      </c>
      <c r="CM6" s="36" t="str">
        <f t="shared" si="37"/>
        <v/>
      </c>
      <c r="CN6" s="36" t="str">
        <f t="shared" si="38"/>
        <v/>
      </c>
      <c r="CO6" s="36" t="str">
        <f t="shared" si="39"/>
        <v/>
      </c>
      <c r="CP6" s="36" t="str">
        <f t="shared" si="40"/>
        <v/>
      </c>
      <c r="CQ6" s="36" t="str">
        <f t="shared" si="41"/>
        <v/>
      </c>
      <c r="CR6" s="36" t="str">
        <f t="shared" si="42"/>
        <v/>
      </c>
      <c r="CS6" s="36" t="str">
        <f t="shared" si="43"/>
        <v/>
      </c>
      <c r="CT6" s="47" t="str">
        <f t="shared" si="44"/>
        <v/>
      </c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  <c r="DJ6" s="15"/>
      <c r="DK6" s="15"/>
      <c r="DL6" s="15"/>
      <c r="DM6" s="15"/>
      <c r="DN6" s="15"/>
      <c r="DO6" s="36" t="str">
        <f t="shared" si="45"/>
        <v/>
      </c>
      <c r="DP6" s="36" t="str">
        <f t="shared" si="46"/>
        <v/>
      </c>
      <c r="DQ6" s="36" t="str">
        <f t="shared" si="47"/>
        <v/>
      </c>
      <c r="DR6" s="36" t="str">
        <f t="shared" si="48"/>
        <v/>
      </c>
      <c r="DS6" s="36" t="str">
        <f t="shared" si="49"/>
        <v/>
      </c>
      <c r="DT6" s="36" t="str">
        <f t="shared" si="50"/>
        <v/>
      </c>
      <c r="DU6" s="36" t="str">
        <f t="shared" si="51"/>
        <v/>
      </c>
      <c r="DV6" s="36" t="str">
        <f t="shared" si="52"/>
        <v/>
      </c>
      <c r="DW6" s="36" t="str">
        <f t="shared" si="53"/>
        <v/>
      </c>
      <c r="DX6" s="36" t="str">
        <f t="shared" si="54"/>
        <v/>
      </c>
      <c r="DY6" s="36" t="str">
        <f t="shared" si="55"/>
        <v/>
      </c>
      <c r="DZ6" s="36" t="str">
        <f t="shared" si="56"/>
        <v/>
      </c>
      <c r="EA6" s="36" t="str">
        <f t="shared" si="57"/>
        <v/>
      </c>
      <c r="EB6" s="36" t="str">
        <f t="shared" si="58"/>
        <v/>
      </c>
      <c r="EC6" s="16"/>
      <c r="ED6" s="16"/>
      <c r="EE6" s="16"/>
      <c r="EF6" s="16"/>
      <c r="EG6" s="16"/>
      <c r="EH6" s="16"/>
      <c r="EI6" s="16"/>
      <c r="EJ6" s="16"/>
      <c r="EK6" s="16"/>
      <c r="EL6" s="16"/>
      <c r="EM6" s="16"/>
      <c r="EN6" s="16"/>
      <c r="EO6" s="16"/>
      <c r="EP6" s="16"/>
      <c r="EQ6" s="16"/>
      <c r="ER6" s="16"/>
      <c r="ES6" s="16"/>
      <c r="ET6" s="16"/>
      <c r="EU6" s="16"/>
      <c r="EV6" s="16"/>
      <c r="EW6" s="11" t="str">
        <f t="shared" si="59"/>
        <v/>
      </c>
      <c r="EX6" s="11" t="str">
        <f t="shared" si="60"/>
        <v/>
      </c>
      <c r="EY6" s="11" t="str">
        <f t="shared" si="61"/>
        <v/>
      </c>
      <c r="EZ6" s="11" t="str">
        <f t="shared" si="62"/>
        <v/>
      </c>
      <c r="FA6" s="11" t="str">
        <f t="shared" si="63"/>
        <v/>
      </c>
      <c r="FB6" s="11" t="str">
        <f t="shared" si="64"/>
        <v/>
      </c>
      <c r="FC6" s="11" t="str">
        <f t="shared" si="65"/>
        <v/>
      </c>
      <c r="FD6" s="11" t="str">
        <f t="shared" si="66"/>
        <v/>
      </c>
      <c r="FE6" s="11" t="str">
        <f t="shared" si="67"/>
        <v/>
      </c>
      <c r="FF6" s="11" t="str">
        <f t="shared" si="68"/>
        <v/>
      </c>
      <c r="FG6" s="11" t="str">
        <f t="shared" si="69"/>
        <v/>
      </c>
      <c r="FH6" s="11" t="str">
        <f t="shared" si="70"/>
        <v/>
      </c>
      <c r="FI6" s="11" t="str">
        <f t="shared" si="71"/>
        <v/>
      </c>
      <c r="FJ6" s="11" t="str">
        <f t="shared" si="72"/>
        <v/>
      </c>
      <c r="FK6" s="15"/>
      <c r="FL6" s="15"/>
      <c r="FM6" s="15"/>
      <c r="FN6" s="15"/>
      <c r="FO6" s="15"/>
      <c r="FP6" s="15"/>
      <c r="FQ6" s="15"/>
      <c r="FR6" s="15"/>
      <c r="FS6" s="15"/>
      <c r="FT6" s="15"/>
      <c r="FU6" s="15"/>
      <c r="FV6" s="15"/>
      <c r="FW6" s="15"/>
      <c r="FX6" s="15"/>
      <c r="FY6" s="15"/>
      <c r="FZ6" s="15"/>
      <c r="GA6" s="15"/>
      <c r="GB6" s="15"/>
      <c r="GC6" s="15"/>
      <c r="GD6" s="15"/>
      <c r="GE6" s="36" t="str">
        <f t="shared" si="73"/>
        <v/>
      </c>
      <c r="GF6" s="36" t="str">
        <f t="shared" si="74"/>
        <v/>
      </c>
      <c r="GG6" s="36" t="str">
        <f t="shared" si="75"/>
        <v/>
      </c>
      <c r="GH6" s="36" t="str">
        <f t="shared" si="76"/>
        <v/>
      </c>
      <c r="GI6" s="36" t="str">
        <f t="shared" si="77"/>
        <v/>
      </c>
      <c r="GJ6" s="36" t="str">
        <f t="shared" si="78"/>
        <v/>
      </c>
      <c r="GK6" s="36" t="str">
        <f t="shared" si="79"/>
        <v/>
      </c>
      <c r="GL6" s="36" t="str">
        <f t="shared" si="80"/>
        <v/>
      </c>
      <c r="GM6" s="36" t="str">
        <f t="shared" si="81"/>
        <v/>
      </c>
      <c r="GN6" s="36" t="str">
        <f t="shared" si="82"/>
        <v/>
      </c>
      <c r="GO6" s="36" t="str">
        <f t="shared" si="83"/>
        <v/>
      </c>
      <c r="GP6" s="36" t="str">
        <f t="shared" si="84"/>
        <v/>
      </c>
      <c r="GQ6" s="36" t="str">
        <f t="shared" si="85"/>
        <v/>
      </c>
      <c r="GR6" s="36" t="str">
        <f t="shared" si="86"/>
        <v/>
      </c>
      <c r="GS6" s="16"/>
      <c r="GT6" s="16"/>
      <c r="GU6" s="16"/>
      <c r="GV6" s="16"/>
      <c r="GW6" s="16"/>
      <c r="GX6" s="16"/>
      <c r="GY6" s="16"/>
      <c r="GZ6" s="16"/>
      <c r="HA6" s="16"/>
      <c r="HB6" s="16"/>
      <c r="HC6" s="16"/>
      <c r="HD6" s="16"/>
      <c r="HE6" s="16"/>
      <c r="HF6" s="16"/>
      <c r="HG6" s="16"/>
      <c r="HH6" s="16"/>
      <c r="HI6" s="16"/>
      <c r="HJ6" s="16"/>
      <c r="HK6" s="16"/>
      <c r="HL6" s="16"/>
      <c r="HM6" s="11" t="str">
        <f t="shared" si="87"/>
        <v/>
      </c>
      <c r="HN6" s="11" t="str">
        <f t="shared" si="88"/>
        <v/>
      </c>
      <c r="HO6" s="11" t="str">
        <f t="shared" si="89"/>
        <v/>
      </c>
      <c r="HP6" s="11" t="str">
        <f t="shared" si="90"/>
        <v/>
      </c>
      <c r="HQ6" s="11" t="str">
        <f t="shared" si="91"/>
        <v/>
      </c>
      <c r="HR6" s="11" t="str">
        <f t="shared" si="92"/>
        <v/>
      </c>
      <c r="HS6" s="11" t="str">
        <f t="shared" si="93"/>
        <v/>
      </c>
      <c r="HT6" s="11" t="str">
        <f t="shared" si="94"/>
        <v/>
      </c>
      <c r="HU6" s="11" t="str">
        <f t="shared" si="95"/>
        <v/>
      </c>
      <c r="HV6" s="11" t="str">
        <f t="shared" si="96"/>
        <v/>
      </c>
      <c r="HW6" s="11" t="str">
        <f t="shared" si="97"/>
        <v/>
      </c>
      <c r="HX6" s="11" t="str">
        <f t="shared" si="98"/>
        <v/>
      </c>
      <c r="HY6" s="11" t="str">
        <f t="shared" si="99"/>
        <v/>
      </c>
      <c r="HZ6" s="11" t="str">
        <f t="shared" si="100"/>
        <v/>
      </c>
      <c r="IA6" s="15"/>
      <c r="IB6" s="15"/>
      <c r="IC6" s="15"/>
      <c r="ID6" s="15"/>
      <c r="IE6" s="15"/>
      <c r="IF6" s="15"/>
      <c r="IG6" s="15"/>
      <c r="IH6" s="15"/>
      <c r="II6" s="15"/>
      <c r="IJ6" s="15"/>
      <c r="IK6" s="15"/>
      <c r="IL6" s="15"/>
      <c r="IM6" s="15"/>
      <c r="IN6" s="15"/>
      <c r="IO6" s="15"/>
      <c r="IP6" s="15"/>
      <c r="IQ6" s="15"/>
      <c r="IR6" s="15"/>
      <c r="IS6" s="15"/>
      <c r="IT6" s="15"/>
      <c r="IU6" s="36" t="str">
        <f t="shared" si="101"/>
        <v/>
      </c>
      <c r="IV6" s="36" t="str">
        <f t="shared" si="102"/>
        <v/>
      </c>
      <c r="IW6" s="36" t="str">
        <f t="shared" si="103"/>
        <v/>
      </c>
      <c r="IX6" s="36" t="str">
        <f t="shared" si="104"/>
        <v/>
      </c>
      <c r="IY6" s="36" t="str">
        <f t="shared" si="105"/>
        <v/>
      </c>
      <c r="IZ6" s="36" t="str">
        <f t="shared" si="106"/>
        <v/>
      </c>
      <c r="JA6" s="36" t="str">
        <f t="shared" si="107"/>
        <v/>
      </c>
      <c r="JB6" s="36" t="str">
        <f t="shared" si="108"/>
        <v/>
      </c>
      <c r="JC6" s="36" t="str">
        <f t="shared" si="109"/>
        <v/>
      </c>
      <c r="JD6" s="36" t="str">
        <f t="shared" si="110"/>
        <v/>
      </c>
      <c r="JE6" s="36" t="str">
        <f t="shared" si="111"/>
        <v/>
      </c>
      <c r="JF6" s="36" t="str">
        <f t="shared" si="112"/>
        <v/>
      </c>
      <c r="JG6" s="36" t="str">
        <f t="shared" si="113"/>
        <v/>
      </c>
      <c r="JH6" s="36" t="str">
        <f t="shared" si="114"/>
        <v/>
      </c>
      <c r="JI6" s="16"/>
      <c r="JJ6" s="16"/>
      <c r="JK6" s="16"/>
      <c r="JL6" s="16"/>
      <c r="JM6" s="16"/>
      <c r="JN6" s="16"/>
      <c r="JO6" s="16"/>
      <c r="JP6" s="16"/>
      <c r="JQ6" s="16"/>
      <c r="JR6" s="16"/>
      <c r="JS6" s="16"/>
      <c r="JT6" s="16"/>
      <c r="JU6" s="16"/>
      <c r="JV6" s="16"/>
      <c r="JW6" s="16"/>
      <c r="JX6" s="16"/>
      <c r="JY6" s="16"/>
      <c r="JZ6" s="16"/>
      <c r="KA6" s="16"/>
      <c r="KB6" s="16"/>
      <c r="KC6" s="11" t="str">
        <f t="shared" si="115"/>
        <v/>
      </c>
      <c r="KD6" s="11" t="str">
        <f t="shared" si="116"/>
        <v/>
      </c>
      <c r="KE6" s="11" t="str">
        <f t="shared" si="117"/>
        <v/>
      </c>
      <c r="KF6" s="11" t="str">
        <f t="shared" si="118"/>
        <v/>
      </c>
      <c r="KG6" s="11" t="str">
        <f t="shared" si="119"/>
        <v/>
      </c>
      <c r="KH6" s="11" t="str">
        <f t="shared" si="120"/>
        <v/>
      </c>
      <c r="KI6" s="11" t="str">
        <f t="shared" si="121"/>
        <v/>
      </c>
      <c r="KJ6" s="11" t="str">
        <f t="shared" si="122"/>
        <v/>
      </c>
      <c r="KK6" s="11" t="str">
        <f t="shared" si="123"/>
        <v/>
      </c>
      <c r="KL6" s="11" t="str">
        <f t="shared" si="124"/>
        <v/>
      </c>
      <c r="KM6" s="11" t="str">
        <f t="shared" si="125"/>
        <v/>
      </c>
      <c r="KN6" s="11" t="str">
        <f t="shared" si="126"/>
        <v/>
      </c>
      <c r="KO6" s="11" t="str">
        <f t="shared" si="127"/>
        <v/>
      </c>
      <c r="KP6" s="11" t="str">
        <f t="shared" si="128"/>
        <v/>
      </c>
      <c r="KQ6" s="15"/>
      <c r="KR6" s="15"/>
      <c r="KS6" s="15"/>
      <c r="KT6" s="15"/>
      <c r="KU6" s="15"/>
      <c r="KV6" s="15"/>
      <c r="KW6" s="15"/>
      <c r="KX6" s="15"/>
      <c r="KY6" s="15"/>
      <c r="KZ6" s="15"/>
      <c r="LA6" s="15"/>
      <c r="LB6" s="15"/>
      <c r="LC6" s="15"/>
      <c r="LD6" s="15"/>
      <c r="LE6" s="15"/>
      <c r="LF6" s="15"/>
      <c r="LG6" s="15"/>
      <c r="LH6" s="15"/>
      <c r="LI6" s="15"/>
      <c r="LJ6" s="15"/>
      <c r="LK6" s="36" t="str">
        <f t="shared" si="129"/>
        <v/>
      </c>
      <c r="LL6" s="36" t="str">
        <f t="shared" si="130"/>
        <v/>
      </c>
      <c r="LM6" s="36" t="str">
        <f t="shared" si="131"/>
        <v/>
      </c>
      <c r="LN6" s="36" t="str">
        <f t="shared" si="132"/>
        <v/>
      </c>
      <c r="LO6" s="36" t="str">
        <f t="shared" si="133"/>
        <v/>
      </c>
      <c r="LP6" s="36" t="str">
        <f t="shared" si="134"/>
        <v/>
      </c>
      <c r="LQ6" s="36" t="str">
        <f t="shared" si="135"/>
        <v/>
      </c>
      <c r="LR6" s="36" t="str">
        <f t="shared" si="136"/>
        <v/>
      </c>
      <c r="LS6" s="36" t="str">
        <f t="shared" si="137"/>
        <v/>
      </c>
      <c r="LT6" s="36" t="str">
        <f t="shared" si="138"/>
        <v/>
      </c>
      <c r="LU6" s="36" t="str">
        <f t="shared" si="139"/>
        <v/>
      </c>
      <c r="LV6" s="36" t="str">
        <f t="shared" si="140"/>
        <v/>
      </c>
      <c r="LW6" s="36" t="str">
        <f t="shared" si="141"/>
        <v/>
      </c>
      <c r="LX6" s="36" t="str">
        <f t="shared" si="142"/>
        <v/>
      </c>
      <c r="LY6" s="16"/>
      <c r="LZ6" s="16"/>
      <c r="MA6" s="16"/>
      <c r="MB6" s="16"/>
      <c r="MC6" s="16"/>
      <c r="MD6" s="16"/>
      <c r="ME6" s="16"/>
      <c r="MF6" s="16"/>
      <c r="MG6" s="16"/>
      <c r="MH6" s="16"/>
      <c r="MI6" s="16"/>
      <c r="MJ6" s="16"/>
      <c r="MK6" s="16"/>
      <c r="ML6" s="16"/>
      <c r="MM6" s="16"/>
      <c r="MN6" s="16"/>
      <c r="MO6" s="16"/>
      <c r="MP6" s="16"/>
      <c r="MQ6" s="16"/>
      <c r="MR6" s="16"/>
      <c r="MS6" s="11" t="str">
        <f t="shared" si="143"/>
        <v/>
      </c>
      <c r="MT6" s="11" t="str">
        <f t="shared" si="144"/>
        <v/>
      </c>
      <c r="MU6" s="11" t="str">
        <f t="shared" si="145"/>
        <v/>
      </c>
      <c r="MV6" s="11" t="str">
        <f t="shared" si="146"/>
        <v/>
      </c>
      <c r="MW6" s="11" t="str">
        <f t="shared" si="147"/>
        <v/>
      </c>
      <c r="MX6" s="11" t="str">
        <f t="shared" si="148"/>
        <v/>
      </c>
      <c r="MY6" s="11" t="str">
        <f t="shared" si="149"/>
        <v/>
      </c>
      <c r="MZ6" s="11" t="str">
        <f t="shared" si="150"/>
        <v/>
      </c>
      <c r="NA6" s="11" t="str">
        <f t="shared" si="151"/>
        <v/>
      </c>
      <c r="NB6" s="11" t="str">
        <f t="shared" si="152"/>
        <v/>
      </c>
      <c r="NC6" s="11" t="str">
        <f t="shared" si="153"/>
        <v/>
      </c>
      <c r="ND6" s="11" t="str">
        <f t="shared" si="154"/>
        <v/>
      </c>
      <c r="NE6" s="11" t="str">
        <f t="shared" si="155"/>
        <v/>
      </c>
      <c r="NF6" s="11" t="str">
        <f t="shared" si="156"/>
        <v/>
      </c>
      <c r="NG6" s="15"/>
      <c r="NH6" s="15"/>
      <c r="NI6" s="15"/>
      <c r="NJ6" s="15"/>
      <c r="NK6" s="15"/>
      <c r="NL6" s="15"/>
      <c r="NM6" s="15"/>
      <c r="NN6" s="15"/>
      <c r="NO6" s="15"/>
      <c r="NP6" s="15"/>
      <c r="NQ6" s="15"/>
      <c r="NR6" s="15"/>
      <c r="NS6" s="15"/>
      <c r="NT6" s="15"/>
      <c r="NU6" s="15"/>
      <c r="NV6" s="15"/>
      <c r="NW6" s="15"/>
      <c r="NX6" s="15"/>
      <c r="NY6" s="15"/>
      <c r="NZ6" s="15"/>
      <c r="OA6" s="36" t="str">
        <f t="shared" si="157"/>
        <v/>
      </c>
      <c r="OB6" s="36" t="str">
        <f t="shared" si="158"/>
        <v/>
      </c>
      <c r="OC6" s="36" t="str">
        <f t="shared" si="159"/>
        <v/>
      </c>
      <c r="OD6" s="36" t="str">
        <f t="shared" si="160"/>
        <v/>
      </c>
      <c r="OE6" s="36" t="str">
        <f t="shared" si="161"/>
        <v/>
      </c>
      <c r="OF6" s="36" t="str">
        <f t="shared" si="162"/>
        <v/>
      </c>
      <c r="OG6" s="36" t="str">
        <f t="shared" si="163"/>
        <v/>
      </c>
      <c r="OH6" s="36" t="str">
        <f t="shared" si="164"/>
        <v/>
      </c>
      <c r="OI6" s="36" t="str">
        <f t="shared" si="165"/>
        <v/>
      </c>
      <c r="OJ6" s="36" t="str">
        <f t="shared" si="166"/>
        <v/>
      </c>
      <c r="OK6" s="36" t="str">
        <f t="shared" si="167"/>
        <v/>
      </c>
      <c r="OL6" s="36" t="str">
        <f t="shared" si="168"/>
        <v/>
      </c>
      <c r="OM6" s="36" t="str">
        <f t="shared" si="169"/>
        <v/>
      </c>
      <c r="ON6" s="36" t="str">
        <f t="shared" si="170"/>
        <v/>
      </c>
      <c r="OO6" s="16"/>
      <c r="OP6" s="16"/>
      <c r="OQ6" s="16"/>
      <c r="OR6" s="16"/>
      <c r="OS6" s="16"/>
      <c r="OT6" s="16"/>
      <c r="OU6" s="16"/>
      <c r="OV6" s="16"/>
      <c r="OW6" s="16"/>
      <c r="OX6" s="16"/>
      <c r="OY6" s="16"/>
      <c r="OZ6" s="16"/>
      <c r="PA6" s="16"/>
      <c r="PB6" s="16"/>
      <c r="PC6" s="16"/>
      <c r="PD6" s="16"/>
      <c r="PE6" s="16"/>
      <c r="PF6" s="16"/>
      <c r="PG6" s="16"/>
      <c r="PH6" s="16"/>
      <c r="PI6" s="11" t="str">
        <f t="shared" si="171"/>
        <v/>
      </c>
      <c r="PJ6" s="11" t="str">
        <f t="shared" si="172"/>
        <v/>
      </c>
      <c r="PK6" s="11" t="str">
        <f t="shared" si="173"/>
        <v/>
      </c>
      <c r="PL6" s="11" t="str">
        <f t="shared" si="174"/>
        <v/>
      </c>
      <c r="PM6" s="11" t="str">
        <f t="shared" si="175"/>
        <v/>
      </c>
      <c r="PN6" s="11" t="str">
        <f t="shared" si="176"/>
        <v/>
      </c>
      <c r="PO6" s="11" t="str">
        <f t="shared" si="177"/>
        <v/>
      </c>
      <c r="PP6" s="11" t="str">
        <f t="shared" si="178"/>
        <v/>
      </c>
      <c r="PQ6" s="11" t="str">
        <f t="shared" si="179"/>
        <v/>
      </c>
      <c r="PR6" s="11" t="str">
        <f t="shared" si="180"/>
        <v/>
      </c>
      <c r="PS6" s="11" t="str">
        <f t="shared" si="181"/>
        <v/>
      </c>
      <c r="PT6" s="11" t="str">
        <f t="shared" si="182"/>
        <v/>
      </c>
      <c r="PU6" s="11" t="str">
        <f t="shared" si="183"/>
        <v/>
      </c>
      <c r="PV6" s="11" t="str">
        <f t="shared" si="184"/>
        <v/>
      </c>
      <c r="PW6" s="15"/>
      <c r="PX6" s="15"/>
      <c r="PY6" s="15"/>
      <c r="PZ6" s="15"/>
      <c r="QA6" s="15"/>
      <c r="QB6" s="15"/>
      <c r="QC6" s="15"/>
      <c r="QD6" s="15"/>
      <c r="QE6" s="15"/>
      <c r="QF6" s="15"/>
      <c r="QG6" s="15"/>
      <c r="QH6" s="15"/>
      <c r="QI6" s="15"/>
      <c r="QJ6" s="15"/>
      <c r="QK6" s="15"/>
      <c r="QL6" s="15"/>
      <c r="QM6" s="15"/>
      <c r="QN6" s="15"/>
      <c r="QO6" s="15"/>
      <c r="QP6" s="15"/>
      <c r="QQ6" s="36" t="str">
        <f t="shared" si="185"/>
        <v/>
      </c>
      <c r="QR6" s="36" t="str">
        <f t="shared" si="186"/>
        <v/>
      </c>
      <c r="QS6" s="36" t="str">
        <f t="shared" si="187"/>
        <v/>
      </c>
      <c r="QT6" s="36" t="str">
        <f t="shared" si="188"/>
        <v/>
      </c>
      <c r="QU6" s="36" t="str">
        <f t="shared" si="189"/>
        <v/>
      </c>
      <c r="QV6" s="36" t="str">
        <f t="shared" si="190"/>
        <v/>
      </c>
      <c r="QW6" s="36" t="str">
        <f t="shared" si="191"/>
        <v/>
      </c>
      <c r="QX6" s="36" t="str">
        <f t="shared" si="192"/>
        <v/>
      </c>
      <c r="QY6" s="36" t="str">
        <f t="shared" si="193"/>
        <v/>
      </c>
      <c r="QZ6" s="36" t="str">
        <f t="shared" si="194"/>
        <v/>
      </c>
      <c r="RA6" s="36" t="str">
        <f t="shared" si="195"/>
        <v/>
      </c>
      <c r="RB6" s="36" t="str">
        <f t="shared" si="196"/>
        <v/>
      </c>
      <c r="RC6" s="36" t="str">
        <f t="shared" si="197"/>
        <v/>
      </c>
      <c r="RD6" s="36" t="str">
        <f t="shared" si="198"/>
        <v/>
      </c>
      <c r="RE6" s="16"/>
      <c r="RF6" s="16"/>
      <c r="RG6" s="16"/>
      <c r="RH6" s="16"/>
      <c r="RI6" s="16"/>
      <c r="RJ6" s="16"/>
      <c r="RK6" s="16"/>
      <c r="RL6" s="16"/>
      <c r="RM6" s="16"/>
      <c r="RN6" s="16"/>
      <c r="RO6" s="16"/>
      <c r="RP6" s="16"/>
      <c r="RQ6" s="16"/>
      <c r="RR6" s="16"/>
      <c r="RS6" s="16"/>
      <c r="RT6" s="16"/>
      <c r="RU6" s="16"/>
      <c r="RV6" s="16"/>
      <c r="RW6" s="16"/>
      <c r="RX6" s="16"/>
      <c r="RY6" s="11" t="str">
        <f t="shared" si="199"/>
        <v/>
      </c>
      <c r="RZ6" s="11" t="str">
        <f t="shared" si="200"/>
        <v/>
      </c>
      <c r="SA6" s="11" t="str">
        <f t="shared" si="201"/>
        <v/>
      </c>
      <c r="SB6" s="11" t="str">
        <f t="shared" si="202"/>
        <v/>
      </c>
      <c r="SC6" s="11" t="str">
        <f t="shared" si="203"/>
        <v/>
      </c>
      <c r="SD6" s="11" t="str">
        <f t="shared" si="204"/>
        <v/>
      </c>
      <c r="SE6" s="11" t="str">
        <f t="shared" si="205"/>
        <v/>
      </c>
      <c r="SF6" s="11" t="str">
        <f t="shared" si="206"/>
        <v/>
      </c>
      <c r="SG6" s="11" t="str">
        <f t="shared" si="207"/>
        <v/>
      </c>
      <c r="SH6" s="11" t="str">
        <f t="shared" si="208"/>
        <v/>
      </c>
      <c r="SI6" s="11" t="str">
        <f t="shared" si="209"/>
        <v/>
      </c>
      <c r="SJ6" s="11" t="str">
        <f t="shared" si="210"/>
        <v/>
      </c>
      <c r="SK6" s="11" t="str">
        <f t="shared" si="211"/>
        <v/>
      </c>
      <c r="SL6" s="11" t="str">
        <f t="shared" si="212"/>
        <v/>
      </c>
      <c r="SM6" s="15"/>
      <c r="SN6" s="15"/>
      <c r="SO6" s="15"/>
      <c r="SP6" s="15"/>
      <c r="SQ6" s="15"/>
      <c r="SR6" s="15"/>
      <c r="SS6" s="15"/>
      <c r="ST6" s="15"/>
      <c r="SU6" s="15"/>
      <c r="SV6" s="15"/>
      <c r="SW6" s="15"/>
      <c r="SX6" s="15"/>
      <c r="SY6" s="15"/>
      <c r="SZ6" s="15"/>
      <c r="TA6" s="15"/>
      <c r="TB6" s="15"/>
      <c r="TC6" s="15"/>
      <c r="TD6" s="15"/>
      <c r="TE6" s="15"/>
      <c r="TF6" s="15"/>
      <c r="TG6" s="36" t="str">
        <f t="shared" si="213"/>
        <v/>
      </c>
      <c r="TH6" s="36" t="str">
        <f t="shared" si="214"/>
        <v/>
      </c>
      <c r="TI6" s="36" t="str">
        <f t="shared" si="215"/>
        <v/>
      </c>
      <c r="TJ6" s="36" t="str">
        <f t="shared" si="216"/>
        <v/>
      </c>
      <c r="TK6" s="36" t="str">
        <f t="shared" si="217"/>
        <v/>
      </c>
      <c r="TL6" s="36" t="str">
        <f t="shared" si="218"/>
        <v/>
      </c>
      <c r="TM6" s="36" t="str">
        <f t="shared" si="219"/>
        <v/>
      </c>
      <c r="TN6" s="36" t="str">
        <f t="shared" si="220"/>
        <v/>
      </c>
      <c r="TO6" s="36" t="str">
        <f t="shared" si="221"/>
        <v/>
      </c>
      <c r="TP6" s="36" t="str">
        <f t="shared" si="222"/>
        <v/>
      </c>
      <c r="TQ6" s="36" t="str">
        <f t="shared" si="223"/>
        <v/>
      </c>
      <c r="TR6" s="36" t="str">
        <f t="shared" si="224"/>
        <v/>
      </c>
      <c r="TS6" s="36" t="str">
        <f t="shared" si="225"/>
        <v/>
      </c>
      <c r="TT6" s="36" t="str">
        <f t="shared" si="226"/>
        <v/>
      </c>
      <c r="TU6" s="16"/>
      <c r="TV6" s="16"/>
      <c r="TW6" s="16"/>
      <c r="TX6" s="16"/>
      <c r="TY6" s="16"/>
      <c r="TZ6" s="16"/>
      <c r="UA6" s="16"/>
      <c r="UB6" s="16"/>
      <c r="UC6" s="16"/>
      <c r="UD6" s="16"/>
      <c r="UE6" s="16"/>
      <c r="UF6" s="16"/>
      <c r="UG6" s="16"/>
      <c r="UH6" s="16"/>
      <c r="UI6" s="16"/>
      <c r="UJ6" s="16"/>
      <c r="UK6" s="16"/>
      <c r="UL6" s="16"/>
      <c r="UM6" s="16"/>
      <c r="UN6" s="16"/>
      <c r="UO6" s="11" t="str">
        <f t="shared" si="227"/>
        <v/>
      </c>
      <c r="UP6" s="11" t="str">
        <f t="shared" si="228"/>
        <v/>
      </c>
      <c r="UQ6" s="11" t="str">
        <f t="shared" si="229"/>
        <v/>
      </c>
      <c r="UR6" s="11" t="str">
        <f t="shared" si="230"/>
        <v/>
      </c>
      <c r="US6" s="11" t="str">
        <f t="shared" si="231"/>
        <v/>
      </c>
      <c r="UT6" s="11" t="str">
        <f t="shared" si="232"/>
        <v/>
      </c>
      <c r="UU6" s="11" t="str">
        <f t="shared" si="233"/>
        <v/>
      </c>
      <c r="UV6" s="11" t="str">
        <f t="shared" si="234"/>
        <v/>
      </c>
      <c r="UW6" s="11" t="str">
        <f t="shared" si="235"/>
        <v/>
      </c>
      <c r="UX6" s="11" t="str">
        <f t="shared" si="236"/>
        <v/>
      </c>
      <c r="UY6" s="11" t="str">
        <f t="shared" si="237"/>
        <v/>
      </c>
      <c r="UZ6" s="11" t="str">
        <f t="shared" si="238"/>
        <v/>
      </c>
      <c r="VA6" s="11" t="str">
        <f t="shared" si="239"/>
        <v/>
      </c>
      <c r="VB6" s="11" t="str">
        <f t="shared" si="240"/>
        <v/>
      </c>
      <c r="VC6" s="15"/>
      <c r="VD6" s="15"/>
      <c r="VE6" s="15"/>
      <c r="VF6" s="15"/>
      <c r="VG6" s="15"/>
      <c r="VH6" s="15"/>
      <c r="VI6" s="15"/>
      <c r="VJ6" s="15"/>
      <c r="VK6" s="15"/>
      <c r="VL6" s="15"/>
      <c r="VM6" s="15"/>
      <c r="VN6" s="15"/>
      <c r="VO6" s="15"/>
      <c r="VP6" s="15"/>
      <c r="VQ6" s="15"/>
      <c r="VR6" s="15"/>
      <c r="VS6" s="15"/>
      <c r="VT6" s="15"/>
      <c r="VU6" s="15"/>
      <c r="VV6" s="15"/>
      <c r="VW6" s="36" t="str">
        <f t="shared" si="241"/>
        <v/>
      </c>
      <c r="VX6" s="36" t="str">
        <f t="shared" si="242"/>
        <v/>
      </c>
      <c r="VY6" s="36" t="str">
        <f t="shared" si="243"/>
        <v/>
      </c>
      <c r="VZ6" s="36" t="str">
        <f t="shared" si="244"/>
        <v/>
      </c>
      <c r="WA6" s="36" t="str">
        <f t="shared" si="245"/>
        <v/>
      </c>
      <c r="WB6" s="36" t="str">
        <f t="shared" si="246"/>
        <v/>
      </c>
      <c r="WC6" s="36" t="str">
        <f t="shared" si="247"/>
        <v/>
      </c>
      <c r="WD6" s="36" t="str">
        <f t="shared" si="248"/>
        <v/>
      </c>
      <c r="WE6" s="36" t="str">
        <f t="shared" si="249"/>
        <v/>
      </c>
      <c r="WF6" s="36" t="str">
        <f t="shared" si="250"/>
        <v/>
      </c>
      <c r="WG6" s="36" t="str">
        <f t="shared" si="251"/>
        <v/>
      </c>
      <c r="WH6" s="36" t="str">
        <f t="shared" si="252"/>
        <v/>
      </c>
      <c r="WI6" s="36" t="str">
        <f t="shared" si="253"/>
        <v/>
      </c>
      <c r="WJ6" s="36" t="str">
        <f t="shared" si="254"/>
        <v/>
      </c>
    </row>
    <row r="7" spans="1:608" x14ac:dyDescent="0.2">
      <c r="A7" s="4" cm="1">
        <f t="array" ref="A7">IF(AND(H7&lt;&gt;"",H7&lt;&gt;"No DD"),SUMPRODUCT((H$4:H$15&lt;&gt;"")*(H$4:H$15&lt;&gt;"No DD")*(E$4:E$15&gt;E7))+1,IF(H7="No DD",SUMPRODUCT((H$4:H$15="No DD")*(E$4:E$15&gt;E7))+1+SUMPRODUCT((H$4:H$15&lt;&gt;"")*(H$4:H$15&lt;&gt;"No DD")),""))</f>
        <v>4</v>
      </c>
      <c r="B7" s="5" t="s">
        <v>113</v>
      </c>
      <c r="C7" s="4" t="s">
        <v>3</v>
      </c>
      <c r="D7" s="4" t="s">
        <v>93</v>
      </c>
      <c r="E7" s="9">
        <f t="shared" si="0"/>
        <v>65.880006588004704</v>
      </c>
      <c r="F7" s="3" t="str">
        <f t="shared" si="1"/>
        <v>P</v>
      </c>
      <c r="G7" s="3" t="str">
        <f t="shared" si="2"/>
        <v>P</v>
      </c>
      <c r="H7" s="32" t="str">
        <f t="shared" si="3"/>
        <v>National Team</v>
      </c>
      <c r="I7" s="3" t="str">
        <f t="shared" si="4"/>
        <v/>
      </c>
      <c r="J7" s="8">
        <f t="shared" si="5"/>
        <v>47.099999999999994</v>
      </c>
      <c r="K7" s="8" t="str">
        <f t="shared" si="6"/>
        <v>2025 Nationals</v>
      </c>
      <c r="L7" s="8">
        <f>IFERROR(LARGE((AI7,AL7,AP7,BJ7,BM7,BQ7,CK7,CN7,CR7),2),0)</f>
        <v>18.78</v>
      </c>
      <c r="M7" s="8" t="str">
        <f t="shared" si="7"/>
        <v>2025 Nationals</v>
      </c>
      <c r="N7" s="8">
        <f t="shared" si="8"/>
        <v>0</v>
      </c>
      <c r="O7" s="11" t="str">
        <f t="shared" si="9"/>
        <v/>
      </c>
      <c r="P7" s="8" t="str">
        <f t="shared" si="10"/>
        <v/>
      </c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23"/>
      <c r="AG7" s="34" t="str">
        <f t="shared" si="11"/>
        <v/>
      </c>
      <c r="AH7" s="34" t="str">
        <f t="shared" si="12"/>
        <v/>
      </c>
      <c r="AI7" s="36" t="str">
        <f t="shared" si="13"/>
        <v/>
      </c>
      <c r="AJ7" s="36" t="str">
        <f t="shared" si="14"/>
        <v/>
      </c>
      <c r="AK7" s="36" t="str">
        <f t="shared" si="15"/>
        <v/>
      </c>
      <c r="AL7" s="36" t="str">
        <f t="shared" si="16"/>
        <v/>
      </c>
      <c r="AM7" s="36" t="str">
        <f t="shared" si="17"/>
        <v/>
      </c>
      <c r="AN7" s="36" t="str">
        <f t="shared" si="18"/>
        <v/>
      </c>
      <c r="AO7" s="36" t="str">
        <f t="shared" si="19"/>
        <v/>
      </c>
      <c r="AP7" s="36" t="str">
        <f t="shared" si="20"/>
        <v/>
      </c>
      <c r="AQ7" s="36" t="str">
        <f t="shared" si="21"/>
        <v/>
      </c>
      <c r="AR7" s="22">
        <v>2.85</v>
      </c>
      <c r="AS7" s="22">
        <v>3.55</v>
      </c>
      <c r="AT7" s="22">
        <v>5.6</v>
      </c>
      <c r="AU7" s="22">
        <v>6.78</v>
      </c>
      <c r="AV7" s="22">
        <v>0</v>
      </c>
      <c r="AW7" s="22">
        <v>0.7</v>
      </c>
      <c r="AX7" s="22">
        <v>0.9</v>
      </c>
      <c r="AY7" s="22">
        <v>1.5</v>
      </c>
      <c r="AZ7" s="22">
        <v>1.7</v>
      </c>
      <c r="BA7" s="22">
        <v>0</v>
      </c>
      <c r="BB7" s="22">
        <v>7.88</v>
      </c>
      <c r="BC7" s="22">
        <v>9.1</v>
      </c>
      <c r="BD7" s="22">
        <v>13.6</v>
      </c>
      <c r="BE7" s="22">
        <v>16.52</v>
      </c>
      <c r="BF7" s="22">
        <v>0</v>
      </c>
      <c r="BG7" s="24"/>
      <c r="BH7" s="35">
        <f t="shared" si="22"/>
        <v>5.6</v>
      </c>
      <c r="BI7" s="35">
        <f t="shared" si="23"/>
        <v>6.78</v>
      </c>
      <c r="BJ7" s="11">
        <f t="shared" si="24"/>
        <v>18.78</v>
      </c>
      <c r="BK7" s="11">
        <f t="shared" si="25"/>
        <v>1.5</v>
      </c>
      <c r="BL7" s="11">
        <f t="shared" si="26"/>
        <v>1.7</v>
      </c>
      <c r="BM7" s="11">
        <f t="shared" si="27"/>
        <v>4.8</v>
      </c>
      <c r="BN7" s="11">
        <f t="shared" si="28"/>
        <v>18.78</v>
      </c>
      <c r="BO7" s="11">
        <f t="shared" si="29"/>
        <v>13.6</v>
      </c>
      <c r="BP7" s="11">
        <f t="shared" si="30"/>
        <v>16.52</v>
      </c>
      <c r="BQ7" s="11">
        <f t="shared" si="31"/>
        <v>47.099999999999994</v>
      </c>
      <c r="BR7" s="11">
        <f t="shared" si="32"/>
        <v>65.88</v>
      </c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23"/>
      <c r="CI7" s="34" t="str">
        <f t="shared" si="33"/>
        <v/>
      </c>
      <c r="CJ7" s="34" t="str">
        <f t="shared" si="34"/>
        <v/>
      </c>
      <c r="CK7" s="36" t="str">
        <f t="shared" si="35"/>
        <v/>
      </c>
      <c r="CL7" s="36" t="str">
        <f t="shared" si="36"/>
        <v/>
      </c>
      <c r="CM7" s="36" t="str">
        <f t="shared" si="37"/>
        <v/>
      </c>
      <c r="CN7" s="36" t="str">
        <f t="shared" si="38"/>
        <v/>
      </c>
      <c r="CO7" s="36" t="str">
        <f t="shared" si="39"/>
        <v/>
      </c>
      <c r="CP7" s="36" t="str">
        <f t="shared" si="40"/>
        <v/>
      </c>
      <c r="CQ7" s="36" t="str">
        <f t="shared" si="41"/>
        <v/>
      </c>
      <c r="CR7" s="36" t="str">
        <f t="shared" si="42"/>
        <v/>
      </c>
      <c r="CS7" s="36" t="str">
        <f t="shared" si="43"/>
        <v/>
      </c>
      <c r="CT7" s="47" t="str">
        <f t="shared" si="44"/>
        <v/>
      </c>
      <c r="CU7" s="15"/>
      <c r="CV7" s="15"/>
      <c r="CW7" s="15"/>
      <c r="CX7" s="15"/>
      <c r="CY7" s="15"/>
      <c r="CZ7" s="15"/>
      <c r="DA7" s="15"/>
      <c r="DB7" s="15"/>
      <c r="DC7" s="15"/>
      <c r="DD7" s="15"/>
      <c r="DE7" s="15"/>
      <c r="DF7" s="15"/>
      <c r="DG7" s="15"/>
      <c r="DH7" s="15"/>
      <c r="DI7" s="15"/>
      <c r="DJ7" s="15"/>
      <c r="DK7" s="15"/>
      <c r="DL7" s="15"/>
      <c r="DM7" s="15"/>
      <c r="DN7" s="15"/>
      <c r="DO7" s="36" t="str">
        <f t="shared" si="45"/>
        <v/>
      </c>
      <c r="DP7" s="36" t="str">
        <f t="shared" si="46"/>
        <v/>
      </c>
      <c r="DQ7" s="36" t="str">
        <f t="shared" si="47"/>
        <v/>
      </c>
      <c r="DR7" s="36" t="str">
        <f t="shared" si="48"/>
        <v/>
      </c>
      <c r="DS7" s="36" t="str">
        <f t="shared" si="49"/>
        <v/>
      </c>
      <c r="DT7" s="36" t="str">
        <f t="shared" si="50"/>
        <v/>
      </c>
      <c r="DU7" s="36" t="str">
        <f t="shared" si="51"/>
        <v/>
      </c>
      <c r="DV7" s="36" t="str">
        <f t="shared" si="52"/>
        <v/>
      </c>
      <c r="DW7" s="36" t="str">
        <f t="shared" si="53"/>
        <v/>
      </c>
      <c r="DX7" s="36" t="str">
        <f t="shared" si="54"/>
        <v/>
      </c>
      <c r="DY7" s="36" t="str">
        <f t="shared" si="55"/>
        <v/>
      </c>
      <c r="DZ7" s="36" t="str">
        <f t="shared" si="56"/>
        <v/>
      </c>
      <c r="EA7" s="36" t="str">
        <f t="shared" si="57"/>
        <v/>
      </c>
      <c r="EB7" s="36" t="str">
        <f t="shared" si="58"/>
        <v/>
      </c>
      <c r="EC7" s="16"/>
      <c r="ED7" s="16"/>
      <c r="EE7" s="16"/>
      <c r="EF7" s="16"/>
      <c r="EG7" s="16"/>
      <c r="EH7" s="16"/>
      <c r="EI7" s="16"/>
      <c r="EJ7" s="16"/>
      <c r="EK7" s="16"/>
      <c r="EL7" s="16"/>
      <c r="EM7" s="16"/>
      <c r="EN7" s="16"/>
      <c r="EO7" s="16"/>
      <c r="EP7" s="16"/>
      <c r="EQ7" s="16"/>
      <c r="ER7" s="16"/>
      <c r="ES7" s="16"/>
      <c r="ET7" s="16"/>
      <c r="EU7" s="16"/>
      <c r="EV7" s="16"/>
      <c r="EW7" s="11" t="str">
        <f t="shared" si="59"/>
        <v/>
      </c>
      <c r="EX7" s="11" t="str">
        <f t="shared" si="60"/>
        <v/>
      </c>
      <c r="EY7" s="11" t="str">
        <f t="shared" si="61"/>
        <v/>
      </c>
      <c r="EZ7" s="11" t="str">
        <f t="shared" si="62"/>
        <v/>
      </c>
      <c r="FA7" s="11" t="str">
        <f t="shared" si="63"/>
        <v/>
      </c>
      <c r="FB7" s="11" t="str">
        <f t="shared" si="64"/>
        <v/>
      </c>
      <c r="FC7" s="11" t="str">
        <f t="shared" si="65"/>
        <v/>
      </c>
      <c r="FD7" s="11" t="str">
        <f t="shared" si="66"/>
        <v/>
      </c>
      <c r="FE7" s="11" t="str">
        <f t="shared" si="67"/>
        <v/>
      </c>
      <c r="FF7" s="11" t="str">
        <f t="shared" si="68"/>
        <v/>
      </c>
      <c r="FG7" s="11" t="str">
        <f t="shared" si="69"/>
        <v/>
      </c>
      <c r="FH7" s="11" t="str">
        <f t="shared" si="70"/>
        <v/>
      </c>
      <c r="FI7" s="11" t="str">
        <f t="shared" si="71"/>
        <v/>
      </c>
      <c r="FJ7" s="11" t="str">
        <f t="shared" si="72"/>
        <v/>
      </c>
      <c r="FK7" s="15"/>
      <c r="FL7" s="15"/>
      <c r="FM7" s="15"/>
      <c r="FN7" s="15"/>
      <c r="FO7" s="15"/>
      <c r="FP7" s="15"/>
      <c r="FQ7" s="15"/>
      <c r="FR7" s="15"/>
      <c r="FS7" s="15"/>
      <c r="FT7" s="15"/>
      <c r="FU7" s="15"/>
      <c r="FV7" s="15"/>
      <c r="FW7" s="15"/>
      <c r="FX7" s="15"/>
      <c r="FY7" s="15"/>
      <c r="FZ7" s="15"/>
      <c r="GA7" s="15"/>
      <c r="GB7" s="15"/>
      <c r="GC7" s="15"/>
      <c r="GD7" s="15"/>
      <c r="GE7" s="36" t="str">
        <f t="shared" si="73"/>
        <v/>
      </c>
      <c r="GF7" s="36" t="str">
        <f t="shared" si="74"/>
        <v/>
      </c>
      <c r="GG7" s="36" t="str">
        <f t="shared" si="75"/>
        <v/>
      </c>
      <c r="GH7" s="36" t="str">
        <f t="shared" si="76"/>
        <v/>
      </c>
      <c r="GI7" s="36" t="str">
        <f t="shared" si="77"/>
        <v/>
      </c>
      <c r="GJ7" s="36" t="str">
        <f t="shared" si="78"/>
        <v/>
      </c>
      <c r="GK7" s="36" t="str">
        <f t="shared" si="79"/>
        <v/>
      </c>
      <c r="GL7" s="36" t="str">
        <f t="shared" si="80"/>
        <v/>
      </c>
      <c r="GM7" s="36" t="str">
        <f t="shared" si="81"/>
        <v/>
      </c>
      <c r="GN7" s="36" t="str">
        <f t="shared" si="82"/>
        <v/>
      </c>
      <c r="GO7" s="36" t="str">
        <f t="shared" si="83"/>
        <v/>
      </c>
      <c r="GP7" s="36" t="str">
        <f t="shared" si="84"/>
        <v/>
      </c>
      <c r="GQ7" s="36" t="str">
        <f t="shared" si="85"/>
        <v/>
      </c>
      <c r="GR7" s="36" t="str">
        <f t="shared" si="86"/>
        <v/>
      </c>
      <c r="GS7" s="16"/>
      <c r="GT7" s="16"/>
      <c r="GU7" s="16"/>
      <c r="GV7" s="16"/>
      <c r="GW7" s="16"/>
      <c r="GX7" s="16"/>
      <c r="GY7" s="16"/>
      <c r="GZ7" s="16"/>
      <c r="HA7" s="16"/>
      <c r="HB7" s="16"/>
      <c r="HC7" s="16"/>
      <c r="HD7" s="16"/>
      <c r="HE7" s="16"/>
      <c r="HF7" s="16"/>
      <c r="HG7" s="16"/>
      <c r="HH7" s="16"/>
      <c r="HI7" s="16"/>
      <c r="HJ7" s="16"/>
      <c r="HK7" s="16"/>
      <c r="HL7" s="16"/>
      <c r="HM7" s="11" t="str">
        <f t="shared" si="87"/>
        <v/>
      </c>
      <c r="HN7" s="11" t="str">
        <f t="shared" si="88"/>
        <v/>
      </c>
      <c r="HO7" s="11" t="str">
        <f t="shared" si="89"/>
        <v/>
      </c>
      <c r="HP7" s="11" t="str">
        <f t="shared" si="90"/>
        <v/>
      </c>
      <c r="HQ7" s="11" t="str">
        <f t="shared" si="91"/>
        <v/>
      </c>
      <c r="HR7" s="11" t="str">
        <f t="shared" si="92"/>
        <v/>
      </c>
      <c r="HS7" s="11" t="str">
        <f t="shared" si="93"/>
        <v/>
      </c>
      <c r="HT7" s="11" t="str">
        <f t="shared" si="94"/>
        <v/>
      </c>
      <c r="HU7" s="11" t="str">
        <f t="shared" si="95"/>
        <v/>
      </c>
      <c r="HV7" s="11" t="str">
        <f t="shared" si="96"/>
        <v/>
      </c>
      <c r="HW7" s="11" t="str">
        <f t="shared" si="97"/>
        <v/>
      </c>
      <c r="HX7" s="11" t="str">
        <f t="shared" si="98"/>
        <v/>
      </c>
      <c r="HY7" s="11" t="str">
        <f t="shared" si="99"/>
        <v/>
      </c>
      <c r="HZ7" s="11" t="str">
        <f t="shared" si="100"/>
        <v/>
      </c>
      <c r="IA7" s="15"/>
      <c r="IB7" s="15"/>
      <c r="IC7" s="15"/>
      <c r="ID7" s="15"/>
      <c r="IE7" s="15"/>
      <c r="IF7" s="15"/>
      <c r="IG7" s="15"/>
      <c r="IH7" s="15"/>
      <c r="II7" s="15"/>
      <c r="IJ7" s="15"/>
      <c r="IK7" s="15"/>
      <c r="IL7" s="15"/>
      <c r="IM7" s="15"/>
      <c r="IN7" s="15"/>
      <c r="IO7" s="15"/>
      <c r="IP7" s="15"/>
      <c r="IQ7" s="15"/>
      <c r="IR7" s="15"/>
      <c r="IS7" s="15"/>
      <c r="IT7" s="15"/>
      <c r="IU7" s="36" t="str">
        <f t="shared" si="101"/>
        <v/>
      </c>
      <c r="IV7" s="36" t="str">
        <f t="shared" si="102"/>
        <v/>
      </c>
      <c r="IW7" s="36" t="str">
        <f t="shared" si="103"/>
        <v/>
      </c>
      <c r="IX7" s="36" t="str">
        <f t="shared" si="104"/>
        <v/>
      </c>
      <c r="IY7" s="36" t="str">
        <f t="shared" si="105"/>
        <v/>
      </c>
      <c r="IZ7" s="36" t="str">
        <f t="shared" si="106"/>
        <v/>
      </c>
      <c r="JA7" s="36" t="str">
        <f t="shared" si="107"/>
        <v/>
      </c>
      <c r="JB7" s="36" t="str">
        <f t="shared" si="108"/>
        <v/>
      </c>
      <c r="JC7" s="36" t="str">
        <f t="shared" si="109"/>
        <v/>
      </c>
      <c r="JD7" s="36" t="str">
        <f t="shared" si="110"/>
        <v/>
      </c>
      <c r="JE7" s="36" t="str">
        <f t="shared" si="111"/>
        <v/>
      </c>
      <c r="JF7" s="36" t="str">
        <f t="shared" si="112"/>
        <v/>
      </c>
      <c r="JG7" s="36" t="str">
        <f t="shared" si="113"/>
        <v/>
      </c>
      <c r="JH7" s="36" t="str">
        <f t="shared" si="114"/>
        <v/>
      </c>
      <c r="JI7" s="16"/>
      <c r="JJ7" s="16"/>
      <c r="JK7" s="16"/>
      <c r="JL7" s="16"/>
      <c r="JM7" s="16"/>
      <c r="JN7" s="16"/>
      <c r="JO7" s="16"/>
      <c r="JP7" s="16"/>
      <c r="JQ7" s="16"/>
      <c r="JR7" s="16"/>
      <c r="JS7" s="16"/>
      <c r="JT7" s="16"/>
      <c r="JU7" s="16"/>
      <c r="JV7" s="16"/>
      <c r="JW7" s="16"/>
      <c r="JX7" s="16"/>
      <c r="JY7" s="16"/>
      <c r="JZ7" s="16"/>
      <c r="KA7" s="16"/>
      <c r="KB7" s="16"/>
      <c r="KC7" s="11" t="str">
        <f t="shared" si="115"/>
        <v/>
      </c>
      <c r="KD7" s="11" t="str">
        <f t="shared" si="116"/>
        <v/>
      </c>
      <c r="KE7" s="11" t="str">
        <f t="shared" si="117"/>
        <v/>
      </c>
      <c r="KF7" s="11" t="str">
        <f t="shared" si="118"/>
        <v/>
      </c>
      <c r="KG7" s="11" t="str">
        <f t="shared" si="119"/>
        <v/>
      </c>
      <c r="KH7" s="11" t="str">
        <f t="shared" si="120"/>
        <v/>
      </c>
      <c r="KI7" s="11" t="str">
        <f t="shared" si="121"/>
        <v/>
      </c>
      <c r="KJ7" s="11" t="str">
        <f t="shared" si="122"/>
        <v/>
      </c>
      <c r="KK7" s="11" t="str">
        <f t="shared" si="123"/>
        <v/>
      </c>
      <c r="KL7" s="11" t="str">
        <f t="shared" si="124"/>
        <v/>
      </c>
      <c r="KM7" s="11" t="str">
        <f t="shared" si="125"/>
        <v/>
      </c>
      <c r="KN7" s="11" t="str">
        <f t="shared" si="126"/>
        <v/>
      </c>
      <c r="KO7" s="11" t="str">
        <f t="shared" si="127"/>
        <v/>
      </c>
      <c r="KP7" s="11" t="str">
        <f t="shared" si="128"/>
        <v/>
      </c>
      <c r="KQ7" s="15"/>
      <c r="KR7" s="15"/>
      <c r="KS7" s="15"/>
      <c r="KT7" s="15"/>
      <c r="KU7" s="15"/>
      <c r="KV7" s="15"/>
      <c r="KW7" s="15"/>
      <c r="KX7" s="15"/>
      <c r="KY7" s="15"/>
      <c r="KZ7" s="15"/>
      <c r="LA7" s="15"/>
      <c r="LB7" s="15"/>
      <c r="LC7" s="15"/>
      <c r="LD7" s="15"/>
      <c r="LE7" s="15"/>
      <c r="LF7" s="15"/>
      <c r="LG7" s="15"/>
      <c r="LH7" s="15"/>
      <c r="LI7" s="15"/>
      <c r="LJ7" s="15"/>
      <c r="LK7" s="36" t="str">
        <f t="shared" si="129"/>
        <v/>
      </c>
      <c r="LL7" s="36" t="str">
        <f t="shared" si="130"/>
        <v/>
      </c>
      <c r="LM7" s="36" t="str">
        <f t="shared" si="131"/>
        <v/>
      </c>
      <c r="LN7" s="36" t="str">
        <f t="shared" si="132"/>
        <v/>
      </c>
      <c r="LO7" s="36" t="str">
        <f t="shared" si="133"/>
        <v/>
      </c>
      <c r="LP7" s="36" t="str">
        <f t="shared" si="134"/>
        <v/>
      </c>
      <c r="LQ7" s="36" t="str">
        <f t="shared" si="135"/>
        <v/>
      </c>
      <c r="LR7" s="36" t="str">
        <f t="shared" si="136"/>
        <v/>
      </c>
      <c r="LS7" s="36" t="str">
        <f t="shared" si="137"/>
        <v/>
      </c>
      <c r="LT7" s="36" t="str">
        <f t="shared" si="138"/>
        <v/>
      </c>
      <c r="LU7" s="36" t="str">
        <f t="shared" si="139"/>
        <v/>
      </c>
      <c r="LV7" s="36" t="str">
        <f t="shared" si="140"/>
        <v/>
      </c>
      <c r="LW7" s="36" t="str">
        <f t="shared" si="141"/>
        <v/>
      </c>
      <c r="LX7" s="36" t="str">
        <f t="shared" si="142"/>
        <v/>
      </c>
      <c r="LY7" s="16"/>
      <c r="LZ7" s="16"/>
      <c r="MA7" s="16"/>
      <c r="MB7" s="16"/>
      <c r="MC7" s="16"/>
      <c r="MD7" s="16"/>
      <c r="ME7" s="16"/>
      <c r="MF7" s="16"/>
      <c r="MG7" s="16"/>
      <c r="MH7" s="16"/>
      <c r="MI7" s="16"/>
      <c r="MJ7" s="16"/>
      <c r="MK7" s="16"/>
      <c r="ML7" s="16"/>
      <c r="MM7" s="16"/>
      <c r="MN7" s="16"/>
      <c r="MO7" s="16"/>
      <c r="MP7" s="16"/>
      <c r="MQ7" s="16"/>
      <c r="MR7" s="16"/>
      <c r="MS7" s="11" t="str">
        <f t="shared" si="143"/>
        <v/>
      </c>
      <c r="MT7" s="11" t="str">
        <f t="shared" si="144"/>
        <v/>
      </c>
      <c r="MU7" s="11" t="str">
        <f t="shared" si="145"/>
        <v/>
      </c>
      <c r="MV7" s="11" t="str">
        <f t="shared" si="146"/>
        <v/>
      </c>
      <c r="MW7" s="11" t="str">
        <f t="shared" si="147"/>
        <v/>
      </c>
      <c r="MX7" s="11" t="str">
        <f t="shared" si="148"/>
        <v/>
      </c>
      <c r="MY7" s="11" t="str">
        <f t="shared" si="149"/>
        <v/>
      </c>
      <c r="MZ7" s="11" t="str">
        <f t="shared" si="150"/>
        <v/>
      </c>
      <c r="NA7" s="11" t="str">
        <f t="shared" si="151"/>
        <v/>
      </c>
      <c r="NB7" s="11" t="str">
        <f t="shared" si="152"/>
        <v/>
      </c>
      <c r="NC7" s="11" t="str">
        <f t="shared" si="153"/>
        <v/>
      </c>
      <c r="ND7" s="11" t="str">
        <f t="shared" si="154"/>
        <v/>
      </c>
      <c r="NE7" s="11" t="str">
        <f t="shared" si="155"/>
        <v/>
      </c>
      <c r="NF7" s="11" t="str">
        <f t="shared" si="156"/>
        <v/>
      </c>
      <c r="NG7" s="15"/>
      <c r="NH7" s="15"/>
      <c r="NI7" s="15"/>
      <c r="NJ7" s="15"/>
      <c r="NK7" s="15"/>
      <c r="NL7" s="15"/>
      <c r="NM7" s="15"/>
      <c r="NN7" s="15"/>
      <c r="NO7" s="15"/>
      <c r="NP7" s="15"/>
      <c r="NQ7" s="15"/>
      <c r="NR7" s="15"/>
      <c r="NS7" s="15"/>
      <c r="NT7" s="15"/>
      <c r="NU7" s="15"/>
      <c r="NV7" s="15"/>
      <c r="NW7" s="15"/>
      <c r="NX7" s="15"/>
      <c r="NY7" s="15"/>
      <c r="NZ7" s="15"/>
      <c r="OA7" s="36" t="str">
        <f t="shared" si="157"/>
        <v/>
      </c>
      <c r="OB7" s="36" t="str">
        <f t="shared" si="158"/>
        <v/>
      </c>
      <c r="OC7" s="36" t="str">
        <f t="shared" si="159"/>
        <v/>
      </c>
      <c r="OD7" s="36" t="str">
        <f t="shared" si="160"/>
        <v/>
      </c>
      <c r="OE7" s="36" t="str">
        <f t="shared" si="161"/>
        <v/>
      </c>
      <c r="OF7" s="36" t="str">
        <f t="shared" si="162"/>
        <v/>
      </c>
      <c r="OG7" s="36" t="str">
        <f t="shared" si="163"/>
        <v/>
      </c>
      <c r="OH7" s="36" t="str">
        <f t="shared" si="164"/>
        <v/>
      </c>
      <c r="OI7" s="36" t="str">
        <f t="shared" si="165"/>
        <v/>
      </c>
      <c r="OJ7" s="36" t="str">
        <f t="shared" si="166"/>
        <v/>
      </c>
      <c r="OK7" s="36" t="str">
        <f t="shared" si="167"/>
        <v/>
      </c>
      <c r="OL7" s="36" t="str">
        <f t="shared" si="168"/>
        <v/>
      </c>
      <c r="OM7" s="36" t="str">
        <f t="shared" si="169"/>
        <v/>
      </c>
      <c r="ON7" s="36" t="str">
        <f t="shared" si="170"/>
        <v/>
      </c>
      <c r="OO7" s="16"/>
      <c r="OP7" s="16"/>
      <c r="OQ7" s="16"/>
      <c r="OR7" s="16"/>
      <c r="OS7" s="16"/>
      <c r="OT7" s="16"/>
      <c r="OU7" s="16"/>
      <c r="OV7" s="16"/>
      <c r="OW7" s="16"/>
      <c r="OX7" s="16"/>
      <c r="OY7" s="16"/>
      <c r="OZ7" s="16"/>
      <c r="PA7" s="16"/>
      <c r="PB7" s="16"/>
      <c r="PC7" s="16"/>
      <c r="PD7" s="16"/>
      <c r="PE7" s="16"/>
      <c r="PF7" s="16"/>
      <c r="PG7" s="16"/>
      <c r="PH7" s="16"/>
      <c r="PI7" s="11" t="str">
        <f t="shared" si="171"/>
        <v/>
      </c>
      <c r="PJ7" s="11" t="str">
        <f t="shared" si="172"/>
        <v/>
      </c>
      <c r="PK7" s="11" t="str">
        <f t="shared" si="173"/>
        <v/>
      </c>
      <c r="PL7" s="11" t="str">
        <f t="shared" si="174"/>
        <v/>
      </c>
      <c r="PM7" s="11" t="str">
        <f t="shared" si="175"/>
        <v/>
      </c>
      <c r="PN7" s="11" t="str">
        <f t="shared" si="176"/>
        <v/>
      </c>
      <c r="PO7" s="11" t="str">
        <f t="shared" si="177"/>
        <v/>
      </c>
      <c r="PP7" s="11" t="str">
        <f t="shared" si="178"/>
        <v/>
      </c>
      <c r="PQ7" s="11" t="str">
        <f t="shared" si="179"/>
        <v/>
      </c>
      <c r="PR7" s="11" t="str">
        <f t="shared" si="180"/>
        <v/>
      </c>
      <c r="PS7" s="11" t="str">
        <f t="shared" si="181"/>
        <v/>
      </c>
      <c r="PT7" s="11" t="str">
        <f t="shared" si="182"/>
        <v/>
      </c>
      <c r="PU7" s="11" t="str">
        <f t="shared" si="183"/>
        <v/>
      </c>
      <c r="PV7" s="11" t="str">
        <f t="shared" si="184"/>
        <v/>
      </c>
      <c r="PW7" s="15"/>
      <c r="PX7" s="15"/>
      <c r="PY7" s="15"/>
      <c r="PZ7" s="15"/>
      <c r="QA7" s="15"/>
      <c r="QB7" s="15"/>
      <c r="QC7" s="15"/>
      <c r="QD7" s="15"/>
      <c r="QE7" s="15"/>
      <c r="QF7" s="15"/>
      <c r="QG7" s="15"/>
      <c r="QH7" s="15"/>
      <c r="QI7" s="15"/>
      <c r="QJ7" s="15"/>
      <c r="QK7" s="15"/>
      <c r="QL7" s="15"/>
      <c r="QM7" s="15"/>
      <c r="QN7" s="15"/>
      <c r="QO7" s="15"/>
      <c r="QP7" s="15"/>
      <c r="QQ7" s="36" t="str">
        <f t="shared" si="185"/>
        <v/>
      </c>
      <c r="QR7" s="36" t="str">
        <f t="shared" si="186"/>
        <v/>
      </c>
      <c r="QS7" s="36" t="str">
        <f t="shared" si="187"/>
        <v/>
      </c>
      <c r="QT7" s="36" t="str">
        <f t="shared" si="188"/>
        <v/>
      </c>
      <c r="QU7" s="36" t="str">
        <f t="shared" si="189"/>
        <v/>
      </c>
      <c r="QV7" s="36" t="str">
        <f t="shared" si="190"/>
        <v/>
      </c>
      <c r="QW7" s="36" t="str">
        <f t="shared" si="191"/>
        <v/>
      </c>
      <c r="QX7" s="36" t="str">
        <f t="shared" si="192"/>
        <v/>
      </c>
      <c r="QY7" s="36" t="str">
        <f t="shared" si="193"/>
        <v/>
      </c>
      <c r="QZ7" s="36" t="str">
        <f t="shared" si="194"/>
        <v/>
      </c>
      <c r="RA7" s="36" t="str">
        <f t="shared" si="195"/>
        <v/>
      </c>
      <c r="RB7" s="36" t="str">
        <f t="shared" si="196"/>
        <v/>
      </c>
      <c r="RC7" s="36" t="str">
        <f t="shared" si="197"/>
        <v/>
      </c>
      <c r="RD7" s="36" t="str">
        <f t="shared" si="198"/>
        <v/>
      </c>
      <c r="RE7" s="16"/>
      <c r="RF7" s="16"/>
      <c r="RG7" s="16"/>
      <c r="RH7" s="16"/>
      <c r="RI7" s="16"/>
      <c r="RJ7" s="16"/>
      <c r="RK7" s="16"/>
      <c r="RL7" s="16"/>
      <c r="RM7" s="16"/>
      <c r="RN7" s="16"/>
      <c r="RO7" s="16"/>
      <c r="RP7" s="16"/>
      <c r="RQ7" s="16"/>
      <c r="RR7" s="16"/>
      <c r="RS7" s="16"/>
      <c r="RT7" s="16"/>
      <c r="RU7" s="16"/>
      <c r="RV7" s="16"/>
      <c r="RW7" s="16"/>
      <c r="RX7" s="16"/>
      <c r="RY7" s="11" t="str">
        <f t="shared" si="199"/>
        <v/>
      </c>
      <c r="RZ7" s="11" t="str">
        <f t="shared" si="200"/>
        <v/>
      </c>
      <c r="SA7" s="11" t="str">
        <f t="shared" si="201"/>
        <v/>
      </c>
      <c r="SB7" s="11" t="str">
        <f t="shared" si="202"/>
        <v/>
      </c>
      <c r="SC7" s="11" t="str">
        <f t="shared" si="203"/>
        <v/>
      </c>
      <c r="SD7" s="11" t="str">
        <f t="shared" si="204"/>
        <v/>
      </c>
      <c r="SE7" s="11" t="str">
        <f t="shared" si="205"/>
        <v/>
      </c>
      <c r="SF7" s="11" t="str">
        <f t="shared" si="206"/>
        <v/>
      </c>
      <c r="SG7" s="11" t="str">
        <f t="shared" si="207"/>
        <v/>
      </c>
      <c r="SH7" s="11" t="str">
        <f t="shared" si="208"/>
        <v/>
      </c>
      <c r="SI7" s="11" t="str">
        <f t="shared" si="209"/>
        <v/>
      </c>
      <c r="SJ7" s="11" t="str">
        <f t="shared" si="210"/>
        <v/>
      </c>
      <c r="SK7" s="11" t="str">
        <f t="shared" si="211"/>
        <v/>
      </c>
      <c r="SL7" s="11" t="str">
        <f t="shared" si="212"/>
        <v/>
      </c>
      <c r="SM7" s="15"/>
      <c r="SN7" s="15"/>
      <c r="SO7" s="15"/>
      <c r="SP7" s="15"/>
      <c r="SQ7" s="15"/>
      <c r="SR7" s="15"/>
      <c r="SS7" s="15"/>
      <c r="ST7" s="15"/>
      <c r="SU7" s="15"/>
      <c r="SV7" s="15"/>
      <c r="SW7" s="15"/>
      <c r="SX7" s="15"/>
      <c r="SY7" s="15"/>
      <c r="SZ7" s="15"/>
      <c r="TA7" s="15"/>
      <c r="TB7" s="15"/>
      <c r="TC7" s="15"/>
      <c r="TD7" s="15"/>
      <c r="TE7" s="15"/>
      <c r="TF7" s="15"/>
      <c r="TG7" s="36" t="str">
        <f t="shared" si="213"/>
        <v/>
      </c>
      <c r="TH7" s="36" t="str">
        <f t="shared" si="214"/>
        <v/>
      </c>
      <c r="TI7" s="36" t="str">
        <f t="shared" si="215"/>
        <v/>
      </c>
      <c r="TJ7" s="36" t="str">
        <f t="shared" si="216"/>
        <v/>
      </c>
      <c r="TK7" s="36" t="str">
        <f t="shared" si="217"/>
        <v/>
      </c>
      <c r="TL7" s="36" t="str">
        <f t="shared" si="218"/>
        <v/>
      </c>
      <c r="TM7" s="36" t="str">
        <f t="shared" si="219"/>
        <v/>
      </c>
      <c r="TN7" s="36" t="str">
        <f t="shared" si="220"/>
        <v/>
      </c>
      <c r="TO7" s="36" t="str">
        <f t="shared" si="221"/>
        <v/>
      </c>
      <c r="TP7" s="36" t="str">
        <f t="shared" si="222"/>
        <v/>
      </c>
      <c r="TQ7" s="36" t="str">
        <f t="shared" si="223"/>
        <v/>
      </c>
      <c r="TR7" s="36" t="str">
        <f t="shared" si="224"/>
        <v/>
      </c>
      <c r="TS7" s="36" t="str">
        <f t="shared" si="225"/>
        <v/>
      </c>
      <c r="TT7" s="36" t="str">
        <f t="shared" si="226"/>
        <v/>
      </c>
      <c r="TU7" s="16"/>
      <c r="TV7" s="16"/>
      <c r="TW7" s="16"/>
      <c r="TX7" s="16"/>
      <c r="TY7" s="16"/>
      <c r="TZ7" s="16"/>
      <c r="UA7" s="16"/>
      <c r="UB7" s="16"/>
      <c r="UC7" s="16"/>
      <c r="UD7" s="16"/>
      <c r="UE7" s="16"/>
      <c r="UF7" s="16"/>
      <c r="UG7" s="16"/>
      <c r="UH7" s="16"/>
      <c r="UI7" s="16"/>
      <c r="UJ7" s="16"/>
      <c r="UK7" s="16"/>
      <c r="UL7" s="16"/>
      <c r="UM7" s="16"/>
      <c r="UN7" s="16"/>
      <c r="UO7" s="11" t="str">
        <f t="shared" si="227"/>
        <v/>
      </c>
      <c r="UP7" s="11" t="str">
        <f t="shared" si="228"/>
        <v/>
      </c>
      <c r="UQ7" s="11" t="str">
        <f t="shared" si="229"/>
        <v/>
      </c>
      <c r="UR7" s="11" t="str">
        <f t="shared" si="230"/>
        <v/>
      </c>
      <c r="US7" s="11" t="str">
        <f t="shared" si="231"/>
        <v/>
      </c>
      <c r="UT7" s="11" t="str">
        <f t="shared" si="232"/>
        <v/>
      </c>
      <c r="UU7" s="11" t="str">
        <f t="shared" si="233"/>
        <v/>
      </c>
      <c r="UV7" s="11" t="str">
        <f t="shared" si="234"/>
        <v/>
      </c>
      <c r="UW7" s="11" t="str">
        <f t="shared" si="235"/>
        <v/>
      </c>
      <c r="UX7" s="11" t="str">
        <f t="shared" si="236"/>
        <v/>
      </c>
      <c r="UY7" s="11" t="str">
        <f t="shared" si="237"/>
        <v/>
      </c>
      <c r="UZ7" s="11" t="str">
        <f t="shared" si="238"/>
        <v/>
      </c>
      <c r="VA7" s="11" t="str">
        <f t="shared" si="239"/>
        <v/>
      </c>
      <c r="VB7" s="11" t="str">
        <f t="shared" si="240"/>
        <v/>
      </c>
      <c r="VC7" s="15"/>
      <c r="VD7" s="15"/>
      <c r="VE7" s="15"/>
      <c r="VF7" s="15"/>
      <c r="VG7" s="15"/>
      <c r="VH7" s="15"/>
      <c r="VI7" s="15"/>
      <c r="VJ7" s="15"/>
      <c r="VK7" s="15"/>
      <c r="VL7" s="15"/>
      <c r="VM7" s="15"/>
      <c r="VN7" s="15"/>
      <c r="VO7" s="15"/>
      <c r="VP7" s="15"/>
      <c r="VQ7" s="15"/>
      <c r="VR7" s="15"/>
      <c r="VS7" s="15"/>
      <c r="VT7" s="15"/>
      <c r="VU7" s="15"/>
      <c r="VV7" s="15"/>
      <c r="VW7" s="36" t="str">
        <f t="shared" si="241"/>
        <v/>
      </c>
      <c r="VX7" s="36" t="str">
        <f t="shared" si="242"/>
        <v/>
      </c>
      <c r="VY7" s="36" t="str">
        <f t="shared" si="243"/>
        <v/>
      </c>
      <c r="VZ7" s="36" t="str">
        <f t="shared" si="244"/>
        <v/>
      </c>
      <c r="WA7" s="36" t="str">
        <f t="shared" si="245"/>
        <v/>
      </c>
      <c r="WB7" s="36" t="str">
        <f t="shared" si="246"/>
        <v/>
      </c>
      <c r="WC7" s="36" t="str">
        <f t="shared" si="247"/>
        <v/>
      </c>
      <c r="WD7" s="36" t="str">
        <f t="shared" si="248"/>
        <v/>
      </c>
      <c r="WE7" s="36" t="str">
        <f t="shared" si="249"/>
        <v/>
      </c>
      <c r="WF7" s="36" t="str">
        <f t="shared" si="250"/>
        <v/>
      </c>
      <c r="WG7" s="36" t="str">
        <f t="shared" si="251"/>
        <v/>
      </c>
      <c r="WH7" s="36" t="str">
        <f t="shared" si="252"/>
        <v/>
      </c>
      <c r="WI7" s="36" t="str">
        <f t="shared" si="253"/>
        <v/>
      </c>
      <c r="WJ7" s="36" t="str">
        <f t="shared" si="254"/>
        <v/>
      </c>
    </row>
    <row r="8" spans="1:608" x14ac:dyDescent="0.2">
      <c r="A8" s="4" cm="1">
        <f t="array" ref="A8">IF(AND(H8&lt;&gt;"",H8&lt;&gt;"No DD"),SUMPRODUCT((H$4:H$15&lt;&gt;"")*(H$4:H$15&lt;&gt;"No DD")*(E$4:E$15&gt;E8))+1,IF(H8="No DD",SUMPRODUCT((H$4:H$15="No DD")*(E$4:E$15&gt;E8))+1+SUMPRODUCT((H$4:H$15&lt;&gt;"")*(H$4:H$15&lt;&gt;"No DD")),""))</f>
        <v>5</v>
      </c>
      <c r="B8" s="5" t="s">
        <v>178</v>
      </c>
      <c r="C8" s="4" t="s">
        <v>3</v>
      </c>
      <c r="D8" s="4" t="s">
        <v>179</v>
      </c>
      <c r="E8" s="9">
        <f t="shared" si="0"/>
        <v>47.67</v>
      </c>
      <c r="F8" s="3" t="str">
        <f t="shared" si="1"/>
        <v>P</v>
      </c>
      <c r="G8" s="3" t="str">
        <f t="shared" si="2"/>
        <v>P</v>
      </c>
      <c r="H8" s="32" t="str">
        <f t="shared" si="3"/>
        <v>National Team</v>
      </c>
      <c r="I8" s="3" t="str">
        <f t="shared" si="4"/>
        <v/>
      </c>
      <c r="J8" s="8">
        <f t="shared" si="5"/>
        <v>0</v>
      </c>
      <c r="K8" s="8" t="str">
        <f t="shared" si="6"/>
        <v/>
      </c>
      <c r="L8" s="8">
        <f>IFERROR(LARGE((AI8,AL8,AP8,BJ8,BM8,BQ8,CK8,CN8,CR8),2),0)</f>
        <v>0</v>
      </c>
      <c r="M8" s="8" t="str">
        <f t="shared" si="7"/>
        <v/>
      </c>
      <c r="N8" s="8">
        <f t="shared" si="8"/>
        <v>47.67</v>
      </c>
      <c r="O8" s="11" t="str">
        <f t="shared" si="9"/>
        <v>(Any)</v>
      </c>
      <c r="P8" s="8" t="str">
        <f t="shared" si="10"/>
        <v>2025 Worlds (Nov 9)</v>
      </c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23"/>
      <c r="AG8" s="34" t="str">
        <f t="shared" si="11"/>
        <v/>
      </c>
      <c r="AH8" s="34" t="str">
        <f t="shared" si="12"/>
        <v/>
      </c>
      <c r="AI8" s="36" t="str">
        <f t="shared" si="13"/>
        <v/>
      </c>
      <c r="AJ8" s="36" t="str">
        <f t="shared" si="14"/>
        <v/>
      </c>
      <c r="AK8" s="36" t="str">
        <f t="shared" si="15"/>
        <v/>
      </c>
      <c r="AL8" s="36" t="str">
        <f t="shared" si="16"/>
        <v/>
      </c>
      <c r="AM8" s="36" t="str">
        <f t="shared" si="17"/>
        <v/>
      </c>
      <c r="AN8" s="36" t="str">
        <f t="shared" si="18"/>
        <v/>
      </c>
      <c r="AO8" s="36" t="str">
        <f t="shared" si="19"/>
        <v/>
      </c>
      <c r="AP8" s="36" t="str">
        <f t="shared" si="20"/>
        <v/>
      </c>
      <c r="AQ8" s="36" t="str">
        <f t="shared" si="21"/>
        <v/>
      </c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4"/>
      <c r="BH8" s="35" t="str">
        <f t="shared" si="22"/>
        <v/>
      </c>
      <c r="BI8" s="35" t="str">
        <f t="shared" si="23"/>
        <v/>
      </c>
      <c r="BJ8" s="11" t="str">
        <f t="shared" si="24"/>
        <v/>
      </c>
      <c r="BK8" s="11" t="str">
        <f t="shared" si="25"/>
        <v/>
      </c>
      <c r="BL8" s="11" t="str">
        <f t="shared" si="26"/>
        <v/>
      </c>
      <c r="BM8" s="11" t="str">
        <f t="shared" si="27"/>
        <v/>
      </c>
      <c r="BN8" s="11" t="str">
        <f t="shared" si="28"/>
        <v/>
      </c>
      <c r="BO8" s="11" t="str">
        <f t="shared" si="29"/>
        <v/>
      </c>
      <c r="BP8" s="11" t="str">
        <f t="shared" si="30"/>
        <v/>
      </c>
      <c r="BQ8" s="11" t="str">
        <f t="shared" si="31"/>
        <v/>
      </c>
      <c r="BR8" s="11" t="str">
        <f t="shared" si="32"/>
        <v/>
      </c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23"/>
      <c r="CI8" s="34" t="str">
        <f t="shared" si="33"/>
        <v/>
      </c>
      <c r="CJ8" s="34" t="str">
        <f t="shared" si="34"/>
        <v/>
      </c>
      <c r="CK8" s="36" t="str">
        <f t="shared" si="35"/>
        <v/>
      </c>
      <c r="CL8" s="36" t="str">
        <f t="shared" si="36"/>
        <v/>
      </c>
      <c r="CM8" s="36" t="str">
        <f t="shared" si="37"/>
        <v/>
      </c>
      <c r="CN8" s="36" t="str">
        <f t="shared" si="38"/>
        <v/>
      </c>
      <c r="CO8" s="36" t="str">
        <f t="shared" si="39"/>
        <v/>
      </c>
      <c r="CP8" s="36" t="str">
        <f t="shared" si="40"/>
        <v/>
      </c>
      <c r="CQ8" s="36" t="str">
        <f t="shared" si="41"/>
        <v/>
      </c>
      <c r="CR8" s="36" t="str">
        <f t="shared" si="42"/>
        <v/>
      </c>
      <c r="CS8" s="36" t="str">
        <f t="shared" si="43"/>
        <v/>
      </c>
      <c r="CT8" s="47">
        <f t="shared" si="44"/>
        <v>47.67</v>
      </c>
      <c r="CU8" s="15"/>
      <c r="CV8" s="15"/>
      <c r="CW8" s="15"/>
      <c r="CX8" s="15"/>
      <c r="CY8" s="15"/>
      <c r="CZ8" s="15"/>
      <c r="DA8" s="15"/>
      <c r="DB8" s="15"/>
      <c r="DC8" s="15"/>
      <c r="DD8" s="15"/>
      <c r="DE8" s="15"/>
      <c r="DF8" s="15"/>
      <c r="DG8" s="15"/>
      <c r="DH8" s="15"/>
      <c r="DI8" s="15"/>
      <c r="DJ8" s="15"/>
      <c r="DK8" s="15"/>
      <c r="DL8" s="15"/>
      <c r="DM8" s="15"/>
      <c r="DN8" s="15"/>
      <c r="DO8" s="36" t="str">
        <f t="shared" si="45"/>
        <v/>
      </c>
      <c r="DP8" s="36" t="str">
        <f t="shared" si="46"/>
        <v/>
      </c>
      <c r="DQ8" s="36" t="str">
        <f t="shared" si="47"/>
        <v/>
      </c>
      <c r="DR8" s="36" t="str">
        <f t="shared" si="48"/>
        <v/>
      </c>
      <c r="DS8" s="36" t="str">
        <f t="shared" si="49"/>
        <v/>
      </c>
      <c r="DT8" s="36" t="str">
        <f t="shared" si="50"/>
        <v/>
      </c>
      <c r="DU8" s="36" t="str">
        <f t="shared" si="51"/>
        <v/>
      </c>
      <c r="DV8" s="36" t="str">
        <f t="shared" si="52"/>
        <v/>
      </c>
      <c r="DW8" s="36" t="str">
        <f t="shared" si="53"/>
        <v/>
      </c>
      <c r="DX8" s="36" t="str">
        <f t="shared" si="54"/>
        <v/>
      </c>
      <c r="DY8" s="36" t="str">
        <f t="shared" si="55"/>
        <v/>
      </c>
      <c r="DZ8" s="36" t="str">
        <f t="shared" si="56"/>
        <v/>
      </c>
      <c r="EA8" s="36" t="str">
        <f t="shared" si="57"/>
        <v/>
      </c>
      <c r="EB8" s="36" t="str">
        <f t="shared" si="58"/>
        <v/>
      </c>
      <c r="EC8" s="16"/>
      <c r="ED8" s="16"/>
      <c r="EE8" s="16"/>
      <c r="EF8" s="16"/>
      <c r="EG8" s="16"/>
      <c r="EH8" s="16"/>
      <c r="EI8" s="16"/>
      <c r="EJ8" s="16"/>
      <c r="EK8" s="16"/>
      <c r="EL8" s="16"/>
      <c r="EM8" s="16"/>
      <c r="EN8" s="16"/>
      <c r="EO8" s="16"/>
      <c r="EP8" s="16"/>
      <c r="EQ8" s="16"/>
      <c r="ER8" s="16"/>
      <c r="ES8" s="16"/>
      <c r="ET8" s="16"/>
      <c r="EU8" s="16"/>
      <c r="EV8" s="16"/>
      <c r="EW8" s="11" t="str">
        <f t="shared" si="59"/>
        <v/>
      </c>
      <c r="EX8" s="11" t="str">
        <f t="shared" si="60"/>
        <v/>
      </c>
      <c r="EY8" s="11" t="str">
        <f t="shared" si="61"/>
        <v/>
      </c>
      <c r="EZ8" s="11" t="str">
        <f t="shared" si="62"/>
        <v/>
      </c>
      <c r="FA8" s="11" t="str">
        <f t="shared" si="63"/>
        <v/>
      </c>
      <c r="FB8" s="11" t="str">
        <f t="shared" si="64"/>
        <v/>
      </c>
      <c r="FC8" s="11" t="str">
        <f t="shared" si="65"/>
        <v/>
      </c>
      <c r="FD8" s="11" t="str">
        <f t="shared" si="66"/>
        <v/>
      </c>
      <c r="FE8" s="11" t="str">
        <f t="shared" si="67"/>
        <v/>
      </c>
      <c r="FF8" s="11" t="str">
        <f t="shared" si="68"/>
        <v/>
      </c>
      <c r="FG8" s="11" t="str">
        <f t="shared" si="69"/>
        <v/>
      </c>
      <c r="FH8" s="11" t="str">
        <f t="shared" si="70"/>
        <v/>
      </c>
      <c r="FI8" s="11" t="str">
        <f t="shared" si="71"/>
        <v/>
      </c>
      <c r="FJ8" s="11" t="str">
        <f t="shared" si="72"/>
        <v/>
      </c>
      <c r="FK8" s="15"/>
      <c r="FL8" s="15"/>
      <c r="FM8" s="15"/>
      <c r="FN8" s="15"/>
      <c r="FO8" s="15"/>
      <c r="FP8" s="15"/>
      <c r="FQ8" s="15"/>
      <c r="FR8" s="15"/>
      <c r="FS8" s="15"/>
      <c r="FT8" s="15"/>
      <c r="FU8" s="15"/>
      <c r="FV8" s="15"/>
      <c r="FW8" s="15"/>
      <c r="FX8" s="15"/>
      <c r="FY8" s="15"/>
      <c r="FZ8" s="15"/>
      <c r="GA8" s="15"/>
      <c r="GB8" s="15"/>
      <c r="GC8" s="15"/>
      <c r="GD8" s="15"/>
      <c r="GE8" s="36" t="str">
        <f t="shared" si="73"/>
        <v/>
      </c>
      <c r="GF8" s="36" t="str">
        <f t="shared" si="74"/>
        <v/>
      </c>
      <c r="GG8" s="36" t="str">
        <f t="shared" si="75"/>
        <v/>
      </c>
      <c r="GH8" s="36" t="str">
        <f t="shared" si="76"/>
        <v/>
      </c>
      <c r="GI8" s="36" t="str">
        <f t="shared" si="77"/>
        <v/>
      </c>
      <c r="GJ8" s="36" t="str">
        <f t="shared" si="78"/>
        <v/>
      </c>
      <c r="GK8" s="36" t="str">
        <f t="shared" si="79"/>
        <v/>
      </c>
      <c r="GL8" s="36" t="str">
        <f t="shared" si="80"/>
        <v/>
      </c>
      <c r="GM8" s="36" t="str">
        <f t="shared" si="81"/>
        <v/>
      </c>
      <c r="GN8" s="36" t="str">
        <f t="shared" si="82"/>
        <v/>
      </c>
      <c r="GO8" s="36" t="str">
        <f t="shared" si="83"/>
        <v/>
      </c>
      <c r="GP8" s="36" t="str">
        <f t="shared" si="84"/>
        <v/>
      </c>
      <c r="GQ8" s="36" t="str">
        <f t="shared" si="85"/>
        <v/>
      </c>
      <c r="GR8" s="36" t="str">
        <f t="shared" si="86"/>
        <v/>
      </c>
      <c r="GS8" s="16"/>
      <c r="GT8" s="16"/>
      <c r="GU8" s="16"/>
      <c r="GV8" s="16"/>
      <c r="GW8" s="16"/>
      <c r="GX8" s="16"/>
      <c r="GY8" s="16"/>
      <c r="GZ8" s="16"/>
      <c r="HA8" s="16"/>
      <c r="HB8" s="16"/>
      <c r="HC8" s="16"/>
      <c r="HD8" s="16"/>
      <c r="HE8" s="16"/>
      <c r="HF8" s="16"/>
      <c r="HG8" s="16"/>
      <c r="HH8" s="16"/>
      <c r="HI8" s="16"/>
      <c r="HJ8" s="16"/>
      <c r="HK8" s="16"/>
      <c r="HL8" s="16"/>
      <c r="HM8" s="11" t="str">
        <f t="shared" si="87"/>
        <v/>
      </c>
      <c r="HN8" s="11" t="str">
        <f t="shared" si="88"/>
        <v/>
      </c>
      <c r="HO8" s="11" t="str">
        <f t="shared" si="89"/>
        <v/>
      </c>
      <c r="HP8" s="11" t="str">
        <f t="shared" si="90"/>
        <v/>
      </c>
      <c r="HQ8" s="11" t="str">
        <f t="shared" si="91"/>
        <v/>
      </c>
      <c r="HR8" s="11" t="str">
        <f t="shared" si="92"/>
        <v/>
      </c>
      <c r="HS8" s="11" t="str">
        <f t="shared" si="93"/>
        <v/>
      </c>
      <c r="HT8" s="11" t="str">
        <f t="shared" si="94"/>
        <v/>
      </c>
      <c r="HU8" s="11" t="str">
        <f t="shared" si="95"/>
        <v/>
      </c>
      <c r="HV8" s="11" t="str">
        <f t="shared" si="96"/>
        <v/>
      </c>
      <c r="HW8" s="11" t="str">
        <f t="shared" si="97"/>
        <v/>
      </c>
      <c r="HX8" s="11" t="str">
        <f t="shared" si="98"/>
        <v/>
      </c>
      <c r="HY8" s="11" t="str">
        <f t="shared" si="99"/>
        <v/>
      </c>
      <c r="HZ8" s="11" t="str">
        <f t="shared" si="100"/>
        <v/>
      </c>
      <c r="IA8" s="15"/>
      <c r="IB8" s="15"/>
      <c r="IC8" s="15"/>
      <c r="ID8" s="15"/>
      <c r="IE8" s="15"/>
      <c r="IF8" s="15"/>
      <c r="IG8" s="15"/>
      <c r="IH8" s="15"/>
      <c r="II8" s="15"/>
      <c r="IJ8" s="15"/>
      <c r="IK8" s="15"/>
      <c r="IL8" s="15"/>
      <c r="IM8" s="15"/>
      <c r="IN8" s="15"/>
      <c r="IO8" s="15"/>
      <c r="IP8" s="15"/>
      <c r="IQ8" s="15"/>
      <c r="IR8" s="15"/>
      <c r="IS8" s="15"/>
      <c r="IT8" s="15"/>
      <c r="IU8" s="36" t="str">
        <f t="shared" si="101"/>
        <v/>
      </c>
      <c r="IV8" s="36" t="str">
        <f t="shared" si="102"/>
        <v/>
      </c>
      <c r="IW8" s="36" t="str">
        <f t="shared" si="103"/>
        <v/>
      </c>
      <c r="IX8" s="36" t="str">
        <f t="shared" si="104"/>
        <v/>
      </c>
      <c r="IY8" s="36" t="str">
        <f t="shared" si="105"/>
        <v/>
      </c>
      <c r="IZ8" s="36" t="str">
        <f t="shared" si="106"/>
        <v/>
      </c>
      <c r="JA8" s="36" t="str">
        <f t="shared" si="107"/>
        <v/>
      </c>
      <c r="JB8" s="36" t="str">
        <f t="shared" si="108"/>
        <v/>
      </c>
      <c r="JC8" s="36" t="str">
        <f t="shared" si="109"/>
        <v/>
      </c>
      <c r="JD8" s="36" t="str">
        <f t="shared" si="110"/>
        <v/>
      </c>
      <c r="JE8" s="36" t="str">
        <f t="shared" si="111"/>
        <v/>
      </c>
      <c r="JF8" s="36" t="str">
        <f t="shared" si="112"/>
        <v/>
      </c>
      <c r="JG8" s="36" t="str">
        <f t="shared" si="113"/>
        <v/>
      </c>
      <c r="JH8" s="36" t="str">
        <f t="shared" si="114"/>
        <v/>
      </c>
      <c r="JI8" s="16"/>
      <c r="JJ8" s="16"/>
      <c r="JK8" s="16"/>
      <c r="JL8" s="16"/>
      <c r="JM8" s="16"/>
      <c r="JN8" s="16"/>
      <c r="JO8" s="16"/>
      <c r="JP8" s="16"/>
      <c r="JQ8" s="16"/>
      <c r="JR8" s="16"/>
      <c r="JS8" s="16"/>
      <c r="JT8" s="16"/>
      <c r="JU8" s="16"/>
      <c r="JV8" s="16"/>
      <c r="JW8" s="16"/>
      <c r="JX8" s="16"/>
      <c r="JY8" s="16"/>
      <c r="JZ8" s="16"/>
      <c r="KA8" s="16"/>
      <c r="KB8" s="16"/>
      <c r="KC8" s="11" t="str">
        <f t="shared" si="115"/>
        <v/>
      </c>
      <c r="KD8" s="11" t="str">
        <f t="shared" si="116"/>
        <v/>
      </c>
      <c r="KE8" s="11" t="str">
        <f t="shared" si="117"/>
        <v/>
      </c>
      <c r="KF8" s="11" t="str">
        <f t="shared" si="118"/>
        <v/>
      </c>
      <c r="KG8" s="11" t="str">
        <f t="shared" si="119"/>
        <v/>
      </c>
      <c r="KH8" s="11" t="str">
        <f t="shared" si="120"/>
        <v/>
      </c>
      <c r="KI8" s="11" t="str">
        <f t="shared" si="121"/>
        <v/>
      </c>
      <c r="KJ8" s="11" t="str">
        <f t="shared" si="122"/>
        <v/>
      </c>
      <c r="KK8" s="11" t="str">
        <f t="shared" si="123"/>
        <v/>
      </c>
      <c r="KL8" s="11" t="str">
        <f t="shared" si="124"/>
        <v/>
      </c>
      <c r="KM8" s="11" t="str">
        <f t="shared" si="125"/>
        <v/>
      </c>
      <c r="KN8" s="11" t="str">
        <f t="shared" si="126"/>
        <v/>
      </c>
      <c r="KO8" s="11" t="str">
        <f t="shared" si="127"/>
        <v/>
      </c>
      <c r="KP8" s="11" t="str">
        <f t="shared" si="128"/>
        <v/>
      </c>
      <c r="KQ8" s="15"/>
      <c r="KR8" s="15"/>
      <c r="KS8" s="15"/>
      <c r="KT8" s="15"/>
      <c r="KU8" s="15"/>
      <c r="KV8" s="15"/>
      <c r="KW8" s="15"/>
      <c r="KX8" s="15"/>
      <c r="KY8" s="15"/>
      <c r="KZ8" s="15"/>
      <c r="LA8" s="15"/>
      <c r="LB8" s="15"/>
      <c r="LC8" s="15"/>
      <c r="LD8" s="15"/>
      <c r="LE8" s="15"/>
      <c r="LF8" s="15"/>
      <c r="LG8" s="15"/>
      <c r="LH8" s="15"/>
      <c r="LI8" s="15"/>
      <c r="LJ8" s="15"/>
      <c r="LK8" s="36" t="str">
        <f t="shared" si="129"/>
        <v/>
      </c>
      <c r="LL8" s="36" t="str">
        <f t="shared" si="130"/>
        <v/>
      </c>
      <c r="LM8" s="36" t="str">
        <f t="shared" si="131"/>
        <v/>
      </c>
      <c r="LN8" s="36" t="str">
        <f t="shared" si="132"/>
        <v/>
      </c>
      <c r="LO8" s="36" t="str">
        <f t="shared" si="133"/>
        <v/>
      </c>
      <c r="LP8" s="36" t="str">
        <f t="shared" si="134"/>
        <v/>
      </c>
      <c r="LQ8" s="36" t="str">
        <f t="shared" si="135"/>
        <v/>
      </c>
      <c r="LR8" s="36" t="str">
        <f t="shared" si="136"/>
        <v/>
      </c>
      <c r="LS8" s="36" t="str">
        <f t="shared" si="137"/>
        <v/>
      </c>
      <c r="LT8" s="36" t="str">
        <f t="shared" si="138"/>
        <v/>
      </c>
      <c r="LU8" s="36" t="str">
        <f t="shared" si="139"/>
        <v/>
      </c>
      <c r="LV8" s="36" t="str">
        <f t="shared" si="140"/>
        <v/>
      </c>
      <c r="LW8" s="36" t="str">
        <f t="shared" si="141"/>
        <v/>
      </c>
      <c r="LX8" s="36" t="str">
        <f t="shared" si="142"/>
        <v/>
      </c>
      <c r="LY8" s="16">
        <v>6.95</v>
      </c>
      <c r="LZ8" s="16">
        <v>8.9499999999999993</v>
      </c>
      <c r="MA8" s="16">
        <v>12.7</v>
      </c>
      <c r="MB8" s="16">
        <v>16.36</v>
      </c>
      <c r="MC8" s="16">
        <v>0</v>
      </c>
      <c r="MD8" s="16">
        <v>7.35</v>
      </c>
      <c r="ME8" s="16">
        <v>9.1999999999999993</v>
      </c>
      <c r="MF8" s="16">
        <v>12.7</v>
      </c>
      <c r="MG8" s="16">
        <v>18.420000000000002</v>
      </c>
      <c r="MH8" s="16">
        <v>0</v>
      </c>
      <c r="MI8" s="16">
        <v>7.25</v>
      </c>
      <c r="MJ8" s="16">
        <v>9.35</v>
      </c>
      <c r="MK8" s="16">
        <v>12.7</v>
      </c>
      <c r="ML8" s="16">
        <v>18.12</v>
      </c>
      <c r="MM8" s="16">
        <v>0</v>
      </c>
      <c r="MN8" s="16">
        <v>6.8</v>
      </c>
      <c r="MO8" s="16">
        <v>9.5</v>
      </c>
      <c r="MP8" s="16">
        <v>13.8</v>
      </c>
      <c r="MQ8" s="16">
        <v>17.28</v>
      </c>
      <c r="MR8" s="16">
        <v>0</v>
      </c>
      <c r="MS8" s="11">
        <f t="shared" si="143"/>
        <v>12.7</v>
      </c>
      <c r="MT8" s="11">
        <f t="shared" si="144"/>
        <v>16.36</v>
      </c>
      <c r="MU8" s="11">
        <f t="shared" si="145"/>
        <v>44.959999999999994</v>
      </c>
      <c r="MV8" s="11">
        <f t="shared" si="146"/>
        <v>12.7</v>
      </c>
      <c r="MW8" s="11">
        <f t="shared" si="147"/>
        <v>18.420000000000002</v>
      </c>
      <c r="MX8" s="11">
        <f t="shared" si="148"/>
        <v>47.67</v>
      </c>
      <c r="MY8" s="11">
        <f t="shared" si="149"/>
        <v>47.67</v>
      </c>
      <c r="MZ8" s="11">
        <f t="shared" si="150"/>
        <v>12.7</v>
      </c>
      <c r="NA8" s="11">
        <f t="shared" si="151"/>
        <v>18.12</v>
      </c>
      <c r="NB8" s="11">
        <f t="shared" si="152"/>
        <v>47.42</v>
      </c>
      <c r="NC8" s="11">
        <f t="shared" si="153"/>
        <v>13.8</v>
      </c>
      <c r="ND8" s="11">
        <f t="shared" si="154"/>
        <v>17.28</v>
      </c>
      <c r="NE8" s="11">
        <f t="shared" si="155"/>
        <v>47.38</v>
      </c>
      <c r="NF8" s="11">
        <f t="shared" si="156"/>
        <v>142.47</v>
      </c>
      <c r="NG8" s="15"/>
      <c r="NH8" s="15"/>
      <c r="NI8" s="15"/>
      <c r="NJ8" s="15"/>
      <c r="NK8" s="15"/>
      <c r="NL8" s="15"/>
      <c r="NM8" s="15"/>
      <c r="NN8" s="15"/>
      <c r="NO8" s="15"/>
      <c r="NP8" s="15"/>
      <c r="NQ8" s="15"/>
      <c r="NR8" s="15"/>
      <c r="NS8" s="15"/>
      <c r="NT8" s="15"/>
      <c r="NU8" s="15"/>
      <c r="NV8" s="15"/>
      <c r="NW8" s="15"/>
      <c r="NX8" s="15"/>
      <c r="NY8" s="15"/>
      <c r="NZ8" s="15"/>
      <c r="OA8" s="36" t="str">
        <f t="shared" si="157"/>
        <v/>
      </c>
      <c r="OB8" s="36" t="str">
        <f t="shared" si="158"/>
        <v/>
      </c>
      <c r="OC8" s="36" t="str">
        <f t="shared" si="159"/>
        <v/>
      </c>
      <c r="OD8" s="36" t="str">
        <f t="shared" si="160"/>
        <v/>
      </c>
      <c r="OE8" s="36" t="str">
        <f t="shared" si="161"/>
        <v/>
      </c>
      <c r="OF8" s="36" t="str">
        <f t="shared" si="162"/>
        <v/>
      </c>
      <c r="OG8" s="36" t="str">
        <f t="shared" si="163"/>
        <v/>
      </c>
      <c r="OH8" s="36" t="str">
        <f t="shared" si="164"/>
        <v/>
      </c>
      <c r="OI8" s="36" t="str">
        <f t="shared" si="165"/>
        <v/>
      </c>
      <c r="OJ8" s="36" t="str">
        <f t="shared" si="166"/>
        <v/>
      </c>
      <c r="OK8" s="36" t="str">
        <f t="shared" si="167"/>
        <v/>
      </c>
      <c r="OL8" s="36" t="str">
        <f t="shared" si="168"/>
        <v/>
      </c>
      <c r="OM8" s="36" t="str">
        <f t="shared" si="169"/>
        <v/>
      </c>
      <c r="ON8" s="36" t="str">
        <f t="shared" si="170"/>
        <v/>
      </c>
      <c r="OO8" s="16"/>
      <c r="OP8" s="16"/>
      <c r="OQ8" s="16"/>
      <c r="OR8" s="16"/>
      <c r="OS8" s="16"/>
      <c r="OT8" s="16"/>
      <c r="OU8" s="16"/>
      <c r="OV8" s="16"/>
      <c r="OW8" s="16"/>
      <c r="OX8" s="16"/>
      <c r="OY8" s="16"/>
      <c r="OZ8" s="16"/>
      <c r="PA8" s="16"/>
      <c r="PB8" s="16"/>
      <c r="PC8" s="16"/>
      <c r="PD8" s="16"/>
      <c r="PE8" s="16"/>
      <c r="PF8" s="16"/>
      <c r="PG8" s="16"/>
      <c r="PH8" s="16"/>
      <c r="PI8" s="11" t="str">
        <f t="shared" si="171"/>
        <v/>
      </c>
      <c r="PJ8" s="11" t="str">
        <f t="shared" si="172"/>
        <v/>
      </c>
      <c r="PK8" s="11" t="str">
        <f t="shared" si="173"/>
        <v/>
      </c>
      <c r="PL8" s="11" t="str">
        <f t="shared" si="174"/>
        <v/>
      </c>
      <c r="PM8" s="11" t="str">
        <f t="shared" si="175"/>
        <v/>
      </c>
      <c r="PN8" s="11" t="str">
        <f t="shared" si="176"/>
        <v/>
      </c>
      <c r="PO8" s="11" t="str">
        <f t="shared" si="177"/>
        <v/>
      </c>
      <c r="PP8" s="11" t="str">
        <f t="shared" si="178"/>
        <v/>
      </c>
      <c r="PQ8" s="11" t="str">
        <f t="shared" si="179"/>
        <v/>
      </c>
      <c r="PR8" s="11" t="str">
        <f t="shared" si="180"/>
        <v/>
      </c>
      <c r="PS8" s="11" t="str">
        <f t="shared" si="181"/>
        <v/>
      </c>
      <c r="PT8" s="11" t="str">
        <f t="shared" si="182"/>
        <v/>
      </c>
      <c r="PU8" s="11" t="str">
        <f t="shared" si="183"/>
        <v/>
      </c>
      <c r="PV8" s="11" t="str">
        <f t="shared" si="184"/>
        <v/>
      </c>
      <c r="PW8" s="15"/>
      <c r="PX8" s="15"/>
      <c r="PY8" s="15"/>
      <c r="PZ8" s="15"/>
      <c r="QA8" s="15"/>
      <c r="QB8" s="15"/>
      <c r="QC8" s="15"/>
      <c r="QD8" s="15"/>
      <c r="QE8" s="15"/>
      <c r="QF8" s="15"/>
      <c r="QG8" s="15"/>
      <c r="QH8" s="15"/>
      <c r="QI8" s="15"/>
      <c r="QJ8" s="15"/>
      <c r="QK8" s="15"/>
      <c r="QL8" s="15"/>
      <c r="QM8" s="15"/>
      <c r="QN8" s="15"/>
      <c r="QO8" s="15"/>
      <c r="QP8" s="15"/>
      <c r="QQ8" s="36" t="str">
        <f t="shared" si="185"/>
        <v/>
      </c>
      <c r="QR8" s="36" t="str">
        <f t="shared" si="186"/>
        <v/>
      </c>
      <c r="QS8" s="36" t="str">
        <f t="shared" si="187"/>
        <v/>
      </c>
      <c r="QT8" s="36" t="str">
        <f t="shared" si="188"/>
        <v/>
      </c>
      <c r="QU8" s="36" t="str">
        <f t="shared" si="189"/>
        <v/>
      </c>
      <c r="QV8" s="36" t="str">
        <f t="shared" si="190"/>
        <v/>
      </c>
      <c r="QW8" s="36" t="str">
        <f t="shared" si="191"/>
        <v/>
      </c>
      <c r="QX8" s="36" t="str">
        <f t="shared" si="192"/>
        <v/>
      </c>
      <c r="QY8" s="36" t="str">
        <f t="shared" si="193"/>
        <v/>
      </c>
      <c r="QZ8" s="36" t="str">
        <f t="shared" si="194"/>
        <v/>
      </c>
      <c r="RA8" s="36" t="str">
        <f t="shared" si="195"/>
        <v/>
      </c>
      <c r="RB8" s="36" t="str">
        <f t="shared" si="196"/>
        <v/>
      </c>
      <c r="RC8" s="36" t="str">
        <f t="shared" si="197"/>
        <v/>
      </c>
      <c r="RD8" s="36" t="str">
        <f t="shared" si="198"/>
        <v/>
      </c>
      <c r="RE8" s="16"/>
      <c r="RF8" s="16"/>
      <c r="RG8" s="16"/>
      <c r="RH8" s="16"/>
      <c r="RI8" s="16"/>
      <c r="RJ8" s="16"/>
      <c r="RK8" s="16"/>
      <c r="RL8" s="16"/>
      <c r="RM8" s="16"/>
      <c r="RN8" s="16"/>
      <c r="RO8" s="16"/>
      <c r="RP8" s="16"/>
      <c r="RQ8" s="16"/>
      <c r="RR8" s="16"/>
      <c r="RS8" s="16"/>
      <c r="RT8" s="16"/>
      <c r="RU8" s="16"/>
      <c r="RV8" s="16"/>
      <c r="RW8" s="16"/>
      <c r="RX8" s="16"/>
      <c r="RY8" s="11" t="str">
        <f t="shared" si="199"/>
        <v/>
      </c>
      <c r="RZ8" s="11" t="str">
        <f t="shared" si="200"/>
        <v/>
      </c>
      <c r="SA8" s="11" t="str">
        <f t="shared" si="201"/>
        <v/>
      </c>
      <c r="SB8" s="11" t="str">
        <f t="shared" si="202"/>
        <v/>
      </c>
      <c r="SC8" s="11" t="str">
        <f t="shared" si="203"/>
        <v/>
      </c>
      <c r="SD8" s="11" t="str">
        <f t="shared" si="204"/>
        <v/>
      </c>
      <c r="SE8" s="11" t="str">
        <f t="shared" si="205"/>
        <v/>
      </c>
      <c r="SF8" s="11" t="str">
        <f t="shared" si="206"/>
        <v/>
      </c>
      <c r="SG8" s="11" t="str">
        <f t="shared" si="207"/>
        <v/>
      </c>
      <c r="SH8" s="11" t="str">
        <f t="shared" si="208"/>
        <v/>
      </c>
      <c r="SI8" s="11" t="str">
        <f t="shared" si="209"/>
        <v/>
      </c>
      <c r="SJ8" s="11" t="str">
        <f t="shared" si="210"/>
        <v/>
      </c>
      <c r="SK8" s="11" t="str">
        <f t="shared" si="211"/>
        <v/>
      </c>
      <c r="SL8" s="11" t="str">
        <f t="shared" si="212"/>
        <v/>
      </c>
      <c r="SM8" s="15"/>
      <c r="SN8" s="15"/>
      <c r="SO8" s="15"/>
      <c r="SP8" s="15"/>
      <c r="SQ8" s="15"/>
      <c r="SR8" s="15"/>
      <c r="SS8" s="15"/>
      <c r="ST8" s="15"/>
      <c r="SU8" s="15"/>
      <c r="SV8" s="15"/>
      <c r="SW8" s="15"/>
      <c r="SX8" s="15"/>
      <c r="SY8" s="15"/>
      <c r="SZ8" s="15"/>
      <c r="TA8" s="15"/>
      <c r="TB8" s="15"/>
      <c r="TC8" s="15"/>
      <c r="TD8" s="15"/>
      <c r="TE8" s="15"/>
      <c r="TF8" s="15"/>
      <c r="TG8" s="36" t="str">
        <f t="shared" si="213"/>
        <v/>
      </c>
      <c r="TH8" s="36" t="str">
        <f t="shared" si="214"/>
        <v/>
      </c>
      <c r="TI8" s="36" t="str">
        <f t="shared" si="215"/>
        <v/>
      </c>
      <c r="TJ8" s="36" t="str">
        <f t="shared" si="216"/>
        <v/>
      </c>
      <c r="TK8" s="36" t="str">
        <f t="shared" si="217"/>
        <v/>
      </c>
      <c r="TL8" s="36" t="str">
        <f t="shared" si="218"/>
        <v/>
      </c>
      <c r="TM8" s="36" t="str">
        <f t="shared" si="219"/>
        <v/>
      </c>
      <c r="TN8" s="36" t="str">
        <f t="shared" si="220"/>
        <v/>
      </c>
      <c r="TO8" s="36" t="str">
        <f t="shared" si="221"/>
        <v/>
      </c>
      <c r="TP8" s="36" t="str">
        <f t="shared" si="222"/>
        <v/>
      </c>
      <c r="TQ8" s="36" t="str">
        <f t="shared" si="223"/>
        <v/>
      </c>
      <c r="TR8" s="36" t="str">
        <f t="shared" si="224"/>
        <v/>
      </c>
      <c r="TS8" s="36" t="str">
        <f t="shared" si="225"/>
        <v/>
      </c>
      <c r="TT8" s="36" t="str">
        <f t="shared" si="226"/>
        <v/>
      </c>
      <c r="TU8" s="16"/>
      <c r="TV8" s="16"/>
      <c r="TW8" s="16"/>
      <c r="TX8" s="16"/>
      <c r="TY8" s="16"/>
      <c r="TZ8" s="16"/>
      <c r="UA8" s="16"/>
      <c r="UB8" s="16"/>
      <c r="UC8" s="16"/>
      <c r="UD8" s="16"/>
      <c r="UE8" s="16"/>
      <c r="UF8" s="16"/>
      <c r="UG8" s="16"/>
      <c r="UH8" s="16"/>
      <c r="UI8" s="16"/>
      <c r="UJ8" s="16"/>
      <c r="UK8" s="16"/>
      <c r="UL8" s="16"/>
      <c r="UM8" s="16"/>
      <c r="UN8" s="16"/>
      <c r="UO8" s="11" t="str">
        <f t="shared" si="227"/>
        <v/>
      </c>
      <c r="UP8" s="11" t="str">
        <f t="shared" si="228"/>
        <v/>
      </c>
      <c r="UQ8" s="11" t="str">
        <f t="shared" si="229"/>
        <v/>
      </c>
      <c r="UR8" s="11" t="str">
        <f t="shared" si="230"/>
        <v/>
      </c>
      <c r="US8" s="11" t="str">
        <f t="shared" si="231"/>
        <v/>
      </c>
      <c r="UT8" s="11" t="str">
        <f t="shared" si="232"/>
        <v/>
      </c>
      <c r="UU8" s="11" t="str">
        <f t="shared" si="233"/>
        <v/>
      </c>
      <c r="UV8" s="11" t="str">
        <f t="shared" si="234"/>
        <v/>
      </c>
      <c r="UW8" s="11" t="str">
        <f t="shared" si="235"/>
        <v/>
      </c>
      <c r="UX8" s="11" t="str">
        <f t="shared" si="236"/>
        <v/>
      </c>
      <c r="UY8" s="11" t="str">
        <f t="shared" si="237"/>
        <v/>
      </c>
      <c r="UZ8" s="11" t="str">
        <f t="shared" si="238"/>
        <v/>
      </c>
      <c r="VA8" s="11" t="str">
        <f t="shared" si="239"/>
        <v/>
      </c>
      <c r="VB8" s="11" t="str">
        <f t="shared" si="240"/>
        <v/>
      </c>
      <c r="VC8" s="15"/>
      <c r="VD8" s="15"/>
      <c r="VE8" s="15"/>
      <c r="VF8" s="15"/>
      <c r="VG8" s="15"/>
      <c r="VH8" s="15"/>
      <c r="VI8" s="15"/>
      <c r="VJ8" s="15"/>
      <c r="VK8" s="15"/>
      <c r="VL8" s="15"/>
      <c r="VM8" s="15"/>
      <c r="VN8" s="15"/>
      <c r="VO8" s="15"/>
      <c r="VP8" s="15"/>
      <c r="VQ8" s="15"/>
      <c r="VR8" s="15"/>
      <c r="VS8" s="15"/>
      <c r="VT8" s="15"/>
      <c r="VU8" s="15"/>
      <c r="VV8" s="15"/>
      <c r="VW8" s="36" t="str">
        <f t="shared" si="241"/>
        <v/>
      </c>
      <c r="VX8" s="36" t="str">
        <f t="shared" si="242"/>
        <v/>
      </c>
      <c r="VY8" s="36" t="str">
        <f t="shared" si="243"/>
        <v/>
      </c>
      <c r="VZ8" s="36" t="str">
        <f t="shared" si="244"/>
        <v/>
      </c>
      <c r="WA8" s="36" t="str">
        <f t="shared" si="245"/>
        <v/>
      </c>
      <c r="WB8" s="36" t="str">
        <f t="shared" si="246"/>
        <v/>
      </c>
      <c r="WC8" s="36" t="str">
        <f t="shared" si="247"/>
        <v/>
      </c>
      <c r="WD8" s="36" t="str">
        <f t="shared" si="248"/>
        <v/>
      </c>
      <c r="WE8" s="36" t="str">
        <f t="shared" si="249"/>
        <v/>
      </c>
      <c r="WF8" s="36" t="str">
        <f t="shared" si="250"/>
        <v/>
      </c>
      <c r="WG8" s="36" t="str">
        <f t="shared" si="251"/>
        <v/>
      </c>
      <c r="WH8" s="36" t="str">
        <f t="shared" si="252"/>
        <v/>
      </c>
      <c r="WI8" s="36" t="str">
        <f t="shared" si="253"/>
        <v/>
      </c>
      <c r="WJ8" s="36" t="str">
        <f t="shared" si="254"/>
        <v/>
      </c>
    </row>
    <row r="9" spans="1:608" x14ac:dyDescent="0.2">
      <c r="A9" s="4" cm="1">
        <f t="array" ref="A9">IF(AND(H9&lt;&gt;"",H9&lt;&gt;"No DD"),SUMPRODUCT((H$4:H$15&lt;&gt;"")*(H$4:H$15&lt;&gt;"No DD")*(E$4:E$15&gt;E9))+1,IF(H9="No DD",SUMPRODUCT((H$4:H$15="No DD")*(E$4:E$15&gt;E9))+1+SUMPRODUCT((H$4:H$15&lt;&gt;"")*(H$4:H$15&lt;&gt;"No DD")),""))</f>
        <v>6</v>
      </c>
      <c r="B9" s="5" t="s">
        <v>168</v>
      </c>
      <c r="C9" s="4" t="s">
        <v>166</v>
      </c>
      <c r="D9" s="4">
        <v>2001</v>
      </c>
      <c r="E9" s="9">
        <f t="shared" si="0"/>
        <v>47.180000000000007</v>
      </c>
      <c r="F9" s="3" t="str">
        <f t="shared" si="1"/>
        <v>P</v>
      </c>
      <c r="G9" s="3" t="str">
        <f t="shared" si="2"/>
        <v>P</v>
      </c>
      <c r="H9" s="32" t="str">
        <f t="shared" si="3"/>
        <v>National Team</v>
      </c>
      <c r="I9" s="3" t="str">
        <f t="shared" si="4"/>
        <v/>
      </c>
      <c r="J9" s="8">
        <f t="shared" si="5"/>
        <v>0</v>
      </c>
      <c r="K9" s="8" t="str">
        <f t="shared" si="6"/>
        <v/>
      </c>
      <c r="L9" s="8">
        <f>IFERROR(LARGE((AI9,AL9,AP9,BJ9,BM9,BQ9,CK9,CN9,CR9),2),0)</f>
        <v>0</v>
      </c>
      <c r="M9" s="8" t="str">
        <f t="shared" si="7"/>
        <v/>
      </c>
      <c r="N9" s="8">
        <f t="shared" si="8"/>
        <v>47.180000000000007</v>
      </c>
      <c r="O9" s="11" t="str">
        <f t="shared" si="9"/>
        <v>(Any)</v>
      </c>
      <c r="P9" s="8" t="str">
        <f t="shared" si="10"/>
        <v>2025 World Cup FRA (Oct 5)</v>
      </c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23"/>
      <c r="AG9" s="34" t="str">
        <f t="shared" si="11"/>
        <v/>
      </c>
      <c r="AH9" s="34" t="str">
        <f t="shared" si="12"/>
        <v/>
      </c>
      <c r="AI9" s="36" t="str">
        <f t="shared" si="13"/>
        <v/>
      </c>
      <c r="AJ9" s="36" t="str">
        <f t="shared" si="14"/>
        <v/>
      </c>
      <c r="AK9" s="36" t="str">
        <f t="shared" si="15"/>
        <v/>
      </c>
      <c r="AL9" s="36" t="str">
        <f t="shared" si="16"/>
        <v/>
      </c>
      <c r="AM9" s="36" t="str">
        <f t="shared" si="17"/>
        <v/>
      </c>
      <c r="AN9" s="36" t="str">
        <f t="shared" si="18"/>
        <v/>
      </c>
      <c r="AO9" s="36" t="str">
        <f t="shared" si="19"/>
        <v/>
      </c>
      <c r="AP9" s="36" t="str">
        <f t="shared" si="20"/>
        <v/>
      </c>
      <c r="AQ9" s="36" t="str">
        <f t="shared" si="21"/>
        <v/>
      </c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4"/>
      <c r="BH9" s="35" t="str">
        <f t="shared" si="22"/>
        <v/>
      </c>
      <c r="BI9" s="35" t="str">
        <f t="shared" si="23"/>
        <v/>
      </c>
      <c r="BJ9" s="11" t="str">
        <f t="shared" si="24"/>
        <v/>
      </c>
      <c r="BK9" s="11" t="str">
        <f t="shared" si="25"/>
        <v/>
      </c>
      <c r="BL9" s="11" t="str">
        <f t="shared" si="26"/>
        <v/>
      </c>
      <c r="BM9" s="11" t="str">
        <f t="shared" si="27"/>
        <v/>
      </c>
      <c r="BN9" s="11" t="str">
        <f t="shared" si="28"/>
        <v/>
      </c>
      <c r="BO9" s="11" t="str">
        <f t="shared" si="29"/>
        <v/>
      </c>
      <c r="BP9" s="11" t="str">
        <f t="shared" si="30"/>
        <v/>
      </c>
      <c r="BQ9" s="11" t="str">
        <f t="shared" si="31"/>
        <v/>
      </c>
      <c r="BR9" s="11" t="str">
        <f t="shared" si="32"/>
        <v/>
      </c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23"/>
      <c r="CI9" s="34" t="str">
        <f t="shared" si="33"/>
        <v/>
      </c>
      <c r="CJ9" s="34" t="str">
        <f t="shared" si="34"/>
        <v/>
      </c>
      <c r="CK9" s="36" t="str">
        <f t="shared" si="35"/>
        <v/>
      </c>
      <c r="CL9" s="36" t="str">
        <f t="shared" si="36"/>
        <v/>
      </c>
      <c r="CM9" s="36" t="str">
        <f t="shared" si="37"/>
        <v/>
      </c>
      <c r="CN9" s="36" t="str">
        <f t="shared" si="38"/>
        <v/>
      </c>
      <c r="CO9" s="36" t="str">
        <f t="shared" si="39"/>
        <v/>
      </c>
      <c r="CP9" s="36" t="str">
        <f t="shared" si="40"/>
        <v/>
      </c>
      <c r="CQ9" s="36" t="str">
        <f t="shared" si="41"/>
        <v/>
      </c>
      <c r="CR9" s="36" t="str">
        <f t="shared" si="42"/>
        <v/>
      </c>
      <c r="CS9" s="36" t="str">
        <f t="shared" si="43"/>
        <v/>
      </c>
      <c r="CT9" s="47">
        <f t="shared" si="44"/>
        <v>47.180000000000007</v>
      </c>
      <c r="CU9" s="15"/>
      <c r="CV9" s="15"/>
      <c r="CW9" s="15"/>
      <c r="CX9" s="15"/>
      <c r="CY9" s="15"/>
      <c r="CZ9" s="15"/>
      <c r="DA9" s="15"/>
      <c r="DB9" s="15"/>
      <c r="DC9" s="15"/>
      <c r="DD9" s="15"/>
      <c r="DE9" s="15"/>
      <c r="DF9" s="15"/>
      <c r="DG9" s="15"/>
      <c r="DH9" s="15"/>
      <c r="DI9" s="15"/>
      <c r="DJ9" s="15"/>
      <c r="DK9" s="15"/>
      <c r="DL9" s="15"/>
      <c r="DM9" s="15"/>
      <c r="DN9" s="15"/>
      <c r="DO9" s="36" t="str">
        <f t="shared" si="45"/>
        <v/>
      </c>
      <c r="DP9" s="36" t="str">
        <f t="shared" si="46"/>
        <v/>
      </c>
      <c r="DQ9" s="36" t="str">
        <f t="shared" si="47"/>
        <v/>
      </c>
      <c r="DR9" s="36" t="str">
        <f t="shared" si="48"/>
        <v/>
      </c>
      <c r="DS9" s="36" t="str">
        <f t="shared" si="49"/>
        <v/>
      </c>
      <c r="DT9" s="36" t="str">
        <f t="shared" si="50"/>
        <v/>
      </c>
      <c r="DU9" s="36" t="str">
        <f t="shared" si="51"/>
        <v/>
      </c>
      <c r="DV9" s="36" t="str">
        <f t="shared" si="52"/>
        <v/>
      </c>
      <c r="DW9" s="36" t="str">
        <f t="shared" si="53"/>
        <v/>
      </c>
      <c r="DX9" s="36" t="str">
        <f t="shared" si="54"/>
        <v/>
      </c>
      <c r="DY9" s="36" t="str">
        <f t="shared" si="55"/>
        <v/>
      </c>
      <c r="DZ9" s="36" t="str">
        <f t="shared" si="56"/>
        <v/>
      </c>
      <c r="EA9" s="36" t="str">
        <f t="shared" si="57"/>
        <v/>
      </c>
      <c r="EB9" s="36" t="str">
        <f t="shared" si="58"/>
        <v/>
      </c>
      <c r="EC9" s="16"/>
      <c r="ED9" s="16"/>
      <c r="EE9" s="16"/>
      <c r="EF9" s="16"/>
      <c r="EG9" s="16"/>
      <c r="EH9" s="16"/>
      <c r="EI9" s="16"/>
      <c r="EJ9" s="16"/>
      <c r="EK9" s="16"/>
      <c r="EL9" s="16"/>
      <c r="EM9" s="16"/>
      <c r="EN9" s="16"/>
      <c r="EO9" s="16"/>
      <c r="EP9" s="16"/>
      <c r="EQ9" s="16"/>
      <c r="ER9" s="16"/>
      <c r="ES9" s="16"/>
      <c r="ET9" s="16"/>
      <c r="EU9" s="16"/>
      <c r="EV9" s="16"/>
      <c r="EW9" s="11" t="str">
        <f t="shared" si="59"/>
        <v/>
      </c>
      <c r="EX9" s="11" t="str">
        <f t="shared" si="60"/>
        <v/>
      </c>
      <c r="EY9" s="11" t="str">
        <f t="shared" si="61"/>
        <v/>
      </c>
      <c r="EZ9" s="11" t="str">
        <f t="shared" si="62"/>
        <v/>
      </c>
      <c r="FA9" s="11" t="str">
        <f t="shared" si="63"/>
        <v/>
      </c>
      <c r="FB9" s="11" t="str">
        <f t="shared" si="64"/>
        <v/>
      </c>
      <c r="FC9" s="11" t="str">
        <f t="shared" si="65"/>
        <v/>
      </c>
      <c r="FD9" s="11" t="str">
        <f t="shared" si="66"/>
        <v/>
      </c>
      <c r="FE9" s="11" t="str">
        <f t="shared" si="67"/>
        <v/>
      </c>
      <c r="FF9" s="11" t="str">
        <f t="shared" si="68"/>
        <v/>
      </c>
      <c r="FG9" s="11" t="str">
        <f t="shared" si="69"/>
        <v/>
      </c>
      <c r="FH9" s="11" t="str">
        <f t="shared" si="70"/>
        <v/>
      </c>
      <c r="FI9" s="11" t="str">
        <f t="shared" si="71"/>
        <v/>
      </c>
      <c r="FJ9" s="11" t="str">
        <f t="shared" si="72"/>
        <v/>
      </c>
      <c r="FK9" s="15"/>
      <c r="FL9" s="15"/>
      <c r="FM9" s="15"/>
      <c r="FN9" s="15"/>
      <c r="FO9" s="15"/>
      <c r="FP9" s="15"/>
      <c r="FQ9" s="15"/>
      <c r="FR9" s="15"/>
      <c r="FS9" s="15"/>
      <c r="FT9" s="15"/>
      <c r="FU9" s="15"/>
      <c r="FV9" s="15"/>
      <c r="FW9" s="15"/>
      <c r="FX9" s="15"/>
      <c r="FY9" s="15"/>
      <c r="FZ9" s="15"/>
      <c r="GA9" s="15"/>
      <c r="GB9" s="15"/>
      <c r="GC9" s="15"/>
      <c r="GD9" s="15"/>
      <c r="GE9" s="36" t="str">
        <f t="shared" si="73"/>
        <v/>
      </c>
      <c r="GF9" s="36" t="str">
        <f t="shared" si="74"/>
        <v/>
      </c>
      <c r="GG9" s="36" t="str">
        <f t="shared" si="75"/>
        <v/>
      </c>
      <c r="GH9" s="36" t="str">
        <f t="shared" si="76"/>
        <v/>
      </c>
      <c r="GI9" s="36" t="str">
        <f t="shared" si="77"/>
        <v/>
      </c>
      <c r="GJ9" s="36" t="str">
        <f t="shared" si="78"/>
        <v/>
      </c>
      <c r="GK9" s="36" t="str">
        <f t="shared" si="79"/>
        <v/>
      </c>
      <c r="GL9" s="36" t="str">
        <f t="shared" si="80"/>
        <v/>
      </c>
      <c r="GM9" s="36" t="str">
        <f t="shared" si="81"/>
        <v/>
      </c>
      <c r="GN9" s="36" t="str">
        <f t="shared" si="82"/>
        <v/>
      </c>
      <c r="GO9" s="36" t="str">
        <f t="shared" si="83"/>
        <v/>
      </c>
      <c r="GP9" s="36" t="str">
        <f t="shared" si="84"/>
        <v/>
      </c>
      <c r="GQ9" s="36" t="str">
        <f t="shared" si="85"/>
        <v/>
      </c>
      <c r="GR9" s="36" t="str">
        <f t="shared" si="86"/>
        <v/>
      </c>
      <c r="GS9" s="16"/>
      <c r="GT9" s="16"/>
      <c r="GU9" s="16"/>
      <c r="GV9" s="16"/>
      <c r="GW9" s="16"/>
      <c r="GX9" s="16"/>
      <c r="GY9" s="16"/>
      <c r="GZ9" s="16"/>
      <c r="HA9" s="16"/>
      <c r="HB9" s="16"/>
      <c r="HC9" s="16"/>
      <c r="HD9" s="16"/>
      <c r="HE9" s="16"/>
      <c r="HF9" s="16"/>
      <c r="HG9" s="16"/>
      <c r="HH9" s="16"/>
      <c r="HI9" s="16"/>
      <c r="HJ9" s="16"/>
      <c r="HK9" s="16"/>
      <c r="HL9" s="16"/>
      <c r="HM9" s="11" t="str">
        <f t="shared" si="87"/>
        <v/>
      </c>
      <c r="HN9" s="11" t="str">
        <f t="shared" si="88"/>
        <v/>
      </c>
      <c r="HO9" s="11" t="str">
        <f t="shared" si="89"/>
        <v/>
      </c>
      <c r="HP9" s="11" t="str">
        <f t="shared" si="90"/>
        <v/>
      </c>
      <c r="HQ9" s="11" t="str">
        <f t="shared" si="91"/>
        <v/>
      </c>
      <c r="HR9" s="11" t="str">
        <f t="shared" si="92"/>
        <v/>
      </c>
      <c r="HS9" s="11" t="str">
        <f t="shared" si="93"/>
        <v/>
      </c>
      <c r="HT9" s="11" t="str">
        <f t="shared" si="94"/>
        <v/>
      </c>
      <c r="HU9" s="11" t="str">
        <f t="shared" si="95"/>
        <v/>
      </c>
      <c r="HV9" s="11" t="str">
        <f t="shared" si="96"/>
        <v/>
      </c>
      <c r="HW9" s="11" t="str">
        <f t="shared" si="97"/>
        <v/>
      </c>
      <c r="HX9" s="11" t="str">
        <f t="shared" si="98"/>
        <v/>
      </c>
      <c r="HY9" s="11" t="str">
        <f t="shared" si="99"/>
        <v/>
      </c>
      <c r="HZ9" s="11" t="str">
        <f t="shared" si="100"/>
        <v/>
      </c>
      <c r="IA9" s="15"/>
      <c r="IB9" s="15"/>
      <c r="IC9" s="15"/>
      <c r="ID9" s="15"/>
      <c r="IE9" s="15"/>
      <c r="IF9" s="15"/>
      <c r="IG9" s="15"/>
      <c r="IH9" s="15"/>
      <c r="II9" s="15"/>
      <c r="IJ9" s="15"/>
      <c r="IK9" s="15"/>
      <c r="IL9" s="15"/>
      <c r="IM9" s="15"/>
      <c r="IN9" s="15"/>
      <c r="IO9" s="15"/>
      <c r="IP9" s="15"/>
      <c r="IQ9" s="15"/>
      <c r="IR9" s="15"/>
      <c r="IS9" s="15"/>
      <c r="IT9" s="15"/>
      <c r="IU9" s="36" t="str">
        <f t="shared" si="101"/>
        <v/>
      </c>
      <c r="IV9" s="36" t="str">
        <f t="shared" si="102"/>
        <v/>
      </c>
      <c r="IW9" s="36" t="str">
        <f t="shared" si="103"/>
        <v/>
      </c>
      <c r="IX9" s="36" t="str">
        <f t="shared" si="104"/>
        <v/>
      </c>
      <c r="IY9" s="36" t="str">
        <f t="shared" si="105"/>
        <v/>
      </c>
      <c r="IZ9" s="36" t="str">
        <f t="shared" si="106"/>
        <v/>
      </c>
      <c r="JA9" s="36" t="str">
        <f t="shared" si="107"/>
        <v/>
      </c>
      <c r="JB9" s="36" t="str">
        <f t="shared" si="108"/>
        <v/>
      </c>
      <c r="JC9" s="36" t="str">
        <f t="shared" si="109"/>
        <v/>
      </c>
      <c r="JD9" s="36" t="str">
        <f t="shared" si="110"/>
        <v/>
      </c>
      <c r="JE9" s="36" t="str">
        <f t="shared" si="111"/>
        <v/>
      </c>
      <c r="JF9" s="36" t="str">
        <f t="shared" si="112"/>
        <v/>
      </c>
      <c r="JG9" s="36" t="str">
        <f t="shared" si="113"/>
        <v/>
      </c>
      <c r="JH9" s="36" t="str">
        <f t="shared" si="114"/>
        <v/>
      </c>
      <c r="JI9" s="16">
        <v>3.05</v>
      </c>
      <c r="JJ9" s="16">
        <v>3.5</v>
      </c>
      <c r="JK9" s="16">
        <v>4.8</v>
      </c>
      <c r="JL9" s="16">
        <v>6.36</v>
      </c>
      <c r="JM9" s="16">
        <v>0</v>
      </c>
      <c r="JN9" s="16">
        <v>5.9</v>
      </c>
      <c r="JO9" s="16">
        <v>7.7</v>
      </c>
      <c r="JP9" s="16">
        <v>9.8000000000000007</v>
      </c>
      <c r="JQ9" s="16">
        <v>12.64</v>
      </c>
      <c r="JR9" s="16">
        <v>0</v>
      </c>
      <c r="JS9" s="16"/>
      <c r="JT9" s="16"/>
      <c r="JU9" s="16"/>
      <c r="JV9" s="16"/>
      <c r="JW9" s="16"/>
      <c r="JX9" s="16"/>
      <c r="JY9" s="16"/>
      <c r="JZ9" s="16"/>
      <c r="KA9" s="16"/>
      <c r="KB9" s="16"/>
      <c r="KC9" s="11">
        <f t="shared" si="115"/>
        <v>4.8</v>
      </c>
      <c r="KD9" s="11">
        <f t="shared" si="116"/>
        <v>6.36</v>
      </c>
      <c r="KE9" s="11">
        <f t="shared" si="117"/>
        <v>17.71</v>
      </c>
      <c r="KF9" s="11">
        <f t="shared" si="118"/>
        <v>9.8000000000000007</v>
      </c>
      <c r="KG9" s="11">
        <f t="shared" si="119"/>
        <v>12.64</v>
      </c>
      <c r="KH9" s="11">
        <f t="shared" si="120"/>
        <v>36.040000000000006</v>
      </c>
      <c r="KI9" s="11">
        <f t="shared" si="121"/>
        <v>36.040000000000006</v>
      </c>
      <c r="KJ9" s="11" t="str">
        <f t="shared" si="122"/>
        <v/>
      </c>
      <c r="KK9" s="11" t="str">
        <f t="shared" si="123"/>
        <v/>
      </c>
      <c r="KL9" s="11" t="str">
        <f t="shared" si="124"/>
        <v/>
      </c>
      <c r="KM9" s="11" t="str">
        <f t="shared" si="125"/>
        <v/>
      </c>
      <c r="KN9" s="11" t="str">
        <f t="shared" si="126"/>
        <v/>
      </c>
      <c r="KO9" s="11" t="str">
        <f t="shared" si="127"/>
        <v/>
      </c>
      <c r="KP9" s="11">
        <f t="shared" si="128"/>
        <v>36.040000000000006</v>
      </c>
      <c r="KQ9" s="15">
        <v>7.15</v>
      </c>
      <c r="KR9" s="15">
        <v>9.4499999999999993</v>
      </c>
      <c r="KS9" s="15">
        <v>12.6</v>
      </c>
      <c r="KT9" s="15">
        <v>17.98</v>
      </c>
      <c r="KU9" s="15">
        <v>0</v>
      </c>
      <c r="KV9" s="15">
        <v>2.8</v>
      </c>
      <c r="KW9" s="15">
        <v>3.7</v>
      </c>
      <c r="KX9" s="15">
        <v>6.3</v>
      </c>
      <c r="KY9" s="15">
        <v>6.32</v>
      </c>
      <c r="KZ9" s="15">
        <v>0</v>
      </c>
      <c r="LA9" s="15"/>
      <c r="LB9" s="15"/>
      <c r="LC9" s="15"/>
      <c r="LD9" s="15"/>
      <c r="LE9" s="15"/>
      <c r="LF9" s="15"/>
      <c r="LG9" s="15"/>
      <c r="LH9" s="15"/>
      <c r="LI9" s="15"/>
      <c r="LJ9" s="15"/>
      <c r="LK9" s="36">
        <f t="shared" si="129"/>
        <v>12.6</v>
      </c>
      <c r="LL9" s="36">
        <f t="shared" si="130"/>
        <v>17.98</v>
      </c>
      <c r="LM9" s="36">
        <f t="shared" si="131"/>
        <v>47.180000000000007</v>
      </c>
      <c r="LN9" s="36">
        <f t="shared" si="132"/>
        <v>6.3</v>
      </c>
      <c r="LO9" s="36">
        <f t="shared" si="133"/>
        <v>6.32</v>
      </c>
      <c r="LP9" s="36">
        <f t="shared" si="134"/>
        <v>19.12</v>
      </c>
      <c r="LQ9" s="36">
        <f t="shared" si="135"/>
        <v>47.180000000000007</v>
      </c>
      <c r="LR9" s="36" t="str">
        <f t="shared" si="136"/>
        <v/>
      </c>
      <c r="LS9" s="36" t="str">
        <f t="shared" si="137"/>
        <v/>
      </c>
      <c r="LT9" s="36" t="str">
        <f t="shared" si="138"/>
        <v/>
      </c>
      <c r="LU9" s="36" t="str">
        <f t="shared" si="139"/>
        <v/>
      </c>
      <c r="LV9" s="36" t="str">
        <f t="shared" si="140"/>
        <v/>
      </c>
      <c r="LW9" s="36" t="str">
        <f t="shared" si="141"/>
        <v/>
      </c>
      <c r="LX9" s="36">
        <f t="shared" si="142"/>
        <v>47.180000000000007</v>
      </c>
      <c r="LY9" s="16"/>
      <c r="LZ9" s="16"/>
      <c r="MA9" s="16"/>
      <c r="MB9" s="16"/>
      <c r="MC9" s="16"/>
      <c r="MD9" s="16"/>
      <c r="ME9" s="16"/>
      <c r="MF9" s="16"/>
      <c r="MG9" s="16"/>
      <c r="MH9" s="16"/>
      <c r="MI9" s="16"/>
      <c r="MJ9" s="16"/>
      <c r="MK9" s="16"/>
      <c r="ML9" s="16"/>
      <c r="MM9" s="16"/>
      <c r="MN9" s="16"/>
      <c r="MO9" s="16"/>
      <c r="MP9" s="16"/>
      <c r="MQ9" s="16"/>
      <c r="MR9" s="16"/>
      <c r="MS9" s="11" t="str">
        <f t="shared" si="143"/>
        <v/>
      </c>
      <c r="MT9" s="11" t="str">
        <f t="shared" si="144"/>
        <v/>
      </c>
      <c r="MU9" s="11" t="str">
        <f t="shared" si="145"/>
        <v/>
      </c>
      <c r="MV9" s="11" t="str">
        <f t="shared" si="146"/>
        <v/>
      </c>
      <c r="MW9" s="11" t="str">
        <f t="shared" si="147"/>
        <v/>
      </c>
      <c r="MX9" s="11" t="str">
        <f t="shared" si="148"/>
        <v/>
      </c>
      <c r="MY9" s="11" t="str">
        <f t="shared" si="149"/>
        <v/>
      </c>
      <c r="MZ9" s="11" t="str">
        <f t="shared" si="150"/>
        <v/>
      </c>
      <c r="NA9" s="11" t="str">
        <f t="shared" si="151"/>
        <v/>
      </c>
      <c r="NB9" s="11" t="str">
        <f t="shared" si="152"/>
        <v/>
      </c>
      <c r="NC9" s="11" t="str">
        <f t="shared" si="153"/>
        <v/>
      </c>
      <c r="ND9" s="11" t="str">
        <f t="shared" si="154"/>
        <v/>
      </c>
      <c r="NE9" s="11" t="str">
        <f t="shared" si="155"/>
        <v/>
      </c>
      <c r="NF9" s="11" t="str">
        <f t="shared" si="156"/>
        <v/>
      </c>
      <c r="NG9" s="15"/>
      <c r="NH9" s="15"/>
      <c r="NI9" s="15"/>
      <c r="NJ9" s="15"/>
      <c r="NK9" s="15"/>
      <c r="NL9" s="15"/>
      <c r="NM9" s="15"/>
      <c r="NN9" s="15"/>
      <c r="NO9" s="15"/>
      <c r="NP9" s="15"/>
      <c r="NQ9" s="15"/>
      <c r="NR9" s="15"/>
      <c r="NS9" s="15"/>
      <c r="NT9" s="15"/>
      <c r="NU9" s="15"/>
      <c r="NV9" s="15"/>
      <c r="NW9" s="15"/>
      <c r="NX9" s="15"/>
      <c r="NY9" s="15"/>
      <c r="NZ9" s="15"/>
      <c r="OA9" s="36" t="str">
        <f t="shared" si="157"/>
        <v/>
      </c>
      <c r="OB9" s="36" t="str">
        <f t="shared" si="158"/>
        <v/>
      </c>
      <c r="OC9" s="36" t="str">
        <f t="shared" si="159"/>
        <v/>
      </c>
      <c r="OD9" s="36" t="str">
        <f t="shared" si="160"/>
        <v/>
      </c>
      <c r="OE9" s="36" t="str">
        <f t="shared" si="161"/>
        <v/>
      </c>
      <c r="OF9" s="36" t="str">
        <f t="shared" si="162"/>
        <v/>
      </c>
      <c r="OG9" s="36" t="str">
        <f t="shared" si="163"/>
        <v/>
      </c>
      <c r="OH9" s="36" t="str">
        <f t="shared" si="164"/>
        <v/>
      </c>
      <c r="OI9" s="36" t="str">
        <f t="shared" si="165"/>
        <v/>
      </c>
      <c r="OJ9" s="36" t="str">
        <f t="shared" si="166"/>
        <v/>
      </c>
      <c r="OK9" s="36" t="str">
        <f t="shared" si="167"/>
        <v/>
      </c>
      <c r="OL9" s="36" t="str">
        <f t="shared" si="168"/>
        <v/>
      </c>
      <c r="OM9" s="36" t="str">
        <f t="shared" si="169"/>
        <v/>
      </c>
      <c r="ON9" s="36" t="str">
        <f t="shared" si="170"/>
        <v/>
      </c>
      <c r="OO9" s="16"/>
      <c r="OP9" s="16"/>
      <c r="OQ9" s="16"/>
      <c r="OR9" s="16"/>
      <c r="OS9" s="16"/>
      <c r="OT9" s="16"/>
      <c r="OU9" s="16"/>
      <c r="OV9" s="16"/>
      <c r="OW9" s="16"/>
      <c r="OX9" s="16"/>
      <c r="OY9" s="16"/>
      <c r="OZ9" s="16"/>
      <c r="PA9" s="16"/>
      <c r="PB9" s="16"/>
      <c r="PC9" s="16"/>
      <c r="PD9" s="16"/>
      <c r="PE9" s="16"/>
      <c r="PF9" s="16"/>
      <c r="PG9" s="16"/>
      <c r="PH9" s="16"/>
      <c r="PI9" s="11" t="str">
        <f t="shared" si="171"/>
        <v/>
      </c>
      <c r="PJ9" s="11" t="str">
        <f t="shared" si="172"/>
        <v/>
      </c>
      <c r="PK9" s="11" t="str">
        <f t="shared" si="173"/>
        <v/>
      </c>
      <c r="PL9" s="11" t="str">
        <f t="shared" si="174"/>
        <v/>
      </c>
      <c r="PM9" s="11" t="str">
        <f t="shared" si="175"/>
        <v/>
      </c>
      <c r="PN9" s="11" t="str">
        <f t="shared" si="176"/>
        <v/>
      </c>
      <c r="PO9" s="11" t="str">
        <f t="shared" si="177"/>
        <v/>
      </c>
      <c r="PP9" s="11" t="str">
        <f t="shared" si="178"/>
        <v/>
      </c>
      <c r="PQ9" s="11" t="str">
        <f t="shared" si="179"/>
        <v/>
      </c>
      <c r="PR9" s="11" t="str">
        <f t="shared" si="180"/>
        <v/>
      </c>
      <c r="PS9" s="11" t="str">
        <f t="shared" si="181"/>
        <v/>
      </c>
      <c r="PT9" s="11" t="str">
        <f t="shared" si="182"/>
        <v/>
      </c>
      <c r="PU9" s="11" t="str">
        <f t="shared" si="183"/>
        <v/>
      </c>
      <c r="PV9" s="11" t="str">
        <f t="shared" si="184"/>
        <v/>
      </c>
      <c r="PW9" s="15"/>
      <c r="PX9" s="15"/>
      <c r="PY9" s="15"/>
      <c r="PZ9" s="15"/>
      <c r="QA9" s="15"/>
      <c r="QB9" s="15"/>
      <c r="QC9" s="15"/>
      <c r="QD9" s="15"/>
      <c r="QE9" s="15"/>
      <c r="QF9" s="15"/>
      <c r="QG9" s="15"/>
      <c r="QH9" s="15"/>
      <c r="QI9" s="15"/>
      <c r="QJ9" s="15"/>
      <c r="QK9" s="15"/>
      <c r="QL9" s="15"/>
      <c r="QM9" s="15"/>
      <c r="QN9" s="15"/>
      <c r="QO9" s="15"/>
      <c r="QP9" s="15"/>
      <c r="QQ9" s="36" t="str">
        <f t="shared" si="185"/>
        <v/>
      </c>
      <c r="QR9" s="36" t="str">
        <f t="shared" si="186"/>
        <v/>
      </c>
      <c r="QS9" s="36" t="str">
        <f t="shared" si="187"/>
        <v/>
      </c>
      <c r="QT9" s="36" t="str">
        <f t="shared" si="188"/>
        <v/>
      </c>
      <c r="QU9" s="36" t="str">
        <f t="shared" si="189"/>
        <v/>
      </c>
      <c r="QV9" s="36" t="str">
        <f t="shared" si="190"/>
        <v/>
      </c>
      <c r="QW9" s="36" t="str">
        <f t="shared" si="191"/>
        <v/>
      </c>
      <c r="QX9" s="36" t="str">
        <f t="shared" si="192"/>
        <v/>
      </c>
      <c r="QY9" s="36" t="str">
        <f t="shared" si="193"/>
        <v/>
      </c>
      <c r="QZ9" s="36" t="str">
        <f t="shared" si="194"/>
        <v/>
      </c>
      <c r="RA9" s="36" t="str">
        <f t="shared" si="195"/>
        <v/>
      </c>
      <c r="RB9" s="36" t="str">
        <f t="shared" si="196"/>
        <v/>
      </c>
      <c r="RC9" s="36" t="str">
        <f t="shared" si="197"/>
        <v/>
      </c>
      <c r="RD9" s="36" t="str">
        <f t="shared" si="198"/>
        <v/>
      </c>
      <c r="RE9" s="16"/>
      <c r="RF9" s="16"/>
      <c r="RG9" s="16"/>
      <c r="RH9" s="16"/>
      <c r="RI9" s="16"/>
      <c r="RJ9" s="16"/>
      <c r="RK9" s="16"/>
      <c r="RL9" s="16"/>
      <c r="RM9" s="16"/>
      <c r="RN9" s="16"/>
      <c r="RO9" s="16"/>
      <c r="RP9" s="16"/>
      <c r="RQ9" s="16"/>
      <c r="RR9" s="16"/>
      <c r="RS9" s="16"/>
      <c r="RT9" s="16"/>
      <c r="RU9" s="16"/>
      <c r="RV9" s="16"/>
      <c r="RW9" s="16"/>
      <c r="RX9" s="16"/>
      <c r="RY9" s="11" t="str">
        <f t="shared" si="199"/>
        <v/>
      </c>
      <c r="RZ9" s="11" t="str">
        <f t="shared" si="200"/>
        <v/>
      </c>
      <c r="SA9" s="11" t="str">
        <f t="shared" si="201"/>
        <v/>
      </c>
      <c r="SB9" s="11" t="str">
        <f t="shared" si="202"/>
        <v/>
      </c>
      <c r="SC9" s="11" t="str">
        <f t="shared" si="203"/>
        <v/>
      </c>
      <c r="SD9" s="11" t="str">
        <f t="shared" si="204"/>
        <v/>
      </c>
      <c r="SE9" s="11" t="str">
        <f t="shared" si="205"/>
        <v/>
      </c>
      <c r="SF9" s="11" t="str">
        <f t="shared" si="206"/>
        <v/>
      </c>
      <c r="SG9" s="11" t="str">
        <f t="shared" si="207"/>
        <v/>
      </c>
      <c r="SH9" s="11" t="str">
        <f t="shared" si="208"/>
        <v/>
      </c>
      <c r="SI9" s="11" t="str">
        <f t="shared" si="209"/>
        <v/>
      </c>
      <c r="SJ9" s="11" t="str">
        <f t="shared" si="210"/>
        <v/>
      </c>
      <c r="SK9" s="11" t="str">
        <f t="shared" si="211"/>
        <v/>
      </c>
      <c r="SL9" s="11" t="str">
        <f t="shared" si="212"/>
        <v/>
      </c>
      <c r="SM9" s="15"/>
      <c r="SN9" s="15"/>
      <c r="SO9" s="15"/>
      <c r="SP9" s="15"/>
      <c r="SQ9" s="15"/>
      <c r="SR9" s="15"/>
      <c r="SS9" s="15"/>
      <c r="ST9" s="15"/>
      <c r="SU9" s="15"/>
      <c r="SV9" s="15"/>
      <c r="SW9" s="15"/>
      <c r="SX9" s="15"/>
      <c r="SY9" s="15"/>
      <c r="SZ9" s="15"/>
      <c r="TA9" s="15"/>
      <c r="TB9" s="15"/>
      <c r="TC9" s="15"/>
      <c r="TD9" s="15"/>
      <c r="TE9" s="15"/>
      <c r="TF9" s="15"/>
      <c r="TG9" s="36" t="str">
        <f t="shared" si="213"/>
        <v/>
      </c>
      <c r="TH9" s="36" t="str">
        <f t="shared" si="214"/>
        <v/>
      </c>
      <c r="TI9" s="36" t="str">
        <f t="shared" si="215"/>
        <v/>
      </c>
      <c r="TJ9" s="36" t="str">
        <f t="shared" si="216"/>
        <v/>
      </c>
      <c r="TK9" s="36" t="str">
        <f t="shared" si="217"/>
        <v/>
      </c>
      <c r="TL9" s="36" t="str">
        <f t="shared" si="218"/>
        <v/>
      </c>
      <c r="TM9" s="36" t="str">
        <f t="shared" si="219"/>
        <v/>
      </c>
      <c r="TN9" s="36" t="str">
        <f t="shared" si="220"/>
        <v/>
      </c>
      <c r="TO9" s="36" t="str">
        <f t="shared" si="221"/>
        <v/>
      </c>
      <c r="TP9" s="36" t="str">
        <f t="shared" si="222"/>
        <v/>
      </c>
      <c r="TQ9" s="36" t="str">
        <f t="shared" si="223"/>
        <v/>
      </c>
      <c r="TR9" s="36" t="str">
        <f t="shared" si="224"/>
        <v/>
      </c>
      <c r="TS9" s="36" t="str">
        <f t="shared" si="225"/>
        <v/>
      </c>
      <c r="TT9" s="36" t="str">
        <f t="shared" si="226"/>
        <v/>
      </c>
      <c r="TU9" s="16"/>
      <c r="TV9" s="16"/>
      <c r="TW9" s="16"/>
      <c r="TX9" s="16"/>
      <c r="TY9" s="16"/>
      <c r="TZ9" s="16"/>
      <c r="UA9" s="16"/>
      <c r="UB9" s="16"/>
      <c r="UC9" s="16"/>
      <c r="UD9" s="16"/>
      <c r="UE9" s="16"/>
      <c r="UF9" s="16"/>
      <c r="UG9" s="16"/>
      <c r="UH9" s="16"/>
      <c r="UI9" s="16"/>
      <c r="UJ9" s="16"/>
      <c r="UK9" s="16"/>
      <c r="UL9" s="16"/>
      <c r="UM9" s="16"/>
      <c r="UN9" s="16"/>
      <c r="UO9" s="11" t="str">
        <f t="shared" si="227"/>
        <v/>
      </c>
      <c r="UP9" s="11" t="str">
        <f t="shared" si="228"/>
        <v/>
      </c>
      <c r="UQ9" s="11" t="str">
        <f t="shared" si="229"/>
        <v/>
      </c>
      <c r="UR9" s="11" t="str">
        <f t="shared" si="230"/>
        <v/>
      </c>
      <c r="US9" s="11" t="str">
        <f t="shared" si="231"/>
        <v/>
      </c>
      <c r="UT9" s="11" t="str">
        <f t="shared" si="232"/>
        <v/>
      </c>
      <c r="UU9" s="11" t="str">
        <f t="shared" si="233"/>
        <v/>
      </c>
      <c r="UV9" s="11" t="str">
        <f t="shared" si="234"/>
        <v/>
      </c>
      <c r="UW9" s="11" t="str">
        <f t="shared" si="235"/>
        <v/>
      </c>
      <c r="UX9" s="11" t="str">
        <f t="shared" si="236"/>
        <v/>
      </c>
      <c r="UY9" s="11" t="str">
        <f t="shared" si="237"/>
        <v/>
      </c>
      <c r="UZ9" s="11" t="str">
        <f t="shared" si="238"/>
        <v/>
      </c>
      <c r="VA9" s="11" t="str">
        <f t="shared" si="239"/>
        <v/>
      </c>
      <c r="VB9" s="11" t="str">
        <f t="shared" si="240"/>
        <v/>
      </c>
      <c r="VC9" s="15"/>
      <c r="VD9" s="15"/>
      <c r="VE9" s="15"/>
      <c r="VF9" s="15"/>
      <c r="VG9" s="15"/>
      <c r="VH9" s="15"/>
      <c r="VI9" s="15"/>
      <c r="VJ9" s="15"/>
      <c r="VK9" s="15"/>
      <c r="VL9" s="15"/>
      <c r="VM9" s="15"/>
      <c r="VN9" s="15"/>
      <c r="VO9" s="15"/>
      <c r="VP9" s="15"/>
      <c r="VQ9" s="15"/>
      <c r="VR9" s="15"/>
      <c r="VS9" s="15"/>
      <c r="VT9" s="15"/>
      <c r="VU9" s="15"/>
      <c r="VV9" s="15"/>
      <c r="VW9" s="36" t="str">
        <f t="shared" si="241"/>
        <v/>
      </c>
      <c r="VX9" s="36" t="str">
        <f t="shared" si="242"/>
        <v/>
      </c>
      <c r="VY9" s="36" t="str">
        <f t="shared" si="243"/>
        <v/>
      </c>
      <c r="VZ9" s="36" t="str">
        <f t="shared" si="244"/>
        <v/>
      </c>
      <c r="WA9" s="36" t="str">
        <f t="shared" si="245"/>
        <v/>
      </c>
      <c r="WB9" s="36" t="str">
        <f t="shared" si="246"/>
        <v/>
      </c>
      <c r="WC9" s="36" t="str">
        <f t="shared" si="247"/>
        <v/>
      </c>
      <c r="WD9" s="36" t="str">
        <f t="shared" si="248"/>
        <v/>
      </c>
      <c r="WE9" s="36" t="str">
        <f t="shared" si="249"/>
        <v/>
      </c>
      <c r="WF9" s="36" t="str">
        <f t="shared" si="250"/>
        <v/>
      </c>
      <c r="WG9" s="36" t="str">
        <f t="shared" si="251"/>
        <v/>
      </c>
      <c r="WH9" s="36" t="str">
        <f t="shared" si="252"/>
        <v/>
      </c>
      <c r="WI9" s="36" t="str">
        <f t="shared" si="253"/>
        <v/>
      </c>
      <c r="WJ9" s="36" t="str">
        <f t="shared" si="254"/>
        <v/>
      </c>
    </row>
    <row r="10" spans="1:608" x14ac:dyDescent="0.2">
      <c r="A10" s="4" cm="1">
        <f t="array" ref="A10">IF(AND(H10&lt;&gt;"",H10&lt;&gt;"No DD"),SUMPRODUCT((H$4:H$15&lt;&gt;"")*(H$4:H$15&lt;&gt;"No DD")*(E$4:E$15&gt;E10))+1,IF(H10="No DD",SUMPRODUCT((H$4:H$15="No DD")*(E$4:E$15&gt;E10))+1+SUMPRODUCT((H$4:H$15&lt;&gt;"")*(H$4:H$15&lt;&gt;"No DD")),""))</f>
        <v>7</v>
      </c>
      <c r="B10" s="5" t="s">
        <v>111</v>
      </c>
      <c r="C10" s="4" t="s">
        <v>78</v>
      </c>
      <c r="D10" s="4" t="s">
        <v>84</v>
      </c>
      <c r="E10" s="9">
        <f t="shared" si="0"/>
        <v>46.21</v>
      </c>
      <c r="F10" s="3" t="str">
        <f t="shared" si="1"/>
        <v>P</v>
      </c>
      <c r="G10" s="3" t="str">
        <f t="shared" si="2"/>
        <v>P</v>
      </c>
      <c r="H10" s="32" t="str">
        <f t="shared" si="3"/>
        <v>National Team</v>
      </c>
      <c r="I10" s="3" t="str">
        <f t="shared" si="4"/>
        <v/>
      </c>
      <c r="J10" s="8">
        <f t="shared" si="5"/>
        <v>0</v>
      </c>
      <c r="K10" s="8" t="str">
        <f t="shared" si="6"/>
        <v/>
      </c>
      <c r="L10" s="8">
        <f>IFERROR(LARGE((AI10,AL10,AP10,BJ10,BM10,BQ10,CK10,CN10,CR10),2),0)</f>
        <v>0</v>
      </c>
      <c r="M10" s="8" t="str">
        <f t="shared" si="7"/>
        <v/>
      </c>
      <c r="N10" s="8">
        <f t="shared" si="8"/>
        <v>46.21</v>
      </c>
      <c r="O10" s="11" t="str">
        <f t="shared" si="9"/>
        <v>(Any)</v>
      </c>
      <c r="P10" s="8" t="str">
        <f t="shared" si="10"/>
        <v>2025 World Cup ITA (April 6)</v>
      </c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23"/>
      <c r="AG10" s="34" t="str">
        <f t="shared" si="11"/>
        <v/>
      </c>
      <c r="AH10" s="34" t="str">
        <f t="shared" si="12"/>
        <v/>
      </c>
      <c r="AI10" s="36" t="str">
        <f t="shared" si="13"/>
        <v/>
      </c>
      <c r="AJ10" s="36" t="str">
        <f t="shared" si="14"/>
        <v/>
      </c>
      <c r="AK10" s="36" t="str">
        <f t="shared" si="15"/>
        <v/>
      </c>
      <c r="AL10" s="36" t="str">
        <f t="shared" si="16"/>
        <v/>
      </c>
      <c r="AM10" s="36" t="str">
        <f t="shared" si="17"/>
        <v/>
      </c>
      <c r="AN10" s="36" t="str">
        <f t="shared" si="18"/>
        <v/>
      </c>
      <c r="AO10" s="36" t="str">
        <f t="shared" si="19"/>
        <v/>
      </c>
      <c r="AP10" s="36" t="str">
        <f t="shared" si="20"/>
        <v/>
      </c>
      <c r="AQ10" s="36" t="str">
        <f t="shared" si="21"/>
        <v/>
      </c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2"/>
      <c r="BG10" s="24"/>
      <c r="BH10" s="35" t="str">
        <f t="shared" si="22"/>
        <v/>
      </c>
      <c r="BI10" s="35" t="str">
        <f t="shared" si="23"/>
        <v/>
      </c>
      <c r="BJ10" s="11" t="str">
        <f t="shared" si="24"/>
        <v/>
      </c>
      <c r="BK10" s="11" t="str">
        <f t="shared" si="25"/>
        <v/>
      </c>
      <c r="BL10" s="11" t="str">
        <f t="shared" si="26"/>
        <v/>
      </c>
      <c r="BM10" s="11" t="str">
        <f t="shared" si="27"/>
        <v/>
      </c>
      <c r="BN10" s="11" t="str">
        <f t="shared" si="28"/>
        <v/>
      </c>
      <c r="BO10" s="11" t="str">
        <f t="shared" si="29"/>
        <v/>
      </c>
      <c r="BP10" s="11" t="str">
        <f t="shared" si="30"/>
        <v/>
      </c>
      <c r="BQ10" s="11" t="str">
        <f t="shared" si="31"/>
        <v/>
      </c>
      <c r="BR10" s="11" t="str">
        <f t="shared" si="32"/>
        <v/>
      </c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23"/>
      <c r="CI10" s="34" t="str">
        <f t="shared" si="33"/>
        <v/>
      </c>
      <c r="CJ10" s="34" t="str">
        <f t="shared" si="34"/>
        <v/>
      </c>
      <c r="CK10" s="36" t="str">
        <f t="shared" si="35"/>
        <v/>
      </c>
      <c r="CL10" s="36" t="str">
        <f t="shared" si="36"/>
        <v/>
      </c>
      <c r="CM10" s="36" t="str">
        <f t="shared" si="37"/>
        <v/>
      </c>
      <c r="CN10" s="36" t="str">
        <f t="shared" si="38"/>
        <v/>
      </c>
      <c r="CO10" s="36" t="str">
        <f t="shared" si="39"/>
        <v/>
      </c>
      <c r="CP10" s="36" t="str">
        <f t="shared" si="40"/>
        <v/>
      </c>
      <c r="CQ10" s="36" t="str">
        <f t="shared" si="41"/>
        <v/>
      </c>
      <c r="CR10" s="36" t="str">
        <f t="shared" si="42"/>
        <v/>
      </c>
      <c r="CS10" s="36" t="str">
        <f t="shared" si="43"/>
        <v/>
      </c>
      <c r="CT10" s="47">
        <f t="shared" si="44"/>
        <v>46.21</v>
      </c>
      <c r="CU10" s="15">
        <v>7.45</v>
      </c>
      <c r="CV10" s="15">
        <v>9.1</v>
      </c>
      <c r="CW10" s="15">
        <v>11.8</v>
      </c>
      <c r="CX10" s="15">
        <v>17.86</v>
      </c>
      <c r="CY10" s="15">
        <v>0</v>
      </c>
      <c r="CZ10" s="15">
        <v>0.7</v>
      </c>
      <c r="DA10" s="15">
        <v>1</v>
      </c>
      <c r="DB10" s="15">
        <v>1.5</v>
      </c>
      <c r="DC10" s="15">
        <v>1.7</v>
      </c>
      <c r="DD10" s="15">
        <v>0</v>
      </c>
      <c r="DE10" s="15"/>
      <c r="DF10" s="15"/>
      <c r="DG10" s="15"/>
      <c r="DH10" s="15"/>
      <c r="DI10" s="15"/>
      <c r="DJ10" s="15"/>
      <c r="DK10" s="15"/>
      <c r="DL10" s="15"/>
      <c r="DM10" s="15"/>
      <c r="DN10" s="15"/>
      <c r="DO10" s="36">
        <f t="shared" si="45"/>
        <v>11.8</v>
      </c>
      <c r="DP10" s="36">
        <f t="shared" si="46"/>
        <v>17.86</v>
      </c>
      <c r="DQ10" s="36">
        <f t="shared" si="47"/>
        <v>46.21</v>
      </c>
      <c r="DR10" s="36">
        <f t="shared" si="48"/>
        <v>1.5</v>
      </c>
      <c r="DS10" s="36">
        <f t="shared" si="49"/>
        <v>1.7</v>
      </c>
      <c r="DT10" s="36">
        <f t="shared" si="50"/>
        <v>4.9000000000000004</v>
      </c>
      <c r="DU10" s="36">
        <f t="shared" si="51"/>
        <v>46.21</v>
      </c>
      <c r="DV10" s="36" t="str">
        <f t="shared" si="52"/>
        <v/>
      </c>
      <c r="DW10" s="36" t="str">
        <f t="shared" si="53"/>
        <v/>
      </c>
      <c r="DX10" s="36" t="str">
        <f t="shared" si="54"/>
        <v/>
      </c>
      <c r="DY10" s="36" t="str">
        <f t="shared" si="55"/>
        <v/>
      </c>
      <c r="DZ10" s="36" t="str">
        <f t="shared" si="56"/>
        <v/>
      </c>
      <c r="EA10" s="36" t="str">
        <f t="shared" si="57"/>
        <v/>
      </c>
      <c r="EB10" s="36">
        <f t="shared" si="58"/>
        <v>46.21</v>
      </c>
      <c r="EC10" s="16"/>
      <c r="ED10" s="16"/>
      <c r="EE10" s="16"/>
      <c r="EF10" s="16"/>
      <c r="EG10" s="16"/>
      <c r="EH10" s="16"/>
      <c r="EI10" s="16"/>
      <c r="EJ10" s="16"/>
      <c r="EK10" s="16"/>
      <c r="EL10" s="16"/>
      <c r="EM10" s="16"/>
      <c r="EN10" s="16"/>
      <c r="EO10" s="16"/>
      <c r="EP10" s="16"/>
      <c r="EQ10" s="16"/>
      <c r="ER10" s="16"/>
      <c r="ES10" s="16"/>
      <c r="ET10" s="16"/>
      <c r="EU10" s="16"/>
      <c r="EV10" s="16"/>
      <c r="EW10" s="11" t="str">
        <f t="shared" si="59"/>
        <v/>
      </c>
      <c r="EX10" s="11" t="str">
        <f t="shared" si="60"/>
        <v/>
      </c>
      <c r="EY10" s="11" t="str">
        <f t="shared" si="61"/>
        <v/>
      </c>
      <c r="EZ10" s="11" t="str">
        <f t="shared" si="62"/>
        <v/>
      </c>
      <c r="FA10" s="11" t="str">
        <f t="shared" si="63"/>
        <v/>
      </c>
      <c r="FB10" s="11" t="str">
        <f t="shared" si="64"/>
        <v/>
      </c>
      <c r="FC10" s="11" t="str">
        <f t="shared" si="65"/>
        <v/>
      </c>
      <c r="FD10" s="11" t="str">
        <f t="shared" si="66"/>
        <v/>
      </c>
      <c r="FE10" s="11" t="str">
        <f t="shared" si="67"/>
        <v/>
      </c>
      <c r="FF10" s="11" t="str">
        <f t="shared" si="68"/>
        <v/>
      </c>
      <c r="FG10" s="11" t="str">
        <f t="shared" si="69"/>
        <v/>
      </c>
      <c r="FH10" s="11" t="str">
        <f t="shared" si="70"/>
        <v/>
      </c>
      <c r="FI10" s="11" t="str">
        <f t="shared" si="71"/>
        <v/>
      </c>
      <c r="FJ10" s="11" t="str">
        <f t="shared" si="72"/>
        <v/>
      </c>
      <c r="FK10" s="15"/>
      <c r="FL10" s="15"/>
      <c r="FM10" s="15"/>
      <c r="FN10" s="15"/>
      <c r="FO10" s="15"/>
      <c r="FP10" s="15"/>
      <c r="FQ10" s="15"/>
      <c r="FR10" s="15"/>
      <c r="FS10" s="15"/>
      <c r="FT10" s="15"/>
      <c r="FU10" s="15"/>
      <c r="FV10" s="15"/>
      <c r="FW10" s="15"/>
      <c r="FX10" s="15"/>
      <c r="FY10" s="15"/>
      <c r="FZ10" s="15"/>
      <c r="GA10" s="15"/>
      <c r="GB10" s="15"/>
      <c r="GC10" s="15"/>
      <c r="GD10" s="15"/>
      <c r="GE10" s="36" t="str">
        <f t="shared" si="73"/>
        <v/>
      </c>
      <c r="GF10" s="36" t="str">
        <f t="shared" si="74"/>
        <v/>
      </c>
      <c r="GG10" s="36" t="str">
        <f t="shared" si="75"/>
        <v/>
      </c>
      <c r="GH10" s="36" t="str">
        <f t="shared" si="76"/>
        <v/>
      </c>
      <c r="GI10" s="36" t="str">
        <f t="shared" si="77"/>
        <v/>
      </c>
      <c r="GJ10" s="36" t="str">
        <f t="shared" si="78"/>
        <v/>
      </c>
      <c r="GK10" s="36" t="str">
        <f t="shared" si="79"/>
        <v/>
      </c>
      <c r="GL10" s="36" t="str">
        <f t="shared" si="80"/>
        <v/>
      </c>
      <c r="GM10" s="36" t="str">
        <f t="shared" si="81"/>
        <v/>
      </c>
      <c r="GN10" s="36" t="str">
        <f t="shared" si="82"/>
        <v/>
      </c>
      <c r="GO10" s="36" t="str">
        <f t="shared" si="83"/>
        <v/>
      </c>
      <c r="GP10" s="36" t="str">
        <f t="shared" si="84"/>
        <v/>
      </c>
      <c r="GQ10" s="36" t="str">
        <f t="shared" si="85"/>
        <v/>
      </c>
      <c r="GR10" s="36" t="str">
        <f t="shared" si="86"/>
        <v/>
      </c>
      <c r="GS10" s="16"/>
      <c r="GT10" s="16"/>
      <c r="GU10" s="16"/>
      <c r="GV10" s="16"/>
      <c r="GW10" s="16"/>
      <c r="GX10" s="16"/>
      <c r="GY10" s="16"/>
      <c r="GZ10" s="16"/>
      <c r="HA10" s="16"/>
      <c r="HB10" s="16"/>
      <c r="HC10" s="16"/>
      <c r="HD10" s="16"/>
      <c r="HE10" s="16"/>
      <c r="HF10" s="16"/>
      <c r="HG10" s="16"/>
      <c r="HH10" s="16"/>
      <c r="HI10" s="16"/>
      <c r="HJ10" s="16"/>
      <c r="HK10" s="16"/>
      <c r="HL10" s="16"/>
      <c r="HM10" s="11" t="str">
        <f t="shared" si="87"/>
        <v/>
      </c>
      <c r="HN10" s="11" t="str">
        <f t="shared" si="88"/>
        <v/>
      </c>
      <c r="HO10" s="11" t="str">
        <f t="shared" si="89"/>
        <v/>
      </c>
      <c r="HP10" s="11" t="str">
        <f t="shared" si="90"/>
        <v/>
      </c>
      <c r="HQ10" s="11" t="str">
        <f t="shared" si="91"/>
        <v/>
      </c>
      <c r="HR10" s="11" t="str">
        <f t="shared" si="92"/>
        <v/>
      </c>
      <c r="HS10" s="11" t="str">
        <f t="shared" si="93"/>
        <v/>
      </c>
      <c r="HT10" s="11" t="str">
        <f t="shared" si="94"/>
        <v/>
      </c>
      <c r="HU10" s="11" t="str">
        <f t="shared" si="95"/>
        <v/>
      </c>
      <c r="HV10" s="11" t="str">
        <f t="shared" si="96"/>
        <v/>
      </c>
      <c r="HW10" s="11" t="str">
        <f t="shared" si="97"/>
        <v/>
      </c>
      <c r="HX10" s="11" t="str">
        <f t="shared" si="98"/>
        <v/>
      </c>
      <c r="HY10" s="11" t="str">
        <f t="shared" si="99"/>
        <v/>
      </c>
      <c r="HZ10" s="11" t="str">
        <f t="shared" si="100"/>
        <v/>
      </c>
      <c r="IA10" s="15"/>
      <c r="IB10" s="15"/>
      <c r="IC10" s="15"/>
      <c r="ID10" s="15"/>
      <c r="IE10" s="15"/>
      <c r="IF10" s="15"/>
      <c r="IG10" s="15"/>
      <c r="IH10" s="15"/>
      <c r="II10" s="15"/>
      <c r="IJ10" s="15"/>
      <c r="IK10" s="15"/>
      <c r="IL10" s="15"/>
      <c r="IM10" s="15"/>
      <c r="IN10" s="15"/>
      <c r="IO10" s="15"/>
      <c r="IP10" s="15"/>
      <c r="IQ10" s="15"/>
      <c r="IR10" s="15"/>
      <c r="IS10" s="15"/>
      <c r="IT10" s="15"/>
      <c r="IU10" s="36" t="str">
        <f t="shared" si="101"/>
        <v/>
      </c>
      <c r="IV10" s="36" t="str">
        <f t="shared" si="102"/>
        <v/>
      </c>
      <c r="IW10" s="36" t="str">
        <f t="shared" si="103"/>
        <v/>
      </c>
      <c r="IX10" s="36" t="str">
        <f t="shared" si="104"/>
        <v/>
      </c>
      <c r="IY10" s="36" t="str">
        <f t="shared" si="105"/>
        <v/>
      </c>
      <c r="IZ10" s="36" t="str">
        <f t="shared" si="106"/>
        <v/>
      </c>
      <c r="JA10" s="36" t="str">
        <f t="shared" si="107"/>
        <v/>
      </c>
      <c r="JB10" s="36" t="str">
        <f t="shared" si="108"/>
        <v/>
      </c>
      <c r="JC10" s="36" t="str">
        <f t="shared" si="109"/>
        <v/>
      </c>
      <c r="JD10" s="36" t="str">
        <f t="shared" si="110"/>
        <v/>
      </c>
      <c r="JE10" s="36" t="str">
        <f t="shared" si="111"/>
        <v/>
      </c>
      <c r="JF10" s="36" t="str">
        <f t="shared" si="112"/>
        <v/>
      </c>
      <c r="JG10" s="36" t="str">
        <f t="shared" si="113"/>
        <v/>
      </c>
      <c r="JH10" s="36" t="str">
        <f t="shared" si="114"/>
        <v/>
      </c>
      <c r="JI10" s="16"/>
      <c r="JJ10" s="16"/>
      <c r="JK10" s="16"/>
      <c r="JL10" s="16"/>
      <c r="JM10" s="16"/>
      <c r="JN10" s="16"/>
      <c r="JO10" s="16"/>
      <c r="JP10" s="16"/>
      <c r="JQ10" s="16"/>
      <c r="JR10" s="16"/>
      <c r="JS10" s="16"/>
      <c r="JT10" s="16"/>
      <c r="JU10" s="16"/>
      <c r="JV10" s="16"/>
      <c r="JW10" s="16"/>
      <c r="JX10" s="16"/>
      <c r="JY10" s="16"/>
      <c r="JZ10" s="16"/>
      <c r="KA10" s="16"/>
      <c r="KB10" s="16"/>
      <c r="KC10" s="11" t="str">
        <f t="shared" si="115"/>
        <v/>
      </c>
      <c r="KD10" s="11" t="str">
        <f t="shared" si="116"/>
        <v/>
      </c>
      <c r="KE10" s="11" t="str">
        <f t="shared" si="117"/>
        <v/>
      </c>
      <c r="KF10" s="11" t="str">
        <f t="shared" si="118"/>
        <v/>
      </c>
      <c r="KG10" s="11" t="str">
        <f t="shared" si="119"/>
        <v/>
      </c>
      <c r="KH10" s="11" t="str">
        <f t="shared" si="120"/>
        <v/>
      </c>
      <c r="KI10" s="11" t="str">
        <f t="shared" si="121"/>
        <v/>
      </c>
      <c r="KJ10" s="11" t="str">
        <f t="shared" si="122"/>
        <v/>
      </c>
      <c r="KK10" s="11" t="str">
        <f t="shared" si="123"/>
        <v/>
      </c>
      <c r="KL10" s="11" t="str">
        <f t="shared" si="124"/>
        <v/>
      </c>
      <c r="KM10" s="11" t="str">
        <f t="shared" si="125"/>
        <v/>
      </c>
      <c r="KN10" s="11" t="str">
        <f t="shared" si="126"/>
        <v/>
      </c>
      <c r="KO10" s="11" t="str">
        <f t="shared" si="127"/>
        <v/>
      </c>
      <c r="KP10" s="11" t="str">
        <f t="shared" si="128"/>
        <v/>
      </c>
      <c r="KQ10" s="15"/>
      <c r="KR10" s="15"/>
      <c r="KS10" s="15"/>
      <c r="KT10" s="15"/>
      <c r="KU10" s="15"/>
      <c r="KV10" s="15"/>
      <c r="KW10" s="15"/>
      <c r="KX10" s="15"/>
      <c r="KY10" s="15"/>
      <c r="KZ10" s="15"/>
      <c r="LA10" s="15"/>
      <c r="LB10" s="15"/>
      <c r="LC10" s="15"/>
      <c r="LD10" s="15"/>
      <c r="LE10" s="15"/>
      <c r="LF10" s="15"/>
      <c r="LG10" s="15"/>
      <c r="LH10" s="15"/>
      <c r="LI10" s="15"/>
      <c r="LJ10" s="15"/>
      <c r="LK10" s="36" t="str">
        <f t="shared" si="129"/>
        <v/>
      </c>
      <c r="LL10" s="36" t="str">
        <f t="shared" si="130"/>
        <v/>
      </c>
      <c r="LM10" s="36" t="str">
        <f t="shared" si="131"/>
        <v/>
      </c>
      <c r="LN10" s="36" t="str">
        <f t="shared" si="132"/>
        <v/>
      </c>
      <c r="LO10" s="36" t="str">
        <f t="shared" si="133"/>
        <v/>
      </c>
      <c r="LP10" s="36" t="str">
        <f t="shared" si="134"/>
        <v/>
      </c>
      <c r="LQ10" s="36" t="str">
        <f t="shared" si="135"/>
        <v/>
      </c>
      <c r="LR10" s="36" t="str">
        <f t="shared" si="136"/>
        <v/>
      </c>
      <c r="LS10" s="36" t="str">
        <f t="shared" si="137"/>
        <v/>
      </c>
      <c r="LT10" s="36" t="str">
        <f t="shared" si="138"/>
        <v/>
      </c>
      <c r="LU10" s="36" t="str">
        <f t="shared" si="139"/>
        <v/>
      </c>
      <c r="LV10" s="36" t="str">
        <f t="shared" si="140"/>
        <v/>
      </c>
      <c r="LW10" s="36" t="str">
        <f t="shared" si="141"/>
        <v/>
      </c>
      <c r="LX10" s="36" t="str">
        <f t="shared" si="142"/>
        <v/>
      </c>
      <c r="LY10" s="16"/>
      <c r="LZ10" s="16"/>
      <c r="MA10" s="16"/>
      <c r="MB10" s="16"/>
      <c r="MC10" s="16"/>
      <c r="MD10" s="16"/>
      <c r="ME10" s="16"/>
      <c r="MF10" s="16"/>
      <c r="MG10" s="16"/>
      <c r="MH10" s="16"/>
      <c r="MI10" s="16"/>
      <c r="MJ10" s="16"/>
      <c r="MK10" s="16"/>
      <c r="ML10" s="16"/>
      <c r="MM10" s="16"/>
      <c r="MN10" s="16"/>
      <c r="MO10" s="16"/>
      <c r="MP10" s="16"/>
      <c r="MQ10" s="16"/>
      <c r="MR10" s="16"/>
      <c r="MS10" s="11" t="str">
        <f t="shared" si="143"/>
        <v/>
      </c>
      <c r="MT10" s="11" t="str">
        <f t="shared" si="144"/>
        <v/>
      </c>
      <c r="MU10" s="11" t="str">
        <f t="shared" si="145"/>
        <v/>
      </c>
      <c r="MV10" s="11" t="str">
        <f t="shared" si="146"/>
        <v/>
      </c>
      <c r="MW10" s="11" t="str">
        <f t="shared" si="147"/>
        <v/>
      </c>
      <c r="MX10" s="11" t="str">
        <f t="shared" si="148"/>
        <v/>
      </c>
      <c r="MY10" s="11" t="str">
        <f t="shared" si="149"/>
        <v/>
      </c>
      <c r="MZ10" s="11" t="str">
        <f t="shared" si="150"/>
        <v/>
      </c>
      <c r="NA10" s="11" t="str">
        <f t="shared" si="151"/>
        <v/>
      </c>
      <c r="NB10" s="11" t="str">
        <f t="shared" si="152"/>
        <v/>
      </c>
      <c r="NC10" s="11" t="str">
        <f t="shared" si="153"/>
        <v/>
      </c>
      <c r="ND10" s="11" t="str">
        <f t="shared" si="154"/>
        <v/>
      </c>
      <c r="NE10" s="11" t="str">
        <f t="shared" si="155"/>
        <v/>
      </c>
      <c r="NF10" s="11" t="str">
        <f t="shared" si="156"/>
        <v/>
      </c>
      <c r="NG10" s="15"/>
      <c r="NH10" s="15"/>
      <c r="NI10" s="15"/>
      <c r="NJ10" s="15"/>
      <c r="NK10" s="15"/>
      <c r="NL10" s="15"/>
      <c r="NM10" s="15"/>
      <c r="NN10" s="15"/>
      <c r="NO10" s="15"/>
      <c r="NP10" s="15"/>
      <c r="NQ10" s="15"/>
      <c r="NR10" s="15"/>
      <c r="NS10" s="15"/>
      <c r="NT10" s="15"/>
      <c r="NU10" s="15"/>
      <c r="NV10" s="15"/>
      <c r="NW10" s="15"/>
      <c r="NX10" s="15"/>
      <c r="NY10" s="15"/>
      <c r="NZ10" s="15"/>
      <c r="OA10" s="36" t="str">
        <f t="shared" si="157"/>
        <v/>
      </c>
      <c r="OB10" s="36" t="str">
        <f t="shared" si="158"/>
        <v/>
      </c>
      <c r="OC10" s="36" t="str">
        <f t="shared" si="159"/>
        <v/>
      </c>
      <c r="OD10" s="36" t="str">
        <f t="shared" si="160"/>
        <v/>
      </c>
      <c r="OE10" s="36" t="str">
        <f t="shared" si="161"/>
        <v/>
      </c>
      <c r="OF10" s="36" t="str">
        <f t="shared" si="162"/>
        <v/>
      </c>
      <c r="OG10" s="36" t="str">
        <f t="shared" si="163"/>
        <v/>
      </c>
      <c r="OH10" s="36" t="str">
        <f t="shared" si="164"/>
        <v/>
      </c>
      <c r="OI10" s="36" t="str">
        <f t="shared" si="165"/>
        <v/>
      </c>
      <c r="OJ10" s="36" t="str">
        <f t="shared" si="166"/>
        <v/>
      </c>
      <c r="OK10" s="36" t="str">
        <f t="shared" si="167"/>
        <v/>
      </c>
      <c r="OL10" s="36" t="str">
        <f t="shared" si="168"/>
        <v/>
      </c>
      <c r="OM10" s="36" t="str">
        <f t="shared" si="169"/>
        <v/>
      </c>
      <c r="ON10" s="36" t="str">
        <f t="shared" si="170"/>
        <v/>
      </c>
      <c r="OO10" s="16"/>
      <c r="OP10" s="16"/>
      <c r="OQ10" s="16"/>
      <c r="OR10" s="16"/>
      <c r="OS10" s="16"/>
      <c r="OT10" s="16"/>
      <c r="OU10" s="16"/>
      <c r="OV10" s="16"/>
      <c r="OW10" s="16"/>
      <c r="OX10" s="16"/>
      <c r="OY10" s="16"/>
      <c r="OZ10" s="16"/>
      <c r="PA10" s="16"/>
      <c r="PB10" s="16"/>
      <c r="PC10" s="16"/>
      <c r="PD10" s="16"/>
      <c r="PE10" s="16"/>
      <c r="PF10" s="16"/>
      <c r="PG10" s="16"/>
      <c r="PH10" s="16"/>
      <c r="PI10" s="11" t="str">
        <f t="shared" si="171"/>
        <v/>
      </c>
      <c r="PJ10" s="11" t="str">
        <f t="shared" si="172"/>
        <v/>
      </c>
      <c r="PK10" s="11" t="str">
        <f t="shared" si="173"/>
        <v/>
      </c>
      <c r="PL10" s="11" t="str">
        <f t="shared" si="174"/>
        <v/>
      </c>
      <c r="PM10" s="11" t="str">
        <f t="shared" si="175"/>
        <v/>
      </c>
      <c r="PN10" s="11" t="str">
        <f t="shared" si="176"/>
        <v/>
      </c>
      <c r="PO10" s="11" t="str">
        <f t="shared" si="177"/>
        <v/>
      </c>
      <c r="PP10" s="11" t="str">
        <f t="shared" si="178"/>
        <v/>
      </c>
      <c r="PQ10" s="11" t="str">
        <f t="shared" si="179"/>
        <v/>
      </c>
      <c r="PR10" s="11" t="str">
        <f t="shared" si="180"/>
        <v/>
      </c>
      <c r="PS10" s="11" t="str">
        <f t="shared" si="181"/>
        <v/>
      </c>
      <c r="PT10" s="11" t="str">
        <f t="shared" si="182"/>
        <v/>
      </c>
      <c r="PU10" s="11" t="str">
        <f t="shared" si="183"/>
        <v/>
      </c>
      <c r="PV10" s="11" t="str">
        <f t="shared" si="184"/>
        <v/>
      </c>
      <c r="PW10" s="15"/>
      <c r="PX10" s="15"/>
      <c r="PY10" s="15"/>
      <c r="PZ10" s="15"/>
      <c r="QA10" s="15"/>
      <c r="QB10" s="15"/>
      <c r="QC10" s="15"/>
      <c r="QD10" s="15"/>
      <c r="QE10" s="15"/>
      <c r="QF10" s="15"/>
      <c r="QG10" s="15"/>
      <c r="QH10" s="15"/>
      <c r="QI10" s="15"/>
      <c r="QJ10" s="15"/>
      <c r="QK10" s="15"/>
      <c r="QL10" s="15"/>
      <c r="QM10" s="15"/>
      <c r="QN10" s="15"/>
      <c r="QO10" s="15"/>
      <c r="QP10" s="15"/>
      <c r="QQ10" s="36" t="str">
        <f t="shared" si="185"/>
        <v/>
      </c>
      <c r="QR10" s="36" t="str">
        <f t="shared" si="186"/>
        <v/>
      </c>
      <c r="QS10" s="36" t="str">
        <f t="shared" si="187"/>
        <v/>
      </c>
      <c r="QT10" s="36" t="str">
        <f t="shared" si="188"/>
        <v/>
      </c>
      <c r="QU10" s="36" t="str">
        <f t="shared" si="189"/>
        <v/>
      </c>
      <c r="QV10" s="36" t="str">
        <f t="shared" si="190"/>
        <v/>
      </c>
      <c r="QW10" s="36" t="str">
        <f t="shared" si="191"/>
        <v/>
      </c>
      <c r="QX10" s="36" t="str">
        <f t="shared" si="192"/>
        <v/>
      </c>
      <c r="QY10" s="36" t="str">
        <f t="shared" si="193"/>
        <v/>
      </c>
      <c r="QZ10" s="36" t="str">
        <f t="shared" si="194"/>
        <v/>
      </c>
      <c r="RA10" s="36" t="str">
        <f t="shared" si="195"/>
        <v/>
      </c>
      <c r="RB10" s="36" t="str">
        <f t="shared" si="196"/>
        <v/>
      </c>
      <c r="RC10" s="36" t="str">
        <f t="shared" si="197"/>
        <v/>
      </c>
      <c r="RD10" s="36" t="str">
        <f t="shared" si="198"/>
        <v/>
      </c>
      <c r="RE10" s="16"/>
      <c r="RF10" s="16"/>
      <c r="RG10" s="16"/>
      <c r="RH10" s="16"/>
      <c r="RI10" s="16"/>
      <c r="RJ10" s="16"/>
      <c r="RK10" s="16"/>
      <c r="RL10" s="16"/>
      <c r="RM10" s="16"/>
      <c r="RN10" s="16"/>
      <c r="RO10" s="16"/>
      <c r="RP10" s="16"/>
      <c r="RQ10" s="16"/>
      <c r="RR10" s="16"/>
      <c r="RS10" s="16"/>
      <c r="RT10" s="16"/>
      <c r="RU10" s="16"/>
      <c r="RV10" s="16"/>
      <c r="RW10" s="16"/>
      <c r="RX10" s="16"/>
      <c r="RY10" s="11" t="str">
        <f t="shared" si="199"/>
        <v/>
      </c>
      <c r="RZ10" s="11" t="str">
        <f t="shared" si="200"/>
        <v/>
      </c>
      <c r="SA10" s="11" t="str">
        <f t="shared" si="201"/>
        <v/>
      </c>
      <c r="SB10" s="11" t="str">
        <f t="shared" si="202"/>
        <v/>
      </c>
      <c r="SC10" s="11" t="str">
        <f t="shared" si="203"/>
        <v/>
      </c>
      <c r="SD10" s="11" t="str">
        <f t="shared" si="204"/>
        <v/>
      </c>
      <c r="SE10" s="11" t="str">
        <f t="shared" si="205"/>
        <v/>
      </c>
      <c r="SF10" s="11" t="str">
        <f t="shared" si="206"/>
        <v/>
      </c>
      <c r="SG10" s="11" t="str">
        <f t="shared" si="207"/>
        <v/>
      </c>
      <c r="SH10" s="11" t="str">
        <f t="shared" si="208"/>
        <v/>
      </c>
      <c r="SI10" s="11" t="str">
        <f t="shared" si="209"/>
        <v/>
      </c>
      <c r="SJ10" s="11" t="str">
        <f t="shared" si="210"/>
        <v/>
      </c>
      <c r="SK10" s="11" t="str">
        <f t="shared" si="211"/>
        <v/>
      </c>
      <c r="SL10" s="11" t="str">
        <f t="shared" si="212"/>
        <v/>
      </c>
      <c r="SM10" s="15"/>
      <c r="SN10" s="15"/>
      <c r="SO10" s="15"/>
      <c r="SP10" s="15"/>
      <c r="SQ10" s="15"/>
      <c r="SR10" s="15"/>
      <c r="SS10" s="15"/>
      <c r="ST10" s="15"/>
      <c r="SU10" s="15"/>
      <c r="SV10" s="15"/>
      <c r="SW10" s="15"/>
      <c r="SX10" s="15"/>
      <c r="SY10" s="15"/>
      <c r="SZ10" s="15"/>
      <c r="TA10" s="15"/>
      <c r="TB10" s="15"/>
      <c r="TC10" s="15"/>
      <c r="TD10" s="15"/>
      <c r="TE10" s="15"/>
      <c r="TF10" s="15"/>
      <c r="TG10" s="36" t="str">
        <f t="shared" si="213"/>
        <v/>
      </c>
      <c r="TH10" s="36" t="str">
        <f t="shared" si="214"/>
        <v/>
      </c>
      <c r="TI10" s="36" t="str">
        <f t="shared" si="215"/>
        <v/>
      </c>
      <c r="TJ10" s="36" t="str">
        <f t="shared" si="216"/>
        <v/>
      </c>
      <c r="TK10" s="36" t="str">
        <f t="shared" si="217"/>
        <v/>
      </c>
      <c r="TL10" s="36" t="str">
        <f t="shared" si="218"/>
        <v/>
      </c>
      <c r="TM10" s="36" t="str">
        <f t="shared" si="219"/>
        <v/>
      </c>
      <c r="TN10" s="36" t="str">
        <f t="shared" si="220"/>
        <v/>
      </c>
      <c r="TO10" s="36" t="str">
        <f t="shared" si="221"/>
        <v/>
      </c>
      <c r="TP10" s="36" t="str">
        <f t="shared" si="222"/>
        <v/>
      </c>
      <c r="TQ10" s="36" t="str">
        <f t="shared" si="223"/>
        <v/>
      </c>
      <c r="TR10" s="36" t="str">
        <f t="shared" si="224"/>
        <v/>
      </c>
      <c r="TS10" s="36" t="str">
        <f t="shared" si="225"/>
        <v/>
      </c>
      <c r="TT10" s="36" t="str">
        <f t="shared" si="226"/>
        <v/>
      </c>
      <c r="TU10" s="16"/>
      <c r="TV10" s="16"/>
      <c r="TW10" s="16"/>
      <c r="TX10" s="16"/>
      <c r="TY10" s="16"/>
      <c r="TZ10" s="16"/>
      <c r="UA10" s="16"/>
      <c r="UB10" s="16"/>
      <c r="UC10" s="16"/>
      <c r="UD10" s="16"/>
      <c r="UE10" s="16"/>
      <c r="UF10" s="16"/>
      <c r="UG10" s="16"/>
      <c r="UH10" s="16"/>
      <c r="UI10" s="16"/>
      <c r="UJ10" s="16"/>
      <c r="UK10" s="16"/>
      <c r="UL10" s="16"/>
      <c r="UM10" s="16"/>
      <c r="UN10" s="16"/>
      <c r="UO10" s="11" t="str">
        <f t="shared" si="227"/>
        <v/>
      </c>
      <c r="UP10" s="11" t="str">
        <f t="shared" si="228"/>
        <v/>
      </c>
      <c r="UQ10" s="11" t="str">
        <f t="shared" si="229"/>
        <v/>
      </c>
      <c r="UR10" s="11" t="str">
        <f t="shared" si="230"/>
        <v/>
      </c>
      <c r="US10" s="11" t="str">
        <f t="shared" si="231"/>
        <v/>
      </c>
      <c r="UT10" s="11" t="str">
        <f t="shared" si="232"/>
        <v/>
      </c>
      <c r="UU10" s="11" t="str">
        <f t="shared" si="233"/>
        <v/>
      </c>
      <c r="UV10" s="11" t="str">
        <f t="shared" si="234"/>
        <v/>
      </c>
      <c r="UW10" s="11" t="str">
        <f t="shared" si="235"/>
        <v/>
      </c>
      <c r="UX10" s="11" t="str">
        <f t="shared" si="236"/>
        <v/>
      </c>
      <c r="UY10" s="11" t="str">
        <f t="shared" si="237"/>
        <v/>
      </c>
      <c r="UZ10" s="11" t="str">
        <f t="shared" si="238"/>
        <v/>
      </c>
      <c r="VA10" s="11" t="str">
        <f t="shared" si="239"/>
        <v/>
      </c>
      <c r="VB10" s="11" t="str">
        <f t="shared" si="240"/>
        <v/>
      </c>
      <c r="VC10" s="15"/>
      <c r="VD10" s="15"/>
      <c r="VE10" s="15"/>
      <c r="VF10" s="15"/>
      <c r="VG10" s="15"/>
      <c r="VH10" s="15"/>
      <c r="VI10" s="15"/>
      <c r="VJ10" s="15"/>
      <c r="VK10" s="15"/>
      <c r="VL10" s="15"/>
      <c r="VM10" s="15"/>
      <c r="VN10" s="15"/>
      <c r="VO10" s="15"/>
      <c r="VP10" s="15"/>
      <c r="VQ10" s="15"/>
      <c r="VR10" s="15"/>
      <c r="VS10" s="15"/>
      <c r="VT10" s="15"/>
      <c r="VU10" s="15"/>
      <c r="VV10" s="15"/>
      <c r="VW10" s="36" t="str">
        <f t="shared" si="241"/>
        <v/>
      </c>
      <c r="VX10" s="36" t="str">
        <f t="shared" si="242"/>
        <v/>
      </c>
      <c r="VY10" s="36" t="str">
        <f t="shared" si="243"/>
        <v/>
      </c>
      <c r="VZ10" s="36" t="str">
        <f t="shared" si="244"/>
        <v/>
      </c>
      <c r="WA10" s="36" t="str">
        <f t="shared" si="245"/>
        <v/>
      </c>
      <c r="WB10" s="36" t="str">
        <f t="shared" si="246"/>
        <v/>
      </c>
      <c r="WC10" s="36" t="str">
        <f t="shared" si="247"/>
        <v/>
      </c>
      <c r="WD10" s="36" t="str">
        <f t="shared" si="248"/>
        <v/>
      </c>
      <c r="WE10" s="36" t="str">
        <f t="shared" si="249"/>
        <v/>
      </c>
      <c r="WF10" s="36" t="str">
        <f t="shared" si="250"/>
        <v/>
      </c>
      <c r="WG10" s="36" t="str">
        <f t="shared" si="251"/>
        <v/>
      </c>
      <c r="WH10" s="36" t="str">
        <f t="shared" si="252"/>
        <v/>
      </c>
      <c r="WI10" s="36" t="str">
        <f t="shared" si="253"/>
        <v/>
      </c>
      <c r="WJ10" s="36" t="str">
        <f t="shared" si="254"/>
        <v/>
      </c>
    </row>
    <row r="11" spans="1:608" x14ac:dyDescent="0.2">
      <c r="A11" s="4" cm="1">
        <f t="array" ref="A11">IF(AND(H11&lt;&gt;"",H11&lt;&gt;"No DD"),SUMPRODUCT((H$4:H$15&lt;&gt;"")*(H$4:H$15&lt;&gt;"No DD")*(E$4:E$15&gt;E11))+1,IF(H11="No DD",SUMPRODUCT((H$4:H$15="No DD")*(E$4:E$15&gt;E11))+1+SUMPRODUCT((H$4:H$15&lt;&gt;"")*(H$4:H$15&lt;&gt;"No DD")),""))</f>
        <v>8</v>
      </c>
      <c r="B11" s="5" t="s">
        <v>108</v>
      </c>
      <c r="C11" s="4" t="s">
        <v>6</v>
      </c>
      <c r="D11" s="4" t="s">
        <v>109</v>
      </c>
      <c r="E11" s="9">
        <f t="shared" si="0"/>
        <v>84.060008406004428</v>
      </c>
      <c r="F11" s="3" t="str">
        <f t="shared" si="1"/>
        <v/>
      </c>
      <c r="G11" s="3" t="str">
        <f t="shared" si="2"/>
        <v>P</v>
      </c>
      <c r="H11" s="32" t="str">
        <f t="shared" si="3"/>
        <v>No DD</v>
      </c>
      <c r="I11" s="3" t="str">
        <f t="shared" si="4"/>
        <v/>
      </c>
      <c r="J11" s="8">
        <f t="shared" si="5"/>
        <v>44.2</v>
      </c>
      <c r="K11" s="8" t="str">
        <f t="shared" si="6"/>
        <v>2025 Elite Canada</v>
      </c>
      <c r="L11" s="8">
        <f>IFERROR(LARGE((AI11,AL11,AP11,BJ11,BM11,BQ11,CK11,CN11,CR11),2),0)</f>
        <v>39.86</v>
      </c>
      <c r="M11" s="8" t="str">
        <f t="shared" si="7"/>
        <v>2025 Nationals</v>
      </c>
      <c r="N11" s="8">
        <f t="shared" si="8"/>
        <v>0</v>
      </c>
      <c r="O11" s="11" t="str">
        <f t="shared" si="9"/>
        <v/>
      </c>
      <c r="P11" s="8" t="str">
        <f t="shared" si="10"/>
        <v/>
      </c>
      <c r="Q11" s="18">
        <v>6.75</v>
      </c>
      <c r="R11" s="18">
        <v>9.25</v>
      </c>
      <c r="S11" s="18">
        <v>10.7</v>
      </c>
      <c r="T11" s="18">
        <v>17.5</v>
      </c>
      <c r="U11" s="18">
        <v>0</v>
      </c>
      <c r="V11" s="18">
        <v>4.2</v>
      </c>
      <c r="W11" s="18">
        <v>5.65</v>
      </c>
      <c r="X11" s="18">
        <v>6.4</v>
      </c>
      <c r="Y11" s="18">
        <v>10.199999999999999</v>
      </c>
      <c r="Z11" s="18">
        <v>0</v>
      </c>
      <c r="AA11" s="18">
        <v>3.75</v>
      </c>
      <c r="AB11" s="18">
        <v>4.55</v>
      </c>
      <c r="AC11" s="18">
        <v>4.9000000000000004</v>
      </c>
      <c r="AD11" s="18">
        <v>9.9</v>
      </c>
      <c r="AE11" s="18">
        <v>0</v>
      </c>
      <c r="AF11" s="23"/>
      <c r="AG11" s="34">
        <f t="shared" si="11"/>
        <v>10.7</v>
      </c>
      <c r="AH11" s="34">
        <f t="shared" si="12"/>
        <v>17.5</v>
      </c>
      <c r="AI11" s="36">
        <f t="shared" si="13"/>
        <v>44.2</v>
      </c>
      <c r="AJ11" s="36">
        <f t="shared" si="14"/>
        <v>6.4</v>
      </c>
      <c r="AK11" s="36">
        <f t="shared" si="15"/>
        <v>10.199999999999999</v>
      </c>
      <c r="AL11" s="36">
        <f t="shared" si="16"/>
        <v>26.45</v>
      </c>
      <c r="AM11" s="36">
        <f t="shared" si="17"/>
        <v>44.2</v>
      </c>
      <c r="AN11" s="36">
        <f t="shared" si="18"/>
        <v>4.9000000000000004</v>
      </c>
      <c r="AO11" s="36">
        <f t="shared" si="19"/>
        <v>9.9</v>
      </c>
      <c r="AP11" s="36">
        <f t="shared" si="20"/>
        <v>23.1</v>
      </c>
      <c r="AQ11" s="36">
        <f t="shared" si="21"/>
        <v>67.300000000000011</v>
      </c>
      <c r="AR11" s="22">
        <v>6.35</v>
      </c>
      <c r="AS11" s="22">
        <v>8.25</v>
      </c>
      <c r="AT11" s="22">
        <v>9.4</v>
      </c>
      <c r="AU11" s="22">
        <v>15.86</v>
      </c>
      <c r="AV11" s="22">
        <v>0</v>
      </c>
      <c r="AW11" s="22">
        <v>3.83</v>
      </c>
      <c r="AX11" s="22">
        <v>0</v>
      </c>
      <c r="AY11" s="22">
        <v>4.9000000000000004</v>
      </c>
      <c r="AZ11" s="22">
        <v>0</v>
      </c>
      <c r="BA11" s="22">
        <v>0</v>
      </c>
      <c r="BB11" s="22">
        <v>4.04</v>
      </c>
      <c r="BC11" s="22">
        <v>4.55</v>
      </c>
      <c r="BD11" s="22">
        <v>4.9000000000000004</v>
      </c>
      <c r="BE11" s="22">
        <v>8.6</v>
      </c>
      <c r="BF11" s="22">
        <v>0</v>
      </c>
      <c r="BG11" s="24"/>
      <c r="BH11" s="35">
        <f t="shared" si="22"/>
        <v>9.4</v>
      </c>
      <c r="BI11" s="35">
        <f t="shared" si="23"/>
        <v>15.86</v>
      </c>
      <c r="BJ11" s="11">
        <f t="shared" si="24"/>
        <v>39.86</v>
      </c>
      <c r="BK11" s="11">
        <f t="shared" si="25"/>
        <v>4.9000000000000004</v>
      </c>
      <c r="BL11" s="11" t="str">
        <f t="shared" si="26"/>
        <v/>
      </c>
      <c r="BM11" s="11">
        <f t="shared" si="27"/>
        <v>8.73</v>
      </c>
      <c r="BN11" s="11">
        <f t="shared" si="28"/>
        <v>39.86</v>
      </c>
      <c r="BO11" s="11">
        <f t="shared" si="29"/>
        <v>4.9000000000000004</v>
      </c>
      <c r="BP11" s="11">
        <f t="shared" si="30"/>
        <v>8.6</v>
      </c>
      <c r="BQ11" s="11">
        <f t="shared" si="31"/>
        <v>22.09</v>
      </c>
      <c r="BR11" s="11">
        <f t="shared" si="32"/>
        <v>61.95</v>
      </c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23"/>
      <c r="CI11" s="34" t="str">
        <f t="shared" si="33"/>
        <v/>
      </c>
      <c r="CJ11" s="34" t="str">
        <f t="shared" si="34"/>
        <v/>
      </c>
      <c r="CK11" s="36" t="str">
        <f t="shared" si="35"/>
        <v/>
      </c>
      <c r="CL11" s="36" t="str">
        <f t="shared" si="36"/>
        <v/>
      </c>
      <c r="CM11" s="36" t="str">
        <f t="shared" si="37"/>
        <v/>
      </c>
      <c r="CN11" s="36" t="str">
        <f t="shared" si="38"/>
        <v/>
      </c>
      <c r="CO11" s="36" t="str">
        <f t="shared" si="39"/>
        <v/>
      </c>
      <c r="CP11" s="36" t="str">
        <f t="shared" si="40"/>
        <v/>
      </c>
      <c r="CQ11" s="36" t="str">
        <f t="shared" si="41"/>
        <v/>
      </c>
      <c r="CR11" s="36" t="str">
        <f t="shared" si="42"/>
        <v/>
      </c>
      <c r="CS11" s="36" t="str">
        <f t="shared" si="43"/>
        <v/>
      </c>
      <c r="CT11" s="47" t="str">
        <f t="shared" si="44"/>
        <v/>
      </c>
      <c r="CU11" s="15"/>
      <c r="CV11" s="15"/>
      <c r="CW11" s="15"/>
      <c r="CX11" s="15"/>
      <c r="CY11" s="15"/>
      <c r="CZ11" s="15"/>
      <c r="DA11" s="15"/>
      <c r="DB11" s="15"/>
      <c r="DC11" s="15"/>
      <c r="DD11" s="15"/>
      <c r="DE11" s="15"/>
      <c r="DF11" s="15"/>
      <c r="DG11" s="15"/>
      <c r="DH11" s="15"/>
      <c r="DI11" s="15"/>
      <c r="DJ11" s="15"/>
      <c r="DK11" s="15"/>
      <c r="DL11" s="15"/>
      <c r="DM11" s="15"/>
      <c r="DN11" s="15"/>
      <c r="DO11" s="36" t="str">
        <f t="shared" si="45"/>
        <v/>
      </c>
      <c r="DP11" s="36" t="str">
        <f t="shared" si="46"/>
        <v/>
      </c>
      <c r="DQ11" s="36" t="str">
        <f t="shared" si="47"/>
        <v/>
      </c>
      <c r="DR11" s="36" t="str">
        <f t="shared" si="48"/>
        <v/>
      </c>
      <c r="DS11" s="36" t="str">
        <f t="shared" si="49"/>
        <v/>
      </c>
      <c r="DT11" s="36" t="str">
        <f t="shared" si="50"/>
        <v/>
      </c>
      <c r="DU11" s="36" t="str">
        <f t="shared" si="51"/>
        <v/>
      </c>
      <c r="DV11" s="36" t="str">
        <f t="shared" si="52"/>
        <v/>
      </c>
      <c r="DW11" s="36" t="str">
        <f t="shared" si="53"/>
        <v/>
      </c>
      <c r="DX11" s="36" t="str">
        <f t="shared" si="54"/>
        <v/>
      </c>
      <c r="DY11" s="36" t="str">
        <f t="shared" si="55"/>
        <v/>
      </c>
      <c r="DZ11" s="36" t="str">
        <f t="shared" si="56"/>
        <v/>
      </c>
      <c r="EA11" s="36" t="str">
        <f t="shared" si="57"/>
        <v/>
      </c>
      <c r="EB11" s="36" t="str">
        <f t="shared" si="58"/>
        <v/>
      </c>
      <c r="EC11" s="16"/>
      <c r="ED11" s="16"/>
      <c r="EE11" s="16"/>
      <c r="EF11" s="16"/>
      <c r="EG11" s="16"/>
      <c r="EH11" s="16"/>
      <c r="EI11" s="16"/>
      <c r="EJ11" s="16"/>
      <c r="EK11" s="16"/>
      <c r="EL11" s="16"/>
      <c r="EM11" s="16"/>
      <c r="EN11" s="16"/>
      <c r="EO11" s="16"/>
      <c r="EP11" s="16"/>
      <c r="EQ11" s="16"/>
      <c r="ER11" s="16"/>
      <c r="ES11" s="16"/>
      <c r="ET11" s="16"/>
      <c r="EU11" s="16"/>
      <c r="EV11" s="16"/>
      <c r="EW11" s="11" t="str">
        <f t="shared" si="59"/>
        <v/>
      </c>
      <c r="EX11" s="11" t="str">
        <f t="shared" si="60"/>
        <v/>
      </c>
      <c r="EY11" s="11" t="str">
        <f t="shared" si="61"/>
        <v/>
      </c>
      <c r="EZ11" s="11" t="str">
        <f t="shared" si="62"/>
        <v/>
      </c>
      <c r="FA11" s="11" t="str">
        <f t="shared" si="63"/>
        <v/>
      </c>
      <c r="FB11" s="11" t="str">
        <f t="shared" si="64"/>
        <v/>
      </c>
      <c r="FC11" s="11" t="str">
        <f t="shared" si="65"/>
        <v/>
      </c>
      <c r="FD11" s="11" t="str">
        <f t="shared" si="66"/>
        <v/>
      </c>
      <c r="FE11" s="11" t="str">
        <f t="shared" si="67"/>
        <v/>
      </c>
      <c r="FF11" s="11" t="str">
        <f t="shared" si="68"/>
        <v/>
      </c>
      <c r="FG11" s="11" t="str">
        <f t="shared" si="69"/>
        <v/>
      </c>
      <c r="FH11" s="11" t="str">
        <f t="shared" si="70"/>
        <v/>
      </c>
      <c r="FI11" s="11" t="str">
        <f t="shared" si="71"/>
        <v/>
      </c>
      <c r="FJ11" s="11" t="str">
        <f t="shared" si="72"/>
        <v/>
      </c>
      <c r="FK11" s="15"/>
      <c r="FL11" s="15"/>
      <c r="FM11" s="15"/>
      <c r="FN11" s="15"/>
      <c r="FO11" s="15"/>
      <c r="FP11" s="15"/>
      <c r="FQ11" s="15"/>
      <c r="FR11" s="15"/>
      <c r="FS11" s="15"/>
      <c r="FT11" s="15"/>
      <c r="FU11" s="15"/>
      <c r="FV11" s="15"/>
      <c r="FW11" s="15"/>
      <c r="FX11" s="15"/>
      <c r="FY11" s="15"/>
      <c r="FZ11" s="15"/>
      <c r="GA11" s="15"/>
      <c r="GB11" s="15"/>
      <c r="GC11" s="15"/>
      <c r="GD11" s="15"/>
      <c r="GE11" s="36" t="str">
        <f t="shared" si="73"/>
        <v/>
      </c>
      <c r="GF11" s="36" t="str">
        <f t="shared" si="74"/>
        <v/>
      </c>
      <c r="GG11" s="36" t="str">
        <f t="shared" si="75"/>
        <v/>
      </c>
      <c r="GH11" s="36" t="str">
        <f t="shared" si="76"/>
        <v/>
      </c>
      <c r="GI11" s="36" t="str">
        <f t="shared" si="77"/>
        <v/>
      </c>
      <c r="GJ11" s="36" t="str">
        <f t="shared" si="78"/>
        <v/>
      </c>
      <c r="GK11" s="36" t="str">
        <f t="shared" si="79"/>
        <v/>
      </c>
      <c r="GL11" s="36" t="str">
        <f t="shared" si="80"/>
        <v/>
      </c>
      <c r="GM11" s="36" t="str">
        <f t="shared" si="81"/>
        <v/>
      </c>
      <c r="GN11" s="36" t="str">
        <f t="shared" si="82"/>
        <v/>
      </c>
      <c r="GO11" s="36" t="str">
        <f t="shared" si="83"/>
        <v/>
      </c>
      <c r="GP11" s="36" t="str">
        <f t="shared" si="84"/>
        <v/>
      </c>
      <c r="GQ11" s="36" t="str">
        <f t="shared" si="85"/>
        <v/>
      </c>
      <c r="GR11" s="36" t="str">
        <f t="shared" si="86"/>
        <v/>
      </c>
      <c r="GS11" s="16"/>
      <c r="GT11" s="16"/>
      <c r="GU11" s="16"/>
      <c r="GV11" s="16"/>
      <c r="GW11" s="16"/>
      <c r="GX11" s="16"/>
      <c r="GY11" s="16"/>
      <c r="GZ11" s="16"/>
      <c r="HA11" s="16"/>
      <c r="HB11" s="16"/>
      <c r="HC11" s="16"/>
      <c r="HD11" s="16"/>
      <c r="HE11" s="16"/>
      <c r="HF11" s="16"/>
      <c r="HG11" s="16"/>
      <c r="HH11" s="16"/>
      <c r="HI11" s="16"/>
      <c r="HJ11" s="16"/>
      <c r="HK11" s="16"/>
      <c r="HL11" s="16"/>
      <c r="HM11" s="11" t="str">
        <f t="shared" si="87"/>
        <v/>
      </c>
      <c r="HN11" s="11" t="str">
        <f t="shared" si="88"/>
        <v/>
      </c>
      <c r="HO11" s="11" t="str">
        <f t="shared" si="89"/>
        <v/>
      </c>
      <c r="HP11" s="11" t="str">
        <f t="shared" si="90"/>
        <v/>
      </c>
      <c r="HQ11" s="11" t="str">
        <f t="shared" si="91"/>
        <v/>
      </c>
      <c r="HR11" s="11" t="str">
        <f t="shared" si="92"/>
        <v/>
      </c>
      <c r="HS11" s="11" t="str">
        <f t="shared" si="93"/>
        <v/>
      </c>
      <c r="HT11" s="11" t="str">
        <f t="shared" si="94"/>
        <v/>
      </c>
      <c r="HU11" s="11" t="str">
        <f t="shared" si="95"/>
        <v/>
      </c>
      <c r="HV11" s="11" t="str">
        <f t="shared" si="96"/>
        <v/>
      </c>
      <c r="HW11" s="11" t="str">
        <f t="shared" si="97"/>
        <v/>
      </c>
      <c r="HX11" s="11" t="str">
        <f t="shared" si="98"/>
        <v/>
      </c>
      <c r="HY11" s="11" t="str">
        <f t="shared" si="99"/>
        <v/>
      </c>
      <c r="HZ11" s="11" t="str">
        <f t="shared" si="100"/>
        <v/>
      </c>
      <c r="IA11" s="15"/>
      <c r="IB11" s="15"/>
      <c r="IC11" s="15"/>
      <c r="ID11" s="15"/>
      <c r="IE11" s="15"/>
      <c r="IF11" s="15"/>
      <c r="IG11" s="15"/>
      <c r="IH11" s="15"/>
      <c r="II11" s="15"/>
      <c r="IJ11" s="15"/>
      <c r="IK11" s="15"/>
      <c r="IL11" s="15"/>
      <c r="IM11" s="15"/>
      <c r="IN11" s="15"/>
      <c r="IO11" s="15"/>
      <c r="IP11" s="15"/>
      <c r="IQ11" s="15"/>
      <c r="IR11" s="15"/>
      <c r="IS11" s="15"/>
      <c r="IT11" s="15"/>
      <c r="IU11" s="36" t="str">
        <f t="shared" si="101"/>
        <v/>
      </c>
      <c r="IV11" s="36" t="str">
        <f t="shared" si="102"/>
        <v/>
      </c>
      <c r="IW11" s="36" t="str">
        <f t="shared" si="103"/>
        <v/>
      </c>
      <c r="IX11" s="36" t="str">
        <f t="shared" si="104"/>
        <v/>
      </c>
      <c r="IY11" s="36" t="str">
        <f t="shared" si="105"/>
        <v/>
      </c>
      <c r="IZ11" s="36" t="str">
        <f t="shared" si="106"/>
        <v/>
      </c>
      <c r="JA11" s="36" t="str">
        <f t="shared" si="107"/>
        <v/>
      </c>
      <c r="JB11" s="36" t="str">
        <f t="shared" si="108"/>
        <v/>
      </c>
      <c r="JC11" s="36" t="str">
        <f t="shared" si="109"/>
        <v/>
      </c>
      <c r="JD11" s="36" t="str">
        <f t="shared" si="110"/>
        <v/>
      </c>
      <c r="JE11" s="36" t="str">
        <f t="shared" si="111"/>
        <v/>
      </c>
      <c r="JF11" s="36" t="str">
        <f t="shared" si="112"/>
        <v/>
      </c>
      <c r="JG11" s="36" t="str">
        <f t="shared" si="113"/>
        <v/>
      </c>
      <c r="JH11" s="36" t="str">
        <f t="shared" si="114"/>
        <v/>
      </c>
      <c r="JI11" s="16"/>
      <c r="JJ11" s="16"/>
      <c r="JK11" s="16"/>
      <c r="JL11" s="16"/>
      <c r="JM11" s="16"/>
      <c r="JN11" s="16"/>
      <c r="JO11" s="16"/>
      <c r="JP11" s="16"/>
      <c r="JQ11" s="16"/>
      <c r="JR11" s="16"/>
      <c r="JS11" s="16"/>
      <c r="JT11" s="16"/>
      <c r="JU11" s="16"/>
      <c r="JV11" s="16"/>
      <c r="JW11" s="16"/>
      <c r="JX11" s="16"/>
      <c r="JY11" s="16"/>
      <c r="JZ11" s="16"/>
      <c r="KA11" s="16"/>
      <c r="KB11" s="16"/>
      <c r="KC11" s="11" t="str">
        <f t="shared" si="115"/>
        <v/>
      </c>
      <c r="KD11" s="11" t="str">
        <f t="shared" si="116"/>
        <v/>
      </c>
      <c r="KE11" s="11" t="str">
        <f t="shared" si="117"/>
        <v/>
      </c>
      <c r="KF11" s="11" t="str">
        <f t="shared" si="118"/>
        <v/>
      </c>
      <c r="KG11" s="11" t="str">
        <f t="shared" si="119"/>
        <v/>
      </c>
      <c r="KH11" s="11" t="str">
        <f t="shared" si="120"/>
        <v/>
      </c>
      <c r="KI11" s="11" t="str">
        <f t="shared" si="121"/>
        <v/>
      </c>
      <c r="KJ11" s="11" t="str">
        <f t="shared" si="122"/>
        <v/>
      </c>
      <c r="KK11" s="11" t="str">
        <f t="shared" si="123"/>
        <v/>
      </c>
      <c r="KL11" s="11" t="str">
        <f t="shared" si="124"/>
        <v/>
      </c>
      <c r="KM11" s="11" t="str">
        <f t="shared" si="125"/>
        <v/>
      </c>
      <c r="KN11" s="11" t="str">
        <f t="shared" si="126"/>
        <v/>
      </c>
      <c r="KO11" s="11" t="str">
        <f t="shared" si="127"/>
        <v/>
      </c>
      <c r="KP11" s="11" t="str">
        <f t="shared" si="128"/>
        <v/>
      </c>
      <c r="KQ11" s="15"/>
      <c r="KR11" s="15"/>
      <c r="KS11" s="15"/>
      <c r="KT11" s="15"/>
      <c r="KU11" s="15"/>
      <c r="KV11" s="15"/>
      <c r="KW11" s="15"/>
      <c r="KX11" s="15"/>
      <c r="KY11" s="15"/>
      <c r="KZ11" s="15"/>
      <c r="LA11" s="15"/>
      <c r="LB11" s="15"/>
      <c r="LC11" s="15"/>
      <c r="LD11" s="15"/>
      <c r="LE11" s="15"/>
      <c r="LF11" s="15"/>
      <c r="LG11" s="15"/>
      <c r="LH11" s="15"/>
      <c r="LI11" s="15"/>
      <c r="LJ11" s="15"/>
      <c r="LK11" s="36" t="str">
        <f t="shared" si="129"/>
        <v/>
      </c>
      <c r="LL11" s="36" t="str">
        <f t="shared" si="130"/>
        <v/>
      </c>
      <c r="LM11" s="36" t="str">
        <f t="shared" si="131"/>
        <v/>
      </c>
      <c r="LN11" s="36" t="str">
        <f t="shared" si="132"/>
        <v/>
      </c>
      <c r="LO11" s="36" t="str">
        <f t="shared" si="133"/>
        <v/>
      </c>
      <c r="LP11" s="36" t="str">
        <f t="shared" si="134"/>
        <v/>
      </c>
      <c r="LQ11" s="36" t="str">
        <f t="shared" si="135"/>
        <v/>
      </c>
      <c r="LR11" s="36" t="str">
        <f t="shared" si="136"/>
        <v/>
      </c>
      <c r="LS11" s="36" t="str">
        <f t="shared" si="137"/>
        <v/>
      </c>
      <c r="LT11" s="36" t="str">
        <f t="shared" si="138"/>
        <v/>
      </c>
      <c r="LU11" s="36" t="str">
        <f t="shared" si="139"/>
        <v/>
      </c>
      <c r="LV11" s="36" t="str">
        <f t="shared" si="140"/>
        <v/>
      </c>
      <c r="LW11" s="36" t="str">
        <f t="shared" si="141"/>
        <v/>
      </c>
      <c r="LX11" s="36" t="str">
        <f t="shared" si="142"/>
        <v/>
      </c>
      <c r="LY11" s="16"/>
      <c r="LZ11" s="16"/>
      <c r="MA11" s="16"/>
      <c r="MB11" s="16"/>
      <c r="MC11" s="16"/>
      <c r="MD11" s="16"/>
      <c r="ME11" s="16"/>
      <c r="MF11" s="16"/>
      <c r="MG11" s="16"/>
      <c r="MH11" s="16"/>
      <c r="MI11" s="16"/>
      <c r="MJ11" s="16"/>
      <c r="MK11" s="16"/>
      <c r="ML11" s="16"/>
      <c r="MM11" s="16"/>
      <c r="MN11" s="16"/>
      <c r="MO11" s="16"/>
      <c r="MP11" s="16"/>
      <c r="MQ11" s="16"/>
      <c r="MR11" s="16"/>
      <c r="MS11" s="11" t="str">
        <f t="shared" si="143"/>
        <v/>
      </c>
      <c r="MT11" s="11" t="str">
        <f t="shared" si="144"/>
        <v/>
      </c>
      <c r="MU11" s="11" t="str">
        <f t="shared" si="145"/>
        <v/>
      </c>
      <c r="MV11" s="11" t="str">
        <f t="shared" si="146"/>
        <v/>
      </c>
      <c r="MW11" s="11" t="str">
        <f t="shared" si="147"/>
        <v/>
      </c>
      <c r="MX11" s="11" t="str">
        <f t="shared" si="148"/>
        <v/>
      </c>
      <c r="MY11" s="11" t="str">
        <f t="shared" si="149"/>
        <v/>
      </c>
      <c r="MZ11" s="11" t="str">
        <f t="shared" si="150"/>
        <v/>
      </c>
      <c r="NA11" s="11" t="str">
        <f t="shared" si="151"/>
        <v/>
      </c>
      <c r="NB11" s="11" t="str">
        <f t="shared" si="152"/>
        <v/>
      </c>
      <c r="NC11" s="11" t="str">
        <f t="shared" si="153"/>
        <v/>
      </c>
      <c r="ND11" s="11" t="str">
        <f t="shared" si="154"/>
        <v/>
      </c>
      <c r="NE11" s="11" t="str">
        <f t="shared" si="155"/>
        <v/>
      </c>
      <c r="NF11" s="11" t="str">
        <f t="shared" si="156"/>
        <v/>
      </c>
      <c r="NG11" s="15"/>
      <c r="NH11" s="15"/>
      <c r="NI11" s="15"/>
      <c r="NJ11" s="15"/>
      <c r="NK11" s="15"/>
      <c r="NL11" s="15"/>
      <c r="NM11" s="15"/>
      <c r="NN11" s="15"/>
      <c r="NO11" s="15"/>
      <c r="NP11" s="15"/>
      <c r="NQ11" s="15"/>
      <c r="NR11" s="15"/>
      <c r="NS11" s="15"/>
      <c r="NT11" s="15"/>
      <c r="NU11" s="15"/>
      <c r="NV11" s="15"/>
      <c r="NW11" s="15"/>
      <c r="NX11" s="15"/>
      <c r="NY11" s="15"/>
      <c r="NZ11" s="15"/>
      <c r="OA11" s="36" t="str">
        <f t="shared" si="157"/>
        <v/>
      </c>
      <c r="OB11" s="36" t="str">
        <f t="shared" si="158"/>
        <v/>
      </c>
      <c r="OC11" s="36" t="str">
        <f t="shared" si="159"/>
        <v/>
      </c>
      <c r="OD11" s="36" t="str">
        <f t="shared" si="160"/>
        <v/>
      </c>
      <c r="OE11" s="36" t="str">
        <f t="shared" si="161"/>
        <v/>
      </c>
      <c r="OF11" s="36" t="str">
        <f t="shared" si="162"/>
        <v/>
      </c>
      <c r="OG11" s="36" t="str">
        <f t="shared" si="163"/>
        <v/>
      </c>
      <c r="OH11" s="36" t="str">
        <f t="shared" si="164"/>
        <v/>
      </c>
      <c r="OI11" s="36" t="str">
        <f t="shared" si="165"/>
        <v/>
      </c>
      <c r="OJ11" s="36" t="str">
        <f t="shared" si="166"/>
        <v/>
      </c>
      <c r="OK11" s="36" t="str">
        <f t="shared" si="167"/>
        <v/>
      </c>
      <c r="OL11" s="36" t="str">
        <f t="shared" si="168"/>
        <v/>
      </c>
      <c r="OM11" s="36" t="str">
        <f t="shared" si="169"/>
        <v/>
      </c>
      <c r="ON11" s="36" t="str">
        <f t="shared" si="170"/>
        <v/>
      </c>
      <c r="OO11" s="16"/>
      <c r="OP11" s="16"/>
      <c r="OQ11" s="16"/>
      <c r="OR11" s="16"/>
      <c r="OS11" s="16"/>
      <c r="OT11" s="16"/>
      <c r="OU11" s="16"/>
      <c r="OV11" s="16"/>
      <c r="OW11" s="16"/>
      <c r="OX11" s="16"/>
      <c r="OY11" s="16"/>
      <c r="OZ11" s="16"/>
      <c r="PA11" s="16"/>
      <c r="PB11" s="16"/>
      <c r="PC11" s="16"/>
      <c r="PD11" s="16"/>
      <c r="PE11" s="16"/>
      <c r="PF11" s="16"/>
      <c r="PG11" s="16"/>
      <c r="PH11" s="16"/>
      <c r="PI11" s="11" t="str">
        <f t="shared" si="171"/>
        <v/>
      </c>
      <c r="PJ11" s="11" t="str">
        <f t="shared" si="172"/>
        <v/>
      </c>
      <c r="PK11" s="11" t="str">
        <f t="shared" si="173"/>
        <v/>
      </c>
      <c r="PL11" s="11" t="str">
        <f t="shared" si="174"/>
        <v/>
      </c>
      <c r="PM11" s="11" t="str">
        <f t="shared" si="175"/>
        <v/>
      </c>
      <c r="PN11" s="11" t="str">
        <f t="shared" si="176"/>
        <v/>
      </c>
      <c r="PO11" s="11" t="str">
        <f t="shared" si="177"/>
        <v/>
      </c>
      <c r="PP11" s="11" t="str">
        <f t="shared" si="178"/>
        <v/>
      </c>
      <c r="PQ11" s="11" t="str">
        <f t="shared" si="179"/>
        <v/>
      </c>
      <c r="PR11" s="11" t="str">
        <f t="shared" si="180"/>
        <v/>
      </c>
      <c r="PS11" s="11" t="str">
        <f t="shared" si="181"/>
        <v/>
      </c>
      <c r="PT11" s="11" t="str">
        <f t="shared" si="182"/>
        <v/>
      </c>
      <c r="PU11" s="11" t="str">
        <f t="shared" si="183"/>
        <v/>
      </c>
      <c r="PV11" s="11" t="str">
        <f t="shared" si="184"/>
        <v/>
      </c>
      <c r="PW11" s="15"/>
      <c r="PX11" s="15"/>
      <c r="PY11" s="15"/>
      <c r="PZ11" s="15"/>
      <c r="QA11" s="15"/>
      <c r="QB11" s="15"/>
      <c r="QC11" s="15"/>
      <c r="QD11" s="15"/>
      <c r="QE11" s="15"/>
      <c r="QF11" s="15"/>
      <c r="QG11" s="15"/>
      <c r="QH11" s="15"/>
      <c r="QI11" s="15"/>
      <c r="QJ11" s="15"/>
      <c r="QK11" s="15"/>
      <c r="QL11" s="15"/>
      <c r="QM11" s="15"/>
      <c r="QN11" s="15"/>
      <c r="QO11" s="15"/>
      <c r="QP11" s="15"/>
      <c r="QQ11" s="36" t="str">
        <f t="shared" si="185"/>
        <v/>
      </c>
      <c r="QR11" s="36" t="str">
        <f t="shared" si="186"/>
        <v/>
      </c>
      <c r="QS11" s="36" t="str">
        <f t="shared" si="187"/>
        <v/>
      </c>
      <c r="QT11" s="36" t="str">
        <f t="shared" si="188"/>
        <v/>
      </c>
      <c r="QU11" s="36" t="str">
        <f t="shared" si="189"/>
        <v/>
      </c>
      <c r="QV11" s="36" t="str">
        <f t="shared" si="190"/>
        <v/>
      </c>
      <c r="QW11" s="36" t="str">
        <f t="shared" si="191"/>
        <v/>
      </c>
      <c r="QX11" s="36" t="str">
        <f t="shared" si="192"/>
        <v/>
      </c>
      <c r="QY11" s="36" t="str">
        <f t="shared" si="193"/>
        <v/>
      </c>
      <c r="QZ11" s="36" t="str">
        <f t="shared" si="194"/>
        <v/>
      </c>
      <c r="RA11" s="36" t="str">
        <f t="shared" si="195"/>
        <v/>
      </c>
      <c r="RB11" s="36" t="str">
        <f t="shared" si="196"/>
        <v/>
      </c>
      <c r="RC11" s="36" t="str">
        <f t="shared" si="197"/>
        <v/>
      </c>
      <c r="RD11" s="36" t="str">
        <f t="shared" si="198"/>
        <v/>
      </c>
      <c r="RE11" s="16"/>
      <c r="RF11" s="16"/>
      <c r="RG11" s="16"/>
      <c r="RH11" s="16"/>
      <c r="RI11" s="16"/>
      <c r="RJ11" s="16"/>
      <c r="RK11" s="16"/>
      <c r="RL11" s="16"/>
      <c r="RM11" s="16"/>
      <c r="RN11" s="16"/>
      <c r="RO11" s="16"/>
      <c r="RP11" s="16"/>
      <c r="RQ11" s="16"/>
      <c r="RR11" s="16"/>
      <c r="RS11" s="16"/>
      <c r="RT11" s="16"/>
      <c r="RU11" s="16"/>
      <c r="RV11" s="16"/>
      <c r="RW11" s="16"/>
      <c r="RX11" s="16"/>
      <c r="RY11" s="11" t="str">
        <f t="shared" si="199"/>
        <v/>
      </c>
      <c r="RZ11" s="11" t="str">
        <f t="shared" si="200"/>
        <v/>
      </c>
      <c r="SA11" s="11" t="str">
        <f t="shared" si="201"/>
        <v/>
      </c>
      <c r="SB11" s="11" t="str">
        <f t="shared" si="202"/>
        <v/>
      </c>
      <c r="SC11" s="11" t="str">
        <f t="shared" si="203"/>
        <v/>
      </c>
      <c r="SD11" s="11" t="str">
        <f t="shared" si="204"/>
        <v/>
      </c>
      <c r="SE11" s="11" t="str">
        <f t="shared" si="205"/>
        <v/>
      </c>
      <c r="SF11" s="11" t="str">
        <f t="shared" si="206"/>
        <v/>
      </c>
      <c r="SG11" s="11" t="str">
        <f t="shared" si="207"/>
        <v/>
      </c>
      <c r="SH11" s="11" t="str">
        <f t="shared" si="208"/>
        <v/>
      </c>
      <c r="SI11" s="11" t="str">
        <f t="shared" si="209"/>
        <v/>
      </c>
      <c r="SJ11" s="11" t="str">
        <f t="shared" si="210"/>
        <v/>
      </c>
      <c r="SK11" s="11" t="str">
        <f t="shared" si="211"/>
        <v/>
      </c>
      <c r="SL11" s="11" t="str">
        <f t="shared" si="212"/>
        <v/>
      </c>
      <c r="SM11" s="15"/>
      <c r="SN11" s="15"/>
      <c r="SO11" s="15"/>
      <c r="SP11" s="15"/>
      <c r="SQ11" s="15"/>
      <c r="SR11" s="15"/>
      <c r="SS11" s="15"/>
      <c r="ST11" s="15"/>
      <c r="SU11" s="15"/>
      <c r="SV11" s="15"/>
      <c r="SW11" s="15"/>
      <c r="SX11" s="15"/>
      <c r="SY11" s="15"/>
      <c r="SZ11" s="15"/>
      <c r="TA11" s="15"/>
      <c r="TB11" s="15"/>
      <c r="TC11" s="15"/>
      <c r="TD11" s="15"/>
      <c r="TE11" s="15"/>
      <c r="TF11" s="15"/>
      <c r="TG11" s="36" t="str">
        <f t="shared" si="213"/>
        <v/>
      </c>
      <c r="TH11" s="36" t="str">
        <f t="shared" si="214"/>
        <v/>
      </c>
      <c r="TI11" s="36" t="str">
        <f t="shared" si="215"/>
        <v/>
      </c>
      <c r="TJ11" s="36" t="str">
        <f t="shared" si="216"/>
        <v/>
      </c>
      <c r="TK11" s="36" t="str">
        <f t="shared" si="217"/>
        <v/>
      </c>
      <c r="TL11" s="36" t="str">
        <f t="shared" si="218"/>
        <v/>
      </c>
      <c r="TM11" s="36" t="str">
        <f t="shared" si="219"/>
        <v/>
      </c>
      <c r="TN11" s="36" t="str">
        <f t="shared" si="220"/>
        <v/>
      </c>
      <c r="TO11" s="36" t="str">
        <f t="shared" si="221"/>
        <v/>
      </c>
      <c r="TP11" s="36" t="str">
        <f t="shared" si="222"/>
        <v/>
      </c>
      <c r="TQ11" s="36" t="str">
        <f t="shared" si="223"/>
        <v/>
      </c>
      <c r="TR11" s="36" t="str">
        <f t="shared" si="224"/>
        <v/>
      </c>
      <c r="TS11" s="36" t="str">
        <f t="shared" si="225"/>
        <v/>
      </c>
      <c r="TT11" s="36" t="str">
        <f t="shared" si="226"/>
        <v/>
      </c>
      <c r="TU11" s="16"/>
      <c r="TV11" s="16"/>
      <c r="TW11" s="16"/>
      <c r="TX11" s="16"/>
      <c r="TY11" s="16"/>
      <c r="TZ11" s="16"/>
      <c r="UA11" s="16"/>
      <c r="UB11" s="16"/>
      <c r="UC11" s="16"/>
      <c r="UD11" s="16"/>
      <c r="UE11" s="16"/>
      <c r="UF11" s="16"/>
      <c r="UG11" s="16"/>
      <c r="UH11" s="16"/>
      <c r="UI11" s="16"/>
      <c r="UJ11" s="16"/>
      <c r="UK11" s="16"/>
      <c r="UL11" s="16"/>
      <c r="UM11" s="16"/>
      <c r="UN11" s="16"/>
      <c r="UO11" s="11" t="str">
        <f t="shared" si="227"/>
        <v/>
      </c>
      <c r="UP11" s="11" t="str">
        <f t="shared" si="228"/>
        <v/>
      </c>
      <c r="UQ11" s="11" t="str">
        <f t="shared" si="229"/>
        <v/>
      </c>
      <c r="UR11" s="11" t="str">
        <f t="shared" si="230"/>
        <v/>
      </c>
      <c r="US11" s="11" t="str">
        <f t="shared" si="231"/>
        <v/>
      </c>
      <c r="UT11" s="11" t="str">
        <f t="shared" si="232"/>
        <v/>
      </c>
      <c r="UU11" s="11" t="str">
        <f t="shared" si="233"/>
        <v/>
      </c>
      <c r="UV11" s="11" t="str">
        <f t="shared" si="234"/>
        <v/>
      </c>
      <c r="UW11" s="11" t="str">
        <f t="shared" si="235"/>
        <v/>
      </c>
      <c r="UX11" s="11" t="str">
        <f t="shared" si="236"/>
        <v/>
      </c>
      <c r="UY11" s="11" t="str">
        <f t="shared" si="237"/>
        <v/>
      </c>
      <c r="UZ11" s="11" t="str">
        <f t="shared" si="238"/>
        <v/>
      </c>
      <c r="VA11" s="11" t="str">
        <f t="shared" si="239"/>
        <v/>
      </c>
      <c r="VB11" s="11" t="str">
        <f t="shared" si="240"/>
        <v/>
      </c>
      <c r="VC11" s="15"/>
      <c r="VD11" s="15"/>
      <c r="VE11" s="15"/>
      <c r="VF11" s="15"/>
      <c r="VG11" s="15"/>
      <c r="VH11" s="15"/>
      <c r="VI11" s="15"/>
      <c r="VJ11" s="15"/>
      <c r="VK11" s="15"/>
      <c r="VL11" s="15"/>
      <c r="VM11" s="15"/>
      <c r="VN11" s="15"/>
      <c r="VO11" s="15"/>
      <c r="VP11" s="15"/>
      <c r="VQ11" s="15"/>
      <c r="VR11" s="15"/>
      <c r="VS11" s="15"/>
      <c r="VT11" s="15"/>
      <c r="VU11" s="15"/>
      <c r="VV11" s="15"/>
      <c r="VW11" s="36" t="str">
        <f t="shared" si="241"/>
        <v/>
      </c>
      <c r="VX11" s="36" t="str">
        <f t="shared" si="242"/>
        <v/>
      </c>
      <c r="VY11" s="36" t="str">
        <f t="shared" si="243"/>
        <v/>
      </c>
      <c r="VZ11" s="36" t="str">
        <f t="shared" si="244"/>
        <v/>
      </c>
      <c r="WA11" s="36" t="str">
        <f t="shared" si="245"/>
        <v/>
      </c>
      <c r="WB11" s="36" t="str">
        <f t="shared" si="246"/>
        <v/>
      </c>
      <c r="WC11" s="36" t="str">
        <f t="shared" si="247"/>
        <v/>
      </c>
      <c r="WD11" s="36" t="str">
        <f t="shared" si="248"/>
        <v/>
      </c>
      <c r="WE11" s="36" t="str">
        <f t="shared" si="249"/>
        <v/>
      </c>
      <c r="WF11" s="36" t="str">
        <f t="shared" si="250"/>
        <v/>
      </c>
      <c r="WG11" s="36" t="str">
        <f t="shared" si="251"/>
        <v/>
      </c>
      <c r="WH11" s="36" t="str">
        <f t="shared" si="252"/>
        <v/>
      </c>
      <c r="WI11" s="36" t="str">
        <f t="shared" si="253"/>
        <v/>
      </c>
      <c r="WJ11" s="36" t="str">
        <f t="shared" si="254"/>
        <v/>
      </c>
    </row>
    <row r="12" spans="1:608" x14ac:dyDescent="0.2">
      <c r="A12" s="4" t="str" cm="1">
        <f t="array" ref="A12">IF(AND(H12&lt;&gt;"",H12&lt;&gt;"No DD"),SUMPRODUCT((H$4:H$15&lt;&gt;"")*(H$4:H$15&lt;&gt;"No DD")*(E$4:E$15&gt;E12))+1,IF(H12="No DD",SUMPRODUCT((H$4:H$15="No DD")*(E$4:E$15&gt;E12))+1+SUMPRODUCT((H$4:H$15&lt;&gt;"")*(H$4:H$15&lt;&gt;"No DD")),""))</f>
        <v/>
      </c>
      <c r="B12" s="5" t="s">
        <v>85</v>
      </c>
      <c r="C12" s="4" t="s">
        <v>5</v>
      </c>
      <c r="D12" s="4" t="s">
        <v>84</v>
      </c>
      <c r="E12" s="9">
        <f t="shared" si="0"/>
        <v>56.040005604003028</v>
      </c>
      <c r="F12" s="3" t="str">
        <f t="shared" si="1"/>
        <v/>
      </c>
      <c r="G12" s="3" t="str">
        <f t="shared" si="2"/>
        <v/>
      </c>
      <c r="H12" s="32" t="str">
        <f t="shared" si="3"/>
        <v/>
      </c>
      <c r="I12" s="3" t="str">
        <f t="shared" si="4"/>
        <v/>
      </c>
      <c r="J12" s="8">
        <f t="shared" si="5"/>
        <v>30.29</v>
      </c>
      <c r="K12" s="8" t="str">
        <f t="shared" si="6"/>
        <v>2025 Nationals</v>
      </c>
      <c r="L12" s="8">
        <f>IFERROR(LARGE((AI12,AL12,AP12,BJ12,BM12,BQ12,CK12,CN12,CR12),2),0)</f>
        <v>25.75</v>
      </c>
      <c r="M12" s="8" t="str">
        <f t="shared" si="7"/>
        <v>2025 Elite Canada</v>
      </c>
      <c r="N12" s="8">
        <f t="shared" si="8"/>
        <v>0</v>
      </c>
      <c r="O12" s="11" t="str">
        <f t="shared" si="9"/>
        <v/>
      </c>
      <c r="P12" s="8" t="str">
        <f t="shared" si="10"/>
        <v/>
      </c>
      <c r="Q12" s="18">
        <v>0.73</v>
      </c>
      <c r="R12" s="18">
        <v>0.9</v>
      </c>
      <c r="S12" s="18">
        <v>1.5</v>
      </c>
      <c r="T12" s="18">
        <v>1.88</v>
      </c>
      <c r="U12" s="18">
        <v>0</v>
      </c>
      <c r="V12" s="18">
        <v>3.98</v>
      </c>
      <c r="W12" s="18">
        <v>5.45</v>
      </c>
      <c r="X12" s="18">
        <v>6.6</v>
      </c>
      <c r="Y12" s="18">
        <v>9.7200000000000006</v>
      </c>
      <c r="Z12" s="18">
        <v>0</v>
      </c>
      <c r="AA12" s="18"/>
      <c r="AB12" s="18"/>
      <c r="AC12" s="18"/>
      <c r="AD12" s="18"/>
      <c r="AE12" s="18"/>
      <c r="AF12" s="23"/>
      <c r="AG12" s="34">
        <f t="shared" si="11"/>
        <v>1.5</v>
      </c>
      <c r="AH12" s="34">
        <f t="shared" si="12"/>
        <v>1.88</v>
      </c>
      <c r="AI12" s="36">
        <f t="shared" si="13"/>
        <v>5.01</v>
      </c>
      <c r="AJ12" s="36">
        <f t="shared" si="14"/>
        <v>6.6</v>
      </c>
      <c r="AK12" s="36">
        <f t="shared" si="15"/>
        <v>9.7200000000000006</v>
      </c>
      <c r="AL12" s="36">
        <f t="shared" si="16"/>
        <v>25.75</v>
      </c>
      <c r="AM12" s="36">
        <f t="shared" si="17"/>
        <v>25.75</v>
      </c>
      <c r="AN12" s="36" t="str">
        <f t="shared" si="18"/>
        <v/>
      </c>
      <c r="AO12" s="36" t="str">
        <f t="shared" si="19"/>
        <v/>
      </c>
      <c r="AP12" s="36" t="str">
        <f t="shared" si="20"/>
        <v/>
      </c>
      <c r="AQ12" s="36">
        <f t="shared" si="21"/>
        <v>25.75</v>
      </c>
      <c r="AR12" s="22">
        <v>1.49</v>
      </c>
      <c r="AS12" s="22">
        <v>1.9</v>
      </c>
      <c r="AT12" s="22">
        <v>2.1</v>
      </c>
      <c r="AU12" s="22">
        <v>3.66</v>
      </c>
      <c r="AV12" s="22">
        <v>0</v>
      </c>
      <c r="AW12" s="22">
        <v>5.0999999999999996</v>
      </c>
      <c r="AX12" s="22">
        <v>6.55</v>
      </c>
      <c r="AY12" s="22">
        <v>7.8</v>
      </c>
      <c r="AZ12" s="22">
        <v>10.84</v>
      </c>
      <c r="BA12" s="22">
        <v>0</v>
      </c>
      <c r="BB12" s="22">
        <v>0.73</v>
      </c>
      <c r="BC12" s="22">
        <v>1</v>
      </c>
      <c r="BD12" s="22">
        <v>1.5</v>
      </c>
      <c r="BE12" s="22">
        <v>1.7</v>
      </c>
      <c r="BF12" s="22">
        <v>0</v>
      </c>
      <c r="BG12" s="24"/>
      <c r="BH12" s="35">
        <f t="shared" si="22"/>
        <v>2.1</v>
      </c>
      <c r="BI12" s="35">
        <f t="shared" si="23"/>
        <v>3.66</v>
      </c>
      <c r="BJ12" s="11">
        <f t="shared" si="24"/>
        <v>9.15</v>
      </c>
      <c r="BK12" s="11">
        <f t="shared" si="25"/>
        <v>7.8</v>
      </c>
      <c r="BL12" s="11">
        <f t="shared" si="26"/>
        <v>10.84</v>
      </c>
      <c r="BM12" s="11">
        <f t="shared" si="27"/>
        <v>30.29</v>
      </c>
      <c r="BN12" s="11">
        <f t="shared" si="28"/>
        <v>30.29</v>
      </c>
      <c r="BO12" s="11">
        <f t="shared" si="29"/>
        <v>1.5</v>
      </c>
      <c r="BP12" s="11">
        <f t="shared" si="30"/>
        <v>1.7</v>
      </c>
      <c r="BQ12" s="11">
        <f t="shared" si="31"/>
        <v>4.93</v>
      </c>
      <c r="BR12" s="11">
        <f t="shared" si="32"/>
        <v>35.22</v>
      </c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23"/>
      <c r="CI12" s="34" t="str">
        <f t="shared" si="33"/>
        <v/>
      </c>
      <c r="CJ12" s="34" t="str">
        <f t="shared" si="34"/>
        <v/>
      </c>
      <c r="CK12" s="36" t="str">
        <f t="shared" si="35"/>
        <v/>
      </c>
      <c r="CL12" s="36" t="str">
        <f t="shared" si="36"/>
        <v/>
      </c>
      <c r="CM12" s="36" t="str">
        <f t="shared" si="37"/>
        <v/>
      </c>
      <c r="CN12" s="36" t="str">
        <f t="shared" si="38"/>
        <v/>
      </c>
      <c r="CO12" s="36" t="str">
        <f t="shared" si="39"/>
        <v/>
      </c>
      <c r="CP12" s="36" t="str">
        <f t="shared" si="40"/>
        <v/>
      </c>
      <c r="CQ12" s="36" t="str">
        <f t="shared" si="41"/>
        <v/>
      </c>
      <c r="CR12" s="36" t="str">
        <f t="shared" si="42"/>
        <v/>
      </c>
      <c r="CS12" s="36" t="str">
        <f t="shared" si="43"/>
        <v/>
      </c>
      <c r="CT12" s="47" t="str">
        <f t="shared" si="44"/>
        <v/>
      </c>
      <c r="CU12" s="15"/>
      <c r="CV12" s="15"/>
      <c r="CW12" s="15"/>
      <c r="CX12" s="15"/>
      <c r="CY12" s="15"/>
      <c r="CZ12" s="15"/>
      <c r="DA12" s="15"/>
      <c r="DB12" s="15"/>
      <c r="DC12" s="15"/>
      <c r="DD12" s="15"/>
      <c r="DE12" s="15"/>
      <c r="DF12" s="15"/>
      <c r="DG12" s="15"/>
      <c r="DH12" s="15"/>
      <c r="DI12" s="15"/>
      <c r="DJ12" s="15"/>
      <c r="DK12" s="15"/>
      <c r="DL12" s="15"/>
      <c r="DM12" s="15"/>
      <c r="DN12" s="15"/>
      <c r="DO12" s="36" t="str">
        <f t="shared" si="45"/>
        <v/>
      </c>
      <c r="DP12" s="36" t="str">
        <f t="shared" si="46"/>
        <v/>
      </c>
      <c r="DQ12" s="36" t="str">
        <f t="shared" si="47"/>
        <v/>
      </c>
      <c r="DR12" s="36" t="str">
        <f t="shared" si="48"/>
        <v/>
      </c>
      <c r="DS12" s="36" t="str">
        <f t="shared" si="49"/>
        <v/>
      </c>
      <c r="DT12" s="36" t="str">
        <f t="shared" si="50"/>
        <v/>
      </c>
      <c r="DU12" s="36" t="str">
        <f t="shared" si="51"/>
        <v/>
      </c>
      <c r="DV12" s="36" t="str">
        <f t="shared" si="52"/>
        <v/>
      </c>
      <c r="DW12" s="36" t="str">
        <f t="shared" si="53"/>
        <v/>
      </c>
      <c r="DX12" s="36" t="str">
        <f t="shared" si="54"/>
        <v/>
      </c>
      <c r="DY12" s="36" t="str">
        <f t="shared" si="55"/>
        <v/>
      </c>
      <c r="DZ12" s="36" t="str">
        <f t="shared" si="56"/>
        <v/>
      </c>
      <c r="EA12" s="36" t="str">
        <f t="shared" si="57"/>
        <v/>
      </c>
      <c r="EB12" s="36" t="str">
        <f t="shared" si="58"/>
        <v/>
      </c>
      <c r="EC12" s="16"/>
      <c r="ED12" s="16"/>
      <c r="EE12" s="16"/>
      <c r="EF12" s="16"/>
      <c r="EG12" s="16"/>
      <c r="EH12" s="16"/>
      <c r="EI12" s="16"/>
      <c r="EJ12" s="16"/>
      <c r="EK12" s="16"/>
      <c r="EL12" s="16"/>
      <c r="EM12" s="16"/>
      <c r="EN12" s="16"/>
      <c r="EO12" s="16"/>
      <c r="EP12" s="16"/>
      <c r="EQ12" s="16"/>
      <c r="ER12" s="16"/>
      <c r="ES12" s="16"/>
      <c r="ET12" s="16"/>
      <c r="EU12" s="16"/>
      <c r="EV12" s="16"/>
      <c r="EW12" s="11" t="str">
        <f t="shared" si="59"/>
        <v/>
      </c>
      <c r="EX12" s="11" t="str">
        <f t="shared" si="60"/>
        <v/>
      </c>
      <c r="EY12" s="11" t="str">
        <f t="shared" si="61"/>
        <v/>
      </c>
      <c r="EZ12" s="11" t="str">
        <f t="shared" si="62"/>
        <v/>
      </c>
      <c r="FA12" s="11" t="str">
        <f t="shared" si="63"/>
        <v/>
      </c>
      <c r="FB12" s="11" t="str">
        <f t="shared" si="64"/>
        <v/>
      </c>
      <c r="FC12" s="11" t="str">
        <f t="shared" si="65"/>
        <v/>
      </c>
      <c r="FD12" s="11" t="str">
        <f t="shared" si="66"/>
        <v/>
      </c>
      <c r="FE12" s="11" t="str">
        <f t="shared" si="67"/>
        <v/>
      </c>
      <c r="FF12" s="11" t="str">
        <f t="shared" si="68"/>
        <v/>
      </c>
      <c r="FG12" s="11" t="str">
        <f t="shared" si="69"/>
        <v/>
      </c>
      <c r="FH12" s="11" t="str">
        <f t="shared" si="70"/>
        <v/>
      </c>
      <c r="FI12" s="11" t="str">
        <f t="shared" si="71"/>
        <v/>
      </c>
      <c r="FJ12" s="11" t="str">
        <f t="shared" si="72"/>
        <v/>
      </c>
      <c r="FK12" s="15"/>
      <c r="FL12" s="15"/>
      <c r="FM12" s="15"/>
      <c r="FN12" s="15"/>
      <c r="FO12" s="15"/>
      <c r="FP12" s="15"/>
      <c r="FQ12" s="15"/>
      <c r="FR12" s="15"/>
      <c r="FS12" s="15"/>
      <c r="FT12" s="15"/>
      <c r="FU12" s="15"/>
      <c r="FV12" s="15"/>
      <c r="FW12" s="15"/>
      <c r="FX12" s="15"/>
      <c r="FY12" s="15"/>
      <c r="FZ12" s="15"/>
      <c r="GA12" s="15"/>
      <c r="GB12" s="15"/>
      <c r="GC12" s="15"/>
      <c r="GD12" s="15"/>
      <c r="GE12" s="36" t="str">
        <f t="shared" si="73"/>
        <v/>
      </c>
      <c r="GF12" s="36" t="str">
        <f t="shared" si="74"/>
        <v/>
      </c>
      <c r="GG12" s="36" t="str">
        <f t="shared" si="75"/>
        <v/>
      </c>
      <c r="GH12" s="36" t="str">
        <f t="shared" si="76"/>
        <v/>
      </c>
      <c r="GI12" s="36" t="str">
        <f t="shared" si="77"/>
        <v/>
      </c>
      <c r="GJ12" s="36" t="str">
        <f t="shared" si="78"/>
        <v/>
      </c>
      <c r="GK12" s="36" t="str">
        <f t="shared" si="79"/>
        <v/>
      </c>
      <c r="GL12" s="36" t="str">
        <f t="shared" si="80"/>
        <v/>
      </c>
      <c r="GM12" s="36" t="str">
        <f t="shared" si="81"/>
        <v/>
      </c>
      <c r="GN12" s="36" t="str">
        <f t="shared" si="82"/>
        <v/>
      </c>
      <c r="GO12" s="36" t="str">
        <f t="shared" si="83"/>
        <v/>
      </c>
      <c r="GP12" s="36" t="str">
        <f t="shared" si="84"/>
        <v/>
      </c>
      <c r="GQ12" s="36" t="str">
        <f t="shared" si="85"/>
        <v/>
      </c>
      <c r="GR12" s="36" t="str">
        <f t="shared" si="86"/>
        <v/>
      </c>
      <c r="GS12" s="16"/>
      <c r="GT12" s="16"/>
      <c r="GU12" s="16"/>
      <c r="GV12" s="16"/>
      <c r="GW12" s="16"/>
      <c r="GX12" s="16"/>
      <c r="GY12" s="16"/>
      <c r="GZ12" s="16"/>
      <c r="HA12" s="16"/>
      <c r="HB12" s="16"/>
      <c r="HC12" s="16"/>
      <c r="HD12" s="16"/>
      <c r="HE12" s="16"/>
      <c r="HF12" s="16"/>
      <c r="HG12" s="16"/>
      <c r="HH12" s="16"/>
      <c r="HI12" s="16"/>
      <c r="HJ12" s="16"/>
      <c r="HK12" s="16"/>
      <c r="HL12" s="16"/>
      <c r="HM12" s="11" t="str">
        <f t="shared" si="87"/>
        <v/>
      </c>
      <c r="HN12" s="11" t="str">
        <f t="shared" si="88"/>
        <v/>
      </c>
      <c r="HO12" s="11" t="str">
        <f t="shared" si="89"/>
        <v/>
      </c>
      <c r="HP12" s="11" t="str">
        <f t="shared" si="90"/>
        <v/>
      </c>
      <c r="HQ12" s="11" t="str">
        <f t="shared" si="91"/>
        <v/>
      </c>
      <c r="HR12" s="11" t="str">
        <f t="shared" si="92"/>
        <v/>
      </c>
      <c r="HS12" s="11" t="str">
        <f t="shared" si="93"/>
        <v/>
      </c>
      <c r="HT12" s="11" t="str">
        <f t="shared" si="94"/>
        <v/>
      </c>
      <c r="HU12" s="11" t="str">
        <f t="shared" si="95"/>
        <v/>
      </c>
      <c r="HV12" s="11" t="str">
        <f t="shared" si="96"/>
        <v/>
      </c>
      <c r="HW12" s="11" t="str">
        <f t="shared" si="97"/>
        <v/>
      </c>
      <c r="HX12" s="11" t="str">
        <f t="shared" si="98"/>
        <v/>
      </c>
      <c r="HY12" s="11" t="str">
        <f t="shared" si="99"/>
        <v/>
      </c>
      <c r="HZ12" s="11" t="str">
        <f t="shared" si="100"/>
        <v/>
      </c>
      <c r="IA12" s="15"/>
      <c r="IB12" s="15"/>
      <c r="IC12" s="15"/>
      <c r="ID12" s="15"/>
      <c r="IE12" s="15"/>
      <c r="IF12" s="15"/>
      <c r="IG12" s="15"/>
      <c r="IH12" s="15"/>
      <c r="II12" s="15"/>
      <c r="IJ12" s="15"/>
      <c r="IK12" s="15"/>
      <c r="IL12" s="15"/>
      <c r="IM12" s="15"/>
      <c r="IN12" s="15"/>
      <c r="IO12" s="15"/>
      <c r="IP12" s="15"/>
      <c r="IQ12" s="15"/>
      <c r="IR12" s="15"/>
      <c r="IS12" s="15"/>
      <c r="IT12" s="15"/>
      <c r="IU12" s="36" t="str">
        <f t="shared" si="101"/>
        <v/>
      </c>
      <c r="IV12" s="36" t="str">
        <f t="shared" si="102"/>
        <v/>
      </c>
      <c r="IW12" s="36" t="str">
        <f t="shared" si="103"/>
        <v/>
      </c>
      <c r="IX12" s="36" t="str">
        <f t="shared" si="104"/>
        <v/>
      </c>
      <c r="IY12" s="36" t="str">
        <f t="shared" si="105"/>
        <v/>
      </c>
      <c r="IZ12" s="36" t="str">
        <f t="shared" si="106"/>
        <v/>
      </c>
      <c r="JA12" s="36" t="str">
        <f t="shared" si="107"/>
        <v/>
      </c>
      <c r="JB12" s="36" t="str">
        <f t="shared" si="108"/>
        <v/>
      </c>
      <c r="JC12" s="36" t="str">
        <f t="shared" si="109"/>
        <v/>
      </c>
      <c r="JD12" s="36" t="str">
        <f t="shared" si="110"/>
        <v/>
      </c>
      <c r="JE12" s="36" t="str">
        <f t="shared" si="111"/>
        <v/>
      </c>
      <c r="JF12" s="36" t="str">
        <f t="shared" si="112"/>
        <v/>
      </c>
      <c r="JG12" s="36" t="str">
        <f t="shared" si="113"/>
        <v/>
      </c>
      <c r="JH12" s="36" t="str">
        <f t="shared" si="114"/>
        <v/>
      </c>
      <c r="JI12" s="16"/>
      <c r="JJ12" s="16"/>
      <c r="JK12" s="16"/>
      <c r="JL12" s="16"/>
      <c r="JM12" s="16"/>
      <c r="JN12" s="16"/>
      <c r="JO12" s="16"/>
      <c r="JP12" s="16"/>
      <c r="JQ12" s="16"/>
      <c r="JR12" s="16"/>
      <c r="JS12" s="16"/>
      <c r="JT12" s="16"/>
      <c r="JU12" s="16"/>
      <c r="JV12" s="16"/>
      <c r="JW12" s="16"/>
      <c r="JX12" s="16"/>
      <c r="JY12" s="16"/>
      <c r="JZ12" s="16"/>
      <c r="KA12" s="16"/>
      <c r="KB12" s="16"/>
      <c r="KC12" s="11" t="str">
        <f t="shared" si="115"/>
        <v/>
      </c>
      <c r="KD12" s="11" t="str">
        <f t="shared" si="116"/>
        <v/>
      </c>
      <c r="KE12" s="11" t="str">
        <f t="shared" si="117"/>
        <v/>
      </c>
      <c r="KF12" s="11" t="str">
        <f t="shared" si="118"/>
        <v/>
      </c>
      <c r="KG12" s="11" t="str">
        <f t="shared" si="119"/>
        <v/>
      </c>
      <c r="KH12" s="11" t="str">
        <f t="shared" si="120"/>
        <v/>
      </c>
      <c r="KI12" s="11" t="str">
        <f t="shared" si="121"/>
        <v/>
      </c>
      <c r="KJ12" s="11" t="str">
        <f t="shared" si="122"/>
        <v/>
      </c>
      <c r="KK12" s="11" t="str">
        <f t="shared" si="123"/>
        <v/>
      </c>
      <c r="KL12" s="11" t="str">
        <f t="shared" si="124"/>
        <v/>
      </c>
      <c r="KM12" s="11" t="str">
        <f t="shared" si="125"/>
        <v/>
      </c>
      <c r="KN12" s="11" t="str">
        <f t="shared" si="126"/>
        <v/>
      </c>
      <c r="KO12" s="11" t="str">
        <f t="shared" si="127"/>
        <v/>
      </c>
      <c r="KP12" s="11" t="str">
        <f t="shared" si="128"/>
        <v/>
      </c>
      <c r="KQ12" s="15"/>
      <c r="KR12" s="15"/>
      <c r="KS12" s="15"/>
      <c r="KT12" s="15"/>
      <c r="KU12" s="15"/>
      <c r="KV12" s="15"/>
      <c r="KW12" s="15"/>
      <c r="KX12" s="15"/>
      <c r="KY12" s="15"/>
      <c r="KZ12" s="15"/>
      <c r="LA12" s="15"/>
      <c r="LB12" s="15"/>
      <c r="LC12" s="15"/>
      <c r="LD12" s="15"/>
      <c r="LE12" s="15"/>
      <c r="LF12" s="15"/>
      <c r="LG12" s="15"/>
      <c r="LH12" s="15"/>
      <c r="LI12" s="15"/>
      <c r="LJ12" s="15"/>
      <c r="LK12" s="36" t="str">
        <f t="shared" si="129"/>
        <v/>
      </c>
      <c r="LL12" s="36" t="str">
        <f t="shared" si="130"/>
        <v/>
      </c>
      <c r="LM12" s="36" t="str">
        <f t="shared" si="131"/>
        <v/>
      </c>
      <c r="LN12" s="36" t="str">
        <f t="shared" si="132"/>
        <v/>
      </c>
      <c r="LO12" s="36" t="str">
        <f t="shared" si="133"/>
        <v/>
      </c>
      <c r="LP12" s="36" t="str">
        <f t="shared" si="134"/>
        <v/>
      </c>
      <c r="LQ12" s="36" t="str">
        <f t="shared" si="135"/>
        <v/>
      </c>
      <c r="LR12" s="36" t="str">
        <f t="shared" si="136"/>
        <v/>
      </c>
      <c r="LS12" s="36" t="str">
        <f t="shared" si="137"/>
        <v/>
      </c>
      <c r="LT12" s="36" t="str">
        <f t="shared" si="138"/>
        <v/>
      </c>
      <c r="LU12" s="36" t="str">
        <f t="shared" si="139"/>
        <v/>
      </c>
      <c r="LV12" s="36" t="str">
        <f t="shared" si="140"/>
        <v/>
      </c>
      <c r="LW12" s="36" t="str">
        <f t="shared" si="141"/>
        <v/>
      </c>
      <c r="LX12" s="36" t="str">
        <f t="shared" si="142"/>
        <v/>
      </c>
      <c r="LY12" s="16"/>
      <c r="LZ12" s="16"/>
      <c r="MA12" s="16"/>
      <c r="MB12" s="16"/>
      <c r="MC12" s="16"/>
      <c r="MD12" s="16"/>
      <c r="ME12" s="16"/>
      <c r="MF12" s="16"/>
      <c r="MG12" s="16"/>
      <c r="MH12" s="16"/>
      <c r="MI12" s="16"/>
      <c r="MJ12" s="16"/>
      <c r="MK12" s="16"/>
      <c r="ML12" s="16"/>
      <c r="MM12" s="16"/>
      <c r="MN12" s="16"/>
      <c r="MO12" s="16"/>
      <c r="MP12" s="16"/>
      <c r="MQ12" s="16"/>
      <c r="MR12" s="16"/>
      <c r="MS12" s="11" t="str">
        <f t="shared" si="143"/>
        <v/>
      </c>
      <c r="MT12" s="11" t="str">
        <f t="shared" si="144"/>
        <v/>
      </c>
      <c r="MU12" s="11" t="str">
        <f t="shared" si="145"/>
        <v/>
      </c>
      <c r="MV12" s="11" t="str">
        <f t="shared" si="146"/>
        <v/>
      </c>
      <c r="MW12" s="11" t="str">
        <f t="shared" si="147"/>
        <v/>
      </c>
      <c r="MX12" s="11" t="str">
        <f t="shared" si="148"/>
        <v/>
      </c>
      <c r="MY12" s="11" t="str">
        <f t="shared" si="149"/>
        <v/>
      </c>
      <c r="MZ12" s="11" t="str">
        <f t="shared" si="150"/>
        <v/>
      </c>
      <c r="NA12" s="11" t="str">
        <f t="shared" si="151"/>
        <v/>
      </c>
      <c r="NB12" s="11" t="str">
        <f t="shared" si="152"/>
        <v/>
      </c>
      <c r="NC12" s="11" t="str">
        <f t="shared" si="153"/>
        <v/>
      </c>
      <c r="ND12" s="11" t="str">
        <f t="shared" si="154"/>
        <v/>
      </c>
      <c r="NE12" s="11" t="str">
        <f t="shared" si="155"/>
        <v/>
      </c>
      <c r="NF12" s="11" t="str">
        <f t="shared" si="156"/>
        <v/>
      </c>
      <c r="NG12" s="15"/>
      <c r="NH12" s="15"/>
      <c r="NI12" s="15"/>
      <c r="NJ12" s="15"/>
      <c r="NK12" s="15"/>
      <c r="NL12" s="15"/>
      <c r="NM12" s="15"/>
      <c r="NN12" s="15"/>
      <c r="NO12" s="15"/>
      <c r="NP12" s="15"/>
      <c r="NQ12" s="15"/>
      <c r="NR12" s="15"/>
      <c r="NS12" s="15"/>
      <c r="NT12" s="15"/>
      <c r="NU12" s="15"/>
      <c r="NV12" s="15"/>
      <c r="NW12" s="15"/>
      <c r="NX12" s="15"/>
      <c r="NY12" s="15"/>
      <c r="NZ12" s="15"/>
      <c r="OA12" s="36" t="str">
        <f t="shared" si="157"/>
        <v/>
      </c>
      <c r="OB12" s="36" t="str">
        <f t="shared" si="158"/>
        <v/>
      </c>
      <c r="OC12" s="36" t="str">
        <f t="shared" si="159"/>
        <v/>
      </c>
      <c r="OD12" s="36" t="str">
        <f t="shared" si="160"/>
        <v/>
      </c>
      <c r="OE12" s="36" t="str">
        <f t="shared" si="161"/>
        <v/>
      </c>
      <c r="OF12" s="36" t="str">
        <f t="shared" si="162"/>
        <v/>
      </c>
      <c r="OG12" s="36" t="str">
        <f t="shared" si="163"/>
        <v/>
      </c>
      <c r="OH12" s="36" t="str">
        <f t="shared" si="164"/>
        <v/>
      </c>
      <c r="OI12" s="36" t="str">
        <f t="shared" si="165"/>
        <v/>
      </c>
      <c r="OJ12" s="36" t="str">
        <f t="shared" si="166"/>
        <v/>
      </c>
      <c r="OK12" s="36" t="str">
        <f t="shared" si="167"/>
        <v/>
      </c>
      <c r="OL12" s="36" t="str">
        <f t="shared" si="168"/>
        <v/>
      </c>
      <c r="OM12" s="36" t="str">
        <f t="shared" si="169"/>
        <v/>
      </c>
      <c r="ON12" s="36" t="str">
        <f t="shared" si="170"/>
        <v/>
      </c>
      <c r="OO12" s="16"/>
      <c r="OP12" s="16"/>
      <c r="OQ12" s="16"/>
      <c r="OR12" s="16"/>
      <c r="OS12" s="16"/>
      <c r="OT12" s="16"/>
      <c r="OU12" s="16"/>
      <c r="OV12" s="16"/>
      <c r="OW12" s="16"/>
      <c r="OX12" s="16"/>
      <c r="OY12" s="16"/>
      <c r="OZ12" s="16"/>
      <c r="PA12" s="16"/>
      <c r="PB12" s="16"/>
      <c r="PC12" s="16"/>
      <c r="PD12" s="16"/>
      <c r="PE12" s="16"/>
      <c r="PF12" s="16"/>
      <c r="PG12" s="16"/>
      <c r="PH12" s="16"/>
      <c r="PI12" s="11" t="str">
        <f t="shared" si="171"/>
        <v/>
      </c>
      <c r="PJ12" s="11" t="str">
        <f t="shared" si="172"/>
        <v/>
      </c>
      <c r="PK12" s="11" t="str">
        <f t="shared" si="173"/>
        <v/>
      </c>
      <c r="PL12" s="11" t="str">
        <f t="shared" si="174"/>
        <v/>
      </c>
      <c r="PM12" s="11" t="str">
        <f t="shared" si="175"/>
        <v/>
      </c>
      <c r="PN12" s="11" t="str">
        <f t="shared" si="176"/>
        <v/>
      </c>
      <c r="PO12" s="11" t="str">
        <f t="shared" si="177"/>
        <v/>
      </c>
      <c r="PP12" s="11" t="str">
        <f t="shared" si="178"/>
        <v/>
      </c>
      <c r="PQ12" s="11" t="str">
        <f t="shared" si="179"/>
        <v/>
      </c>
      <c r="PR12" s="11" t="str">
        <f t="shared" si="180"/>
        <v/>
      </c>
      <c r="PS12" s="11" t="str">
        <f t="shared" si="181"/>
        <v/>
      </c>
      <c r="PT12" s="11" t="str">
        <f t="shared" si="182"/>
        <v/>
      </c>
      <c r="PU12" s="11" t="str">
        <f t="shared" si="183"/>
        <v/>
      </c>
      <c r="PV12" s="11" t="str">
        <f t="shared" si="184"/>
        <v/>
      </c>
      <c r="PW12" s="15"/>
      <c r="PX12" s="15"/>
      <c r="PY12" s="15"/>
      <c r="PZ12" s="15"/>
      <c r="QA12" s="15"/>
      <c r="QB12" s="15"/>
      <c r="QC12" s="15"/>
      <c r="QD12" s="15"/>
      <c r="QE12" s="15"/>
      <c r="QF12" s="15"/>
      <c r="QG12" s="15"/>
      <c r="QH12" s="15"/>
      <c r="QI12" s="15"/>
      <c r="QJ12" s="15"/>
      <c r="QK12" s="15"/>
      <c r="QL12" s="15"/>
      <c r="QM12" s="15"/>
      <c r="QN12" s="15"/>
      <c r="QO12" s="15"/>
      <c r="QP12" s="15"/>
      <c r="QQ12" s="36" t="str">
        <f t="shared" si="185"/>
        <v/>
      </c>
      <c r="QR12" s="36" t="str">
        <f t="shared" si="186"/>
        <v/>
      </c>
      <c r="QS12" s="36" t="str">
        <f t="shared" si="187"/>
        <v/>
      </c>
      <c r="QT12" s="36" t="str">
        <f t="shared" si="188"/>
        <v/>
      </c>
      <c r="QU12" s="36" t="str">
        <f t="shared" si="189"/>
        <v/>
      </c>
      <c r="QV12" s="36" t="str">
        <f t="shared" si="190"/>
        <v/>
      </c>
      <c r="QW12" s="36" t="str">
        <f t="shared" si="191"/>
        <v/>
      </c>
      <c r="QX12" s="36" t="str">
        <f t="shared" si="192"/>
        <v/>
      </c>
      <c r="QY12" s="36" t="str">
        <f t="shared" si="193"/>
        <v/>
      </c>
      <c r="QZ12" s="36" t="str">
        <f t="shared" si="194"/>
        <v/>
      </c>
      <c r="RA12" s="36" t="str">
        <f t="shared" si="195"/>
        <v/>
      </c>
      <c r="RB12" s="36" t="str">
        <f t="shared" si="196"/>
        <v/>
      </c>
      <c r="RC12" s="36" t="str">
        <f t="shared" si="197"/>
        <v/>
      </c>
      <c r="RD12" s="36" t="str">
        <f t="shared" si="198"/>
        <v/>
      </c>
      <c r="RE12" s="16"/>
      <c r="RF12" s="16"/>
      <c r="RG12" s="16"/>
      <c r="RH12" s="16"/>
      <c r="RI12" s="16"/>
      <c r="RJ12" s="16"/>
      <c r="RK12" s="16"/>
      <c r="RL12" s="16"/>
      <c r="RM12" s="16"/>
      <c r="RN12" s="16"/>
      <c r="RO12" s="16"/>
      <c r="RP12" s="16"/>
      <c r="RQ12" s="16"/>
      <c r="RR12" s="16"/>
      <c r="RS12" s="16"/>
      <c r="RT12" s="16"/>
      <c r="RU12" s="16"/>
      <c r="RV12" s="16"/>
      <c r="RW12" s="16"/>
      <c r="RX12" s="16"/>
      <c r="RY12" s="11" t="str">
        <f t="shared" si="199"/>
        <v/>
      </c>
      <c r="RZ12" s="11" t="str">
        <f t="shared" si="200"/>
        <v/>
      </c>
      <c r="SA12" s="11" t="str">
        <f t="shared" si="201"/>
        <v/>
      </c>
      <c r="SB12" s="11" t="str">
        <f t="shared" si="202"/>
        <v/>
      </c>
      <c r="SC12" s="11" t="str">
        <f t="shared" si="203"/>
        <v/>
      </c>
      <c r="SD12" s="11" t="str">
        <f t="shared" si="204"/>
        <v/>
      </c>
      <c r="SE12" s="11" t="str">
        <f t="shared" si="205"/>
        <v/>
      </c>
      <c r="SF12" s="11" t="str">
        <f t="shared" si="206"/>
        <v/>
      </c>
      <c r="SG12" s="11" t="str">
        <f t="shared" si="207"/>
        <v/>
      </c>
      <c r="SH12" s="11" t="str">
        <f t="shared" si="208"/>
        <v/>
      </c>
      <c r="SI12" s="11" t="str">
        <f t="shared" si="209"/>
        <v/>
      </c>
      <c r="SJ12" s="11" t="str">
        <f t="shared" si="210"/>
        <v/>
      </c>
      <c r="SK12" s="11" t="str">
        <f t="shared" si="211"/>
        <v/>
      </c>
      <c r="SL12" s="11" t="str">
        <f t="shared" si="212"/>
        <v/>
      </c>
      <c r="SM12" s="15"/>
      <c r="SN12" s="15"/>
      <c r="SO12" s="15"/>
      <c r="SP12" s="15"/>
      <c r="SQ12" s="15"/>
      <c r="SR12" s="15"/>
      <c r="SS12" s="15"/>
      <c r="ST12" s="15"/>
      <c r="SU12" s="15"/>
      <c r="SV12" s="15"/>
      <c r="SW12" s="15"/>
      <c r="SX12" s="15"/>
      <c r="SY12" s="15"/>
      <c r="SZ12" s="15"/>
      <c r="TA12" s="15"/>
      <c r="TB12" s="15"/>
      <c r="TC12" s="15"/>
      <c r="TD12" s="15"/>
      <c r="TE12" s="15"/>
      <c r="TF12" s="15"/>
      <c r="TG12" s="36" t="str">
        <f t="shared" si="213"/>
        <v/>
      </c>
      <c r="TH12" s="36" t="str">
        <f t="shared" si="214"/>
        <v/>
      </c>
      <c r="TI12" s="36" t="str">
        <f t="shared" si="215"/>
        <v/>
      </c>
      <c r="TJ12" s="36" t="str">
        <f t="shared" si="216"/>
        <v/>
      </c>
      <c r="TK12" s="36" t="str">
        <f t="shared" si="217"/>
        <v/>
      </c>
      <c r="TL12" s="36" t="str">
        <f t="shared" si="218"/>
        <v/>
      </c>
      <c r="TM12" s="36" t="str">
        <f t="shared" si="219"/>
        <v/>
      </c>
      <c r="TN12" s="36" t="str">
        <f t="shared" si="220"/>
        <v/>
      </c>
      <c r="TO12" s="36" t="str">
        <f t="shared" si="221"/>
        <v/>
      </c>
      <c r="TP12" s="36" t="str">
        <f t="shared" si="222"/>
        <v/>
      </c>
      <c r="TQ12" s="36" t="str">
        <f t="shared" si="223"/>
        <v/>
      </c>
      <c r="TR12" s="36" t="str">
        <f t="shared" si="224"/>
        <v/>
      </c>
      <c r="TS12" s="36" t="str">
        <f t="shared" si="225"/>
        <v/>
      </c>
      <c r="TT12" s="36" t="str">
        <f t="shared" si="226"/>
        <v/>
      </c>
      <c r="TU12" s="16"/>
      <c r="TV12" s="16"/>
      <c r="TW12" s="16"/>
      <c r="TX12" s="16"/>
      <c r="TY12" s="16"/>
      <c r="TZ12" s="16"/>
      <c r="UA12" s="16"/>
      <c r="UB12" s="16"/>
      <c r="UC12" s="16"/>
      <c r="UD12" s="16"/>
      <c r="UE12" s="16"/>
      <c r="UF12" s="16"/>
      <c r="UG12" s="16"/>
      <c r="UH12" s="16"/>
      <c r="UI12" s="16"/>
      <c r="UJ12" s="16"/>
      <c r="UK12" s="16"/>
      <c r="UL12" s="16"/>
      <c r="UM12" s="16"/>
      <c r="UN12" s="16"/>
      <c r="UO12" s="11" t="str">
        <f t="shared" si="227"/>
        <v/>
      </c>
      <c r="UP12" s="11" t="str">
        <f t="shared" si="228"/>
        <v/>
      </c>
      <c r="UQ12" s="11" t="str">
        <f t="shared" si="229"/>
        <v/>
      </c>
      <c r="UR12" s="11" t="str">
        <f t="shared" si="230"/>
        <v/>
      </c>
      <c r="US12" s="11" t="str">
        <f t="shared" si="231"/>
        <v/>
      </c>
      <c r="UT12" s="11" t="str">
        <f t="shared" si="232"/>
        <v/>
      </c>
      <c r="UU12" s="11" t="str">
        <f t="shared" si="233"/>
        <v/>
      </c>
      <c r="UV12" s="11" t="str">
        <f t="shared" si="234"/>
        <v/>
      </c>
      <c r="UW12" s="11" t="str">
        <f t="shared" si="235"/>
        <v/>
      </c>
      <c r="UX12" s="11" t="str">
        <f t="shared" si="236"/>
        <v/>
      </c>
      <c r="UY12" s="11" t="str">
        <f t="shared" si="237"/>
        <v/>
      </c>
      <c r="UZ12" s="11" t="str">
        <f t="shared" si="238"/>
        <v/>
      </c>
      <c r="VA12" s="11" t="str">
        <f t="shared" si="239"/>
        <v/>
      </c>
      <c r="VB12" s="11" t="str">
        <f t="shared" si="240"/>
        <v/>
      </c>
      <c r="VC12" s="15"/>
      <c r="VD12" s="15"/>
      <c r="VE12" s="15"/>
      <c r="VF12" s="15"/>
      <c r="VG12" s="15"/>
      <c r="VH12" s="15"/>
      <c r="VI12" s="15"/>
      <c r="VJ12" s="15"/>
      <c r="VK12" s="15"/>
      <c r="VL12" s="15"/>
      <c r="VM12" s="15"/>
      <c r="VN12" s="15"/>
      <c r="VO12" s="15"/>
      <c r="VP12" s="15"/>
      <c r="VQ12" s="15"/>
      <c r="VR12" s="15"/>
      <c r="VS12" s="15"/>
      <c r="VT12" s="15"/>
      <c r="VU12" s="15"/>
      <c r="VV12" s="15"/>
      <c r="VW12" s="36" t="str">
        <f t="shared" si="241"/>
        <v/>
      </c>
      <c r="VX12" s="36" t="str">
        <f t="shared" si="242"/>
        <v/>
      </c>
      <c r="VY12" s="36" t="str">
        <f t="shared" si="243"/>
        <v/>
      </c>
      <c r="VZ12" s="36" t="str">
        <f t="shared" si="244"/>
        <v/>
      </c>
      <c r="WA12" s="36" t="str">
        <f t="shared" si="245"/>
        <v/>
      </c>
      <c r="WB12" s="36" t="str">
        <f t="shared" si="246"/>
        <v/>
      </c>
      <c r="WC12" s="36" t="str">
        <f t="shared" si="247"/>
        <v/>
      </c>
      <c r="WD12" s="36" t="str">
        <f t="shared" si="248"/>
        <v/>
      </c>
      <c r="WE12" s="36" t="str">
        <f t="shared" si="249"/>
        <v/>
      </c>
      <c r="WF12" s="36" t="str">
        <f t="shared" si="250"/>
        <v/>
      </c>
      <c r="WG12" s="36" t="str">
        <f t="shared" si="251"/>
        <v/>
      </c>
      <c r="WH12" s="36" t="str">
        <f t="shared" si="252"/>
        <v/>
      </c>
      <c r="WI12" s="36" t="str">
        <f t="shared" si="253"/>
        <v/>
      </c>
      <c r="WJ12" s="36" t="str">
        <f t="shared" si="254"/>
        <v/>
      </c>
    </row>
    <row r="13" spans="1:608" x14ac:dyDescent="0.2">
      <c r="A13" s="4" cm="1">
        <f t="array" ref="A13">IF(AND(H13&lt;&gt;"",H13&lt;&gt;"No DD"),SUMPRODUCT((H$4:H$15&lt;&gt;"")*(H$4:H$15&lt;&gt;"No DD")*(E$4:E$15&gt;E13))+1,IF(H13="No DD",SUMPRODUCT((H$4:H$15="No DD")*(E$4:E$15&gt;E13))+1+SUMPRODUCT((H$4:H$15&lt;&gt;"")*(H$4:H$15&lt;&gt;"No DD")),""))</f>
        <v>9</v>
      </c>
      <c r="B13" s="5" t="s">
        <v>180</v>
      </c>
      <c r="C13" s="4" t="s">
        <v>131</v>
      </c>
      <c r="D13" s="4" t="s">
        <v>181</v>
      </c>
      <c r="E13" s="9">
        <f t="shared" si="0"/>
        <v>46.01</v>
      </c>
      <c r="F13" s="3" t="str">
        <f t="shared" si="1"/>
        <v/>
      </c>
      <c r="G13" s="3" t="str">
        <f t="shared" si="2"/>
        <v>P</v>
      </c>
      <c r="H13" s="32" t="str">
        <f t="shared" si="3"/>
        <v>No DD</v>
      </c>
      <c r="I13" s="3" t="str">
        <f t="shared" si="4"/>
        <v/>
      </c>
      <c r="J13" s="8">
        <f t="shared" si="5"/>
        <v>0</v>
      </c>
      <c r="K13" s="8" t="str">
        <f t="shared" si="6"/>
        <v/>
      </c>
      <c r="L13" s="8">
        <f>IFERROR(LARGE((AI13,AL13,AP13,BJ13,BM13,BQ13,CK13,CN13,CR13),2),0)</f>
        <v>0</v>
      </c>
      <c r="M13" s="8" t="str">
        <f t="shared" si="7"/>
        <v/>
      </c>
      <c r="N13" s="8">
        <f t="shared" si="8"/>
        <v>46.01</v>
      </c>
      <c r="O13" s="11" t="str">
        <f t="shared" si="9"/>
        <v>(Any)</v>
      </c>
      <c r="P13" s="8" t="str">
        <f t="shared" si="10"/>
        <v>2025 WAGC (Nov 16)</v>
      </c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23"/>
      <c r="AG13" s="34" t="str">
        <f t="shared" si="11"/>
        <v/>
      </c>
      <c r="AH13" s="34" t="str">
        <f t="shared" si="12"/>
        <v/>
      </c>
      <c r="AI13" s="36" t="str">
        <f t="shared" si="13"/>
        <v/>
      </c>
      <c r="AJ13" s="36" t="str">
        <f t="shared" si="14"/>
        <v/>
      </c>
      <c r="AK13" s="36" t="str">
        <f t="shared" si="15"/>
        <v/>
      </c>
      <c r="AL13" s="36" t="str">
        <f t="shared" si="16"/>
        <v/>
      </c>
      <c r="AM13" s="36" t="str">
        <f t="shared" si="17"/>
        <v/>
      </c>
      <c r="AN13" s="36" t="str">
        <f t="shared" si="18"/>
        <v/>
      </c>
      <c r="AO13" s="36" t="str">
        <f t="shared" si="19"/>
        <v/>
      </c>
      <c r="AP13" s="36" t="str">
        <f t="shared" si="20"/>
        <v/>
      </c>
      <c r="AQ13" s="36" t="str">
        <f t="shared" si="21"/>
        <v/>
      </c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4"/>
      <c r="BH13" s="35" t="str">
        <f t="shared" si="22"/>
        <v/>
      </c>
      <c r="BI13" s="35" t="str">
        <f t="shared" si="23"/>
        <v/>
      </c>
      <c r="BJ13" s="11" t="str">
        <f t="shared" si="24"/>
        <v/>
      </c>
      <c r="BK13" s="11" t="str">
        <f t="shared" si="25"/>
        <v/>
      </c>
      <c r="BL13" s="11" t="str">
        <f t="shared" si="26"/>
        <v/>
      </c>
      <c r="BM13" s="11" t="str">
        <f t="shared" si="27"/>
        <v/>
      </c>
      <c r="BN13" s="11" t="str">
        <f t="shared" si="28"/>
        <v/>
      </c>
      <c r="BO13" s="11" t="str">
        <f t="shared" si="29"/>
        <v/>
      </c>
      <c r="BP13" s="11" t="str">
        <f t="shared" si="30"/>
        <v/>
      </c>
      <c r="BQ13" s="11" t="str">
        <f t="shared" si="31"/>
        <v/>
      </c>
      <c r="BR13" s="11" t="str">
        <f t="shared" si="32"/>
        <v/>
      </c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  <c r="CF13" s="18"/>
      <c r="CG13" s="18"/>
      <c r="CH13" s="23"/>
      <c r="CI13" s="34" t="str">
        <f t="shared" si="33"/>
        <v/>
      </c>
      <c r="CJ13" s="34" t="str">
        <f t="shared" si="34"/>
        <v/>
      </c>
      <c r="CK13" s="36" t="str">
        <f t="shared" si="35"/>
        <v/>
      </c>
      <c r="CL13" s="36" t="str">
        <f t="shared" si="36"/>
        <v/>
      </c>
      <c r="CM13" s="36" t="str">
        <f t="shared" si="37"/>
        <v/>
      </c>
      <c r="CN13" s="36" t="str">
        <f t="shared" si="38"/>
        <v/>
      </c>
      <c r="CO13" s="36" t="str">
        <f t="shared" si="39"/>
        <v/>
      </c>
      <c r="CP13" s="36" t="str">
        <f t="shared" si="40"/>
        <v/>
      </c>
      <c r="CQ13" s="36" t="str">
        <f t="shared" si="41"/>
        <v/>
      </c>
      <c r="CR13" s="36" t="str">
        <f t="shared" si="42"/>
        <v/>
      </c>
      <c r="CS13" s="36" t="str">
        <f t="shared" si="43"/>
        <v/>
      </c>
      <c r="CT13" s="47">
        <f t="shared" si="44"/>
        <v>46.01</v>
      </c>
      <c r="CU13" s="15"/>
      <c r="CV13" s="15"/>
      <c r="CW13" s="15"/>
      <c r="CX13" s="15"/>
      <c r="CY13" s="15"/>
      <c r="CZ13" s="15"/>
      <c r="DA13" s="15"/>
      <c r="DB13" s="15"/>
      <c r="DC13" s="15"/>
      <c r="DD13" s="15"/>
      <c r="DE13" s="15"/>
      <c r="DF13" s="15"/>
      <c r="DG13" s="15"/>
      <c r="DH13" s="15"/>
      <c r="DI13" s="15"/>
      <c r="DJ13" s="15"/>
      <c r="DK13" s="15"/>
      <c r="DL13" s="15"/>
      <c r="DM13" s="15"/>
      <c r="DN13" s="15"/>
      <c r="DO13" s="36" t="str">
        <f t="shared" si="45"/>
        <v/>
      </c>
      <c r="DP13" s="36" t="str">
        <f t="shared" si="46"/>
        <v/>
      </c>
      <c r="DQ13" s="36" t="str">
        <f t="shared" si="47"/>
        <v/>
      </c>
      <c r="DR13" s="36" t="str">
        <f t="shared" si="48"/>
        <v/>
      </c>
      <c r="DS13" s="36" t="str">
        <f t="shared" si="49"/>
        <v/>
      </c>
      <c r="DT13" s="36" t="str">
        <f t="shared" si="50"/>
        <v/>
      </c>
      <c r="DU13" s="36" t="str">
        <f t="shared" si="51"/>
        <v/>
      </c>
      <c r="DV13" s="36" t="str">
        <f t="shared" si="52"/>
        <v/>
      </c>
      <c r="DW13" s="36" t="str">
        <f t="shared" si="53"/>
        <v/>
      </c>
      <c r="DX13" s="36" t="str">
        <f t="shared" si="54"/>
        <v/>
      </c>
      <c r="DY13" s="36" t="str">
        <f t="shared" si="55"/>
        <v/>
      </c>
      <c r="DZ13" s="36" t="str">
        <f t="shared" si="56"/>
        <v/>
      </c>
      <c r="EA13" s="36" t="str">
        <f t="shared" si="57"/>
        <v/>
      </c>
      <c r="EB13" s="36" t="str">
        <f t="shared" si="58"/>
        <v/>
      </c>
      <c r="EC13" s="16"/>
      <c r="ED13" s="16"/>
      <c r="EE13" s="16"/>
      <c r="EF13" s="16"/>
      <c r="EG13" s="16"/>
      <c r="EH13" s="16"/>
      <c r="EI13" s="16"/>
      <c r="EJ13" s="16"/>
      <c r="EK13" s="16"/>
      <c r="EL13" s="16"/>
      <c r="EM13" s="16"/>
      <c r="EN13" s="16"/>
      <c r="EO13" s="16"/>
      <c r="EP13" s="16"/>
      <c r="EQ13" s="16"/>
      <c r="ER13" s="16"/>
      <c r="ES13" s="16"/>
      <c r="ET13" s="16"/>
      <c r="EU13" s="16"/>
      <c r="EV13" s="16"/>
      <c r="EW13" s="11" t="str">
        <f t="shared" si="59"/>
        <v/>
      </c>
      <c r="EX13" s="11" t="str">
        <f t="shared" si="60"/>
        <v/>
      </c>
      <c r="EY13" s="11" t="str">
        <f t="shared" si="61"/>
        <v/>
      </c>
      <c r="EZ13" s="11" t="str">
        <f t="shared" si="62"/>
        <v/>
      </c>
      <c r="FA13" s="11" t="str">
        <f t="shared" si="63"/>
        <v/>
      </c>
      <c r="FB13" s="11" t="str">
        <f t="shared" si="64"/>
        <v/>
      </c>
      <c r="FC13" s="11" t="str">
        <f t="shared" si="65"/>
        <v/>
      </c>
      <c r="FD13" s="11" t="str">
        <f t="shared" si="66"/>
        <v/>
      </c>
      <c r="FE13" s="11" t="str">
        <f t="shared" si="67"/>
        <v/>
      </c>
      <c r="FF13" s="11" t="str">
        <f t="shared" si="68"/>
        <v/>
      </c>
      <c r="FG13" s="11" t="str">
        <f t="shared" si="69"/>
        <v/>
      </c>
      <c r="FH13" s="11" t="str">
        <f t="shared" si="70"/>
        <v/>
      </c>
      <c r="FI13" s="11" t="str">
        <f t="shared" si="71"/>
        <v/>
      </c>
      <c r="FJ13" s="11" t="str">
        <f t="shared" si="72"/>
        <v/>
      </c>
      <c r="FK13" s="15"/>
      <c r="FL13" s="15"/>
      <c r="FM13" s="15"/>
      <c r="FN13" s="15"/>
      <c r="FO13" s="15"/>
      <c r="FP13" s="15"/>
      <c r="FQ13" s="15"/>
      <c r="FR13" s="15"/>
      <c r="FS13" s="15"/>
      <c r="FT13" s="15"/>
      <c r="FU13" s="15"/>
      <c r="FV13" s="15"/>
      <c r="FW13" s="15"/>
      <c r="FX13" s="15"/>
      <c r="FY13" s="15"/>
      <c r="FZ13" s="15"/>
      <c r="GA13" s="15"/>
      <c r="GB13" s="15"/>
      <c r="GC13" s="15"/>
      <c r="GD13" s="15"/>
      <c r="GE13" s="36" t="str">
        <f t="shared" si="73"/>
        <v/>
      </c>
      <c r="GF13" s="36" t="str">
        <f t="shared" si="74"/>
        <v/>
      </c>
      <c r="GG13" s="36" t="str">
        <f t="shared" si="75"/>
        <v/>
      </c>
      <c r="GH13" s="36" t="str">
        <f t="shared" si="76"/>
        <v/>
      </c>
      <c r="GI13" s="36" t="str">
        <f t="shared" si="77"/>
        <v/>
      </c>
      <c r="GJ13" s="36" t="str">
        <f t="shared" si="78"/>
        <v/>
      </c>
      <c r="GK13" s="36" t="str">
        <f t="shared" si="79"/>
        <v/>
      </c>
      <c r="GL13" s="36" t="str">
        <f t="shared" si="80"/>
        <v/>
      </c>
      <c r="GM13" s="36" t="str">
        <f t="shared" si="81"/>
        <v/>
      </c>
      <c r="GN13" s="36" t="str">
        <f t="shared" si="82"/>
        <v/>
      </c>
      <c r="GO13" s="36" t="str">
        <f t="shared" si="83"/>
        <v/>
      </c>
      <c r="GP13" s="36" t="str">
        <f t="shared" si="84"/>
        <v/>
      </c>
      <c r="GQ13" s="36" t="str">
        <f t="shared" si="85"/>
        <v/>
      </c>
      <c r="GR13" s="36" t="str">
        <f t="shared" si="86"/>
        <v/>
      </c>
      <c r="GS13" s="16"/>
      <c r="GT13" s="16"/>
      <c r="GU13" s="16"/>
      <c r="GV13" s="16"/>
      <c r="GW13" s="16"/>
      <c r="GX13" s="16"/>
      <c r="GY13" s="16"/>
      <c r="GZ13" s="16"/>
      <c r="HA13" s="16"/>
      <c r="HB13" s="16"/>
      <c r="HC13" s="16"/>
      <c r="HD13" s="16"/>
      <c r="HE13" s="16"/>
      <c r="HF13" s="16"/>
      <c r="HG13" s="16"/>
      <c r="HH13" s="16"/>
      <c r="HI13" s="16"/>
      <c r="HJ13" s="16"/>
      <c r="HK13" s="16"/>
      <c r="HL13" s="16"/>
      <c r="HM13" s="11" t="str">
        <f t="shared" si="87"/>
        <v/>
      </c>
      <c r="HN13" s="11" t="str">
        <f t="shared" si="88"/>
        <v/>
      </c>
      <c r="HO13" s="11" t="str">
        <f t="shared" si="89"/>
        <v/>
      </c>
      <c r="HP13" s="11" t="str">
        <f t="shared" si="90"/>
        <v/>
      </c>
      <c r="HQ13" s="11" t="str">
        <f t="shared" si="91"/>
        <v/>
      </c>
      <c r="HR13" s="11" t="str">
        <f t="shared" si="92"/>
        <v/>
      </c>
      <c r="HS13" s="11" t="str">
        <f t="shared" si="93"/>
        <v/>
      </c>
      <c r="HT13" s="11" t="str">
        <f t="shared" si="94"/>
        <v/>
      </c>
      <c r="HU13" s="11" t="str">
        <f t="shared" si="95"/>
        <v/>
      </c>
      <c r="HV13" s="11" t="str">
        <f t="shared" si="96"/>
        <v/>
      </c>
      <c r="HW13" s="11" t="str">
        <f t="shared" si="97"/>
        <v/>
      </c>
      <c r="HX13" s="11" t="str">
        <f t="shared" si="98"/>
        <v/>
      </c>
      <c r="HY13" s="11" t="str">
        <f t="shared" si="99"/>
        <v/>
      </c>
      <c r="HZ13" s="11" t="str">
        <f t="shared" si="100"/>
        <v/>
      </c>
      <c r="IA13" s="15"/>
      <c r="IB13" s="15"/>
      <c r="IC13" s="15"/>
      <c r="ID13" s="15"/>
      <c r="IE13" s="15"/>
      <c r="IF13" s="15"/>
      <c r="IG13" s="15"/>
      <c r="IH13" s="15"/>
      <c r="II13" s="15"/>
      <c r="IJ13" s="15"/>
      <c r="IK13" s="15"/>
      <c r="IL13" s="15"/>
      <c r="IM13" s="15"/>
      <c r="IN13" s="15"/>
      <c r="IO13" s="15"/>
      <c r="IP13" s="15"/>
      <c r="IQ13" s="15"/>
      <c r="IR13" s="15"/>
      <c r="IS13" s="15"/>
      <c r="IT13" s="15"/>
      <c r="IU13" s="36" t="str">
        <f t="shared" si="101"/>
        <v/>
      </c>
      <c r="IV13" s="36" t="str">
        <f t="shared" si="102"/>
        <v/>
      </c>
      <c r="IW13" s="36" t="str">
        <f t="shared" si="103"/>
        <v/>
      </c>
      <c r="IX13" s="36" t="str">
        <f t="shared" si="104"/>
        <v/>
      </c>
      <c r="IY13" s="36" t="str">
        <f t="shared" si="105"/>
        <v/>
      </c>
      <c r="IZ13" s="36" t="str">
        <f t="shared" si="106"/>
        <v/>
      </c>
      <c r="JA13" s="36" t="str">
        <f t="shared" si="107"/>
        <v/>
      </c>
      <c r="JB13" s="36" t="str">
        <f t="shared" si="108"/>
        <v/>
      </c>
      <c r="JC13" s="36" t="str">
        <f t="shared" si="109"/>
        <v/>
      </c>
      <c r="JD13" s="36" t="str">
        <f t="shared" si="110"/>
        <v/>
      </c>
      <c r="JE13" s="36" t="str">
        <f t="shared" si="111"/>
        <v/>
      </c>
      <c r="JF13" s="36" t="str">
        <f t="shared" si="112"/>
        <v/>
      </c>
      <c r="JG13" s="36" t="str">
        <f t="shared" si="113"/>
        <v/>
      </c>
      <c r="JH13" s="36" t="str">
        <f t="shared" si="114"/>
        <v/>
      </c>
      <c r="JI13" s="16"/>
      <c r="JJ13" s="16"/>
      <c r="JK13" s="16"/>
      <c r="JL13" s="16"/>
      <c r="JM13" s="16"/>
      <c r="JN13" s="16"/>
      <c r="JO13" s="16"/>
      <c r="JP13" s="16"/>
      <c r="JQ13" s="16"/>
      <c r="JR13" s="16"/>
      <c r="JS13" s="16"/>
      <c r="JT13" s="16"/>
      <c r="JU13" s="16"/>
      <c r="JV13" s="16"/>
      <c r="JW13" s="16"/>
      <c r="JX13" s="16"/>
      <c r="JY13" s="16"/>
      <c r="JZ13" s="16"/>
      <c r="KA13" s="16"/>
      <c r="KB13" s="16"/>
      <c r="KC13" s="11" t="str">
        <f t="shared" si="115"/>
        <v/>
      </c>
      <c r="KD13" s="11" t="str">
        <f t="shared" si="116"/>
        <v/>
      </c>
      <c r="KE13" s="11" t="str">
        <f t="shared" si="117"/>
        <v/>
      </c>
      <c r="KF13" s="11" t="str">
        <f t="shared" si="118"/>
        <v/>
      </c>
      <c r="KG13" s="11" t="str">
        <f t="shared" si="119"/>
        <v/>
      </c>
      <c r="KH13" s="11" t="str">
        <f t="shared" si="120"/>
        <v/>
      </c>
      <c r="KI13" s="11" t="str">
        <f t="shared" si="121"/>
        <v/>
      </c>
      <c r="KJ13" s="11" t="str">
        <f t="shared" si="122"/>
        <v/>
      </c>
      <c r="KK13" s="11" t="str">
        <f t="shared" si="123"/>
        <v/>
      </c>
      <c r="KL13" s="11" t="str">
        <f t="shared" si="124"/>
        <v/>
      </c>
      <c r="KM13" s="11" t="str">
        <f t="shared" si="125"/>
        <v/>
      </c>
      <c r="KN13" s="11" t="str">
        <f t="shared" si="126"/>
        <v/>
      </c>
      <c r="KO13" s="11" t="str">
        <f t="shared" si="127"/>
        <v/>
      </c>
      <c r="KP13" s="11" t="str">
        <f t="shared" si="128"/>
        <v/>
      </c>
      <c r="KQ13" s="15"/>
      <c r="KR13" s="15"/>
      <c r="KS13" s="15"/>
      <c r="KT13" s="15"/>
      <c r="KU13" s="15"/>
      <c r="KV13" s="15"/>
      <c r="KW13" s="15"/>
      <c r="KX13" s="15"/>
      <c r="KY13" s="15"/>
      <c r="KZ13" s="15"/>
      <c r="LA13" s="15"/>
      <c r="LB13" s="15"/>
      <c r="LC13" s="15"/>
      <c r="LD13" s="15"/>
      <c r="LE13" s="15"/>
      <c r="LF13" s="15"/>
      <c r="LG13" s="15"/>
      <c r="LH13" s="15"/>
      <c r="LI13" s="15"/>
      <c r="LJ13" s="15"/>
      <c r="LK13" s="36" t="str">
        <f t="shared" si="129"/>
        <v/>
      </c>
      <c r="LL13" s="36" t="str">
        <f t="shared" si="130"/>
        <v/>
      </c>
      <c r="LM13" s="36" t="str">
        <f t="shared" si="131"/>
        <v/>
      </c>
      <c r="LN13" s="36" t="str">
        <f t="shared" si="132"/>
        <v/>
      </c>
      <c r="LO13" s="36" t="str">
        <f t="shared" si="133"/>
        <v/>
      </c>
      <c r="LP13" s="36" t="str">
        <f t="shared" si="134"/>
        <v/>
      </c>
      <c r="LQ13" s="36" t="str">
        <f t="shared" si="135"/>
        <v/>
      </c>
      <c r="LR13" s="36" t="str">
        <f t="shared" si="136"/>
        <v/>
      </c>
      <c r="LS13" s="36" t="str">
        <f t="shared" si="137"/>
        <v/>
      </c>
      <c r="LT13" s="36" t="str">
        <f t="shared" si="138"/>
        <v/>
      </c>
      <c r="LU13" s="36" t="str">
        <f t="shared" si="139"/>
        <v/>
      </c>
      <c r="LV13" s="36" t="str">
        <f t="shared" si="140"/>
        <v/>
      </c>
      <c r="LW13" s="36" t="str">
        <f t="shared" si="141"/>
        <v/>
      </c>
      <c r="LX13" s="36" t="str">
        <f t="shared" si="142"/>
        <v/>
      </c>
      <c r="LY13" s="16"/>
      <c r="LZ13" s="16"/>
      <c r="MA13" s="16"/>
      <c r="MB13" s="16"/>
      <c r="MC13" s="16"/>
      <c r="MD13" s="16"/>
      <c r="ME13" s="16"/>
      <c r="MF13" s="16"/>
      <c r="MG13" s="16"/>
      <c r="MH13" s="16"/>
      <c r="MI13" s="16"/>
      <c r="MJ13" s="16"/>
      <c r="MK13" s="16"/>
      <c r="ML13" s="16"/>
      <c r="MM13" s="16"/>
      <c r="MN13" s="16"/>
      <c r="MO13" s="16"/>
      <c r="MP13" s="16"/>
      <c r="MQ13" s="16"/>
      <c r="MR13" s="16"/>
      <c r="MS13" s="11" t="str">
        <f t="shared" si="143"/>
        <v/>
      </c>
      <c r="MT13" s="11" t="str">
        <f t="shared" si="144"/>
        <v/>
      </c>
      <c r="MU13" s="11" t="str">
        <f t="shared" si="145"/>
        <v/>
      </c>
      <c r="MV13" s="11" t="str">
        <f t="shared" si="146"/>
        <v/>
      </c>
      <c r="MW13" s="11" t="str">
        <f t="shared" si="147"/>
        <v/>
      </c>
      <c r="MX13" s="11" t="str">
        <f t="shared" si="148"/>
        <v/>
      </c>
      <c r="MY13" s="11" t="str">
        <f t="shared" si="149"/>
        <v/>
      </c>
      <c r="MZ13" s="11" t="str">
        <f t="shared" si="150"/>
        <v/>
      </c>
      <c r="NA13" s="11" t="str">
        <f t="shared" si="151"/>
        <v/>
      </c>
      <c r="NB13" s="11" t="str">
        <f t="shared" si="152"/>
        <v/>
      </c>
      <c r="NC13" s="11" t="str">
        <f t="shared" si="153"/>
        <v/>
      </c>
      <c r="ND13" s="11" t="str">
        <f t="shared" si="154"/>
        <v/>
      </c>
      <c r="NE13" s="11" t="str">
        <f t="shared" si="155"/>
        <v/>
      </c>
      <c r="NF13" s="11" t="str">
        <f t="shared" si="156"/>
        <v/>
      </c>
      <c r="NG13" s="15">
        <v>7.6</v>
      </c>
      <c r="NH13" s="15">
        <v>9.4499999999999993</v>
      </c>
      <c r="NI13" s="15">
        <v>9.6</v>
      </c>
      <c r="NJ13" s="15">
        <v>19.36</v>
      </c>
      <c r="NK13" s="15">
        <v>0</v>
      </c>
      <c r="NL13" s="15"/>
      <c r="NM13" s="15"/>
      <c r="NN13" s="15"/>
      <c r="NO13" s="15"/>
      <c r="NP13" s="15"/>
      <c r="NQ13" s="15"/>
      <c r="NR13" s="15"/>
      <c r="NS13" s="15"/>
      <c r="NT13" s="15"/>
      <c r="NU13" s="15"/>
      <c r="NV13" s="15"/>
      <c r="NW13" s="15"/>
      <c r="NX13" s="15"/>
      <c r="NY13" s="15"/>
      <c r="NZ13" s="15"/>
      <c r="OA13" s="36">
        <f t="shared" si="157"/>
        <v>9.6</v>
      </c>
      <c r="OB13" s="36">
        <f t="shared" si="158"/>
        <v>19.36</v>
      </c>
      <c r="OC13" s="36">
        <f t="shared" si="159"/>
        <v>46.01</v>
      </c>
      <c r="OD13" s="36" t="str">
        <f t="shared" si="160"/>
        <v/>
      </c>
      <c r="OE13" s="36" t="str">
        <f t="shared" si="161"/>
        <v/>
      </c>
      <c r="OF13" s="36" t="str">
        <f t="shared" si="162"/>
        <v/>
      </c>
      <c r="OG13" s="36">
        <f t="shared" si="163"/>
        <v>46.01</v>
      </c>
      <c r="OH13" s="36" t="str">
        <f t="shared" si="164"/>
        <v/>
      </c>
      <c r="OI13" s="36" t="str">
        <f t="shared" si="165"/>
        <v/>
      </c>
      <c r="OJ13" s="36" t="str">
        <f t="shared" si="166"/>
        <v/>
      </c>
      <c r="OK13" s="36" t="str">
        <f t="shared" si="167"/>
        <v/>
      </c>
      <c r="OL13" s="36" t="str">
        <f t="shared" si="168"/>
        <v/>
      </c>
      <c r="OM13" s="36" t="str">
        <f t="shared" si="169"/>
        <v/>
      </c>
      <c r="ON13" s="36">
        <f t="shared" si="170"/>
        <v>46.01</v>
      </c>
      <c r="OO13" s="16"/>
      <c r="OP13" s="16"/>
      <c r="OQ13" s="16"/>
      <c r="OR13" s="16"/>
      <c r="OS13" s="16"/>
      <c r="OT13" s="16"/>
      <c r="OU13" s="16"/>
      <c r="OV13" s="16"/>
      <c r="OW13" s="16"/>
      <c r="OX13" s="16"/>
      <c r="OY13" s="16"/>
      <c r="OZ13" s="16"/>
      <c r="PA13" s="16"/>
      <c r="PB13" s="16"/>
      <c r="PC13" s="16"/>
      <c r="PD13" s="16"/>
      <c r="PE13" s="16"/>
      <c r="PF13" s="16"/>
      <c r="PG13" s="16"/>
      <c r="PH13" s="16"/>
      <c r="PI13" s="11" t="str">
        <f t="shared" si="171"/>
        <v/>
      </c>
      <c r="PJ13" s="11" t="str">
        <f t="shared" si="172"/>
        <v/>
      </c>
      <c r="PK13" s="11" t="str">
        <f t="shared" si="173"/>
        <v/>
      </c>
      <c r="PL13" s="11" t="str">
        <f t="shared" si="174"/>
        <v/>
      </c>
      <c r="PM13" s="11" t="str">
        <f t="shared" si="175"/>
        <v/>
      </c>
      <c r="PN13" s="11" t="str">
        <f t="shared" si="176"/>
        <v/>
      </c>
      <c r="PO13" s="11" t="str">
        <f t="shared" si="177"/>
        <v/>
      </c>
      <c r="PP13" s="11" t="str">
        <f t="shared" si="178"/>
        <v/>
      </c>
      <c r="PQ13" s="11" t="str">
        <f t="shared" si="179"/>
        <v/>
      </c>
      <c r="PR13" s="11" t="str">
        <f t="shared" si="180"/>
        <v/>
      </c>
      <c r="PS13" s="11" t="str">
        <f t="shared" si="181"/>
        <v/>
      </c>
      <c r="PT13" s="11" t="str">
        <f t="shared" si="182"/>
        <v/>
      </c>
      <c r="PU13" s="11" t="str">
        <f t="shared" si="183"/>
        <v/>
      </c>
      <c r="PV13" s="11" t="str">
        <f t="shared" si="184"/>
        <v/>
      </c>
      <c r="PW13" s="15"/>
      <c r="PX13" s="15"/>
      <c r="PY13" s="15"/>
      <c r="PZ13" s="15"/>
      <c r="QA13" s="15"/>
      <c r="QB13" s="15"/>
      <c r="QC13" s="15"/>
      <c r="QD13" s="15"/>
      <c r="QE13" s="15"/>
      <c r="QF13" s="15"/>
      <c r="QG13" s="15"/>
      <c r="QH13" s="15"/>
      <c r="QI13" s="15"/>
      <c r="QJ13" s="15"/>
      <c r="QK13" s="15"/>
      <c r="QL13" s="15"/>
      <c r="QM13" s="15"/>
      <c r="QN13" s="15"/>
      <c r="QO13" s="15"/>
      <c r="QP13" s="15"/>
      <c r="QQ13" s="36" t="str">
        <f t="shared" si="185"/>
        <v/>
      </c>
      <c r="QR13" s="36" t="str">
        <f t="shared" si="186"/>
        <v/>
      </c>
      <c r="QS13" s="36" t="str">
        <f t="shared" si="187"/>
        <v/>
      </c>
      <c r="QT13" s="36" t="str">
        <f t="shared" si="188"/>
        <v/>
      </c>
      <c r="QU13" s="36" t="str">
        <f t="shared" si="189"/>
        <v/>
      </c>
      <c r="QV13" s="36" t="str">
        <f t="shared" si="190"/>
        <v/>
      </c>
      <c r="QW13" s="36" t="str">
        <f t="shared" si="191"/>
        <v/>
      </c>
      <c r="QX13" s="36" t="str">
        <f t="shared" si="192"/>
        <v/>
      </c>
      <c r="QY13" s="36" t="str">
        <f t="shared" si="193"/>
        <v/>
      </c>
      <c r="QZ13" s="36" t="str">
        <f t="shared" si="194"/>
        <v/>
      </c>
      <c r="RA13" s="36" t="str">
        <f t="shared" si="195"/>
        <v/>
      </c>
      <c r="RB13" s="36" t="str">
        <f t="shared" si="196"/>
        <v/>
      </c>
      <c r="RC13" s="36" t="str">
        <f t="shared" si="197"/>
        <v/>
      </c>
      <c r="RD13" s="36" t="str">
        <f t="shared" si="198"/>
        <v/>
      </c>
      <c r="RE13" s="16"/>
      <c r="RF13" s="16"/>
      <c r="RG13" s="16"/>
      <c r="RH13" s="16"/>
      <c r="RI13" s="16"/>
      <c r="RJ13" s="16"/>
      <c r="RK13" s="16"/>
      <c r="RL13" s="16"/>
      <c r="RM13" s="16"/>
      <c r="RN13" s="16"/>
      <c r="RO13" s="16"/>
      <c r="RP13" s="16"/>
      <c r="RQ13" s="16"/>
      <c r="RR13" s="16"/>
      <c r="RS13" s="16"/>
      <c r="RT13" s="16"/>
      <c r="RU13" s="16"/>
      <c r="RV13" s="16"/>
      <c r="RW13" s="16"/>
      <c r="RX13" s="16"/>
      <c r="RY13" s="11" t="str">
        <f t="shared" si="199"/>
        <v/>
      </c>
      <c r="RZ13" s="11" t="str">
        <f t="shared" si="200"/>
        <v/>
      </c>
      <c r="SA13" s="11" t="str">
        <f t="shared" si="201"/>
        <v/>
      </c>
      <c r="SB13" s="11" t="str">
        <f t="shared" si="202"/>
        <v/>
      </c>
      <c r="SC13" s="11" t="str">
        <f t="shared" si="203"/>
        <v/>
      </c>
      <c r="SD13" s="11" t="str">
        <f t="shared" si="204"/>
        <v/>
      </c>
      <c r="SE13" s="11" t="str">
        <f t="shared" si="205"/>
        <v/>
      </c>
      <c r="SF13" s="11" t="str">
        <f t="shared" si="206"/>
        <v/>
      </c>
      <c r="SG13" s="11" t="str">
        <f t="shared" si="207"/>
        <v/>
      </c>
      <c r="SH13" s="11" t="str">
        <f t="shared" si="208"/>
        <v/>
      </c>
      <c r="SI13" s="11" t="str">
        <f t="shared" si="209"/>
        <v/>
      </c>
      <c r="SJ13" s="11" t="str">
        <f t="shared" si="210"/>
        <v/>
      </c>
      <c r="SK13" s="11" t="str">
        <f t="shared" si="211"/>
        <v/>
      </c>
      <c r="SL13" s="11" t="str">
        <f t="shared" si="212"/>
        <v/>
      </c>
      <c r="SM13" s="15"/>
      <c r="SN13" s="15"/>
      <c r="SO13" s="15"/>
      <c r="SP13" s="15"/>
      <c r="SQ13" s="15"/>
      <c r="SR13" s="15"/>
      <c r="SS13" s="15"/>
      <c r="ST13" s="15"/>
      <c r="SU13" s="15"/>
      <c r="SV13" s="15"/>
      <c r="SW13" s="15"/>
      <c r="SX13" s="15"/>
      <c r="SY13" s="15"/>
      <c r="SZ13" s="15"/>
      <c r="TA13" s="15"/>
      <c r="TB13" s="15"/>
      <c r="TC13" s="15"/>
      <c r="TD13" s="15"/>
      <c r="TE13" s="15"/>
      <c r="TF13" s="15"/>
      <c r="TG13" s="36" t="str">
        <f t="shared" si="213"/>
        <v/>
      </c>
      <c r="TH13" s="36" t="str">
        <f t="shared" si="214"/>
        <v/>
      </c>
      <c r="TI13" s="36" t="str">
        <f t="shared" si="215"/>
        <v/>
      </c>
      <c r="TJ13" s="36" t="str">
        <f t="shared" si="216"/>
        <v/>
      </c>
      <c r="TK13" s="36" t="str">
        <f t="shared" si="217"/>
        <v/>
      </c>
      <c r="TL13" s="36" t="str">
        <f t="shared" si="218"/>
        <v/>
      </c>
      <c r="TM13" s="36" t="str">
        <f t="shared" si="219"/>
        <v/>
      </c>
      <c r="TN13" s="36" t="str">
        <f t="shared" si="220"/>
        <v/>
      </c>
      <c r="TO13" s="36" t="str">
        <f t="shared" si="221"/>
        <v/>
      </c>
      <c r="TP13" s="36" t="str">
        <f t="shared" si="222"/>
        <v/>
      </c>
      <c r="TQ13" s="36" t="str">
        <f t="shared" si="223"/>
        <v/>
      </c>
      <c r="TR13" s="36" t="str">
        <f t="shared" si="224"/>
        <v/>
      </c>
      <c r="TS13" s="36" t="str">
        <f t="shared" si="225"/>
        <v/>
      </c>
      <c r="TT13" s="36" t="str">
        <f t="shared" si="226"/>
        <v/>
      </c>
      <c r="TU13" s="16"/>
      <c r="TV13" s="16"/>
      <c r="TW13" s="16"/>
      <c r="TX13" s="16"/>
      <c r="TY13" s="16"/>
      <c r="TZ13" s="16"/>
      <c r="UA13" s="16"/>
      <c r="UB13" s="16"/>
      <c r="UC13" s="16"/>
      <c r="UD13" s="16"/>
      <c r="UE13" s="16"/>
      <c r="UF13" s="16"/>
      <c r="UG13" s="16"/>
      <c r="UH13" s="16"/>
      <c r="UI13" s="16"/>
      <c r="UJ13" s="16"/>
      <c r="UK13" s="16"/>
      <c r="UL13" s="16"/>
      <c r="UM13" s="16"/>
      <c r="UN13" s="16"/>
      <c r="UO13" s="11" t="str">
        <f t="shared" si="227"/>
        <v/>
      </c>
      <c r="UP13" s="11" t="str">
        <f t="shared" si="228"/>
        <v/>
      </c>
      <c r="UQ13" s="11" t="str">
        <f t="shared" si="229"/>
        <v/>
      </c>
      <c r="UR13" s="11" t="str">
        <f t="shared" si="230"/>
        <v/>
      </c>
      <c r="US13" s="11" t="str">
        <f t="shared" si="231"/>
        <v/>
      </c>
      <c r="UT13" s="11" t="str">
        <f t="shared" si="232"/>
        <v/>
      </c>
      <c r="UU13" s="11" t="str">
        <f t="shared" si="233"/>
        <v/>
      </c>
      <c r="UV13" s="11" t="str">
        <f t="shared" si="234"/>
        <v/>
      </c>
      <c r="UW13" s="11" t="str">
        <f t="shared" si="235"/>
        <v/>
      </c>
      <c r="UX13" s="11" t="str">
        <f t="shared" si="236"/>
        <v/>
      </c>
      <c r="UY13" s="11" t="str">
        <f t="shared" si="237"/>
        <v/>
      </c>
      <c r="UZ13" s="11" t="str">
        <f t="shared" si="238"/>
        <v/>
      </c>
      <c r="VA13" s="11" t="str">
        <f t="shared" si="239"/>
        <v/>
      </c>
      <c r="VB13" s="11" t="str">
        <f t="shared" si="240"/>
        <v/>
      </c>
      <c r="VC13" s="15"/>
      <c r="VD13" s="15"/>
      <c r="VE13" s="15"/>
      <c r="VF13" s="15"/>
      <c r="VG13" s="15"/>
      <c r="VH13" s="15"/>
      <c r="VI13" s="15"/>
      <c r="VJ13" s="15"/>
      <c r="VK13" s="15"/>
      <c r="VL13" s="15"/>
      <c r="VM13" s="15"/>
      <c r="VN13" s="15"/>
      <c r="VO13" s="15"/>
      <c r="VP13" s="15"/>
      <c r="VQ13" s="15"/>
      <c r="VR13" s="15"/>
      <c r="VS13" s="15"/>
      <c r="VT13" s="15"/>
      <c r="VU13" s="15"/>
      <c r="VV13" s="15"/>
      <c r="VW13" s="36" t="str">
        <f t="shared" si="241"/>
        <v/>
      </c>
      <c r="VX13" s="36" t="str">
        <f t="shared" si="242"/>
        <v/>
      </c>
      <c r="VY13" s="36" t="str">
        <f t="shared" si="243"/>
        <v/>
      </c>
      <c r="VZ13" s="36" t="str">
        <f t="shared" si="244"/>
        <v/>
      </c>
      <c r="WA13" s="36" t="str">
        <f t="shared" si="245"/>
        <v/>
      </c>
      <c r="WB13" s="36" t="str">
        <f t="shared" si="246"/>
        <v/>
      </c>
      <c r="WC13" s="36" t="str">
        <f t="shared" si="247"/>
        <v/>
      </c>
      <c r="WD13" s="36" t="str">
        <f t="shared" si="248"/>
        <v/>
      </c>
      <c r="WE13" s="36" t="str">
        <f t="shared" si="249"/>
        <v/>
      </c>
      <c r="WF13" s="36" t="str">
        <f t="shared" si="250"/>
        <v/>
      </c>
      <c r="WG13" s="36" t="str">
        <f t="shared" si="251"/>
        <v/>
      </c>
      <c r="WH13" s="36" t="str">
        <f t="shared" si="252"/>
        <v/>
      </c>
      <c r="WI13" s="36" t="str">
        <f t="shared" si="253"/>
        <v/>
      </c>
      <c r="WJ13" s="36" t="str">
        <f t="shared" si="254"/>
        <v/>
      </c>
    </row>
    <row r="14" spans="1:608" x14ac:dyDescent="0.2">
      <c r="A14" s="4" cm="1">
        <f t="array" ref="A14">IF(AND(H14&lt;&gt;"",H14&lt;&gt;"No DD"),SUMPRODUCT((H$4:H$15&lt;&gt;"")*(H$4:H$15&lt;&gt;"No DD")*(E$4:E$15&gt;E14))+1,IF(H14="No DD",SUMPRODUCT((H$4:H$15="No DD")*(E$4:E$15&gt;E14))+1+SUMPRODUCT((H$4:H$15&lt;&gt;"")*(H$4:H$15&lt;&gt;"No DD")),""))</f>
        <v>10</v>
      </c>
      <c r="B14" s="5" t="s">
        <v>142</v>
      </c>
      <c r="C14" s="4" t="s">
        <v>143</v>
      </c>
      <c r="D14" s="4" t="s">
        <v>144</v>
      </c>
      <c r="E14" s="9">
        <f t="shared" si="0"/>
        <v>44.92</v>
      </c>
      <c r="F14" s="3" t="str">
        <f t="shared" si="1"/>
        <v/>
      </c>
      <c r="G14" s="3" t="str">
        <f t="shared" si="2"/>
        <v>P</v>
      </c>
      <c r="H14" s="32" t="str">
        <f t="shared" si="3"/>
        <v>No DD</v>
      </c>
      <c r="I14" s="3" t="str">
        <f t="shared" si="4"/>
        <v/>
      </c>
      <c r="J14" s="8">
        <f t="shared" si="5"/>
        <v>0</v>
      </c>
      <c r="K14" s="8" t="str">
        <f t="shared" si="6"/>
        <v/>
      </c>
      <c r="L14" s="8">
        <f>IFERROR(LARGE((AI14,AL14,AP14,BJ14,BM14,BQ14,CK14,CN14,CR14),2),0)</f>
        <v>0</v>
      </c>
      <c r="M14" s="8" t="str">
        <f t="shared" si="7"/>
        <v/>
      </c>
      <c r="N14" s="8">
        <f t="shared" si="8"/>
        <v>44.92</v>
      </c>
      <c r="O14" s="11" t="str">
        <f t="shared" si="9"/>
        <v>(Any)</v>
      </c>
      <c r="P14" s="8" t="str">
        <f t="shared" si="10"/>
        <v>2025 Pan Am Championships (May 18)</v>
      </c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23"/>
      <c r="AG14" s="34" t="str">
        <f t="shared" si="11"/>
        <v/>
      </c>
      <c r="AH14" s="34" t="str">
        <f t="shared" si="12"/>
        <v/>
      </c>
      <c r="AI14" s="36" t="str">
        <f t="shared" si="13"/>
        <v/>
      </c>
      <c r="AJ14" s="36" t="str">
        <f t="shared" si="14"/>
        <v/>
      </c>
      <c r="AK14" s="36" t="str">
        <f t="shared" si="15"/>
        <v/>
      </c>
      <c r="AL14" s="36" t="str">
        <f t="shared" si="16"/>
        <v/>
      </c>
      <c r="AM14" s="36" t="str">
        <f t="shared" si="17"/>
        <v/>
      </c>
      <c r="AN14" s="36" t="str">
        <f t="shared" si="18"/>
        <v/>
      </c>
      <c r="AO14" s="36" t="str">
        <f t="shared" si="19"/>
        <v/>
      </c>
      <c r="AP14" s="36" t="str">
        <f t="shared" si="20"/>
        <v/>
      </c>
      <c r="AQ14" s="36" t="str">
        <f t="shared" si="21"/>
        <v/>
      </c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4"/>
      <c r="BH14" s="35" t="str">
        <f t="shared" si="22"/>
        <v/>
      </c>
      <c r="BI14" s="35" t="str">
        <f t="shared" si="23"/>
        <v/>
      </c>
      <c r="BJ14" s="11" t="str">
        <f t="shared" si="24"/>
        <v/>
      </c>
      <c r="BK14" s="11" t="str">
        <f t="shared" si="25"/>
        <v/>
      </c>
      <c r="BL14" s="11" t="str">
        <f t="shared" si="26"/>
        <v/>
      </c>
      <c r="BM14" s="11" t="str">
        <f t="shared" si="27"/>
        <v/>
      </c>
      <c r="BN14" s="11" t="str">
        <f t="shared" si="28"/>
        <v/>
      </c>
      <c r="BO14" s="11" t="str">
        <f t="shared" si="29"/>
        <v/>
      </c>
      <c r="BP14" s="11" t="str">
        <f t="shared" si="30"/>
        <v/>
      </c>
      <c r="BQ14" s="11" t="str">
        <f t="shared" si="31"/>
        <v/>
      </c>
      <c r="BR14" s="11" t="str">
        <f t="shared" si="32"/>
        <v/>
      </c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23"/>
      <c r="CI14" s="34" t="str">
        <f t="shared" si="33"/>
        <v/>
      </c>
      <c r="CJ14" s="34" t="str">
        <f t="shared" si="34"/>
        <v/>
      </c>
      <c r="CK14" s="36" t="str">
        <f t="shared" si="35"/>
        <v/>
      </c>
      <c r="CL14" s="36" t="str">
        <f t="shared" si="36"/>
        <v/>
      </c>
      <c r="CM14" s="36" t="str">
        <f t="shared" si="37"/>
        <v/>
      </c>
      <c r="CN14" s="36" t="str">
        <f t="shared" si="38"/>
        <v/>
      </c>
      <c r="CO14" s="36" t="str">
        <f t="shared" si="39"/>
        <v/>
      </c>
      <c r="CP14" s="36" t="str">
        <f t="shared" si="40"/>
        <v/>
      </c>
      <c r="CQ14" s="36" t="str">
        <f t="shared" si="41"/>
        <v/>
      </c>
      <c r="CR14" s="36" t="str">
        <f t="shared" si="42"/>
        <v/>
      </c>
      <c r="CS14" s="36" t="str">
        <f t="shared" si="43"/>
        <v/>
      </c>
      <c r="CT14" s="47">
        <f t="shared" si="44"/>
        <v>44.92</v>
      </c>
      <c r="CU14" s="15"/>
      <c r="CV14" s="15"/>
      <c r="CW14" s="15"/>
      <c r="CX14" s="15"/>
      <c r="CY14" s="15"/>
      <c r="CZ14" s="15"/>
      <c r="DA14" s="15"/>
      <c r="DB14" s="15"/>
      <c r="DC14" s="15"/>
      <c r="DD14" s="15"/>
      <c r="DE14" s="15"/>
      <c r="DF14" s="15"/>
      <c r="DG14" s="15"/>
      <c r="DH14" s="15"/>
      <c r="DI14" s="15"/>
      <c r="DJ14" s="15"/>
      <c r="DK14" s="15"/>
      <c r="DL14" s="15"/>
      <c r="DM14" s="15"/>
      <c r="DN14" s="15"/>
      <c r="DO14" s="36" t="str">
        <f t="shared" si="45"/>
        <v/>
      </c>
      <c r="DP14" s="36" t="str">
        <f t="shared" si="46"/>
        <v/>
      </c>
      <c r="DQ14" s="36" t="str">
        <f t="shared" si="47"/>
        <v/>
      </c>
      <c r="DR14" s="36" t="str">
        <f t="shared" si="48"/>
        <v/>
      </c>
      <c r="DS14" s="36" t="str">
        <f t="shared" si="49"/>
        <v/>
      </c>
      <c r="DT14" s="36" t="str">
        <f t="shared" si="50"/>
        <v/>
      </c>
      <c r="DU14" s="36" t="str">
        <f t="shared" si="51"/>
        <v/>
      </c>
      <c r="DV14" s="36" t="str">
        <f t="shared" si="52"/>
        <v/>
      </c>
      <c r="DW14" s="36" t="str">
        <f t="shared" si="53"/>
        <v/>
      </c>
      <c r="DX14" s="36" t="str">
        <f t="shared" si="54"/>
        <v/>
      </c>
      <c r="DY14" s="36" t="str">
        <f t="shared" si="55"/>
        <v/>
      </c>
      <c r="DZ14" s="36" t="str">
        <f t="shared" si="56"/>
        <v/>
      </c>
      <c r="EA14" s="36" t="str">
        <f t="shared" si="57"/>
        <v/>
      </c>
      <c r="EB14" s="36" t="str">
        <f t="shared" si="58"/>
        <v/>
      </c>
      <c r="EC14" s="16">
        <v>5.5</v>
      </c>
      <c r="ED14" s="16">
        <v>6.6</v>
      </c>
      <c r="EE14" s="16">
        <v>7.2</v>
      </c>
      <c r="EF14" s="16">
        <v>11.7</v>
      </c>
      <c r="EG14" s="16">
        <v>0</v>
      </c>
      <c r="EH14" s="16">
        <v>7.2</v>
      </c>
      <c r="EI14" s="16">
        <v>9.3000000000000007</v>
      </c>
      <c r="EJ14" s="16">
        <v>10.9</v>
      </c>
      <c r="EK14" s="16">
        <v>17.5</v>
      </c>
      <c r="EL14" s="16">
        <v>0</v>
      </c>
      <c r="EM14" s="16"/>
      <c r="EN14" s="16"/>
      <c r="EO14" s="16"/>
      <c r="EP14" s="16"/>
      <c r="EQ14" s="16"/>
      <c r="ER14" s="16">
        <v>7.55</v>
      </c>
      <c r="ES14" s="16">
        <v>9.15</v>
      </c>
      <c r="ET14" s="16">
        <v>10.9</v>
      </c>
      <c r="EU14" s="16">
        <v>17.32</v>
      </c>
      <c r="EV14" s="16">
        <v>0</v>
      </c>
      <c r="EW14" s="11">
        <f t="shared" si="59"/>
        <v>7.2</v>
      </c>
      <c r="EX14" s="11">
        <f t="shared" si="60"/>
        <v>11.7</v>
      </c>
      <c r="EY14" s="11">
        <f t="shared" si="61"/>
        <v>31</v>
      </c>
      <c r="EZ14" s="11">
        <f t="shared" si="62"/>
        <v>10.9</v>
      </c>
      <c r="FA14" s="11">
        <f t="shared" si="63"/>
        <v>17.5</v>
      </c>
      <c r="FB14" s="11">
        <f t="shared" si="64"/>
        <v>44.9</v>
      </c>
      <c r="FC14" s="11">
        <f t="shared" si="65"/>
        <v>44.9</v>
      </c>
      <c r="FD14" s="11" t="str">
        <f t="shared" si="66"/>
        <v/>
      </c>
      <c r="FE14" s="11" t="str">
        <f t="shared" si="67"/>
        <v/>
      </c>
      <c r="FF14" s="11" t="str">
        <f t="shared" si="68"/>
        <v/>
      </c>
      <c r="FG14" s="11">
        <f t="shared" si="69"/>
        <v>10.9</v>
      </c>
      <c r="FH14" s="11">
        <f t="shared" si="70"/>
        <v>17.32</v>
      </c>
      <c r="FI14" s="11">
        <f t="shared" si="71"/>
        <v>44.92</v>
      </c>
      <c r="FJ14" s="11">
        <f t="shared" si="72"/>
        <v>89.82</v>
      </c>
      <c r="FK14" s="15"/>
      <c r="FL14" s="15"/>
      <c r="FM14" s="15"/>
      <c r="FN14" s="15"/>
      <c r="FO14" s="15"/>
      <c r="FP14" s="15"/>
      <c r="FQ14" s="15"/>
      <c r="FR14" s="15"/>
      <c r="FS14" s="15"/>
      <c r="FT14" s="15"/>
      <c r="FU14" s="15"/>
      <c r="FV14" s="15"/>
      <c r="FW14" s="15"/>
      <c r="FX14" s="15"/>
      <c r="FY14" s="15"/>
      <c r="FZ14" s="15"/>
      <c r="GA14" s="15"/>
      <c r="GB14" s="15"/>
      <c r="GC14" s="15"/>
      <c r="GD14" s="15"/>
      <c r="GE14" s="36" t="str">
        <f t="shared" si="73"/>
        <v/>
      </c>
      <c r="GF14" s="36" t="str">
        <f t="shared" si="74"/>
        <v/>
      </c>
      <c r="GG14" s="36" t="str">
        <f t="shared" si="75"/>
        <v/>
      </c>
      <c r="GH14" s="36" t="str">
        <f t="shared" si="76"/>
        <v/>
      </c>
      <c r="GI14" s="36" t="str">
        <f t="shared" si="77"/>
        <v/>
      </c>
      <c r="GJ14" s="36" t="str">
        <f t="shared" si="78"/>
        <v/>
      </c>
      <c r="GK14" s="36" t="str">
        <f t="shared" si="79"/>
        <v/>
      </c>
      <c r="GL14" s="36" t="str">
        <f t="shared" si="80"/>
        <v/>
      </c>
      <c r="GM14" s="36" t="str">
        <f t="shared" si="81"/>
        <v/>
      </c>
      <c r="GN14" s="36" t="str">
        <f t="shared" si="82"/>
        <v/>
      </c>
      <c r="GO14" s="36" t="str">
        <f t="shared" si="83"/>
        <v/>
      </c>
      <c r="GP14" s="36" t="str">
        <f t="shared" si="84"/>
        <v/>
      </c>
      <c r="GQ14" s="36" t="str">
        <f t="shared" si="85"/>
        <v/>
      </c>
      <c r="GR14" s="36" t="str">
        <f t="shared" si="86"/>
        <v/>
      </c>
      <c r="GS14" s="16"/>
      <c r="GT14" s="16"/>
      <c r="GU14" s="16"/>
      <c r="GV14" s="16"/>
      <c r="GW14" s="16"/>
      <c r="GX14" s="16"/>
      <c r="GY14" s="16"/>
      <c r="GZ14" s="16"/>
      <c r="HA14" s="16"/>
      <c r="HB14" s="16"/>
      <c r="HC14" s="16"/>
      <c r="HD14" s="16"/>
      <c r="HE14" s="16"/>
      <c r="HF14" s="16"/>
      <c r="HG14" s="16"/>
      <c r="HH14" s="16"/>
      <c r="HI14" s="16"/>
      <c r="HJ14" s="16"/>
      <c r="HK14" s="16"/>
      <c r="HL14" s="16"/>
      <c r="HM14" s="11" t="str">
        <f t="shared" si="87"/>
        <v/>
      </c>
      <c r="HN14" s="11" t="str">
        <f t="shared" si="88"/>
        <v/>
      </c>
      <c r="HO14" s="11" t="str">
        <f t="shared" si="89"/>
        <v/>
      </c>
      <c r="HP14" s="11" t="str">
        <f t="shared" si="90"/>
        <v/>
      </c>
      <c r="HQ14" s="11" t="str">
        <f t="shared" si="91"/>
        <v/>
      </c>
      <c r="HR14" s="11" t="str">
        <f t="shared" si="92"/>
        <v/>
      </c>
      <c r="HS14" s="11" t="str">
        <f t="shared" si="93"/>
        <v/>
      </c>
      <c r="HT14" s="11" t="str">
        <f t="shared" si="94"/>
        <v/>
      </c>
      <c r="HU14" s="11" t="str">
        <f t="shared" si="95"/>
        <v/>
      </c>
      <c r="HV14" s="11" t="str">
        <f t="shared" si="96"/>
        <v/>
      </c>
      <c r="HW14" s="11" t="str">
        <f t="shared" si="97"/>
        <v/>
      </c>
      <c r="HX14" s="11" t="str">
        <f t="shared" si="98"/>
        <v/>
      </c>
      <c r="HY14" s="11" t="str">
        <f t="shared" si="99"/>
        <v/>
      </c>
      <c r="HZ14" s="11" t="str">
        <f t="shared" si="100"/>
        <v/>
      </c>
      <c r="IA14" s="15"/>
      <c r="IB14" s="15"/>
      <c r="IC14" s="15"/>
      <c r="ID14" s="15"/>
      <c r="IE14" s="15"/>
      <c r="IF14" s="15"/>
      <c r="IG14" s="15"/>
      <c r="IH14" s="15"/>
      <c r="II14" s="15"/>
      <c r="IJ14" s="15"/>
      <c r="IK14" s="15"/>
      <c r="IL14" s="15"/>
      <c r="IM14" s="15"/>
      <c r="IN14" s="15"/>
      <c r="IO14" s="15"/>
      <c r="IP14" s="15"/>
      <c r="IQ14" s="15"/>
      <c r="IR14" s="15"/>
      <c r="IS14" s="15"/>
      <c r="IT14" s="15"/>
      <c r="IU14" s="36" t="str">
        <f t="shared" si="101"/>
        <v/>
      </c>
      <c r="IV14" s="36" t="str">
        <f t="shared" si="102"/>
        <v/>
      </c>
      <c r="IW14" s="36" t="str">
        <f t="shared" si="103"/>
        <v/>
      </c>
      <c r="IX14" s="36" t="str">
        <f t="shared" si="104"/>
        <v/>
      </c>
      <c r="IY14" s="36" t="str">
        <f t="shared" si="105"/>
        <v/>
      </c>
      <c r="IZ14" s="36" t="str">
        <f t="shared" si="106"/>
        <v/>
      </c>
      <c r="JA14" s="36" t="str">
        <f t="shared" si="107"/>
        <v/>
      </c>
      <c r="JB14" s="36" t="str">
        <f t="shared" si="108"/>
        <v/>
      </c>
      <c r="JC14" s="36" t="str">
        <f t="shared" si="109"/>
        <v/>
      </c>
      <c r="JD14" s="36" t="str">
        <f t="shared" si="110"/>
        <v/>
      </c>
      <c r="JE14" s="36" t="str">
        <f t="shared" si="111"/>
        <v/>
      </c>
      <c r="JF14" s="36" t="str">
        <f t="shared" si="112"/>
        <v/>
      </c>
      <c r="JG14" s="36" t="str">
        <f t="shared" si="113"/>
        <v/>
      </c>
      <c r="JH14" s="36" t="str">
        <f t="shared" si="114"/>
        <v/>
      </c>
      <c r="JI14" s="16"/>
      <c r="JJ14" s="16"/>
      <c r="JK14" s="16"/>
      <c r="JL14" s="16"/>
      <c r="JM14" s="16"/>
      <c r="JN14" s="16"/>
      <c r="JO14" s="16"/>
      <c r="JP14" s="16"/>
      <c r="JQ14" s="16"/>
      <c r="JR14" s="16"/>
      <c r="JS14" s="16"/>
      <c r="JT14" s="16"/>
      <c r="JU14" s="16"/>
      <c r="JV14" s="16"/>
      <c r="JW14" s="16"/>
      <c r="JX14" s="16"/>
      <c r="JY14" s="16"/>
      <c r="JZ14" s="16"/>
      <c r="KA14" s="16"/>
      <c r="KB14" s="16"/>
      <c r="KC14" s="11" t="str">
        <f t="shared" si="115"/>
        <v/>
      </c>
      <c r="KD14" s="11" t="str">
        <f t="shared" si="116"/>
        <v/>
      </c>
      <c r="KE14" s="11" t="str">
        <f t="shared" si="117"/>
        <v/>
      </c>
      <c r="KF14" s="11" t="str">
        <f t="shared" si="118"/>
        <v/>
      </c>
      <c r="KG14" s="11" t="str">
        <f t="shared" si="119"/>
        <v/>
      </c>
      <c r="KH14" s="11" t="str">
        <f t="shared" si="120"/>
        <v/>
      </c>
      <c r="KI14" s="11" t="str">
        <f t="shared" si="121"/>
        <v/>
      </c>
      <c r="KJ14" s="11" t="str">
        <f t="shared" si="122"/>
        <v/>
      </c>
      <c r="KK14" s="11" t="str">
        <f t="shared" si="123"/>
        <v/>
      </c>
      <c r="KL14" s="11" t="str">
        <f t="shared" si="124"/>
        <v/>
      </c>
      <c r="KM14" s="11" t="str">
        <f t="shared" si="125"/>
        <v/>
      </c>
      <c r="KN14" s="11" t="str">
        <f t="shared" si="126"/>
        <v/>
      </c>
      <c r="KO14" s="11" t="str">
        <f t="shared" si="127"/>
        <v/>
      </c>
      <c r="KP14" s="11" t="str">
        <f t="shared" si="128"/>
        <v/>
      </c>
      <c r="KQ14" s="15"/>
      <c r="KR14" s="15"/>
      <c r="KS14" s="15"/>
      <c r="KT14" s="15"/>
      <c r="KU14" s="15"/>
      <c r="KV14" s="15"/>
      <c r="KW14" s="15"/>
      <c r="KX14" s="15"/>
      <c r="KY14" s="15"/>
      <c r="KZ14" s="15"/>
      <c r="LA14" s="15"/>
      <c r="LB14" s="15"/>
      <c r="LC14" s="15"/>
      <c r="LD14" s="15"/>
      <c r="LE14" s="15"/>
      <c r="LF14" s="15"/>
      <c r="LG14" s="15"/>
      <c r="LH14" s="15"/>
      <c r="LI14" s="15"/>
      <c r="LJ14" s="15"/>
      <c r="LK14" s="36" t="str">
        <f t="shared" si="129"/>
        <v/>
      </c>
      <c r="LL14" s="36" t="str">
        <f t="shared" si="130"/>
        <v/>
      </c>
      <c r="LM14" s="36" t="str">
        <f t="shared" si="131"/>
        <v/>
      </c>
      <c r="LN14" s="36" t="str">
        <f t="shared" si="132"/>
        <v/>
      </c>
      <c r="LO14" s="36" t="str">
        <f t="shared" si="133"/>
        <v/>
      </c>
      <c r="LP14" s="36" t="str">
        <f t="shared" si="134"/>
        <v/>
      </c>
      <c r="LQ14" s="36" t="str">
        <f t="shared" si="135"/>
        <v/>
      </c>
      <c r="LR14" s="36" t="str">
        <f t="shared" si="136"/>
        <v/>
      </c>
      <c r="LS14" s="36" t="str">
        <f t="shared" si="137"/>
        <v/>
      </c>
      <c r="LT14" s="36" t="str">
        <f t="shared" si="138"/>
        <v/>
      </c>
      <c r="LU14" s="36" t="str">
        <f t="shared" si="139"/>
        <v/>
      </c>
      <c r="LV14" s="36" t="str">
        <f t="shared" si="140"/>
        <v/>
      </c>
      <c r="LW14" s="36" t="str">
        <f t="shared" si="141"/>
        <v/>
      </c>
      <c r="LX14" s="36" t="str">
        <f t="shared" si="142"/>
        <v/>
      </c>
      <c r="LY14" s="16"/>
      <c r="LZ14" s="16"/>
      <c r="MA14" s="16"/>
      <c r="MB14" s="16"/>
      <c r="MC14" s="16"/>
      <c r="MD14" s="16"/>
      <c r="ME14" s="16"/>
      <c r="MF14" s="16"/>
      <c r="MG14" s="16"/>
      <c r="MH14" s="16"/>
      <c r="MI14" s="16"/>
      <c r="MJ14" s="16"/>
      <c r="MK14" s="16"/>
      <c r="ML14" s="16"/>
      <c r="MM14" s="16"/>
      <c r="MN14" s="16"/>
      <c r="MO14" s="16"/>
      <c r="MP14" s="16"/>
      <c r="MQ14" s="16"/>
      <c r="MR14" s="16"/>
      <c r="MS14" s="11" t="str">
        <f t="shared" si="143"/>
        <v/>
      </c>
      <c r="MT14" s="11" t="str">
        <f t="shared" si="144"/>
        <v/>
      </c>
      <c r="MU14" s="11" t="str">
        <f t="shared" si="145"/>
        <v/>
      </c>
      <c r="MV14" s="11" t="str">
        <f t="shared" si="146"/>
        <v/>
      </c>
      <c r="MW14" s="11" t="str">
        <f t="shared" si="147"/>
        <v/>
      </c>
      <c r="MX14" s="11" t="str">
        <f t="shared" si="148"/>
        <v/>
      </c>
      <c r="MY14" s="11" t="str">
        <f t="shared" si="149"/>
        <v/>
      </c>
      <c r="MZ14" s="11" t="str">
        <f t="shared" si="150"/>
        <v/>
      </c>
      <c r="NA14" s="11" t="str">
        <f t="shared" si="151"/>
        <v/>
      </c>
      <c r="NB14" s="11" t="str">
        <f t="shared" si="152"/>
        <v/>
      </c>
      <c r="NC14" s="11" t="str">
        <f t="shared" si="153"/>
        <v/>
      </c>
      <c r="ND14" s="11" t="str">
        <f t="shared" si="154"/>
        <v/>
      </c>
      <c r="NE14" s="11" t="str">
        <f t="shared" si="155"/>
        <v/>
      </c>
      <c r="NF14" s="11" t="str">
        <f t="shared" si="156"/>
        <v/>
      </c>
      <c r="NG14" s="15"/>
      <c r="NH14" s="15"/>
      <c r="NI14" s="15"/>
      <c r="NJ14" s="15"/>
      <c r="NK14" s="15"/>
      <c r="NL14" s="15"/>
      <c r="NM14" s="15"/>
      <c r="NN14" s="15"/>
      <c r="NO14" s="15"/>
      <c r="NP14" s="15"/>
      <c r="NQ14" s="15"/>
      <c r="NR14" s="15"/>
      <c r="NS14" s="15"/>
      <c r="NT14" s="15"/>
      <c r="NU14" s="15"/>
      <c r="NV14" s="15"/>
      <c r="NW14" s="15"/>
      <c r="NX14" s="15"/>
      <c r="NY14" s="15"/>
      <c r="NZ14" s="15"/>
      <c r="OA14" s="36" t="str">
        <f t="shared" si="157"/>
        <v/>
      </c>
      <c r="OB14" s="36" t="str">
        <f t="shared" si="158"/>
        <v/>
      </c>
      <c r="OC14" s="36" t="str">
        <f t="shared" si="159"/>
        <v/>
      </c>
      <c r="OD14" s="36" t="str">
        <f t="shared" si="160"/>
        <v/>
      </c>
      <c r="OE14" s="36" t="str">
        <f t="shared" si="161"/>
        <v/>
      </c>
      <c r="OF14" s="36" t="str">
        <f t="shared" si="162"/>
        <v/>
      </c>
      <c r="OG14" s="36" t="str">
        <f t="shared" si="163"/>
        <v/>
      </c>
      <c r="OH14" s="36" t="str">
        <f t="shared" si="164"/>
        <v/>
      </c>
      <c r="OI14" s="36" t="str">
        <f t="shared" si="165"/>
        <v/>
      </c>
      <c r="OJ14" s="36" t="str">
        <f t="shared" si="166"/>
        <v/>
      </c>
      <c r="OK14" s="36" t="str">
        <f t="shared" si="167"/>
        <v/>
      </c>
      <c r="OL14" s="36" t="str">
        <f t="shared" si="168"/>
        <v/>
      </c>
      <c r="OM14" s="36" t="str">
        <f t="shared" si="169"/>
        <v/>
      </c>
      <c r="ON14" s="36" t="str">
        <f t="shared" si="170"/>
        <v/>
      </c>
      <c r="OO14" s="16"/>
      <c r="OP14" s="16"/>
      <c r="OQ14" s="16"/>
      <c r="OR14" s="16"/>
      <c r="OS14" s="16"/>
      <c r="OT14" s="16"/>
      <c r="OU14" s="16"/>
      <c r="OV14" s="16"/>
      <c r="OW14" s="16"/>
      <c r="OX14" s="16"/>
      <c r="OY14" s="16"/>
      <c r="OZ14" s="16"/>
      <c r="PA14" s="16"/>
      <c r="PB14" s="16"/>
      <c r="PC14" s="16"/>
      <c r="PD14" s="16"/>
      <c r="PE14" s="16"/>
      <c r="PF14" s="16"/>
      <c r="PG14" s="16"/>
      <c r="PH14" s="16"/>
      <c r="PI14" s="11" t="str">
        <f t="shared" si="171"/>
        <v/>
      </c>
      <c r="PJ14" s="11" t="str">
        <f t="shared" si="172"/>
        <v/>
      </c>
      <c r="PK14" s="11" t="str">
        <f t="shared" si="173"/>
        <v/>
      </c>
      <c r="PL14" s="11" t="str">
        <f t="shared" si="174"/>
        <v/>
      </c>
      <c r="PM14" s="11" t="str">
        <f t="shared" si="175"/>
        <v/>
      </c>
      <c r="PN14" s="11" t="str">
        <f t="shared" si="176"/>
        <v/>
      </c>
      <c r="PO14" s="11" t="str">
        <f t="shared" si="177"/>
        <v/>
      </c>
      <c r="PP14" s="11" t="str">
        <f t="shared" si="178"/>
        <v/>
      </c>
      <c r="PQ14" s="11" t="str">
        <f t="shared" si="179"/>
        <v/>
      </c>
      <c r="PR14" s="11" t="str">
        <f t="shared" si="180"/>
        <v/>
      </c>
      <c r="PS14" s="11" t="str">
        <f t="shared" si="181"/>
        <v/>
      </c>
      <c r="PT14" s="11" t="str">
        <f t="shared" si="182"/>
        <v/>
      </c>
      <c r="PU14" s="11" t="str">
        <f t="shared" si="183"/>
        <v/>
      </c>
      <c r="PV14" s="11" t="str">
        <f t="shared" si="184"/>
        <v/>
      </c>
      <c r="PW14" s="15"/>
      <c r="PX14" s="15"/>
      <c r="PY14" s="15"/>
      <c r="PZ14" s="15"/>
      <c r="QA14" s="15"/>
      <c r="QB14" s="15"/>
      <c r="QC14" s="15"/>
      <c r="QD14" s="15"/>
      <c r="QE14" s="15"/>
      <c r="QF14" s="15"/>
      <c r="QG14" s="15"/>
      <c r="QH14" s="15"/>
      <c r="QI14" s="15"/>
      <c r="QJ14" s="15"/>
      <c r="QK14" s="15"/>
      <c r="QL14" s="15"/>
      <c r="QM14" s="15"/>
      <c r="QN14" s="15"/>
      <c r="QO14" s="15"/>
      <c r="QP14" s="15"/>
      <c r="QQ14" s="36" t="str">
        <f t="shared" si="185"/>
        <v/>
      </c>
      <c r="QR14" s="36" t="str">
        <f t="shared" si="186"/>
        <v/>
      </c>
      <c r="QS14" s="36" t="str">
        <f t="shared" si="187"/>
        <v/>
      </c>
      <c r="QT14" s="36" t="str">
        <f t="shared" si="188"/>
        <v/>
      </c>
      <c r="QU14" s="36" t="str">
        <f t="shared" si="189"/>
        <v/>
      </c>
      <c r="QV14" s="36" t="str">
        <f t="shared" si="190"/>
        <v/>
      </c>
      <c r="QW14" s="36" t="str">
        <f t="shared" si="191"/>
        <v/>
      </c>
      <c r="QX14" s="36" t="str">
        <f t="shared" si="192"/>
        <v/>
      </c>
      <c r="QY14" s="36" t="str">
        <f t="shared" si="193"/>
        <v/>
      </c>
      <c r="QZ14" s="36" t="str">
        <f t="shared" si="194"/>
        <v/>
      </c>
      <c r="RA14" s="36" t="str">
        <f t="shared" si="195"/>
        <v/>
      </c>
      <c r="RB14" s="36" t="str">
        <f t="shared" si="196"/>
        <v/>
      </c>
      <c r="RC14" s="36" t="str">
        <f t="shared" si="197"/>
        <v/>
      </c>
      <c r="RD14" s="36" t="str">
        <f t="shared" si="198"/>
        <v/>
      </c>
      <c r="RE14" s="16"/>
      <c r="RF14" s="16"/>
      <c r="RG14" s="16"/>
      <c r="RH14" s="16"/>
      <c r="RI14" s="16"/>
      <c r="RJ14" s="16"/>
      <c r="RK14" s="16"/>
      <c r="RL14" s="16"/>
      <c r="RM14" s="16"/>
      <c r="RN14" s="16"/>
      <c r="RO14" s="16"/>
      <c r="RP14" s="16"/>
      <c r="RQ14" s="16"/>
      <c r="RR14" s="16"/>
      <c r="RS14" s="16"/>
      <c r="RT14" s="16"/>
      <c r="RU14" s="16"/>
      <c r="RV14" s="16"/>
      <c r="RW14" s="16"/>
      <c r="RX14" s="16"/>
      <c r="RY14" s="11" t="str">
        <f t="shared" si="199"/>
        <v/>
      </c>
      <c r="RZ14" s="11" t="str">
        <f t="shared" si="200"/>
        <v/>
      </c>
      <c r="SA14" s="11" t="str">
        <f t="shared" si="201"/>
        <v/>
      </c>
      <c r="SB14" s="11" t="str">
        <f t="shared" si="202"/>
        <v/>
      </c>
      <c r="SC14" s="11" t="str">
        <f t="shared" si="203"/>
        <v/>
      </c>
      <c r="SD14" s="11" t="str">
        <f t="shared" si="204"/>
        <v/>
      </c>
      <c r="SE14" s="11" t="str">
        <f t="shared" si="205"/>
        <v/>
      </c>
      <c r="SF14" s="11" t="str">
        <f t="shared" si="206"/>
        <v/>
      </c>
      <c r="SG14" s="11" t="str">
        <f t="shared" si="207"/>
        <v/>
      </c>
      <c r="SH14" s="11" t="str">
        <f t="shared" si="208"/>
        <v/>
      </c>
      <c r="SI14" s="11" t="str">
        <f t="shared" si="209"/>
        <v/>
      </c>
      <c r="SJ14" s="11" t="str">
        <f t="shared" si="210"/>
        <v/>
      </c>
      <c r="SK14" s="11" t="str">
        <f t="shared" si="211"/>
        <v/>
      </c>
      <c r="SL14" s="11" t="str">
        <f t="shared" si="212"/>
        <v/>
      </c>
      <c r="SM14" s="15"/>
      <c r="SN14" s="15"/>
      <c r="SO14" s="15"/>
      <c r="SP14" s="15"/>
      <c r="SQ14" s="15"/>
      <c r="SR14" s="15"/>
      <c r="SS14" s="15"/>
      <c r="ST14" s="15"/>
      <c r="SU14" s="15"/>
      <c r="SV14" s="15"/>
      <c r="SW14" s="15"/>
      <c r="SX14" s="15"/>
      <c r="SY14" s="15"/>
      <c r="SZ14" s="15"/>
      <c r="TA14" s="15"/>
      <c r="TB14" s="15"/>
      <c r="TC14" s="15"/>
      <c r="TD14" s="15"/>
      <c r="TE14" s="15"/>
      <c r="TF14" s="15"/>
      <c r="TG14" s="36" t="str">
        <f t="shared" si="213"/>
        <v/>
      </c>
      <c r="TH14" s="36" t="str">
        <f t="shared" si="214"/>
        <v/>
      </c>
      <c r="TI14" s="36" t="str">
        <f t="shared" si="215"/>
        <v/>
      </c>
      <c r="TJ14" s="36" t="str">
        <f t="shared" si="216"/>
        <v/>
      </c>
      <c r="TK14" s="36" t="str">
        <f t="shared" si="217"/>
        <v/>
      </c>
      <c r="TL14" s="36" t="str">
        <f t="shared" si="218"/>
        <v/>
      </c>
      <c r="TM14" s="36" t="str">
        <f t="shared" si="219"/>
        <v/>
      </c>
      <c r="TN14" s="36" t="str">
        <f t="shared" si="220"/>
        <v/>
      </c>
      <c r="TO14" s="36" t="str">
        <f t="shared" si="221"/>
        <v/>
      </c>
      <c r="TP14" s="36" t="str">
        <f t="shared" si="222"/>
        <v/>
      </c>
      <c r="TQ14" s="36" t="str">
        <f t="shared" si="223"/>
        <v/>
      </c>
      <c r="TR14" s="36" t="str">
        <f t="shared" si="224"/>
        <v/>
      </c>
      <c r="TS14" s="36" t="str">
        <f t="shared" si="225"/>
        <v/>
      </c>
      <c r="TT14" s="36" t="str">
        <f t="shared" si="226"/>
        <v/>
      </c>
      <c r="TU14" s="16"/>
      <c r="TV14" s="16"/>
      <c r="TW14" s="16"/>
      <c r="TX14" s="16"/>
      <c r="TY14" s="16"/>
      <c r="TZ14" s="16"/>
      <c r="UA14" s="16"/>
      <c r="UB14" s="16"/>
      <c r="UC14" s="16"/>
      <c r="UD14" s="16"/>
      <c r="UE14" s="16"/>
      <c r="UF14" s="16"/>
      <c r="UG14" s="16"/>
      <c r="UH14" s="16"/>
      <c r="UI14" s="16"/>
      <c r="UJ14" s="16"/>
      <c r="UK14" s="16"/>
      <c r="UL14" s="16"/>
      <c r="UM14" s="16"/>
      <c r="UN14" s="16"/>
      <c r="UO14" s="11" t="str">
        <f t="shared" si="227"/>
        <v/>
      </c>
      <c r="UP14" s="11" t="str">
        <f t="shared" si="228"/>
        <v/>
      </c>
      <c r="UQ14" s="11" t="str">
        <f t="shared" si="229"/>
        <v/>
      </c>
      <c r="UR14" s="11" t="str">
        <f t="shared" si="230"/>
        <v/>
      </c>
      <c r="US14" s="11" t="str">
        <f t="shared" si="231"/>
        <v/>
      </c>
      <c r="UT14" s="11" t="str">
        <f t="shared" si="232"/>
        <v/>
      </c>
      <c r="UU14" s="11" t="str">
        <f t="shared" si="233"/>
        <v/>
      </c>
      <c r="UV14" s="11" t="str">
        <f t="shared" si="234"/>
        <v/>
      </c>
      <c r="UW14" s="11" t="str">
        <f t="shared" si="235"/>
        <v/>
      </c>
      <c r="UX14" s="11" t="str">
        <f t="shared" si="236"/>
        <v/>
      </c>
      <c r="UY14" s="11" t="str">
        <f t="shared" si="237"/>
        <v/>
      </c>
      <c r="UZ14" s="11" t="str">
        <f t="shared" si="238"/>
        <v/>
      </c>
      <c r="VA14" s="11" t="str">
        <f t="shared" si="239"/>
        <v/>
      </c>
      <c r="VB14" s="11" t="str">
        <f t="shared" si="240"/>
        <v/>
      </c>
      <c r="VC14" s="15"/>
      <c r="VD14" s="15"/>
      <c r="VE14" s="15"/>
      <c r="VF14" s="15"/>
      <c r="VG14" s="15"/>
      <c r="VH14" s="15"/>
      <c r="VI14" s="15"/>
      <c r="VJ14" s="15"/>
      <c r="VK14" s="15"/>
      <c r="VL14" s="15"/>
      <c r="VM14" s="15"/>
      <c r="VN14" s="15"/>
      <c r="VO14" s="15"/>
      <c r="VP14" s="15"/>
      <c r="VQ14" s="15"/>
      <c r="VR14" s="15"/>
      <c r="VS14" s="15"/>
      <c r="VT14" s="15"/>
      <c r="VU14" s="15"/>
      <c r="VV14" s="15"/>
      <c r="VW14" s="36" t="str">
        <f t="shared" si="241"/>
        <v/>
      </c>
      <c r="VX14" s="36" t="str">
        <f t="shared" si="242"/>
        <v/>
      </c>
      <c r="VY14" s="36" t="str">
        <f t="shared" si="243"/>
        <v/>
      </c>
      <c r="VZ14" s="36" t="str">
        <f t="shared" si="244"/>
        <v/>
      </c>
      <c r="WA14" s="36" t="str">
        <f t="shared" si="245"/>
        <v/>
      </c>
      <c r="WB14" s="36" t="str">
        <f t="shared" si="246"/>
        <v/>
      </c>
      <c r="WC14" s="36" t="str">
        <f t="shared" si="247"/>
        <v/>
      </c>
      <c r="WD14" s="36" t="str">
        <f t="shared" si="248"/>
        <v/>
      </c>
      <c r="WE14" s="36" t="str">
        <f t="shared" si="249"/>
        <v/>
      </c>
      <c r="WF14" s="36" t="str">
        <f t="shared" si="250"/>
        <v/>
      </c>
      <c r="WG14" s="36" t="str">
        <f t="shared" si="251"/>
        <v/>
      </c>
      <c r="WH14" s="36" t="str">
        <f t="shared" si="252"/>
        <v/>
      </c>
      <c r="WI14" s="36" t="str">
        <f t="shared" si="253"/>
        <v/>
      </c>
      <c r="WJ14" s="36" t="str">
        <f t="shared" si="254"/>
        <v/>
      </c>
    </row>
    <row r="15" spans="1:608" x14ac:dyDescent="0.2">
      <c r="B15" s="5"/>
      <c r="D15" s="1"/>
    </row>
    <row r="16" spans="1:608" x14ac:dyDescent="0.2">
      <c r="G16" s="32"/>
      <c r="I16" s="32"/>
    </row>
    <row r="17" spans="1:644" x14ac:dyDescent="0.2">
      <c r="B17" s="19" t="s">
        <v>40</v>
      </c>
      <c r="C17" s="5"/>
      <c r="G17" s="3"/>
      <c r="AJ17" s="37"/>
      <c r="AK17" s="37"/>
      <c r="AL17" s="37"/>
      <c r="AN17" s="28"/>
      <c r="AO17" s="28"/>
      <c r="AQ17" s="38">
        <v>11</v>
      </c>
      <c r="BK17" s="37"/>
      <c r="BL17" s="37"/>
      <c r="BM17" s="37"/>
      <c r="BO17" s="28"/>
      <c r="BP17" s="28"/>
      <c r="BR17" s="38">
        <v>11</v>
      </c>
      <c r="CL17" s="37"/>
      <c r="CM17" s="37"/>
      <c r="CN17" s="37"/>
      <c r="CP17" s="28"/>
      <c r="CQ17" s="28"/>
      <c r="CS17" s="38">
        <v>11</v>
      </c>
      <c r="DO17" s="5"/>
      <c r="DP17" s="5"/>
      <c r="DY17" s="2"/>
      <c r="DZ17" s="2"/>
      <c r="EB17" s="38">
        <v>11</v>
      </c>
      <c r="EW17" s="5"/>
      <c r="EX17" s="5"/>
      <c r="FG17" s="2"/>
      <c r="FH17" s="2"/>
      <c r="FJ17" s="38">
        <v>11</v>
      </c>
      <c r="GE17" s="5"/>
      <c r="GF17" s="5"/>
      <c r="GO17" s="2"/>
      <c r="GP17" s="2"/>
      <c r="GR17" s="38">
        <v>11</v>
      </c>
      <c r="HM17" s="5"/>
      <c r="HN17" s="5"/>
      <c r="HW17" s="2"/>
      <c r="HX17" s="2"/>
      <c r="HZ17" s="38">
        <v>11</v>
      </c>
      <c r="IU17" s="5"/>
      <c r="IV17" s="5"/>
      <c r="JE17" s="2"/>
      <c r="JF17" s="2"/>
      <c r="JH17" s="38">
        <v>11</v>
      </c>
      <c r="KC17" s="5"/>
      <c r="KD17" s="5"/>
      <c r="KM17" s="2"/>
      <c r="KN17" s="2"/>
      <c r="KP17" s="38">
        <v>11</v>
      </c>
      <c r="LK17" s="5"/>
      <c r="LL17" s="5"/>
      <c r="LU17" s="2"/>
      <c r="LV17" s="2"/>
      <c r="LX17" s="38">
        <v>11</v>
      </c>
      <c r="MS17" s="5"/>
      <c r="MT17" s="5"/>
      <c r="NC17" s="2"/>
      <c r="ND17" s="2"/>
      <c r="NF17" s="38">
        <v>11</v>
      </c>
      <c r="OA17" s="5"/>
      <c r="OB17" s="5"/>
      <c r="OK17" s="2"/>
      <c r="OL17" s="2"/>
      <c r="ON17" s="38">
        <v>11</v>
      </c>
      <c r="PI17" s="5"/>
      <c r="PJ17" s="5"/>
      <c r="PS17" s="2"/>
      <c r="PT17" s="2"/>
      <c r="PV17" s="38">
        <v>12.4</v>
      </c>
      <c r="QQ17" s="5"/>
      <c r="QR17" s="5"/>
      <c r="RA17" s="2"/>
      <c r="RB17" s="2"/>
      <c r="RD17" s="38">
        <v>12.4</v>
      </c>
      <c r="RY17" s="5"/>
      <c r="RZ17" s="5"/>
      <c r="SI17" s="2"/>
      <c r="SJ17" s="2"/>
      <c r="SL17" s="38">
        <v>12.4</v>
      </c>
      <c r="TG17" s="5"/>
      <c r="TH17" s="5"/>
      <c r="TQ17" s="2"/>
      <c r="TR17" s="2"/>
      <c r="TT17" s="38">
        <v>12.4</v>
      </c>
      <c r="UO17" s="5"/>
      <c r="UP17" s="5"/>
      <c r="UY17" s="2"/>
      <c r="UZ17" s="2"/>
      <c r="VB17" s="38">
        <v>12.4</v>
      </c>
      <c r="VW17" s="5"/>
      <c r="VX17" s="5"/>
      <c r="WG17" s="2"/>
      <c r="WH17" s="2"/>
      <c r="WJ17" s="38">
        <v>12.4</v>
      </c>
    </row>
    <row r="18" spans="1:644" hidden="1" x14ac:dyDescent="0.2">
      <c r="B18" s="26" t="s">
        <v>39</v>
      </c>
      <c r="C18" s="5"/>
      <c r="P18" s="2"/>
      <c r="AJ18" s="37"/>
      <c r="AK18" s="37"/>
      <c r="AL18" s="37"/>
      <c r="AN18" s="28"/>
      <c r="AO18" s="28"/>
      <c r="AQ18" s="39">
        <v>1000</v>
      </c>
      <c r="BK18" s="37"/>
      <c r="BL18" s="37"/>
      <c r="BM18" s="37"/>
      <c r="BO18" s="28"/>
      <c r="BP18" s="28"/>
      <c r="BR18" s="39">
        <v>1000</v>
      </c>
      <c r="CL18" s="37"/>
      <c r="CM18" s="37"/>
      <c r="CN18" s="37"/>
      <c r="CP18" s="28"/>
      <c r="CQ18" s="28"/>
      <c r="CS18" s="39">
        <v>1000</v>
      </c>
      <c r="DO18" s="5"/>
      <c r="DP18" s="5"/>
      <c r="DY18" s="2"/>
      <c r="DZ18" s="2"/>
      <c r="EB18" s="39">
        <v>1000</v>
      </c>
      <c r="EW18" s="5"/>
      <c r="EX18" s="5"/>
      <c r="FG18" s="2"/>
      <c r="FH18" s="2"/>
      <c r="FJ18" s="39">
        <v>1000</v>
      </c>
      <c r="GE18" s="5"/>
      <c r="GF18" s="5"/>
      <c r="GO18" s="2"/>
      <c r="GP18" s="2"/>
      <c r="GR18" s="39">
        <v>1000</v>
      </c>
      <c r="HM18" s="5"/>
      <c r="HN18" s="5"/>
      <c r="HW18" s="2"/>
      <c r="HX18" s="2"/>
      <c r="HZ18" s="39">
        <v>1000</v>
      </c>
      <c r="IU18" s="5"/>
      <c r="IV18" s="5"/>
      <c r="JE18" s="2"/>
      <c r="JF18" s="2"/>
      <c r="JH18" s="39">
        <v>1000</v>
      </c>
      <c r="KC18" s="5"/>
      <c r="KD18" s="5"/>
      <c r="KM18" s="2"/>
      <c r="KN18" s="2"/>
      <c r="KP18" s="39">
        <v>1000</v>
      </c>
      <c r="LK18" s="5"/>
      <c r="LL18" s="5"/>
      <c r="LU18" s="2"/>
      <c r="LV18" s="2"/>
      <c r="LX18" s="39">
        <v>1000</v>
      </c>
      <c r="MS18" s="5"/>
      <c r="MT18" s="5"/>
      <c r="NC18" s="2"/>
      <c r="ND18" s="2"/>
      <c r="NF18" s="39">
        <v>1000</v>
      </c>
      <c r="OA18" s="5"/>
      <c r="OB18" s="5"/>
      <c r="OK18" s="2"/>
      <c r="OL18" s="2"/>
      <c r="ON18" s="39">
        <v>1000</v>
      </c>
      <c r="PI18" s="5"/>
      <c r="PJ18" s="5"/>
      <c r="PS18" s="2"/>
      <c r="PT18" s="2"/>
      <c r="PV18" s="39">
        <v>1000</v>
      </c>
      <c r="QQ18" s="5"/>
      <c r="QR18" s="5"/>
      <c r="RA18" s="2"/>
      <c r="RB18" s="2"/>
      <c r="RD18" s="39">
        <v>1000</v>
      </c>
      <c r="RY18" s="5"/>
      <c r="RZ18" s="5"/>
      <c r="SI18" s="2"/>
      <c r="SJ18" s="2"/>
      <c r="SL18" s="39">
        <v>1000</v>
      </c>
      <c r="TG18" s="5"/>
      <c r="TH18" s="5"/>
      <c r="TQ18" s="2"/>
      <c r="TR18" s="2"/>
      <c r="TT18" s="39">
        <v>1000</v>
      </c>
      <c r="UO18" s="5"/>
      <c r="UP18" s="5"/>
      <c r="UY18" s="2"/>
      <c r="UZ18" s="2"/>
      <c r="VB18" s="39">
        <v>1000</v>
      </c>
      <c r="VW18" s="5"/>
      <c r="VX18" s="5"/>
      <c r="WG18" s="2"/>
      <c r="WH18" s="2"/>
      <c r="WJ18" s="39">
        <v>1000</v>
      </c>
    </row>
    <row r="19" spans="1:644" hidden="1" x14ac:dyDescent="0.2">
      <c r="A19" s="5"/>
      <c r="B19" s="27" t="s">
        <v>50</v>
      </c>
      <c r="C19" s="5"/>
      <c r="E19" s="2"/>
      <c r="AJ19" s="37"/>
      <c r="AK19" s="37"/>
      <c r="AL19" s="37"/>
      <c r="AM19" s="28"/>
      <c r="AN19" s="28"/>
      <c r="AO19" s="28"/>
      <c r="AP19" s="28"/>
      <c r="AQ19" s="40">
        <v>1000</v>
      </c>
      <c r="BK19" s="37"/>
      <c r="BL19" s="37"/>
      <c r="BM19" s="37"/>
      <c r="BO19" s="28"/>
      <c r="BP19" s="28"/>
      <c r="BR19" s="40">
        <v>1000</v>
      </c>
      <c r="CL19" s="37"/>
      <c r="CM19" s="37"/>
      <c r="CN19" s="37"/>
      <c r="CO19" s="28"/>
      <c r="CP19" s="28"/>
      <c r="CQ19" s="28"/>
      <c r="CR19" s="28"/>
      <c r="CS19" s="40">
        <v>1000</v>
      </c>
      <c r="DO19" s="5"/>
      <c r="DP19" s="5"/>
      <c r="DY19" s="2"/>
      <c r="DZ19" s="2"/>
      <c r="EB19" s="40">
        <v>0</v>
      </c>
      <c r="EW19" s="5"/>
      <c r="EX19" s="5"/>
      <c r="FG19" s="2"/>
      <c r="FH19" s="2"/>
      <c r="FJ19" s="40">
        <v>0</v>
      </c>
      <c r="GE19" s="5"/>
      <c r="GF19" s="5"/>
      <c r="GO19" s="2"/>
      <c r="GP19" s="2"/>
      <c r="GR19" s="40">
        <v>0</v>
      </c>
      <c r="HM19" s="5"/>
      <c r="HN19" s="5"/>
      <c r="HW19" s="2"/>
      <c r="HX19" s="2"/>
      <c r="HZ19" s="40">
        <v>0</v>
      </c>
      <c r="IU19" s="5"/>
      <c r="IV19" s="5"/>
      <c r="JE19" s="2"/>
      <c r="JF19" s="2"/>
      <c r="JH19" s="40">
        <v>0</v>
      </c>
      <c r="KC19" s="5"/>
      <c r="KD19" s="5"/>
      <c r="KM19" s="2"/>
      <c r="KN19" s="2"/>
      <c r="KP19" s="40">
        <v>0</v>
      </c>
      <c r="LK19" s="5"/>
      <c r="LL19" s="5"/>
      <c r="LU19" s="2"/>
      <c r="LV19" s="2"/>
      <c r="LX19" s="40">
        <v>0</v>
      </c>
      <c r="MS19" s="5"/>
      <c r="MT19" s="5"/>
      <c r="NC19" s="2"/>
      <c r="ND19" s="2"/>
      <c r="NF19" s="40">
        <v>0</v>
      </c>
      <c r="OA19" s="5"/>
      <c r="OB19" s="5"/>
      <c r="OK19" s="2"/>
      <c r="OL19" s="2"/>
      <c r="ON19" s="40">
        <v>0</v>
      </c>
      <c r="PI19" s="5"/>
      <c r="PJ19" s="5"/>
      <c r="PS19" s="2"/>
      <c r="PT19" s="2"/>
      <c r="PV19" s="40">
        <v>0</v>
      </c>
      <c r="QQ19" s="5"/>
      <c r="QR19" s="5"/>
      <c r="RA19" s="2"/>
      <c r="RB19" s="2"/>
      <c r="RD19" s="40">
        <v>0</v>
      </c>
      <c r="RY19" s="5"/>
      <c r="RZ19" s="5"/>
      <c r="SI19" s="2"/>
      <c r="SJ19" s="2"/>
      <c r="SL19" s="40">
        <v>0</v>
      </c>
      <c r="TG19" s="5"/>
      <c r="TH19" s="5"/>
      <c r="TQ19" s="2"/>
      <c r="TR19" s="2"/>
      <c r="TT19" s="40">
        <v>0</v>
      </c>
      <c r="UO19" s="5"/>
      <c r="UP19" s="5"/>
      <c r="UY19" s="2"/>
      <c r="UZ19" s="2"/>
      <c r="VB19" s="40">
        <v>0</v>
      </c>
      <c r="VW19" s="5"/>
      <c r="VX19" s="5"/>
      <c r="WG19" s="2"/>
      <c r="WH19" s="2"/>
      <c r="WJ19" s="40">
        <v>0</v>
      </c>
    </row>
    <row r="20" spans="1:644" hidden="1" x14ac:dyDescent="0.2">
      <c r="A20" s="5"/>
      <c r="B20" s="31" t="s">
        <v>57</v>
      </c>
      <c r="C20" s="5"/>
      <c r="E20" s="2"/>
      <c r="AJ20" s="37"/>
      <c r="AK20" s="37"/>
      <c r="AL20" s="37"/>
      <c r="AM20" s="28"/>
      <c r="AN20" s="28"/>
      <c r="AO20" s="28"/>
      <c r="AP20" s="28"/>
      <c r="AQ20" s="41">
        <v>1000</v>
      </c>
      <c r="BK20" s="37"/>
      <c r="BL20" s="37"/>
      <c r="BM20" s="37"/>
      <c r="BO20" s="28"/>
      <c r="BP20" s="28"/>
      <c r="BR20" s="41">
        <v>1000</v>
      </c>
      <c r="CL20" s="37"/>
      <c r="CM20" s="37"/>
      <c r="CN20" s="37"/>
      <c r="CO20" s="28"/>
      <c r="CP20" s="28"/>
      <c r="CQ20" s="28"/>
      <c r="CR20" s="28"/>
      <c r="CS20" s="41">
        <v>1000</v>
      </c>
      <c r="DO20" s="5"/>
      <c r="DP20" s="5"/>
      <c r="DY20" s="2"/>
      <c r="DZ20" s="2"/>
      <c r="EB20" s="41">
        <v>0</v>
      </c>
      <c r="EW20" s="5"/>
      <c r="EX20" s="5"/>
      <c r="FG20" s="2"/>
      <c r="FH20" s="2"/>
      <c r="FJ20" s="41">
        <v>0</v>
      </c>
      <c r="GE20" s="5"/>
      <c r="GF20" s="5"/>
      <c r="GO20" s="2"/>
      <c r="GP20" s="2"/>
      <c r="GR20" s="41">
        <v>0</v>
      </c>
      <c r="HM20" s="5"/>
      <c r="HN20" s="5"/>
      <c r="HW20" s="2"/>
      <c r="HX20" s="2"/>
      <c r="HZ20" s="41">
        <v>0</v>
      </c>
      <c r="IU20" s="5"/>
      <c r="IV20" s="5"/>
      <c r="JE20" s="2"/>
      <c r="JF20" s="2"/>
      <c r="JH20" s="41">
        <v>0</v>
      </c>
      <c r="KC20" s="5"/>
      <c r="KD20" s="5"/>
      <c r="KM20" s="2"/>
      <c r="KN20" s="2"/>
      <c r="KP20" s="41">
        <v>0</v>
      </c>
      <c r="LK20" s="5"/>
      <c r="LL20" s="5"/>
      <c r="LU20" s="2"/>
      <c r="LV20" s="2"/>
      <c r="LX20" s="41">
        <v>0</v>
      </c>
      <c r="MS20" s="5"/>
      <c r="MT20" s="5"/>
      <c r="NC20" s="2"/>
      <c r="ND20" s="2"/>
      <c r="NF20" s="41">
        <v>0</v>
      </c>
      <c r="OA20" s="5"/>
      <c r="OB20" s="5"/>
      <c r="OK20" s="2"/>
      <c r="OL20" s="2"/>
      <c r="ON20" s="41">
        <v>0</v>
      </c>
      <c r="PI20" s="5"/>
      <c r="PJ20" s="5"/>
      <c r="PS20" s="2"/>
      <c r="PT20" s="2"/>
      <c r="PV20" s="41">
        <v>0</v>
      </c>
      <c r="QQ20" s="5"/>
      <c r="QR20" s="5"/>
      <c r="RA20" s="2"/>
      <c r="RB20" s="2"/>
      <c r="RD20" s="41">
        <v>0</v>
      </c>
      <c r="RY20" s="5"/>
      <c r="RZ20" s="5"/>
      <c r="SI20" s="2"/>
      <c r="SJ20" s="2"/>
      <c r="SL20" s="41">
        <v>0</v>
      </c>
      <c r="TG20" s="5"/>
      <c r="TH20" s="5"/>
      <c r="TQ20" s="2"/>
      <c r="TR20" s="2"/>
      <c r="TT20" s="41">
        <v>0</v>
      </c>
      <c r="UO20" s="5"/>
      <c r="UP20" s="5"/>
      <c r="UY20" s="2"/>
      <c r="UZ20" s="2"/>
      <c r="VB20" s="41">
        <v>0</v>
      </c>
      <c r="VW20" s="5"/>
      <c r="VX20" s="5"/>
      <c r="WG20" s="2"/>
      <c r="WH20" s="2"/>
      <c r="WJ20" s="41">
        <v>0</v>
      </c>
    </row>
    <row r="21" spans="1:644" x14ac:dyDescent="0.2">
      <c r="A21" s="5"/>
      <c r="B21" s="30" t="s">
        <v>37</v>
      </c>
      <c r="C21" s="5"/>
      <c r="AJ21" s="37"/>
      <c r="AK21" s="37"/>
      <c r="AL21" s="37"/>
      <c r="AM21" s="28"/>
      <c r="AN21" s="28"/>
      <c r="AO21" s="28"/>
      <c r="AP21" s="28"/>
      <c r="AQ21" s="42">
        <v>43.7</v>
      </c>
      <c r="BK21" s="37"/>
      <c r="BL21" s="37"/>
      <c r="BM21" s="37"/>
      <c r="BO21" s="28"/>
      <c r="BP21" s="28"/>
      <c r="BR21" s="42">
        <v>43.7</v>
      </c>
      <c r="CL21" s="37"/>
      <c r="CM21" s="37"/>
      <c r="CN21" s="37"/>
      <c r="CO21" s="28"/>
      <c r="CP21" s="28"/>
      <c r="CQ21" s="28"/>
      <c r="CR21" s="28"/>
      <c r="CS21" s="42">
        <v>43.7</v>
      </c>
      <c r="DO21" s="5"/>
      <c r="DP21" s="5"/>
      <c r="DY21" s="2"/>
      <c r="DZ21" s="2"/>
      <c r="EB21" s="42">
        <v>43.7</v>
      </c>
      <c r="EW21" s="5"/>
      <c r="EX21" s="5"/>
      <c r="FG21" s="2"/>
      <c r="FH21" s="2"/>
      <c r="FJ21" s="42">
        <v>43.7</v>
      </c>
      <c r="GE21" s="5"/>
      <c r="GF21" s="5"/>
      <c r="GO21" s="2"/>
      <c r="GP21" s="2"/>
      <c r="GR21" s="42">
        <v>43.7</v>
      </c>
      <c r="HM21" s="5"/>
      <c r="HN21" s="5"/>
      <c r="HW21" s="2"/>
      <c r="HX21" s="2"/>
      <c r="HZ21" s="42">
        <v>43.7</v>
      </c>
      <c r="IU21" s="5"/>
      <c r="IV21" s="5"/>
      <c r="JE21" s="2"/>
      <c r="JF21" s="2"/>
      <c r="JH21" s="42">
        <v>43.7</v>
      </c>
      <c r="KC21" s="5"/>
      <c r="KD21" s="5"/>
      <c r="KM21" s="2"/>
      <c r="KN21" s="2"/>
      <c r="KP21" s="42">
        <v>43.7</v>
      </c>
      <c r="LK21" s="5"/>
      <c r="LL21" s="5"/>
      <c r="LU21" s="2"/>
      <c r="LV21" s="2"/>
      <c r="LX21" s="42">
        <v>43.7</v>
      </c>
      <c r="MS21" s="5"/>
      <c r="MT21" s="5"/>
      <c r="NC21" s="2"/>
      <c r="ND21" s="2"/>
      <c r="NF21" s="42">
        <v>43.7</v>
      </c>
      <c r="OA21" s="5"/>
      <c r="OB21" s="5"/>
      <c r="OK21" s="2"/>
      <c r="OL21" s="2"/>
      <c r="ON21" s="42">
        <v>43.7</v>
      </c>
      <c r="PI21" s="5"/>
      <c r="PJ21" s="5"/>
      <c r="PS21" s="2"/>
      <c r="PT21" s="2"/>
      <c r="PV21" s="42">
        <v>47.1</v>
      </c>
      <c r="QQ21" s="5"/>
      <c r="QR21" s="5"/>
      <c r="RA21" s="2"/>
      <c r="RB21" s="2"/>
      <c r="RD21" s="42">
        <v>47.1</v>
      </c>
      <c r="RY21" s="5"/>
      <c r="RZ21" s="5"/>
      <c r="SI21" s="2"/>
      <c r="SJ21" s="2"/>
      <c r="SL21" s="42">
        <v>47.1</v>
      </c>
      <c r="TG21" s="5"/>
      <c r="TH21" s="5"/>
      <c r="TQ21" s="2"/>
      <c r="TR21" s="2"/>
      <c r="TT21" s="42">
        <v>47.1</v>
      </c>
      <c r="UO21" s="5"/>
      <c r="UP21" s="5"/>
      <c r="UY21" s="2"/>
      <c r="UZ21" s="2"/>
      <c r="VB21" s="42">
        <v>47.1</v>
      </c>
      <c r="VW21" s="5"/>
      <c r="VX21" s="5"/>
      <c r="WG21" s="2"/>
      <c r="WH21" s="2"/>
      <c r="WJ21" s="42">
        <v>47.1</v>
      </c>
    </row>
    <row r="22" spans="1:644" hidden="1" x14ac:dyDescent="0.2">
      <c r="A22" s="5"/>
      <c r="B22" s="20" t="s">
        <v>38</v>
      </c>
      <c r="C22" s="5"/>
      <c r="AJ22" s="37"/>
      <c r="AK22" s="37"/>
      <c r="AL22" s="37"/>
      <c r="AM22" s="28"/>
      <c r="AN22" s="28"/>
      <c r="AO22" s="28"/>
      <c r="AP22" s="28"/>
      <c r="AQ22" s="43">
        <v>1000</v>
      </c>
      <c r="BK22" s="37"/>
      <c r="BL22" s="37"/>
      <c r="BM22" s="37"/>
      <c r="BO22" s="28"/>
      <c r="BP22" s="28"/>
      <c r="BR22" s="43">
        <v>1000</v>
      </c>
      <c r="CL22" s="37"/>
      <c r="CM22" s="37"/>
      <c r="CN22" s="37"/>
      <c r="CO22" s="28"/>
      <c r="CP22" s="28"/>
      <c r="CQ22" s="28"/>
      <c r="CR22" s="28"/>
      <c r="CS22" s="43">
        <v>1000</v>
      </c>
      <c r="DO22" s="5"/>
      <c r="DP22" s="5"/>
      <c r="DY22" s="2"/>
      <c r="DZ22" s="2"/>
      <c r="EB22" s="43">
        <v>1000</v>
      </c>
      <c r="EW22" s="5"/>
      <c r="EX22" s="5"/>
      <c r="FG22" s="2"/>
      <c r="FH22" s="2"/>
      <c r="FJ22" s="43">
        <v>1000</v>
      </c>
      <c r="GE22" s="5"/>
      <c r="GF22" s="5"/>
      <c r="GO22" s="2"/>
      <c r="GP22" s="2"/>
      <c r="GR22" s="43">
        <v>1000</v>
      </c>
      <c r="HM22" s="5"/>
      <c r="HN22" s="5"/>
      <c r="HW22" s="2"/>
      <c r="HX22" s="2"/>
      <c r="HZ22" s="43">
        <v>1000</v>
      </c>
      <c r="IU22" s="5"/>
      <c r="IV22" s="5"/>
      <c r="JE22" s="2"/>
      <c r="JF22" s="2"/>
      <c r="JH22" s="43">
        <v>1000</v>
      </c>
      <c r="KC22" s="5"/>
      <c r="KD22" s="5"/>
      <c r="KM22" s="2"/>
      <c r="KN22" s="2"/>
      <c r="KP22" s="43">
        <v>1000</v>
      </c>
      <c r="LK22" s="5"/>
      <c r="LL22" s="5"/>
      <c r="LU22" s="2"/>
      <c r="LV22" s="2"/>
      <c r="LX22" s="43">
        <v>1000</v>
      </c>
      <c r="MS22" s="5"/>
      <c r="MT22" s="5"/>
      <c r="NC22" s="2"/>
      <c r="ND22" s="2"/>
      <c r="NF22" s="43">
        <v>1000</v>
      </c>
      <c r="OA22" s="5"/>
      <c r="OB22" s="5"/>
      <c r="OK22" s="2"/>
      <c r="OL22" s="2"/>
      <c r="ON22" s="43">
        <v>1000</v>
      </c>
      <c r="PI22" s="5"/>
      <c r="PJ22" s="5"/>
      <c r="PS22" s="2"/>
      <c r="PT22" s="2"/>
      <c r="PV22" s="43">
        <v>1000</v>
      </c>
      <c r="QQ22" s="5"/>
      <c r="QR22" s="5"/>
      <c r="RA22" s="2"/>
      <c r="RB22" s="2"/>
      <c r="RD22" s="43">
        <v>1000</v>
      </c>
      <c r="RY22" s="5"/>
      <c r="RZ22" s="5"/>
      <c r="SI22" s="2"/>
      <c r="SJ22" s="2"/>
      <c r="SL22" s="43">
        <v>1000</v>
      </c>
      <c r="TG22" s="5"/>
      <c r="TH22" s="5"/>
      <c r="TQ22" s="2"/>
      <c r="TR22" s="2"/>
      <c r="TT22" s="43">
        <v>1000</v>
      </c>
      <c r="UO22" s="5"/>
      <c r="UP22" s="5"/>
      <c r="UY22" s="2"/>
      <c r="UZ22" s="2"/>
      <c r="VB22" s="43">
        <v>1000</v>
      </c>
      <c r="VW22" s="5"/>
      <c r="VX22" s="5"/>
      <c r="WG22" s="2"/>
      <c r="WH22" s="2"/>
      <c r="WJ22" s="43">
        <v>1000</v>
      </c>
    </row>
    <row r="23" spans="1:644" hidden="1" x14ac:dyDescent="0.2">
      <c r="A23" s="5"/>
      <c r="B23" s="29" t="s">
        <v>49</v>
      </c>
      <c r="C23" s="5"/>
      <c r="AJ23" s="37"/>
      <c r="AK23" s="37"/>
      <c r="AL23" s="37"/>
      <c r="AM23" s="28"/>
      <c r="AN23" s="28"/>
      <c r="AO23" s="28"/>
      <c r="AP23" s="28"/>
      <c r="AQ23" s="44">
        <v>1000</v>
      </c>
      <c r="BK23" s="37"/>
      <c r="BL23" s="37"/>
      <c r="BM23" s="37"/>
      <c r="BO23" s="28"/>
      <c r="BP23" s="28"/>
      <c r="BR23" s="44">
        <v>1000</v>
      </c>
      <c r="CL23" s="37"/>
      <c r="CM23" s="37"/>
      <c r="CN23" s="37"/>
      <c r="CO23" s="28"/>
      <c r="CP23" s="28"/>
      <c r="CQ23" s="28"/>
      <c r="CR23" s="28"/>
      <c r="CS23" s="44">
        <v>1000</v>
      </c>
      <c r="DO23" s="5"/>
      <c r="DP23" s="5"/>
      <c r="DY23" s="2"/>
      <c r="DZ23" s="2"/>
      <c r="EA23" s="33"/>
      <c r="EB23" s="44">
        <v>1000</v>
      </c>
      <c r="EW23" s="5"/>
      <c r="EX23" s="5"/>
      <c r="FG23" s="2"/>
      <c r="FH23" s="2"/>
      <c r="FI23" s="33"/>
      <c r="FJ23" s="44">
        <v>1000</v>
      </c>
      <c r="GE23" s="5"/>
      <c r="GF23" s="5"/>
      <c r="GO23" s="2"/>
      <c r="GP23" s="2"/>
      <c r="GQ23" s="33"/>
      <c r="GR23" s="44">
        <v>1000</v>
      </c>
      <c r="HM23" s="5"/>
      <c r="HN23" s="5"/>
      <c r="HW23" s="2"/>
      <c r="HX23" s="2"/>
      <c r="HY23" s="33"/>
      <c r="HZ23" s="44">
        <v>1000</v>
      </c>
      <c r="IU23" s="5"/>
      <c r="IV23" s="5"/>
      <c r="JE23" s="2"/>
      <c r="JF23" s="2"/>
      <c r="JG23" s="33"/>
      <c r="JH23" s="44">
        <v>1000</v>
      </c>
      <c r="KC23" s="5"/>
      <c r="KD23" s="5"/>
      <c r="KM23" s="2"/>
      <c r="KN23" s="2"/>
      <c r="KO23" s="33"/>
      <c r="KP23" s="44">
        <v>1000</v>
      </c>
      <c r="LK23" s="5"/>
      <c r="LL23" s="5"/>
      <c r="LU23" s="2"/>
      <c r="LV23" s="2"/>
      <c r="LW23" s="33"/>
      <c r="LX23" s="44">
        <v>1000</v>
      </c>
      <c r="MS23" s="5"/>
      <c r="MT23" s="5"/>
      <c r="NC23" s="2"/>
      <c r="ND23" s="2"/>
      <c r="NE23" s="33"/>
      <c r="NF23" s="44">
        <v>1000</v>
      </c>
      <c r="OA23" s="5"/>
      <c r="OB23" s="5"/>
      <c r="OK23" s="2"/>
      <c r="OL23" s="2"/>
      <c r="OM23" s="33"/>
      <c r="ON23" s="44">
        <v>1000</v>
      </c>
      <c r="PI23" s="5"/>
      <c r="PJ23" s="5"/>
      <c r="PS23" s="2"/>
      <c r="PT23" s="2"/>
      <c r="PU23" s="33"/>
      <c r="PV23" s="44">
        <v>1000</v>
      </c>
      <c r="QQ23" s="5"/>
      <c r="QR23" s="5"/>
      <c r="RA23" s="2"/>
      <c r="RB23" s="2"/>
      <c r="RC23" s="33"/>
      <c r="RD23" s="44">
        <v>1000</v>
      </c>
      <c r="RY23" s="5"/>
      <c r="RZ23" s="5"/>
      <c r="SI23" s="2"/>
      <c r="SJ23" s="2"/>
      <c r="SK23" s="33"/>
      <c r="SL23" s="44">
        <v>1000</v>
      </c>
      <c r="TG23" s="5"/>
      <c r="TH23" s="5"/>
      <c r="TQ23" s="2"/>
      <c r="TR23" s="2"/>
      <c r="TS23" s="33"/>
      <c r="TT23" s="44">
        <v>1000</v>
      </c>
      <c r="UO23" s="5"/>
      <c r="UP23" s="5"/>
      <c r="UY23" s="2"/>
      <c r="UZ23" s="2"/>
      <c r="VA23" s="33"/>
      <c r="VB23" s="44">
        <v>1000</v>
      </c>
      <c r="VW23" s="5"/>
      <c r="VX23" s="5"/>
      <c r="WG23" s="2"/>
      <c r="WH23" s="2"/>
      <c r="WI23" s="33"/>
      <c r="WJ23" s="44">
        <v>1000</v>
      </c>
    </row>
    <row r="24" spans="1:644" hidden="1" x14ac:dyDescent="0.2">
      <c r="A24" s="5"/>
      <c r="B24" s="21" t="s">
        <v>30</v>
      </c>
      <c r="C24" s="5"/>
      <c r="AJ24" s="37"/>
      <c r="AK24" s="37"/>
      <c r="AL24" s="37"/>
      <c r="AM24" s="28"/>
      <c r="AN24" s="37"/>
      <c r="AO24" s="37"/>
      <c r="AP24" s="28"/>
      <c r="AQ24" s="45">
        <v>1000</v>
      </c>
      <c r="BK24" s="37"/>
      <c r="BL24" s="37"/>
      <c r="BM24" s="37"/>
      <c r="BO24" s="37"/>
      <c r="BP24" s="28"/>
      <c r="BR24" s="45">
        <v>1000</v>
      </c>
      <c r="CL24" s="37"/>
      <c r="CM24" s="37"/>
      <c r="CN24" s="37"/>
      <c r="CO24" s="28"/>
      <c r="CP24" s="37"/>
      <c r="CQ24" s="28"/>
      <c r="CR24" s="28"/>
      <c r="CS24" s="45">
        <v>1000</v>
      </c>
      <c r="DO24" s="5"/>
      <c r="DP24" s="5"/>
      <c r="DY24" s="37"/>
      <c r="DZ24" s="2"/>
      <c r="EB24" s="45">
        <v>1000</v>
      </c>
      <c r="EW24" s="5"/>
      <c r="EX24" s="5"/>
      <c r="FG24" s="37"/>
      <c r="FH24" s="2"/>
      <c r="FJ24" s="45">
        <v>1000</v>
      </c>
      <c r="GE24" s="5"/>
      <c r="GF24" s="5"/>
      <c r="GO24" s="2"/>
      <c r="GP24" s="2"/>
      <c r="GR24" s="45">
        <v>1000</v>
      </c>
      <c r="HM24" s="5"/>
      <c r="HN24" s="5"/>
      <c r="HW24" s="37"/>
      <c r="HX24" s="2"/>
      <c r="HZ24" s="45">
        <v>1000</v>
      </c>
      <c r="IU24" s="5"/>
      <c r="IV24" s="5"/>
      <c r="JE24" s="2"/>
      <c r="JF24" s="2"/>
      <c r="JH24" s="45">
        <v>1000</v>
      </c>
      <c r="KC24" s="5"/>
      <c r="KD24" s="5"/>
      <c r="KM24" s="2"/>
      <c r="KN24" s="2"/>
      <c r="KP24" s="45">
        <v>1000</v>
      </c>
      <c r="LK24" s="5"/>
      <c r="LL24" s="5"/>
      <c r="LU24" s="2"/>
      <c r="LV24" s="2"/>
      <c r="LX24" s="45">
        <v>1000</v>
      </c>
      <c r="MS24" s="5"/>
      <c r="MT24" s="5"/>
      <c r="NC24" s="2"/>
      <c r="ND24" s="2"/>
      <c r="NF24" s="45">
        <v>1000</v>
      </c>
      <c r="OA24" s="5"/>
      <c r="OB24" s="5"/>
      <c r="OK24" s="2"/>
      <c r="OL24" s="2"/>
      <c r="ON24" s="45">
        <v>1000</v>
      </c>
      <c r="PI24" s="5"/>
      <c r="PJ24" s="5"/>
      <c r="PS24" s="2"/>
      <c r="PT24" s="2"/>
      <c r="PV24" s="45">
        <v>1000</v>
      </c>
      <c r="QQ24" s="5"/>
      <c r="QR24" s="5"/>
      <c r="RA24" s="2"/>
      <c r="RB24" s="2"/>
      <c r="RD24" s="45">
        <v>1000</v>
      </c>
      <c r="RY24" s="5"/>
      <c r="RZ24" s="5"/>
      <c r="SI24" s="2"/>
      <c r="SJ24" s="2"/>
      <c r="SL24" s="45">
        <v>1000</v>
      </c>
      <c r="TG24" s="5"/>
      <c r="TH24" s="5"/>
      <c r="TQ24" s="2"/>
      <c r="TR24" s="2"/>
      <c r="TT24" s="45">
        <v>1000</v>
      </c>
      <c r="UO24" s="5"/>
      <c r="UP24" s="5"/>
      <c r="UY24" s="2"/>
      <c r="UZ24" s="2"/>
      <c r="VB24" s="45">
        <v>1000</v>
      </c>
      <c r="VW24" s="5"/>
      <c r="VX24" s="5"/>
      <c r="WG24" s="2"/>
      <c r="WH24" s="2"/>
      <c r="WJ24" s="45">
        <v>1000</v>
      </c>
    </row>
    <row r="25" spans="1:644" x14ac:dyDescent="0.2">
      <c r="B25" s="25" t="s">
        <v>43</v>
      </c>
      <c r="C25" s="2"/>
      <c r="AM25" s="28"/>
      <c r="AP25" s="28"/>
      <c r="CO25" s="28"/>
      <c r="CR25" s="28"/>
    </row>
    <row r="26" spans="1:644" x14ac:dyDescent="0.2">
      <c r="A26" s="5"/>
      <c r="B26" s="5"/>
      <c r="C26" s="17"/>
      <c r="AI26" s="28"/>
      <c r="AJ26" s="28"/>
      <c r="AK26" s="28"/>
      <c r="AL26" s="28"/>
      <c r="AM26" s="28"/>
      <c r="AP26" s="28"/>
      <c r="CK26" s="28"/>
      <c r="CL26" s="28"/>
      <c r="CM26" s="28"/>
      <c r="CN26" s="28"/>
      <c r="CO26" s="28"/>
      <c r="CR26" s="28"/>
    </row>
    <row r="27" spans="1:644" ht="17" x14ac:dyDescent="0.2">
      <c r="A27" s="5"/>
      <c r="B27" s="5"/>
      <c r="C27" s="17"/>
      <c r="N27" s="10"/>
      <c r="O27" s="10"/>
      <c r="AI27" s="28"/>
      <c r="AJ27" s="28"/>
      <c r="AK27" s="28"/>
      <c r="AL27" s="28"/>
      <c r="AM27" s="28"/>
      <c r="AP27" s="28"/>
      <c r="CK27" s="28"/>
      <c r="CL27" s="28"/>
      <c r="CM27" s="28"/>
      <c r="CN27" s="28"/>
      <c r="CO27" s="28"/>
      <c r="CR27" s="28"/>
    </row>
    <row r="28" spans="1:644" s="32" customFormat="1" ht="17" x14ac:dyDescent="0.2">
      <c r="A28" s="5"/>
      <c r="B28" s="5"/>
      <c r="C28" s="17"/>
      <c r="D28"/>
      <c r="E28"/>
      <c r="F28"/>
      <c r="G28"/>
      <c r="H28"/>
      <c r="I28"/>
      <c r="J28"/>
      <c r="K28"/>
      <c r="L28"/>
      <c r="M28"/>
      <c r="N28" s="10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28"/>
      <c r="AJ28" s="28"/>
      <c r="AK28" s="28"/>
      <c r="AL28" s="28"/>
      <c r="AM28" s="28"/>
      <c r="AP28" s="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28"/>
      <c r="CL28" s="28"/>
      <c r="CM28" s="28"/>
      <c r="CN28" s="28"/>
      <c r="CO28" s="28"/>
      <c r="CR28" s="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</row>
    <row r="29" spans="1:644" s="32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 s="10"/>
      <c r="O29" s="10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28"/>
      <c r="AJ29" s="28"/>
      <c r="AK29" s="28"/>
      <c r="AL29" s="28"/>
      <c r="AM29" s="28"/>
      <c r="AP29" s="28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28"/>
      <c r="CL29" s="28"/>
      <c r="CM29" s="28"/>
      <c r="CN29" s="28"/>
      <c r="CO29" s="28"/>
      <c r="CR29" s="28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</row>
    <row r="30" spans="1:644" s="32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28"/>
      <c r="AJ30" s="28"/>
      <c r="AK30" s="28"/>
      <c r="AL30" s="28"/>
      <c r="AM30" s="28"/>
      <c r="AP30" s="28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28"/>
      <c r="CL30" s="28"/>
      <c r="CM30" s="28"/>
      <c r="CN30" s="28"/>
      <c r="CO30" s="28"/>
      <c r="CR30" s="28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</row>
    <row r="31" spans="1:644" s="32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28"/>
      <c r="AJ31" s="28"/>
      <c r="AK31" s="28"/>
      <c r="AL31" s="28"/>
      <c r="AM31" s="28"/>
      <c r="AP31" s="28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28"/>
      <c r="CL31" s="28"/>
      <c r="CM31" s="28"/>
      <c r="CN31" s="28"/>
      <c r="CO31" s="28"/>
      <c r="CR31" s="28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</row>
    <row r="32" spans="1:644" s="32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 s="10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</row>
    <row r="33" spans="1:644" s="32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</row>
    <row r="34" spans="1:644" s="32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</row>
    <row r="35" spans="1:644" s="32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  <c r="TY35"/>
      <c r="TZ35"/>
      <c r="UA35"/>
      <c r="UB35"/>
      <c r="UC35"/>
      <c r="UD35"/>
      <c r="UE35"/>
      <c r="UF35"/>
      <c r="UG35"/>
      <c r="UH35"/>
      <c r="UI35"/>
      <c r="UJ35"/>
      <c r="UK35"/>
      <c r="UL35"/>
      <c r="UM35"/>
      <c r="UN35"/>
      <c r="UO35"/>
      <c r="UP35"/>
      <c r="UQ35"/>
      <c r="UR35"/>
      <c r="US35"/>
      <c r="UT35"/>
      <c r="UU35"/>
      <c r="UV35"/>
      <c r="UW35"/>
      <c r="UX35"/>
      <c r="UY35"/>
      <c r="UZ35"/>
      <c r="VA35"/>
      <c r="VB35"/>
      <c r="VC35"/>
      <c r="VD35"/>
      <c r="VE35"/>
      <c r="VF35"/>
      <c r="VG35"/>
      <c r="VH35"/>
      <c r="VI35"/>
      <c r="VJ35"/>
      <c r="VK35"/>
      <c r="VL35"/>
      <c r="VM35"/>
      <c r="VN35"/>
      <c r="VO35"/>
      <c r="VP35"/>
      <c r="VQ35"/>
      <c r="VR35"/>
      <c r="VS35"/>
      <c r="VT35"/>
      <c r="VU35"/>
      <c r="VV35"/>
      <c r="VW35"/>
      <c r="VX35"/>
      <c r="VY35"/>
      <c r="VZ35"/>
      <c r="WA35"/>
      <c r="WB35"/>
      <c r="WC35"/>
      <c r="WD35"/>
      <c r="WE35"/>
      <c r="WF35"/>
      <c r="WG35"/>
      <c r="WH35"/>
      <c r="WI35"/>
      <c r="WJ35"/>
      <c r="WK35"/>
      <c r="WL35"/>
      <c r="WM35"/>
      <c r="WN35"/>
      <c r="WO35"/>
      <c r="WP35"/>
      <c r="WQ35"/>
      <c r="WR35"/>
      <c r="WS35"/>
      <c r="WT35"/>
      <c r="WU35"/>
      <c r="WV35"/>
      <c r="WW35"/>
      <c r="WX35"/>
      <c r="WY35"/>
      <c r="WZ35"/>
      <c r="XA35"/>
      <c r="XB35"/>
      <c r="XC35"/>
      <c r="XD35"/>
      <c r="XE35"/>
      <c r="XF35"/>
      <c r="XG35"/>
      <c r="XH35"/>
      <c r="XI35"/>
      <c r="XJ35"/>
      <c r="XK35"/>
      <c r="XL35"/>
      <c r="XM35"/>
      <c r="XN35"/>
      <c r="XO35"/>
      <c r="XP35"/>
      <c r="XQ35"/>
      <c r="XR35"/>
      <c r="XS35"/>
      <c r="XT35"/>
    </row>
    <row r="36" spans="1:644" s="32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  <c r="TY36"/>
      <c r="TZ36"/>
      <c r="UA36"/>
      <c r="UB36"/>
      <c r="UC36"/>
      <c r="UD36"/>
      <c r="UE36"/>
      <c r="UF36"/>
      <c r="UG36"/>
      <c r="UH36"/>
      <c r="UI36"/>
      <c r="UJ36"/>
      <c r="UK36"/>
      <c r="UL36"/>
      <c r="UM36"/>
      <c r="UN36"/>
      <c r="UO36"/>
      <c r="UP36"/>
      <c r="UQ36"/>
      <c r="UR36"/>
      <c r="US36"/>
      <c r="UT36"/>
      <c r="UU36"/>
      <c r="UV36"/>
      <c r="UW36"/>
      <c r="UX36"/>
      <c r="UY36"/>
      <c r="UZ36"/>
      <c r="VA36"/>
      <c r="VB36"/>
      <c r="VC36"/>
      <c r="VD36"/>
      <c r="VE36"/>
      <c r="VF36"/>
      <c r="VG36"/>
      <c r="VH36"/>
      <c r="VI36"/>
      <c r="VJ36"/>
      <c r="VK36"/>
      <c r="VL36"/>
      <c r="VM36"/>
      <c r="VN36"/>
      <c r="VO36"/>
      <c r="VP36"/>
      <c r="VQ36"/>
      <c r="VR36"/>
      <c r="VS36"/>
      <c r="VT36"/>
      <c r="VU36"/>
      <c r="VV36"/>
      <c r="VW36"/>
      <c r="VX36"/>
      <c r="VY36"/>
      <c r="VZ36"/>
      <c r="WA36"/>
      <c r="WB36"/>
      <c r="WC36"/>
      <c r="WD36"/>
      <c r="WE36"/>
      <c r="WF36"/>
      <c r="WG36"/>
      <c r="WH36"/>
      <c r="WI36"/>
      <c r="WJ36"/>
      <c r="WK36"/>
      <c r="WL36"/>
      <c r="WM36"/>
      <c r="WN36"/>
      <c r="WO36"/>
      <c r="WP36"/>
      <c r="WQ36"/>
      <c r="WR36"/>
      <c r="WS36"/>
      <c r="WT36"/>
      <c r="WU36"/>
      <c r="WV36"/>
      <c r="WW36"/>
      <c r="WX36"/>
      <c r="WY36"/>
      <c r="WZ36"/>
      <c r="XA36"/>
      <c r="XB36"/>
      <c r="XC36"/>
      <c r="XD36"/>
      <c r="XE36"/>
      <c r="XF36"/>
      <c r="XG36"/>
      <c r="XH36"/>
      <c r="XI36"/>
      <c r="XJ36"/>
      <c r="XK36"/>
      <c r="XL36"/>
      <c r="XM36"/>
      <c r="XN36"/>
      <c r="XO36"/>
      <c r="XP36"/>
      <c r="XQ36"/>
      <c r="XR36"/>
      <c r="XS36"/>
      <c r="XT36"/>
    </row>
    <row r="37" spans="1:644" s="32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  <c r="TY37"/>
      <c r="TZ37"/>
      <c r="UA37"/>
      <c r="UB37"/>
      <c r="UC37"/>
      <c r="UD37"/>
      <c r="UE37"/>
      <c r="UF37"/>
      <c r="UG37"/>
      <c r="UH37"/>
      <c r="UI37"/>
      <c r="UJ37"/>
      <c r="UK37"/>
      <c r="UL37"/>
      <c r="UM37"/>
      <c r="UN37"/>
      <c r="UO37"/>
      <c r="UP37"/>
      <c r="UQ37"/>
      <c r="UR37"/>
      <c r="US37"/>
      <c r="UT37"/>
      <c r="UU37"/>
      <c r="UV37"/>
      <c r="UW37"/>
      <c r="UX37"/>
      <c r="UY37"/>
      <c r="UZ37"/>
      <c r="VA37"/>
      <c r="VB37"/>
      <c r="VC37"/>
      <c r="VD37"/>
      <c r="VE37"/>
      <c r="VF37"/>
      <c r="VG37"/>
      <c r="VH37"/>
      <c r="VI37"/>
      <c r="VJ37"/>
      <c r="VK37"/>
      <c r="VL37"/>
      <c r="VM37"/>
      <c r="VN37"/>
      <c r="VO37"/>
      <c r="VP37"/>
      <c r="VQ37"/>
      <c r="VR37"/>
      <c r="VS37"/>
      <c r="VT37"/>
      <c r="VU37"/>
      <c r="VV37"/>
      <c r="VW37"/>
      <c r="VX37"/>
      <c r="VY37"/>
      <c r="VZ37"/>
      <c r="WA37"/>
      <c r="WB37"/>
      <c r="WC37"/>
      <c r="WD37"/>
      <c r="WE37"/>
      <c r="WF37"/>
      <c r="WG37"/>
      <c r="WH37"/>
      <c r="WI37"/>
      <c r="WJ37"/>
      <c r="WK37"/>
      <c r="WL37"/>
      <c r="WM37"/>
      <c r="WN37"/>
      <c r="WO37"/>
      <c r="WP37"/>
      <c r="WQ37"/>
      <c r="WR37"/>
      <c r="WS37"/>
      <c r="WT37"/>
      <c r="WU37"/>
      <c r="WV37"/>
      <c r="WW37"/>
      <c r="WX37"/>
      <c r="WY37"/>
      <c r="WZ37"/>
      <c r="XA37"/>
      <c r="XB37"/>
      <c r="XC37"/>
      <c r="XD37"/>
      <c r="XE37"/>
      <c r="XF37"/>
      <c r="XG37"/>
      <c r="XH37"/>
      <c r="XI37"/>
      <c r="XJ37"/>
      <c r="XK37"/>
      <c r="XL37"/>
      <c r="XM37"/>
      <c r="XN37"/>
      <c r="XO37"/>
      <c r="XP37"/>
      <c r="XQ37"/>
      <c r="XR37"/>
      <c r="XS37"/>
      <c r="XT37"/>
    </row>
    <row r="38" spans="1:644" s="32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  <c r="TY38"/>
      <c r="TZ38"/>
      <c r="UA38"/>
      <c r="UB38"/>
      <c r="UC38"/>
      <c r="UD38"/>
      <c r="UE38"/>
      <c r="UF38"/>
      <c r="UG38"/>
      <c r="UH38"/>
      <c r="UI38"/>
      <c r="UJ38"/>
      <c r="UK38"/>
      <c r="UL38"/>
      <c r="UM38"/>
      <c r="UN38"/>
      <c r="UO38"/>
      <c r="UP38"/>
      <c r="UQ38"/>
      <c r="UR38"/>
      <c r="US38"/>
      <c r="UT38"/>
      <c r="UU38"/>
      <c r="UV38"/>
      <c r="UW38"/>
      <c r="UX38"/>
      <c r="UY38"/>
      <c r="UZ38"/>
      <c r="VA38"/>
      <c r="VB38"/>
      <c r="VC38"/>
      <c r="VD38"/>
      <c r="VE38"/>
      <c r="VF38"/>
      <c r="VG38"/>
      <c r="VH38"/>
      <c r="VI38"/>
      <c r="VJ38"/>
      <c r="VK38"/>
      <c r="VL38"/>
      <c r="VM38"/>
      <c r="VN38"/>
      <c r="VO38"/>
      <c r="VP38"/>
      <c r="VQ38"/>
      <c r="VR38"/>
      <c r="VS38"/>
      <c r="VT38"/>
      <c r="VU38"/>
      <c r="VV38"/>
      <c r="VW38"/>
      <c r="VX38"/>
      <c r="VY38"/>
      <c r="VZ38"/>
      <c r="WA38"/>
      <c r="WB38"/>
      <c r="WC38"/>
      <c r="WD38"/>
      <c r="WE38"/>
      <c r="WF38"/>
      <c r="WG38"/>
      <c r="WH38"/>
      <c r="WI38"/>
      <c r="WJ38"/>
      <c r="WK38"/>
      <c r="WL38"/>
      <c r="WM38"/>
      <c r="WN38"/>
      <c r="WO38"/>
      <c r="WP38"/>
      <c r="WQ38"/>
      <c r="WR38"/>
      <c r="WS38"/>
      <c r="WT38"/>
      <c r="WU38"/>
      <c r="WV38"/>
      <c r="WW38"/>
      <c r="WX38"/>
      <c r="WY38"/>
      <c r="WZ38"/>
      <c r="XA38"/>
      <c r="XB38"/>
      <c r="XC38"/>
      <c r="XD38"/>
      <c r="XE38"/>
      <c r="XF38"/>
      <c r="XG38"/>
      <c r="XH38"/>
      <c r="XI38"/>
      <c r="XJ38"/>
      <c r="XK38"/>
      <c r="XL38"/>
      <c r="XM38"/>
      <c r="XN38"/>
      <c r="XO38"/>
      <c r="XP38"/>
      <c r="XQ38"/>
      <c r="XR38"/>
      <c r="XS38"/>
      <c r="XT38"/>
    </row>
    <row r="39" spans="1:644" s="32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  <c r="TY39"/>
      <c r="TZ39"/>
      <c r="UA39"/>
      <c r="UB39"/>
      <c r="UC39"/>
      <c r="UD39"/>
      <c r="UE39"/>
      <c r="UF39"/>
      <c r="UG39"/>
      <c r="UH39"/>
      <c r="UI39"/>
      <c r="UJ39"/>
      <c r="UK39"/>
      <c r="UL39"/>
      <c r="UM39"/>
      <c r="UN39"/>
      <c r="UO39"/>
      <c r="UP39"/>
      <c r="UQ39"/>
      <c r="UR39"/>
      <c r="US39"/>
      <c r="UT39"/>
      <c r="UU39"/>
      <c r="UV39"/>
      <c r="UW39"/>
      <c r="UX39"/>
      <c r="UY39"/>
      <c r="UZ39"/>
      <c r="VA39"/>
      <c r="VB39"/>
      <c r="VC39"/>
      <c r="VD39"/>
      <c r="VE39"/>
      <c r="VF39"/>
      <c r="VG39"/>
      <c r="VH39"/>
      <c r="VI39"/>
      <c r="VJ39"/>
      <c r="VK39"/>
      <c r="VL39"/>
      <c r="VM39"/>
      <c r="VN39"/>
      <c r="VO39"/>
      <c r="VP39"/>
      <c r="VQ39"/>
      <c r="VR39"/>
      <c r="VS39"/>
      <c r="VT39"/>
      <c r="VU39"/>
      <c r="VV39"/>
      <c r="VW39"/>
      <c r="VX39"/>
      <c r="VY39"/>
      <c r="VZ39"/>
      <c r="WA39"/>
      <c r="WB39"/>
      <c r="WC39"/>
      <c r="WD39"/>
      <c r="WE39"/>
      <c r="WF39"/>
      <c r="WG39"/>
      <c r="WH39"/>
      <c r="WI39"/>
      <c r="WJ39"/>
      <c r="WK39"/>
      <c r="WL39"/>
      <c r="WM39"/>
      <c r="WN39"/>
      <c r="WO39"/>
      <c r="WP39"/>
      <c r="WQ39"/>
      <c r="WR39"/>
      <c r="WS39"/>
      <c r="WT39"/>
      <c r="WU39"/>
      <c r="WV39"/>
      <c r="WW39"/>
      <c r="WX39"/>
      <c r="WY39"/>
      <c r="WZ39"/>
      <c r="XA39"/>
      <c r="XB39"/>
      <c r="XC39"/>
      <c r="XD39"/>
      <c r="XE39"/>
      <c r="XF39"/>
      <c r="XG39"/>
      <c r="XH39"/>
      <c r="XI39"/>
      <c r="XJ39"/>
      <c r="XK39"/>
      <c r="XL39"/>
      <c r="XM39"/>
      <c r="XN39"/>
      <c r="XO39"/>
      <c r="XP39"/>
      <c r="XQ39"/>
      <c r="XR39"/>
      <c r="XS39"/>
      <c r="XT39"/>
    </row>
    <row r="40" spans="1:644" s="32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  <c r="TY40"/>
      <c r="TZ40"/>
      <c r="UA40"/>
      <c r="UB40"/>
      <c r="UC40"/>
      <c r="UD40"/>
      <c r="UE40"/>
      <c r="UF40"/>
      <c r="UG40"/>
      <c r="UH40"/>
      <c r="UI40"/>
      <c r="UJ40"/>
      <c r="UK40"/>
      <c r="UL40"/>
      <c r="UM40"/>
      <c r="UN40"/>
      <c r="UO40"/>
      <c r="UP40"/>
      <c r="UQ40"/>
      <c r="UR40"/>
      <c r="US40"/>
      <c r="UT40"/>
      <c r="UU40"/>
      <c r="UV40"/>
      <c r="UW40"/>
      <c r="UX40"/>
      <c r="UY40"/>
      <c r="UZ40"/>
      <c r="VA40"/>
      <c r="VB40"/>
      <c r="VC40"/>
      <c r="VD40"/>
      <c r="VE40"/>
      <c r="VF40"/>
      <c r="VG40"/>
      <c r="VH40"/>
      <c r="VI40"/>
      <c r="VJ40"/>
      <c r="VK40"/>
      <c r="VL40"/>
      <c r="VM40"/>
      <c r="VN40"/>
      <c r="VO40"/>
      <c r="VP40"/>
      <c r="VQ40"/>
      <c r="VR40"/>
      <c r="VS40"/>
      <c r="VT40"/>
      <c r="VU40"/>
      <c r="VV40"/>
      <c r="VW40"/>
      <c r="VX40"/>
      <c r="VY40"/>
      <c r="VZ40"/>
      <c r="WA40"/>
      <c r="WB40"/>
      <c r="WC40"/>
      <c r="WD40"/>
      <c r="WE40"/>
      <c r="WF40"/>
      <c r="WG40"/>
      <c r="WH40"/>
      <c r="WI40"/>
      <c r="WJ40"/>
      <c r="WK40"/>
      <c r="WL40"/>
      <c r="WM40"/>
      <c r="WN40"/>
      <c r="WO40"/>
      <c r="WP40"/>
      <c r="WQ40"/>
      <c r="WR40"/>
      <c r="WS40"/>
      <c r="WT40"/>
      <c r="WU40"/>
      <c r="WV40"/>
      <c r="WW40"/>
      <c r="WX40"/>
      <c r="WY40"/>
      <c r="WZ40"/>
      <c r="XA40"/>
      <c r="XB40"/>
      <c r="XC40"/>
      <c r="XD40"/>
      <c r="XE40"/>
      <c r="XF40"/>
      <c r="XG40"/>
      <c r="XH40"/>
      <c r="XI40"/>
      <c r="XJ40"/>
      <c r="XK40"/>
      <c r="XL40"/>
      <c r="XM40"/>
      <c r="XN40"/>
      <c r="XO40"/>
      <c r="XP40"/>
      <c r="XQ40"/>
      <c r="XR40"/>
      <c r="XS40"/>
      <c r="XT40"/>
    </row>
    <row r="41" spans="1:644" s="32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  <c r="TY41"/>
      <c r="TZ41"/>
      <c r="UA41"/>
      <c r="UB41"/>
      <c r="UC41"/>
      <c r="UD41"/>
      <c r="UE41"/>
      <c r="UF41"/>
      <c r="UG41"/>
      <c r="UH41"/>
      <c r="UI41"/>
      <c r="UJ41"/>
      <c r="UK41"/>
      <c r="UL41"/>
      <c r="UM41"/>
      <c r="UN41"/>
      <c r="UO41"/>
      <c r="UP41"/>
      <c r="UQ41"/>
      <c r="UR41"/>
      <c r="US41"/>
      <c r="UT41"/>
      <c r="UU41"/>
      <c r="UV41"/>
      <c r="UW41"/>
      <c r="UX41"/>
      <c r="UY41"/>
      <c r="UZ41"/>
      <c r="VA41"/>
      <c r="VB41"/>
      <c r="VC41"/>
      <c r="VD41"/>
      <c r="VE41"/>
      <c r="VF41"/>
      <c r="VG41"/>
      <c r="VH41"/>
      <c r="VI41"/>
      <c r="VJ41"/>
      <c r="VK41"/>
      <c r="VL41"/>
      <c r="VM41"/>
      <c r="VN41"/>
      <c r="VO41"/>
      <c r="VP41"/>
      <c r="VQ41"/>
      <c r="VR41"/>
      <c r="VS41"/>
      <c r="VT41"/>
      <c r="VU41"/>
      <c r="VV41"/>
      <c r="VW41"/>
      <c r="VX41"/>
      <c r="VY41"/>
      <c r="VZ41"/>
      <c r="WA41"/>
      <c r="WB41"/>
      <c r="WC41"/>
      <c r="WD41"/>
      <c r="WE41"/>
      <c r="WF41"/>
      <c r="WG41"/>
      <c r="WH41"/>
      <c r="WI41"/>
      <c r="WJ41"/>
      <c r="WK41"/>
      <c r="WL41"/>
      <c r="WM41"/>
      <c r="WN41"/>
      <c r="WO41"/>
      <c r="WP41"/>
      <c r="WQ41"/>
      <c r="WR41"/>
      <c r="WS41"/>
      <c r="WT41"/>
      <c r="WU41"/>
      <c r="WV41"/>
      <c r="WW41"/>
      <c r="WX41"/>
      <c r="WY41"/>
      <c r="WZ41"/>
      <c r="XA41"/>
      <c r="XB41"/>
      <c r="XC41"/>
      <c r="XD41"/>
      <c r="XE41"/>
      <c r="XF41"/>
      <c r="XG41"/>
      <c r="XH41"/>
      <c r="XI41"/>
      <c r="XJ41"/>
      <c r="XK41"/>
      <c r="XL41"/>
      <c r="XM41"/>
      <c r="XN41"/>
      <c r="XO41"/>
      <c r="XP41"/>
      <c r="XQ41"/>
      <c r="XR41"/>
      <c r="XS41"/>
      <c r="XT41"/>
    </row>
    <row r="42" spans="1:644" s="32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 s="10"/>
      <c r="O42" s="10"/>
      <c r="P42" s="10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  <c r="TY42"/>
      <c r="TZ42"/>
      <c r="UA42"/>
      <c r="UB42"/>
      <c r="UC42"/>
      <c r="UD42"/>
      <c r="UE42"/>
      <c r="UF42"/>
      <c r="UG42"/>
      <c r="UH42"/>
      <c r="UI42"/>
      <c r="UJ42"/>
      <c r="UK42"/>
      <c r="UL42"/>
      <c r="UM42"/>
      <c r="UN42"/>
      <c r="UO42"/>
      <c r="UP42"/>
      <c r="UQ42"/>
      <c r="UR42"/>
      <c r="US42"/>
      <c r="UT42"/>
      <c r="UU42"/>
      <c r="UV42"/>
      <c r="UW42"/>
      <c r="UX42"/>
      <c r="UY42"/>
      <c r="UZ42"/>
      <c r="VA42"/>
      <c r="VB42"/>
      <c r="VC42"/>
      <c r="VD42"/>
      <c r="VE42"/>
      <c r="VF42"/>
      <c r="VG42"/>
      <c r="VH42"/>
      <c r="VI42"/>
      <c r="VJ42"/>
      <c r="VK42"/>
      <c r="VL42"/>
      <c r="VM42"/>
      <c r="VN42"/>
      <c r="VO42"/>
      <c r="VP42"/>
      <c r="VQ42"/>
      <c r="VR42"/>
      <c r="VS42"/>
      <c r="VT42"/>
      <c r="VU42"/>
      <c r="VV42"/>
      <c r="VW42"/>
      <c r="VX42"/>
      <c r="VY42"/>
      <c r="VZ42"/>
      <c r="WA42"/>
      <c r="WB42"/>
      <c r="WC42"/>
      <c r="WD42"/>
      <c r="WE42"/>
      <c r="WF42"/>
      <c r="WG42"/>
      <c r="WH42"/>
      <c r="WI42"/>
      <c r="WJ42"/>
      <c r="WK42"/>
      <c r="WL42"/>
      <c r="WM42"/>
      <c r="WN42"/>
      <c r="WO42"/>
      <c r="WP42"/>
      <c r="WQ42"/>
      <c r="WR42"/>
      <c r="WS42"/>
      <c r="WT42"/>
      <c r="WU42"/>
      <c r="WV42"/>
      <c r="WW42"/>
      <c r="WX42"/>
      <c r="WY42"/>
      <c r="WZ42"/>
      <c r="XA42"/>
      <c r="XB42"/>
      <c r="XC42"/>
      <c r="XD42"/>
      <c r="XE42"/>
      <c r="XF42"/>
      <c r="XG42"/>
      <c r="XH42"/>
      <c r="XI42"/>
      <c r="XJ42"/>
      <c r="XK42"/>
      <c r="XL42"/>
      <c r="XM42"/>
      <c r="XN42"/>
      <c r="XO42"/>
      <c r="XP42"/>
      <c r="XQ42"/>
      <c r="XR42"/>
      <c r="XS42"/>
      <c r="XT42"/>
    </row>
    <row r="43" spans="1:644" s="32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 s="10"/>
      <c r="O43" s="10"/>
      <c r="P43" s="10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  <c r="TY43"/>
      <c r="TZ43"/>
      <c r="UA43"/>
      <c r="UB43"/>
      <c r="UC43"/>
      <c r="UD43"/>
      <c r="UE43"/>
      <c r="UF43"/>
      <c r="UG43"/>
      <c r="UH43"/>
      <c r="UI43"/>
      <c r="UJ43"/>
      <c r="UK43"/>
      <c r="UL43"/>
      <c r="UM43"/>
      <c r="UN43"/>
      <c r="UO43"/>
      <c r="UP43"/>
      <c r="UQ43"/>
      <c r="UR43"/>
      <c r="US43"/>
      <c r="UT43"/>
      <c r="UU43"/>
      <c r="UV43"/>
      <c r="UW43"/>
      <c r="UX43"/>
      <c r="UY43"/>
      <c r="UZ43"/>
      <c r="VA43"/>
      <c r="VB43"/>
      <c r="VC43"/>
      <c r="VD43"/>
      <c r="VE43"/>
      <c r="VF43"/>
      <c r="VG43"/>
      <c r="VH43"/>
      <c r="VI43"/>
      <c r="VJ43"/>
      <c r="VK43"/>
      <c r="VL43"/>
      <c r="VM43"/>
      <c r="VN43"/>
      <c r="VO43"/>
      <c r="VP43"/>
      <c r="VQ43"/>
      <c r="VR43"/>
      <c r="VS43"/>
      <c r="VT43"/>
      <c r="VU43"/>
      <c r="VV43"/>
      <c r="VW43"/>
      <c r="VX43"/>
      <c r="VY43"/>
      <c r="VZ43"/>
      <c r="WA43"/>
      <c r="WB43"/>
      <c r="WC43"/>
      <c r="WD43"/>
      <c r="WE43"/>
      <c r="WF43"/>
      <c r="WG43"/>
      <c r="WH43"/>
      <c r="WI43"/>
      <c r="WJ43"/>
      <c r="WK43"/>
      <c r="WL43"/>
      <c r="WM43"/>
      <c r="WN43"/>
      <c r="WO43"/>
      <c r="WP43"/>
      <c r="WQ43"/>
      <c r="WR43"/>
      <c r="WS43"/>
      <c r="WT43"/>
      <c r="WU43"/>
      <c r="WV43"/>
      <c r="WW43"/>
      <c r="WX43"/>
      <c r="WY43"/>
      <c r="WZ43"/>
      <c r="XA43"/>
      <c r="XB43"/>
      <c r="XC43"/>
      <c r="XD43"/>
      <c r="XE43"/>
      <c r="XF43"/>
      <c r="XG43"/>
      <c r="XH43"/>
      <c r="XI43"/>
      <c r="XJ43"/>
      <c r="XK43"/>
      <c r="XL43"/>
      <c r="XM43"/>
      <c r="XN43"/>
      <c r="XO43"/>
      <c r="XP43"/>
      <c r="XQ43"/>
      <c r="XR43"/>
      <c r="XS43"/>
      <c r="XT43"/>
    </row>
    <row r="44" spans="1:644" ht="17" x14ac:dyDescent="0.2">
      <c r="N44" s="10"/>
      <c r="O44" s="10"/>
      <c r="P44" s="10"/>
    </row>
    <row r="45" spans="1:644" ht="17" x14ac:dyDescent="0.2">
      <c r="N45" s="10"/>
      <c r="O45" s="10"/>
      <c r="P45" s="10"/>
    </row>
    <row r="46" spans="1:644" ht="17" x14ac:dyDescent="0.2">
      <c r="N46" s="10"/>
      <c r="O46" s="10"/>
      <c r="P46" s="10"/>
    </row>
  </sheetData>
  <sheetProtection sheet="1" formatCells="0" formatColumns="0" formatRows="0"/>
  <autoFilter ref="A1:WJ1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sortState xmlns:xlrd2="http://schemas.microsoft.com/office/spreadsheetml/2017/richdata2" ref="A6:WJ14">
      <sortCondition descending="1" ref="F1:F15"/>
    </sortState>
  </autoFilter>
  <mergeCells count="103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AQ1"/>
    <mergeCell ref="AR1:BR1"/>
    <mergeCell ref="G1:G3"/>
    <mergeCell ref="H1:H3"/>
    <mergeCell ref="I1:I3"/>
    <mergeCell ref="J1:J3"/>
    <mergeCell ref="K1:K3"/>
    <mergeCell ref="L1:L3"/>
    <mergeCell ref="VC1:WJ1"/>
    <mergeCell ref="Q2:U2"/>
    <mergeCell ref="V2:Z2"/>
    <mergeCell ref="AA2:AE2"/>
    <mergeCell ref="AR2:AV2"/>
    <mergeCell ref="AW2:BA2"/>
    <mergeCell ref="BB2:BF2"/>
    <mergeCell ref="JI1:KP1"/>
    <mergeCell ref="KQ1:LX1"/>
    <mergeCell ref="LY1:NF1"/>
    <mergeCell ref="NG1:ON1"/>
    <mergeCell ref="OO1:PV1"/>
    <mergeCell ref="PW1:RD1"/>
    <mergeCell ref="BS1:CS1"/>
    <mergeCell ref="CU1:EB1"/>
    <mergeCell ref="EC1:FJ1"/>
    <mergeCell ref="FK1:GR1"/>
    <mergeCell ref="GS1:HZ1"/>
    <mergeCell ref="IA1:JH1"/>
    <mergeCell ref="BS2:BW2"/>
    <mergeCell ref="BX2:CB2"/>
    <mergeCell ref="CC2:CG2"/>
    <mergeCell ref="CU2:CY2"/>
    <mergeCell ref="CZ2:DD2"/>
    <mergeCell ref="DE2:DI2"/>
    <mergeCell ref="RE1:SL1"/>
    <mergeCell ref="SM1:TT1"/>
    <mergeCell ref="TU1:VB1"/>
    <mergeCell ref="FP2:FT2"/>
    <mergeCell ref="FU2:FY2"/>
    <mergeCell ref="FZ2:GD2"/>
    <mergeCell ref="GS2:GW2"/>
    <mergeCell ref="GX2:HB2"/>
    <mergeCell ref="HC2:HG2"/>
    <mergeCell ref="DJ2:DN2"/>
    <mergeCell ref="EC2:EG2"/>
    <mergeCell ref="EH2:EL2"/>
    <mergeCell ref="EM2:EQ2"/>
    <mergeCell ref="ER2:EV2"/>
    <mergeCell ref="FK2:FO2"/>
    <mergeCell ref="JN2:JR2"/>
    <mergeCell ref="JS2:JW2"/>
    <mergeCell ref="JX2:KB2"/>
    <mergeCell ref="KQ2:KU2"/>
    <mergeCell ref="KV2:KZ2"/>
    <mergeCell ref="LA2:LE2"/>
    <mergeCell ref="HH2:HL2"/>
    <mergeCell ref="IA2:IE2"/>
    <mergeCell ref="IF2:IJ2"/>
    <mergeCell ref="IK2:IO2"/>
    <mergeCell ref="IP2:IT2"/>
    <mergeCell ref="JI2:JM2"/>
    <mergeCell ref="NL2:NP2"/>
    <mergeCell ref="NQ2:NU2"/>
    <mergeCell ref="NV2:NZ2"/>
    <mergeCell ref="OO2:OS2"/>
    <mergeCell ref="OT2:OX2"/>
    <mergeCell ref="OY2:PC2"/>
    <mergeCell ref="LF2:LJ2"/>
    <mergeCell ref="LY2:MC2"/>
    <mergeCell ref="MD2:MH2"/>
    <mergeCell ref="MI2:MM2"/>
    <mergeCell ref="MN2:MR2"/>
    <mergeCell ref="NG2:NK2"/>
    <mergeCell ref="RJ2:RN2"/>
    <mergeCell ref="RO2:RS2"/>
    <mergeCell ref="RT2:RX2"/>
    <mergeCell ref="SM2:SQ2"/>
    <mergeCell ref="SR2:SV2"/>
    <mergeCell ref="SW2:TA2"/>
    <mergeCell ref="PD2:PH2"/>
    <mergeCell ref="PW2:QA2"/>
    <mergeCell ref="QB2:QF2"/>
    <mergeCell ref="QG2:QK2"/>
    <mergeCell ref="QL2:QP2"/>
    <mergeCell ref="RE2:RI2"/>
    <mergeCell ref="VH2:VL2"/>
    <mergeCell ref="VM2:VQ2"/>
    <mergeCell ref="VR2:VV2"/>
    <mergeCell ref="TB2:TF2"/>
    <mergeCell ref="TU2:TY2"/>
    <mergeCell ref="TZ2:UD2"/>
    <mergeCell ref="UE2:UI2"/>
    <mergeCell ref="UJ2:UN2"/>
    <mergeCell ref="VC2:VG2"/>
  </mergeCells>
  <conditionalFormatting sqref="H1:H1048576">
    <cfRule type="containsText" dxfId="265" priority="129" operator="containsText" text="No DD">
      <formula>NOT(ISERROR(SEARCH("No DD",H1)))</formula>
    </cfRule>
    <cfRule type="containsText" dxfId="264" priority="130" operator="containsText" text="Merit">
      <formula>NOT(ISERROR(SEARCH("Merit",H1)))</formula>
    </cfRule>
    <cfRule type="containsText" dxfId="263" priority="131" operator="containsText" text="Excellence">
      <formula>NOT(ISERROR(SEARCH("Excellence",H1)))</formula>
    </cfRule>
    <cfRule type="containsText" dxfId="262" priority="132" operator="containsText" text="Worlds Team">
      <formula>NOT(ISERROR(SEARCH("Worlds Team",H1)))</formula>
    </cfRule>
    <cfRule type="containsText" dxfId="261" priority="133" operator="containsText" text="National Team">
      <formula>NOT(ISERROR(SEARCH("National Team",H1)))</formula>
    </cfRule>
  </conditionalFormatting>
  <conditionalFormatting sqref="Q4:AQ14">
    <cfRule type="expression" dxfId="260" priority="128" stopIfTrue="1">
      <formula>IF($AF4&lt;&gt;"",1,0)</formula>
    </cfRule>
  </conditionalFormatting>
  <conditionalFormatting sqref="AR4:BR14">
    <cfRule type="expression" dxfId="259" priority="127" stopIfTrue="1">
      <formula>IF($BG4&lt;&gt;"",1,0)</formula>
    </cfRule>
  </conditionalFormatting>
  <conditionalFormatting sqref="BS4:CS14">
    <cfRule type="expression" dxfId="258" priority="126" stopIfTrue="1">
      <formula>IF($CH4&lt;&gt;"",1,0)</formula>
    </cfRule>
  </conditionalFormatting>
  <conditionalFormatting sqref="BO25:BO1048576 BH1:BH1048576 BK1:BK1048576 BO1:BO23">
    <cfRule type="cellIs" dxfId="257" priority="122" operator="between">
      <formula>$BR$20</formula>
      <formula>1000</formula>
    </cfRule>
    <cfRule type="cellIs" dxfId="256" priority="123" operator="between">
      <formula>$BR$19</formula>
      <formula>$BR$20</formula>
    </cfRule>
    <cfRule type="cellIs" dxfId="255" priority="124" operator="between">
      <formula>$BR$18</formula>
      <formula>$BR$19</formula>
    </cfRule>
    <cfRule type="cellIs" dxfId="254" priority="125" operator="between">
      <formula>$BR$17</formula>
      <formula>$BR$18</formula>
    </cfRule>
  </conditionalFormatting>
  <conditionalFormatting sqref="CP25:CP1048576 CI1:CI1048576 CL1:CL1048576 CP1:CP23">
    <cfRule type="cellIs" dxfId="253" priority="118" operator="between">
      <formula>$CS$20</formula>
      <formula>1000</formula>
    </cfRule>
    <cfRule type="cellIs" dxfId="252" priority="119" operator="between">
      <formula>$CS$19</formula>
      <formula>$CS$20</formula>
    </cfRule>
    <cfRule type="cellIs" dxfId="251" priority="120" operator="between">
      <formula>$CS$18</formula>
      <formula>$CS$19</formula>
    </cfRule>
    <cfRule type="cellIs" dxfId="250" priority="121" operator="between">
      <formula>$CS$17</formula>
      <formula>$CS$18</formula>
    </cfRule>
  </conditionalFormatting>
  <conditionalFormatting sqref="DY25:DY1048576 DO1:DO1048576 DR1:DR1048576 DV1:DV1048576 DY1:DY23">
    <cfRule type="cellIs" dxfId="249" priority="117" operator="between">
      <formula>$EB$17</formula>
      <formula>$EB$18</formula>
    </cfRule>
  </conditionalFormatting>
  <conditionalFormatting sqref="FG25:FG1048576 EW1:EW1048576 EZ1:EZ1048576 FD1:FD1048576 FG1:FG23">
    <cfRule type="cellIs" dxfId="248" priority="116" operator="between">
      <formula>$FJ$17</formula>
      <formula>$FJ$18</formula>
    </cfRule>
  </conditionalFormatting>
  <conditionalFormatting sqref="HW25:HW1048576 HM1:HM1048576 HP1:HP1048576 HT1:HT1048576 HW1:HW23">
    <cfRule type="cellIs" dxfId="247" priority="115" operator="between">
      <formula>$HZ$17</formula>
      <formula>$HZ$18</formula>
    </cfRule>
  </conditionalFormatting>
  <conditionalFormatting sqref="AO24 AG1:AG1048576 AJ1:AJ1048576 AN1:AN1048576">
    <cfRule type="cellIs" dxfId="246" priority="111" operator="between">
      <formula>$AQ$20</formula>
      <formula>1000</formula>
    </cfRule>
    <cfRule type="cellIs" dxfId="245" priority="112" operator="between">
      <formula>$AQ$19</formula>
      <formula>$AQ$20</formula>
    </cfRule>
    <cfRule type="cellIs" dxfId="244" priority="113" operator="between">
      <formula>$AQ$18</formula>
      <formula>$AQ$19</formula>
    </cfRule>
    <cfRule type="cellIs" dxfId="243" priority="114" operator="between">
      <formula>$AQ$17</formula>
      <formula>$AQ$18</formula>
    </cfRule>
  </conditionalFormatting>
  <conditionalFormatting sqref="BO24">
    <cfRule type="cellIs" dxfId="242" priority="107" operator="between">
      <formula>$AQ$20</formula>
      <formula>1000</formula>
    </cfRule>
    <cfRule type="cellIs" dxfId="241" priority="108" operator="between">
      <formula>$AQ$19</formula>
      <formula>$AQ$20</formula>
    </cfRule>
    <cfRule type="cellIs" dxfId="240" priority="109" operator="between">
      <formula>$AQ$18</formula>
      <formula>$AQ$19</formula>
    </cfRule>
    <cfRule type="cellIs" dxfId="239" priority="110" operator="between">
      <formula>$AQ$17</formula>
      <formula>$AQ$18</formula>
    </cfRule>
  </conditionalFormatting>
  <conditionalFormatting sqref="CP24">
    <cfRule type="cellIs" dxfId="238" priority="103" operator="between">
      <formula>$AQ$20</formula>
      <formula>1000</formula>
    </cfRule>
    <cfRule type="cellIs" dxfId="237" priority="104" operator="between">
      <formula>$AQ$19</formula>
      <formula>$AQ$20</formula>
    </cfRule>
    <cfRule type="cellIs" dxfId="236" priority="105" operator="between">
      <formula>$AQ$18</formula>
      <formula>$AQ$19</formula>
    </cfRule>
    <cfRule type="cellIs" dxfId="235" priority="106" operator="between">
      <formula>$AQ$17</formula>
      <formula>$AQ$18</formula>
    </cfRule>
  </conditionalFormatting>
  <conditionalFormatting sqref="DY24">
    <cfRule type="cellIs" dxfId="234" priority="99" operator="between">
      <formula>$AQ$20</formula>
      <formula>1000</formula>
    </cfRule>
    <cfRule type="cellIs" dxfId="233" priority="100" operator="between">
      <formula>$AQ$19</formula>
      <formula>$AQ$20</formula>
    </cfRule>
    <cfRule type="cellIs" dxfId="232" priority="101" operator="between">
      <formula>$AQ$18</formula>
      <formula>$AQ$19</formula>
    </cfRule>
    <cfRule type="cellIs" dxfId="231" priority="102" operator="between">
      <formula>$AQ$17</formula>
      <formula>$AQ$18</formula>
    </cfRule>
  </conditionalFormatting>
  <conditionalFormatting sqref="FG24">
    <cfRule type="cellIs" dxfId="230" priority="95" operator="between">
      <formula>$AQ$20</formula>
      <formula>1000</formula>
    </cfRule>
    <cfRule type="cellIs" dxfId="229" priority="96" operator="between">
      <formula>$AQ$19</formula>
      <formula>$AQ$20</formula>
    </cfRule>
    <cfRule type="cellIs" dxfId="228" priority="97" operator="between">
      <formula>$AQ$18</formula>
      <formula>$AQ$19</formula>
    </cfRule>
    <cfRule type="cellIs" dxfId="227" priority="98" operator="between">
      <formula>$AQ$17</formula>
      <formula>$AQ$18</formula>
    </cfRule>
  </conditionalFormatting>
  <conditionalFormatting sqref="HW24">
    <cfRule type="cellIs" dxfId="226" priority="91" operator="between">
      <formula>$AQ$20</formula>
      <formula>1000</formula>
    </cfRule>
    <cfRule type="cellIs" dxfId="225" priority="92" operator="between">
      <formula>$AQ$19</formula>
      <formula>$AQ$20</formula>
    </cfRule>
    <cfRule type="cellIs" dxfId="224" priority="93" operator="between">
      <formula>$AQ$18</formula>
      <formula>$AQ$19</formula>
    </cfRule>
    <cfRule type="cellIs" dxfId="223" priority="94" operator="between">
      <formula>$AQ$17</formula>
      <formula>$AQ$18</formula>
    </cfRule>
  </conditionalFormatting>
  <conditionalFormatting sqref="M1:M1048576 K1:K1048576">
    <cfRule type="expression" dxfId="222" priority="88" stopIfTrue="1">
      <formula>IF(K1=$BS$1,1,0)</formula>
    </cfRule>
    <cfRule type="expression" dxfId="221" priority="89">
      <formula>IF(K1=$AR$1,1,0)</formula>
    </cfRule>
    <cfRule type="expression" dxfId="220" priority="90">
      <formula>IF(K1=$Q$1,1,0)</formula>
    </cfRule>
  </conditionalFormatting>
  <conditionalFormatting sqref="A4:A1048576">
    <cfRule type="expression" dxfId="219" priority="86" stopIfTrue="1">
      <formula>AND(G4&lt;&gt;"",F4="")</formula>
    </cfRule>
    <cfRule type="expression" dxfId="218" priority="87" stopIfTrue="1">
      <formula>IF(A4&gt;2,1,0)</formula>
    </cfRule>
  </conditionalFormatting>
  <conditionalFormatting sqref="CN1:CN1048576 AL1:AL1048576">
    <cfRule type="cellIs" dxfId="217" priority="170697" operator="between">
      <formula>AQ$24</formula>
      <formula>1000</formula>
    </cfRule>
    <cfRule type="cellIs" dxfId="216" priority="170698" operator="between">
      <formula>AQ$23</formula>
      <formula>AQ$24</formula>
    </cfRule>
  </conditionalFormatting>
  <conditionalFormatting sqref="DT1:DT1048576 FB1:FB1048576 GJ1:GJ1048576 HR1:HR1048576 IZ1:IZ1048576 KH1:KH1048576 LP1:LP1048576 MX1:MX1048576 OF1:OF1048576 PN1:PN1048576 QV1:QV1048576 SD1:SD1048576 TL1:TL24 UT1:UT24 WB1:WB24">
    <cfRule type="cellIs" dxfId="215" priority="170709" operator="between">
      <formula>EB$24</formula>
      <formula>1000</formula>
    </cfRule>
    <cfRule type="cellIs" dxfId="214" priority="170710" operator="between">
      <formula>EB$23</formula>
      <formula>EB$24</formula>
    </cfRule>
  </conditionalFormatting>
  <conditionalFormatting sqref="AI1:AI1048576 AL1:AL1048576 AP1:AP1048576">
    <cfRule type="cellIs" dxfId="213" priority="170793" operator="between">
      <formula>$AQ$24</formula>
      <formula>1000</formula>
    </cfRule>
    <cfRule type="cellIs" dxfId="212" priority="170794" operator="between">
      <formula>$AQ$23</formula>
      <formula>$AQ$24</formula>
    </cfRule>
    <cfRule type="cellIs" dxfId="211" priority="170795" operator="between">
      <formula>$AQ$22</formula>
      <formula>$AQ$23</formula>
    </cfRule>
    <cfRule type="cellIs" dxfId="210" priority="170796" operator="between">
      <formula>$AQ$21</formula>
      <formula>$AQ$22</formula>
    </cfRule>
  </conditionalFormatting>
  <conditionalFormatting sqref="BJ1:BJ1048576 BM1:BM1048576 BQ1:BQ1048576">
    <cfRule type="cellIs" dxfId="209" priority="170829" operator="between">
      <formula>$BR$24</formula>
      <formula>1000</formula>
    </cfRule>
    <cfRule type="cellIs" dxfId="208" priority="170830" operator="between">
      <formula>$BR$23</formula>
      <formula>$BR$24</formula>
    </cfRule>
    <cfRule type="cellIs" dxfId="207" priority="170831" operator="between">
      <formula>$BR$22</formula>
      <formula>$BR$23</formula>
    </cfRule>
    <cfRule type="cellIs" dxfId="206" priority="170832" operator="between">
      <formula>$BR$21</formula>
      <formula>$BR$22</formula>
    </cfRule>
  </conditionalFormatting>
  <conditionalFormatting sqref="CK1:CK1048576 CN1:CN1048576 CR1:CR1048576">
    <cfRule type="cellIs" dxfId="205" priority="170865" operator="between">
      <formula>$CS$24</formula>
      <formula>1000</formula>
    </cfRule>
    <cfRule type="cellIs" dxfId="204" priority="170866" operator="between">
      <formula>$CS$23</formula>
      <formula>$CS$24</formula>
    </cfRule>
    <cfRule type="cellIs" dxfId="203" priority="170867" operator="between">
      <formula>$CS$22</formula>
      <formula>$CS$23</formula>
    </cfRule>
    <cfRule type="cellIs" dxfId="202" priority="170868" operator="between">
      <formula>$CS$21</formula>
      <formula>$CS$22</formula>
    </cfRule>
  </conditionalFormatting>
  <conditionalFormatting sqref="MS1:MS1048576 MV1:MV1048576 MZ1:MZ1048576 NC1:NC1048576">
    <cfRule type="cellIs" dxfId="201" priority="170901" operator="between">
      <formula>$NF$17</formula>
      <formula>$NF$18</formula>
    </cfRule>
  </conditionalFormatting>
  <conditionalFormatting sqref="DQ1:DQ1048576 DT1:DT1048576 DX1:DX1048576 EA1:EA1048576">
    <cfRule type="cellIs" dxfId="200" priority="170913" operator="between">
      <formula>$EB$24</formula>
      <formula>1000</formula>
    </cfRule>
    <cfRule type="cellIs" dxfId="199" priority="170914" operator="between">
      <formula>$EB$23</formula>
      <formula>$EB$24</formula>
    </cfRule>
    <cfRule type="cellIs" dxfId="198" priority="170915" operator="between">
      <formula>$EB$22</formula>
      <formula>$EB$23</formula>
    </cfRule>
    <cfRule type="cellIs" dxfId="197" priority="170916" operator="between">
      <formula>$EB$21</formula>
      <formula>$EB$22</formula>
    </cfRule>
  </conditionalFormatting>
  <conditionalFormatting sqref="EY1:EY1048576 FB1:FB1048576 FF1:FF1048576 FI1:FI1048576">
    <cfRule type="cellIs" dxfId="196" priority="170961" operator="between">
      <formula>$FJ$24</formula>
      <formula>1000</formula>
    </cfRule>
    <cfRule type="cellIs" dxfId="195" priority="170962" operator="between">
      <formula>$FJ$23</formula>
      <formula>$FJ$24</formula>
    </cfRule>
    <cfRule type="cellIs" dxfId="194" priority="170963" operator="between">
      <formula>$FJ$22</formula>
      <formula>$FJ$23</formula>
    </cfRule>
    <cfRule type="cellIs" dxfId="193" priority="170964" operator="between">
      <formula>$FJ$21</formula>
      <formula>$FJ$22</formula>
    </cfRule>
  </conditionalFormatting>
  <conditionalFormatting sqref="GE1:GE1048576 GH1:GH1048576 GL1:GL1048576 GO1:GO1048576">
    <cfRule type="cellIs" dxfId="192" priority="171009" stopIfTrue="1" operator="between">
      <formula>$GR$18</formula>
      <formula>1000</formula>
    </cfRule>
    <cfRule type="cellIs" dxfId="191" priority="171010" operator="between">
      <formula>$GR$17</formula>
      <formula>$GR$18</formula>
    </cfRule>
  </conditionalFormatting>
  <conditionalFormatting sqref="GG1:GG1048576 GJ1:GJ1048576 GN1:GN1048576 GQ1:GQ1048576">
    <cfRule type="cellIs" dxfId="190" priority="171033" operator="between">
      <formula>$GR$24</formula>
      <formula>1000</formula>
    </cfRule>
    <cfRule type="cellIs" dxfId="189" priority="171034" operator="between">
      <formula>$GR$23</formula>
      <formula>$GR$24</formula>
    </cfRule>
    <cfRule type="cellIs" dxfId="188" priority="171035" operator="between">
      <formula>$GR$22</formula>
      <formula>$GR$23</formula>
    </cfRule>
    <cfRule type="cellIs" dxfId="187" priority="171036" operator="between">
      <formula>$GR$21</formula>
      <formula>$GR$22</formula>
    </cfRule>
  </conditionalFormatting>
  <conditionalFormatting sqref="HO1:HO1048576 HR1:HR1048576 HV1:HV1048576 HY1:HY1048576">
    <cfRule type="cellIs" dxfId="186" priority="171081" operator="between">
      <formula>$HZ$24</formula>
      <formula>1000</formula>
    </cfRule>
    <cfRule type="cellIs" dxfId="185" priority="171082" operator="between">
      <formula>$HZ$23</formula>
      <formula>$HZ$24</formula>
    </cfRule>
    <cfRule type="cellIs" dxfId="184" priority="171083" operator="between">
      <formula>$HZ$22</formula>
      <formula>$HZ$23</formula>
    </cfRule>
    <cfRule type="cellIs" dxfId="183" priority="171084" operator="between">
      <formula>$HZ$21</formula>
      <formula>$HZ$22</formula>
    </cfRule>
  </conditionalFormatting>
  <conditionalFormatting sqref="IU1:IU1048576 IX1:IX1048576 JB1:JB1048576 JE1:JE1048576">
    <cfRule type="cellIs" dxfId="182" priority="171129" stopIfTrue="1" operator="between">
      <formula>$JH$18</formula>
      <formula>1000</formula>
    </cfRule>
    <cfRule type="cellIs" dxfId="181" priority="171130" operator="between">
      <formula>$JH$17</formula>
      <formula>$JH$18</formula>
    </cfRule>
  </conditionalFormatting>
  <conditionalFormatting sqref="IW1:IW1048576 IZ1:IZ1048576 JD1:JD1048576 JG1:JG1048576">
    <cfRule type="cellIs" dxfId="180" priority="171153" operator="between">
      <formula>$JH$24</formula>
      <formula>1000</formula>
    </cfRule>
    <cfRule type="cellIs" dxfId="179" priority="171154" operator="between">
      <formula>$JH$23</formula>
      <formula>$JH$24</formula>
    </cfRule>
    <cfRule type="cellIs" dxfId="178" priority="171155" operator="between">
      <formula>$JH$22</formula>
      <formula>$JH$23</formula>
    </cfRule>
    <cfRule type="cellIs" dxfId="177" priority="171156" operator="between">
      <formula>$JH$21</formula>
      <formula>$JH$22</formula>
    </cfRule>
  </conditionalFormatting>
  <conditionalFormatting sqref="KC1:KC1048576 KF1:KF1048576 KJ1:KJ1048576 KM1:KM1048576">
    <cfRule type="cellIs" dxfId="176" priority="171201" stopIfTrue="1" operator="between">
      <formula>$KP$18</formula>
      <formula>1000</formula>
    </cfRule>
    <cfRule type="cellIs" dxfId="175" priority="171202" operator="between">
      <formula>$KP$17</formula>
      <formula>$KP$18</formula>
    </cfRule>
  </conditionalFormatting>
  <conditionalFormatting sqref="KE1:KE1048576 KH1:KH1048576 KL1:KL1048576 KO1:KO1048576">
    <cfRule type="cellIs" dxfId="174" priority="171225" operator="between">
      <formula>$KP$24</formula>
      <formula>1000</formula>
    </cfRule>
    <cfRule type="cellIs" dxfId="173" priority="171226" operator="between">
      <formula>$KP$23</formula>
      <formula>$KP$24</formula>
    </cfRule>
    <cfRule type="cellIs" dxfId="172" priority="171227" operator="between">
      <formula>$KP$22</formula>
      <formula>$KP$23</formula>
    </cfRule>
    <cfRule type="cellIs" dxfId="171" priority="171228" operator="between">
      <formula>$KP$21</formula>
      <formula>$KP$22</formula>
    </cfRule>
  </conditionalFormatting>
  <conditionalFormatting sqref="LK1:LK1048576 LN1:LN1048576 LR1:LR1048576 LU1:LU1048576">
    <cfRule type="cellIs" dxfId="170" priority="171273" stopIfTrue="1" operator="between">
      <formula>$LX$18</formula>
      <formula>1000</formula>
    </cfRule>
    <cfRule type="cellIs" dxfId="169" priority="171274" operator="between">
      <formula>$LX$17</formula>
      <formula>$LX$18</formula>
    </cfRule>
  </conditionalFormatting>
  <conditionalFormatting sqref="LM1:LM1048576 LP1:LP1048576 LT1:LT1048576 LW1:LW1048576">
    <cfRule type="cellIs" dxfId="168" priority="171297" operator="between">
      <formula>$LX$24</formula>
      <formula>1000</formula>
    </cfRule>
    <cfRule type="cellIs" dxfId="167" priority="171298" operator="between">
      <formula>$LX$23</formula>
      <formula>$LX$24</formula>
    </cfRule>
    <cfRule type="cellIs" dxfId="166" priority="171299" operator="between">
      <formula>$LX$22</formula>
      <formula>$LX$23</formula>
    </cfRule>
    <cfRule type="cellIs" dxfId="165" priority="171300" operator="between">
      <formula>$LX$21</formula>
      <formula>$LX$22</formula>
    </cfRule>
  </conditionalFormatting>
  <conditionalFormatting sqref="MS1:MS1048576 MV1:MV1048576 MZ1:MZ1048576">
    <cfRule type="cellIs" dxfId="164" priority="171345" operator="between">
      <formula>$NF$18</formula>
      <formula>1000</formula>
    </cfRule>
  </conditionalFormatting>
  <conditionalFormatting sqref="MU1:MU1048576 MX1:MX1048576 NB1:NB1048576 NE1:NE1048576">
    <cfRule type="cellIs" dxfId="163" priority="171354" operator="between">
      <formula>$NF$24</formula>
      <formula>1000</formula>
    </cfRule>
    <cfRule type="cellIs" dxfId="162" priority="171355" operator="between">
      <formula>$NF$23</formula>
      <formula>$NF$24</formula>
    </cfRule>
    <cfRule type="cellIs" dxfId="161" priority="171356" operator="between">
      <formula>$NF$22</formula>
      <formula>$NF$23</formula>
    </cfRule>
    <cfRule type="cellIs" dxfId="160" priority="171357" operator="between">
      <formula>$NF$21</formula>
      <formula>$NF$22</formula>
    </cfRule>
  </conditionalFormatting>
  <conditionalFormatting sqref="OA1:OA1048576 OD1:OD1048576 OH1:OH1048576 OK1:OK1048576">
    <cfRule type="cellIs" dxfId="159" priority="171402" stopIfTrue="1" operator="between">
      <formula>$ON$18</formula>
      <formula>1000</formula>
    </cfRule>
    <cfRule type="cellIs" dxfId="158" priority="171403" operator="between">
      <formula>$ON$17</formula>
      <formula>$ON$18</formula>
    </cfRule>
  </conditionalFormatting>
  <conditionalFormatting sqref="OC1:OC1048576 OF1:OF1048576 OJ1:OJ1048576 OM1:OM1048576">
    <cfRule type="cellIs" dxfId="157" priority="171426" operator="between">
      <formula>$ON$24</formula>
      <formula>1000</formula>
    </cfRule>
    <cfRule type="cellIs" dxfId="156" priority="171427" operator="between">
      <formula>$ON$23</formula>
      <formula>$ON$24</formula>
    </cfRule>
    <cfRule type="cellIs" dxfId="155" priority="171428" operator="between">
      <formula>$ON$22</formula>
      <formula>$ON$23</formula>
    </cfRule>
    <cfRule type="cellIs" dxfId="154" priority="171429" operator="between">
      <formula>$ON$21</formula>
      <formula>$ON$22</formula>
    </cfRule>
  </conditionalFormatting>
  <conditionalFormatting sqref="PI1:PI1048576 PL1:PL1048576 PP1:PP1048576 PS1:PS1048576">
    <cfRule type="cellIs" dxfId="153" priority="171474" stopIfTrue="1" operator="between">
      <formula>$PV$18</formula>
      <formula>1000</formula>
    </cfRule>
    <cfRule type="cellIs" dxfId="152" priority="171475" operator="between">
      <formula>$PV$17</formula>
      <formula>$PV$18</formula>
    </cfRule>
  </conditionalFormatting>
  <conditionalFormatting sqref="PK1:PK1048576 PN1:PN1048576 PR1:PR1048576 PU1:PU1048576">
    <cfRule type="cellIs" dxfId="151" priority="171498" operator="between">
      <formula>$PV$24</formula>
      <formula>1000</formula>
    </cfRule>
    <cfRule type="cellIs" dxfId="150" priority="171499" operator="between">
      <formula>$PV$23</formula>
      <formula>$PV$24</formula>
    </cfRule>
    <cfRule type="cellIs" dxfId="149" priority="171500" operator="between">
      <formula>$PV$22</formula>
      <formula>$PV$23</formula>
    </cfRule>
    <cfRule type="cellIs" dxfId="148" priority="171501" operator="between">
      <formula>$PV$21</formula>
      <formula>$PV$22</formula>
    </cfRule>
  </conditionalFormatting>
  <conditionalFormatting sqref="QQ1:QQ1048576 QT1:QT1048576 QX1:QX1048576 RA1:RA1048576">
    <cfRule type="cellIs" dxfId="147" priority="171546" stopIfTrue="1" operator="between">
      <formula>$RD$18</formula>
      <formula>1000</formula>
    </cfRule>
    <cfRule type="cellIs" dxfId="146" priority="171547" operator="between">
      <formula>$RD$17</formula>
      <formula>$RD$18</formula>
    </cfRule>
  </conditionalFormatting>
  <conditionalFormatting sqref="QS1:QS1048576 QV1:QV1048576 QZ1:QZ1048576 RC1:RC1048576">
    <cfRule type="cellIs" dxfId="145" priority="171570" operator="between">
      <formula>$RD$24</formula>
      <formula>1000</formula>
    </cfRule>
    <cfRule type="cellIs" dxfId="144" priority="171571" operator="between">
      <formula>$RD$23</formula>
      <formula>$RD$24</formula>
    </cfRule>
    <cfRule type="cellIs" dxfId="143" priority="171572" operator="between">
      <formula>$RD$22</formula>
      <formula>$RD$23</formula>
    </cfRule>
    <cfRule type="cellIs" dxfId="142" priority="171573" operator="between">
      <formula>$RD$21</formula>
      <formula>$RD$22</formula>
    </cfRule>
  </conditionalFormatting>
  <conditionalFormatting sqref="RY1:RY1048576 SB1:SB1048576 SF1:SF1048576 SI1:SI1048576 TG1:TG24 TJ1:TJ24 TN1:TN24 TQ1:TQ24 UO1:UO24 UR1:UR24 UV1:UV24 UY1:UY24 VW1:VW24 VZ1:VZ24 WD1:WD24 WG1:WG24">
    <cfRule type="cellIs" dxfId="141" priority="171618" operator="between">
      <formula>$SL$18</formula>
      <formula>1000</formula>
    </cfRule>
    <cfRule type="cellIs" dxfId="140" priority="171619" operator="between">
      <formula>$SL$17</formula>
      <formula>$SL$18</formula>
    </cfRule>
  </conditionalFormatting>
  <conditionalFormatting sqref="SA1:SA1048576 SD1:SD1048576 SH1:SH1048576 SK1:SK1048576 TI1:TI24 TL1:TL24 TP1:TP24 TS1:TS24 UQ1:UQ24 UT1:UT24 UX1:UX24 VA1:VA24 VY1:VY24 WB1:WB24 WF1:WF24 WI1:WI24">
    <cfRule type="cellIs" dxfId="139" priority="171690" operator="between">
      <formula>$SL$24</formula>
      <formula>1000</formula>
    </cfRule>
    <cfRule type="cellIs" dxfId="138" priority="171691" operator="between">
      <formula>$SL$23</formula>
      <formula>$SL$24</formula>
    </cfRule>
    <cfRule type="cellIs" dxfId="137" priority="171692" operator="between">
      <formula>$SL$22</formula>
      <formula>$SL$23</formula>
    </cfRule>
    <cfRule type="cellIs" dxfId="136" priority="171693" operator="between">
      <formula>$SL$21</formula>
      <formula>$SL$22</formula>
    </cfRule>
  </conditionalFormatting>
  <conditionalFormatting sqref="DY1:DY1048576 DO1:DO1048576 DR1:DR1048576 DV1:DV1048576">
    <cfRule type="cellIs" dxfId="135" priority="171834" stopIfTrue="1" operator="between">
      <formula>$EB$18</formula>
      <formula>1000</formula>
    </cfRule>
  </conditionalFormatting>
  <conditionalFormatting sqref="FG1:FG1048576 EW1:EW1048576 EZ1:EZ1048576 FD1:FD1048576">
    <cfRule type="cellIs" dxfId="134" priority="171846" stopIfTrue="1" operator="between">
      <formula>$FJ$18</formula>
      <formula>1000</formula>
    </cfRule>
  </conditionalFormatting>
  <conditionalFormatting sqref="HW1:HW1048576 HM1:HM1048576 HP1:HP1048576 HT1:HT1048576">
    <cfRule type="cellIs" dxfId="133" priority="171858" stopIfTrue="1" operator="between">
      <formula>$HZ$18</formula>
      <formula>1000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C9AA7-679C-504C-8D78-FE94EB4E25E6}">
  <sheetPr codeName="Sheet10"/>
  <dimension ref="A1:XT43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7" max="7" width="10.83203125" customWidth="1"/>
    <col min="8" max="8" width="13.33203125" bestFit="1" customWidth="1"/>
    <col min="9" max="9" width="19" hidden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2" customWidth="1"/>
    <col min="44" max="59" width="10.83203125" hidden="1" customWidth="1"/>
    <col min="60" max="70" width="10.83203125" style="32" customWidth="1"/>
    <col min="71" max="86" width="10.83203125" hidden="1" customWidth="1"/>
    <col min="87" max="97" width="10.83203125" style="32" customWidth="1"/>
    <col min="98" max="98" width="12.83203125" style="32" customWidth="1"/>
    <col min="99" max="118" width="10.83203125" hidden="1" customWidth="1"/>
    <col min="119" max="131" width="10.83203125" customWidth="1"/>
    <col min="132" max="132" width="10.83203125" style="32" customWidth="1"/>
    <col min="133" max="152" width="10.83203125" hidden="1" customWidth="1"/>
    <col min="153" max="165" width="10.83203125" customWidth="1"/>
    <col min="166" max="166" width="10.83203125" style="32" customWidth="1"/>
    <col min="167" max="186" width="10.83203125" hidden="1" customWidth="1"/>
    <col min="187" max="199" width="10.83203125" customWidth="1"/>
    <col min="200" max="200" width="10.83203125" style="32" customWidth="1"/>
    <col min="201" max="233" width="10.83203125" hidden="1" customWidth="1"/>
    <col min="234" max="234" width="10.83203125" style="32" hidden="1" customWidth="1"/>
    <col min="235" max="267" width="10.83203125" hidden="1" customWidth="1"/>
    <col min="268" max="268" width="10.83203125" style="32" hidden="1" customWidth="1"/>
    <col min="269" max="533" width="10.83203125" hidden="1" customWidth="1"/>
    <col min="534" max="534" width="11.83203125" hidden="1" customWidth="1"/>
    <col min="535" max="535" width="12.83203125" hidden="1" customWidth="1"/>
    <col min="536" max="567" width="10.83203125" hidden="1" customWidth="1"/>
    <col min="568" max="568" width="11.83203125" hidden="1" customWidth="1"/>
    <col min="569" max="569" width="12.83203125" hidden="1" customWidth="1"/>
    <col min="570" max="601" width="10.83203125" hidden="1" customWidth="1"/>
    <col min="602" max="602" width="11.83203125" hidden="1" customWidth="1"/>
    <col min="603" max="603" width="12.83203125" hidden="1" customWidth="1"/>
    <col min="604" max="608" width="10.83203125" hidden="1" customWidth="1"/>
  </cols>
  <sheetData>
    <row r="1" spans="1:608" x14ac:dyDescent="0.2">
      <c r="A1" s="56" t="s">
        <v>1</v>
      </c>
      <c r="B1" s="56" t="s">
        <v>26</v>
      </c>
      <c r="C1" s="56" t="s">
        <v>0</v>
      </c>
      <c r="D1" s="56" t="s">
        <v>44</v>
      </c>
      <c r="E1" s="56" t="s">
        <v>2</v>
      </c>
      <c r="F1" s="60" t="s">
        <v>188</v>
      </c>
      <c r="G1" s="56" t="s">
        <v>9</v>
      </c>
      <c r="H1" s="56" t="s">
        <v>10</v>
      </c>
      <c r="I1" s="56" t="s">
        <v>61</v>
      </c>
      <c r="J1" s="57" t="s">
        <v>75</v>
      </c>
      <c r="K1" s="58" t="s">
        <v>28</v>
      </c>
      <c r="L1" s="57" t="s">
        <v>86</v>
      </c>
      <c r="M1" s="58" t="s">
        <v>28</v>
      </c>
      <c r="N1" s="61" t="s">
        <v>12</v>
      </c>
      <c r="O1" s="58" t="s">
        <v>29</v>
      </c>
      <c r="P1" s="58" t="s">
        <v>28</v>
      </c>
      <c r="Q1" s="52" t="s">
        <v>118</v>
      </c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52"/>
      <c r="AF1" s="52"/>
      <c r="AG1" s="52"/>
      <c r="AH1" s="52"/>
      <c r="AI1" s="52"/>
      <c r="AJ1" s="52"/>
      <c r="AK1" s="52"/>
      <c r="AL1" s="52"/>
      <c r="AM1" s="52"/>
      <c r="AN1" s="52"/>
      <c r="AO1" s="52"/>
      <c r="AP1" s="52"/>
      <c r="AQ1" s="52"/>
      <c r="AR1" s="53" t="s">
        <v>145</v>
      </c>
      <c r="AS1" s="53"/>
      <c r="AT1" s="53"/>
      <c r="AU1" s="53"/>
      <c r="AV1" s="53"/>
      <c r="AW1" s="53"/>
      <c r="AX1" s="53"/>
      <c r="AY1" s="53"/>
      <c r="AZ1" s="53"/>
      <c r="BA1" s="53"/>
      <c r="BB1" s="53"/>
      <c r="BC1" s="53"/>
      <c r="BD1" s="53"/>
      <c r="BE1" s="53"/>
      <c r="BF1" s="53"/>
      <c r="BG1" s="53"/>
      <c r="BH1" s="53"/>
      <c r="BI1" s="53"/>
      <c r="BJ1" s="53"/>
      <c r="BK1" s="53"/>
      <c r="BL1" s="53"/>
      <c r="BM1" s="53"/>
      <c r="BN1" s="53"/>
      <c r="BO1" s="53"/>
      <c r="BP1" s="53"/>
      <c r="BQ1" s="53"/>
      <c r="BR1" s="53"/>
      <c r="BS1" s="52" t="s">
        <v>161</v>
      </c>
      <c r="BT1" s="52"/>
      <c r="BU1" s="52"/>
      <c r="BV1" s="52"/>
      <c r="BW1" s="52"/>
      <c r="BX1" s="52"/>
      <c r="BY1" s="52"/>
      <c r="BZ1" s="52"/>
      <c r="CA1" s="52"/>
      <c r="CB1" s="52"/>
      <c r="CC1" s="52"/>
      <c r="CD1" s="52"/>
      <c r="CE1" s="52"/>
      <c r="CF1" s="52"/>
      <c r="CG1" s="52"/>
      <c r="CH1" s="52"/>
      <c r="CI1" s="52"/>
      <c r="CJ1" s="52"/>
      <c r="CK1" s="52"/>
      <c r="CL1" s="52"/>
      <c r="CM1" s="52"/>
      <c r="CN1" s="52"/>
      <c r="CO1" s="52"/>
      <c r="CP1" s="52"/>
      <c r="CQ1" s="52"/>
      <c r="CR1" s="52"/>
      <c r="CS1" s="52"/>
      <c r="CT1" s="50"/>
      <c r="CU1" s="52" t="s">
        <v>138</v>
      </c>
      <c r="CV1" s="52"/>
      <c r="CW1" s="52"/>
      <c r="CX1" s="52"/>
      <c r="CY1" s="52"/>
      <c r="CZ1" s="52"/>
      <c r="DA1" s="52"/>
      <c r="DB1" s="52"/>
      <c r="DC1" s="52"/>
      <c r="DD1" s="52"/>
      <c r="DE1" s="52"/>
      <c r="DF1" s="52"/>
      <c r="DG1" s="52"/>
      <c r="DH1" s="52"/>
      <c r="DI1" s="52"/>
      <c r="DJ1" s="52"/>
      <c r="DK1" s="52"/>
      <c r="DL1" s="52"/>
      <c r="DM1" s="52"/>
      <c r="DN1" s="52"/>
      <c r="DO1" s="52"/>
      <c r="DP1" s="52"/>
      <c r="DQ1" s="52"/>
      <c r="DR1" s="52"/>
      <c r="DS1" s="52"/>
      <c r="DT1" s="52"/>
      <c r="DU1" s="52"/>
      <c r="DV1" s="52"/>
      <c r="DW1" s="52"/>
      <c r="DX1" s="52"/>
      <c r="DY1" s="52"/>
      <c r="DZ1" s="52"/>
      <c r="EA1" s="52"/>
      <c r="EB1" s="52"/>
      <c r="EC1" s="53" t="s">
        <v>164</v>
      </c>
      <c r="ED1" s="53"/>
      <c r="EE1" s="53"/>
      <c r="EF1" s="53"/>
      <c r="EG1" s="53"/>
      <c r="EH1" s="53"/>
      <c r="EI1" s="53"/>
      <c r="EJ1" s="53"/>
      <c r="EK1" s="53"/>
      <c r="EL1" s="53"/>
      <c r="EM1" s="53"/>
      <c r="EN1" s="53"/>
      <c r="EO1" s="53"/>
      <c r="EP1" s="53"/>
      <c r="EQ1" s="53"/>
      <c r="ER1" s="53"/>
      <c r="ES1" s="53"/>
      <c r="ET1" s="53"/>
      <c r="EU1" s="53"/>
      <c r="EV1" s="53"/>
      <c r="EW1" s="53"/>
      <c r="EX1" s="53"/>
      <c r="EY1" s="53"/>
      <c r="EZ1" s="53"/>
      <c r="FA1" s="53"/>
      <c r="FB1" s="53"/>
      <c r="FC1" s="53"/>
      <c r="FD1" s="53"/>
      <c r="FE1" s="53"/>
      <c r="FF1" s="53"/>
      <c r="FG1" s="53"/>
      <c r="FH1" s="53"/>
      <c r="FI1" s="53"/>
      <c r="FJ1" s="53"/>
      <c r="FK1" s="52" t="s">
        <v>176</v>
      </c>
      <c r="FL1" s="52"/>
      <c r="FM1" s="52"/>
      <c r="FN1" s="52"/>
      <c r="FO1" s="52"/>
      <c r="FP1" s="52"/>
      <c r="FQ1" s="52"/>
      <c r="FR1" s="52"/>
      <c r="FS1" s="52"/>
      <c r="FT1" s="52"/>
      <c r="FU1" s="52"/>
      <c r="FV1" s="52"/>
      <c r="FW1" s="52"/>
      <c r="FX1" s="52"/>
      <c r="FY1" s="52"/>
      <c r="FZ1" s="52"/>
      <c r="GA1" s="52"/>
      <c r="GB1" s="52"/>
      <c r="GC1" s="52"/>
      <c r="GD1" s="52"/>
      <c r="GE1" s="52"/>
      <c r="GF1" s="52"/>
      <c r="GG1" s="52"/>
      <c r="GH1" s="52"/>
      <c r="GI1" s="52"/>
      <c r="GJ1" s="52"/>
      <c r="GK1" s="52"/>
      <c r="GL1" s="52"/>
      <c r="GM1" s="52"/>
      <c r="GN1" s="52"/>
      <c r="GO1" s="52"/>
      <c r="GP1" s="52"/>
      <c r="GQ1" s="52"/>
      <c r="GR1" s="52"/>
      <c r="GS1" s="53"/>
      <c r="GT1" s="53"/>
      <c r="GU1" s="53"/>
      <c r="GV1" s="53"/>
      <c r="GW1" s="53"/>
      <c r="GX1" s="53"/>
      <c r="GY1" s="53"/>
      <c r="GZ1" s="53"/>
      <c r="HA1" s="53"/>
      <c r="HB1" s="53"/>
      <c r="HC1" s="53"/>
      <c r="HD1" s="53"/>
      <c r="HE1" s="53"/>
      <c r="HF1" s="53"/>
      <c r="HG1" s="53"/>
      <c r="HH1" s="53"/>
      <c r="HI1" s="53"/>
      <c r="HJ1" s="53"/>
      <c r="HK1" s="53"/>
      <c r="HL1" s="53"/>
      <c r="HM1" s="53"/>
      <c r="HN1" s="53"/>
      <c r="HO1" s="53"/>
      <c r="HP1" s="53"/>
      <c r="HQ1" s="53"/>
      <c r="HR1" s="53"/>
      <c r="HS1" s="53"/>
      <c r="HT1" s="53"/>
      <c r="HU1" s="53"/>
      <c r="HV1" s="53"/>
      <c r="HW1" s="53"/>
      <c r="HX1" s="53"/>
      <c r="HY1" s="53"/>
      <c r="HZ1" s="53"/>
      <c r="IA1" s="52"/>
      <c r="IB1" s="52"/>
      <c r="IC1" s="52"/>
      <c r="ID1" s="52"/>
      <c r="IE1" s="52"/>
      <c r="IF1" s="52"/>
      <c r="IG1" s="52"/>
      <c r="IH1" s="52"/>
      <c r="II1" s="52"/>
      <c r="IJ1" s="52"/>
      <c r="IK1" s="52"/>
      <c r="IL1" s="52"/>
      <c r="IM1" s="52"/>
      <c r="IN1" s="52"/>
      <c r="IO1" s="52"/>
      <c r="IP1" s="52"/>
      <c r="IQ1" s="52"/>
      <c r="IR1" s="52"/>
      <c r="IS1" s="52"/>
      <c r="IT1" s="52"/>
      <c r="IU1" s="52"/>
      <c r="IV1" s="52"/>
      <c r="IW1" s="52"/>
      <c r="IX1" s="52"/>
      <c r="IY1" s="52"/>
      <c r="IZ1" s="52"/>
      <c r="JA1" s="52"/>
      <c r="JB1" s="52"/>
      <c r="JC1" s="52"/>
      <c r="JD1" s="52"/>
      <c r="JE1" s="52"/>
      <c r="JF1" s="52"/>
      <c r="JG1" s="52"/>
      <c r="JH1" s="52"/>
      <c r="JI1" s="53"/>
      <c r="JJ1" s="53"/>
      <c r="JK1" s="53"/>
      <c r="JL1" s="53"/>
      <c r="JM1" s="53"/>
      <c r="JN1" s="53"/>
      <c r="JO1" s="53"/>
      <c r="JP1" s="53"/>
      <c r="JQ1" s="53"/>
      <c r="JR1" s="53"/>
      <c r="JS1" s="53"/>
      <c r="JT1" s="53"/>
      <c r="JU1" s="53"/>
      <c r="JV1" s="53"/>
      <c r="JW1" s="53"/>
      <c r="JX1" s="53"/>
      <c r="JY1" s="53"/>
      <c r="JZ1" s="53"/>
      <c r="KA1" s="53"/>
      <c r="KB1" s="53"/>
      <c r="KC1" s="53"/>
      <c r="KD1" s="53"/>
      <c r="KE1" s="53"/>
      <c r="KF1" s="53"/>
      <c r="KG1" s="53"/>
      <c r="KH1" s="53"/>
      <c r="KI1" s="53"/>
      <c r="KJ1" s="53"/>
      <c r="KK1" s="53"/>
      <c r="KL1" s="53"/>
      <c r="KM1" s="53"/>
      <c r="KN1" s="53"/>
      <c r="KO1" s="53"/>
      <c r="KP1" s="53"/>
      <c r="KQ1" s="52"/>
      <c r="KR1" s="52"/>
      <c r="KS1" s="52"/>
      <c r="KT1" s="52"/>
      <c r="KU1" s="52"/>
      <c r="KV1" s="52"/>
      <c r="KW1" s="52"/>
      <c r="KX1" s="52"/>
      <c r="KY1" s="52"/>
      <c r="KZ1" s="52"/>
      <c r="LA1" s="52"/>
      <c r="LB1" s="52"/>
      <c r="LC1" s="52"/>
      <c r="LD1" s="52"/>
      <c r="LE1" s="52"/>
      <c r="LF1" s="52"/>
      <c r="LG1" s="52"/>
      <c r="LH1" s="52"/>
      <c r="LI1" s="52"/>
      <c r="LJ1" s="52"/>
      <c r="LK1" s="52"/>
      <c r="LL1" s="52"/>
      <c r="LM1" s="52"/>
      <c r="LN1" s="52"/>
      <c r="LO1" s="52"/>
      <c r="LP1" s="52"/>
      <c r="LQ1" s="52"/>
      <c r="LR1" s="52"/>
      <c r="LS1" s="52"/>
      <c r="LT1" s="52"/>
      <c r="LU1" s="52"/>
      <c r="LV1" s="52"/>
      <c r="LW1" s="52"/>
      <c r="LX1" s="52"/>
      <c r="LY1" s="53"/>
      <c r="LZ1" s="53"/>
      <c r="MA1" s="53"/>
      <c r="MB1" s="53"/>
      <c r="MC1" s="53"/>
      <c r="MD1" s="53"/>
      <c r="ME1" s="53"/>
      <c r="MF1" s="53"/>
      <c r="MG1" s="53"/>
      <c r="MH1" s="53"/>
      <c r="MI1" s="53"/>
      <c r="MJ1" s="53"/>
      <c r="MK1" s="53"/>
      <c r="ML1" s="53"/>
      <c r="MM1" s="53"/>
      <c r="MN1" s="53"/>
      <c r="MO1" s="53"/>
      <c r="MP1" s="53"/>
      <c r="MQ1" s="53"/>
      <c r="MR1" s="53"/>
      <c r="MS1" s="53"/>
      <c r="MT1" s="53"/>
      <c r="MU1" s="53"/>
      <c r="MV1" s="53"/>
      <c r="MW1" s="53"/>
      <c r="MX1" s="53"/>
      <c r="MY1" s="53"/>
      <c r="MZ1" s="53"/>
      <c r="NA1" s="53"/>
      <c r="NB1" s="53"/>
      <c r="NC1" s="53"/>
      <c r="ND1" s="53"/>
      <c r="NE1" s="53"/>
      <c r="NF1" s="53"/>
      <c r="NG1" s="52"/>
      <c r="NH1" s="52"/>
      <c r="NI1" s="52"/>
      <c r="NJ1" s="52"/>
      <c r="NK1" s="52"/>
      <c r="NL1" s="52"/>
      <c r="NM1" s="52"/>
      <c r="NN1" s="52"/>
      <c r="NO1" s="52"/>
      <c r="NP1" s="52"/>
      <c r="NQ1" s="52"/>
      <c r="NR1" s="52"/>
      <c r="NS1" s="52"/>
      <c r="NT1" s="52"/>
      <c r="NU1" s="52"/>
      <c r="NV1" s="52"/>
      <c r="NW1" s="52"/>
      <c r="NX1" s="52"/>
      <c r="NY1" s="52"/>
      <c r="NZ1" s="52"/>
      <c r="OA1" s="52"/>
      <c r="OB1" s="52"/>
      <c r="OC1" s="52"/>
      <c r="OD1" s="52"/>
      <c r="OE1" s="52"/>
      <c r="OF1" s="52"/>
      <c r="OG1" s="52"/>
      <c r="OH1" s="52"/>
      <c r="OI1" s="52"/>
      <c r="OJ1" s="52"/>
      <c r="OK1" s="52"/>
      <c r="OL1" s="52"/>
      <c r="OM1" s="52"/>
      <c r="ON1" s="52"/>
      <c r="OO1" s="53"/>
      <c r="OP1" s="53"/>
      <c r="OQ1" s="53"/>
      <c r="OR1" s="53"/>
      <c r="OS1" s="53"/>
      <c r="OT1" s="53"/>
      <c r="OU1" s="53"/>
      <c r="OV1" s="53"/>
      <c r="OW1" s="53"/>
      <c r="OX1" s="53"/>
      <c r="OY1" s="53"/>
      <c r="OZ1" s="53"/>
      <c r="PA1" s="53"/>
      <c r="PB1" s="53"/>
      <c r="PC1" s="53"/>
      <c r="PD1" s="53"/>
      <c r="PE1" s="53"/>
      <c r="PF1" s="53"/>
      <c r="PG1" s="53"/>
      <c r="PH1" s="53"/>
      <c r="PI1" s="53"/>
      <c r="PJ1" s="53"/>
      <c r="PK1" s="53"/>
      <c r="PL1" s="53"/>
      <c r="PM1" s="53"/>
      <c r="PN1" s="53"/>
      <c r="PO1" s="53"/>
      <c r="PP1" s="53"/>
      <c r="PQ1" s="53"/>
      <c r="PR1" s="53"/>
      <c r="PS1" s="53"/>
      <c r="PT1" s="53"/>
      <c r="PU1" s="53"/>
      <c r="PV1" s="53"/>
      <c r="PW1" s="52"/>
      <c r="PX1" s="52"/>
      <c r="PY1" s="52"/>
      <c r="PZ1" s="52"/>
      <c r="QA1" s="52"/>
      <c r="QB1" s="52"/>
      <c r="QC1" s="52"/>
      <c r="QD1" s="52"/>
      <c r="QE1" s="52"/>
      <c r="QF1" s="52"/>
      <c r="QG1" s="52"/>
      <c r="QH1" s="52"/>
      <c r="QI1" s="52"/>
      <c r="QJ1" s="52"/>
      <c r="QK1" s="52"/>
      <c r="QL1" s="52"/>
      <c r="QM1" s="52"/>
      <c r="QN1" s="52"/>
      <c r="QO1" s="52"/>
      <c r="QP1" s="52"/>
      <c r="QQ1" s="52"/>
      <c r="QR1" s="52"/>
      <c r="QS1" s="52"/>
      <c r="QT1" s="52"/>
      <c r="QU1" s="52"/>
      <c r="QV1" s="52"/>
      <c r="QW1" s="52"/>
      <c r="QX1" s="52"/>
      <c r="QY1" s="52"/>
      <c r="QZ1" s="52"/>
      <c r="RA1" s="52"/>
      <c r="RB1" s="52"/>
      <c r="RC1" s="52"/>
      <c r="RD1" s="52"/>
      <c r="RE1" s="53"/>
      <c r="RF1" s="53"/>
      <c r="RG1" s="53"/>
      <c r="RH1" s="53"/>
      <c r="RI1" s="53"/>
      <c r="RJ1" s="53"/>
      <c r="RK1" s="53"/>
      <c r="RL1" s="53"/>
      <c r="RM1" s="53"/>
      <c r="RN1" s="53"/>
      <c r="RO1" s="53"/>
      <c r="RP1" s="53"/>
      <c r="RQ1" s="53"/>
      <c r="RR1" s="53"/>
      <c r="RS1" s="53"/>
      <c r="RT1" s="53"/>
      <c r="RU1" s="53"/>
      <c r="RV1" s="53"/>
      <c r="RW1" s="53"/>
      <c r="RX1" s="53"/>
      <c r="RY1" s="53"/>
      <c r="RZ1" s="53"/>
      <c r="SA1" s="53"/>
      <c r="SB1" s="53"/>
      <c r="SC1" s="53"/>
      <c r="SD1" s="53"/>
      <c r="SE1" s="53"/>
      <c r="SF1" s="53"/>
      <c r="SG1" s="53"/>
      <c r="SH1" s="53"/>
      <c r="SI1" s="53"/>
      <c r="SJ1" s="53"/>
      <c r="SK1" s="53"/>
      <c r="SL1" s="53"/>
      <c r="SM1" s="52"/>
      <c r="SN1" s="52"/>
      <c r="SO1" s="52"/>
      <c r="SP1" s="52"/>
      <c r="SQ1" s="52"/>
      <c r="SR1" s="52"/>
      <c r="SS1" s="52"/>
      <c r="ST1" s="52"/>
      <c r="SU1" s="52"/>
      <c r="SV1" s="52"/>
      <c r="SW1" s="52"/>
      <c r="SX1" s="52"/>
      <c r="SY1" s="52"/>
      <c r="SZ1" s="52"/>
      <c r="TA1" s="52"/>
      <c r="TB1" s="52"/>
      <c r="TC1" s="52"/>
      <c r="TD1" s="52"/>
      <c r="TE1" s="52"/>
      <c r="TF1" s="52"/>
      <c r="TG1" s="52"/>
      <c r="TH1" s="52"/>
      <c r="TI1" s="52"/>
      <c r="TJ1" s="52"/>
      <c r="TK1" s="52"/>
      <c r="TL1" s="52"/>
      <c r="TM1" s="52"/>
      <c r="TN1" s="52"/>
      <c r="TO1" s="52"/>
      <c r="TP1" s="52"/>
      <c r="TQ1" s="52"/>
      <c r="TR1" s="52"/>
      <c r="TS1" s="52"/>
      <c r="TT1" s="52"/>
      <c r="TU1" s="53"/>
      <c r="TV1" s="53"/>
      <c r="TW1" s="53"/>
      <c r="TX1" s="53"/>
      <c r="TY1" s="53"/>
      <c r="TZ1" s="53"/>
      <c r="UA1" s="53"/>
      <c r="UB1" s="53"/>
      <c r="UC1" s="53"/>
      <c r="UD1" s="53"/>
      <c r="UE1" s="53"/>
      <c r="UF1" s="53"/>
      <c r="UG1" s="53"/>
      <c r="UH1" s="53"/>
      <c r="UI1" s="53"/>
      <c r="UJ1" s="53"/>
      <c r="UK1" s="53"/>
      <c r="UL1" s="53"/>
      <c r="UM1" s="53"/>
      <c r="UN1" s="53"/>
      <c r="UO1" s="53"/>
      <c r="UP1" s="53"/>
      <c r="UQ1" s="53"/>
      <c r="UR1" s="53"/>
      <c r="US1" s="53"/>
      <c r="UT1" s="53"/>
      <c r="UU1" s="53"/>
      <c r="UV1" s="53"/>
      <c r="UW1" s="53"/>
      <c r="UX1" s="53"/>
      <c r="UY1" s="53"/>
      <c r="UZ1" s="53"/>
      <c r="VA1" s="53"/>
      <c r="VB1" s="53"/>
      <c r="VC1" s="52"/>
      <c r="VD1" s="52"/>
      <c r="VE1" s="52"/>
      <c r="VF1" s="52"/>
      <c r="VG1" s="52"/>
      <c r="VH1" s="52"/>
      <c r="VI1" s="52"/>
      <c r="VJ1" s="52"/>
      <c r="VK1" s="52"/>
      <c r="VL1" s="52"/>
      <c r="VM1" s="52"/>
      <c r="VN1" s="52"/>
      <c r="VO1" s="52"/>
      <c r="VP1" s="52"/>
      <c r="VQ1" s="52"/>
      <c r="VR1" s="52"/>
      <c r="VS1" s="52"/>
      <c r="VT1" s="52"/>
      <c r="VU1" s="52"/>
      <c r="VV1" s="52"/>
      <c r="VW1" s="52"/>
      <c r="VX1" s="52"/>
      <c r="VY1" s="52"/>
      <c r="VZ1" s="52"/>
      <c r="WA1" s="52"/>
      <c r="WB1" s="52"/>
      <c r="WC1" s="52"/>
      <c r="WD1" s="52"/>
      <c r="WE1" s="52"/>
      <c r="WF1" s="52"/>
      <c r="WG1" s="52"/>
      <c r="WH1" s="52"/>
      <c r="WI1" s="52"/>
      <c r="WJ1" s="52"/>
    </row>
    <row r="2" spans="1:608" x14ac:dyDescent="0.2">
      <c r="A2" s="56"/>
      <c r="B2" s="56"/>
      <c r="C2" s="56"/>
      <c r="D2" s="56"/>
      <c r="E2" s="56"/>
      <c r="F2" s="60"/>
      <c r="G2" s="56"/>
      <c r="H2" s="56"/>
      <c r="I2" s="56"/>
      <c r="J2" s="57"/>
      <c r="K2" s="58"/>
      <c r="L2" s="57"/>
      <c r="M2" s="58"/>
      <c r="N2" s="61"/>
      <c r="O2" s="58"/>
      <c r="P2" s="58"/>
      <c r="Q2" s="54" t="s">
        <v>17</v>
      </c>
      <c r="R2" s="54"/>
      <c r="S2" s="54"/>
      <c r="T2" s="54"/>
      <c r="U2" s="54"/>
      <c r="V2" s="54" t="s">
        <v>18</v>
      </c>
      <c r="W2" s="54"/>
      <c r="X2" s="54"/>
      <c r="Y2" s="54"/>
      <c r="Z2" s="54"/>
      <c r="AA2" s="54" t="s">
        <v>21</v>
      </c>
      <c r="AB2" s="54"/>
      <c r="AC2" s="54"/>
      <c r="AD2" s="54"/>
      <c r="AE2" s="54"/>
      <c r="AF2" s="14"/>
      <c r="AG2" s="14" t="s">
        <v>67</v>
      </c>
      <c r="AH2" s="14" t="s">
        <v>68</v>
      </c>
      <c r="AI2" s="14" t="s">
        <v>19</v>
      </c>
      <c r="AJ2" s="14" t="s">
        <v>58</v>
      </c>
      <c r="AK2" s="14" t="s">
        <v>69</v>
      </c>
      <c r="AL2" s="14" t="s">
        <v>20</v>
      </c>
      <c r="AM2" s="14" t="s">
        <v>22</v>
      </c>
      <c r="AN2" s="14" t="s">
        <v>70</v>
      </c>
      <c r="AO2" s="14" t="s">
        <v>71</v>
      </c>
      <c r="AP2" s="14" t="s">
        <v>21</v>
      </c>
      <c r="AQ2" s="14" t="s">
        <v>16</v>
      </c>
      <c r="AR2" s="55" t="s">
        <v>17</v>
      </c>
      <c r="AS2" s="55"/>
      <c r="AT2" s="55"/>
      <c r="AU2" s="55"/>
      <c r="AV2" s="55"/>
      <c r="AW2" s="55" t="s">
        <v>18</v>
      </c>
      <c r="AX2" s="55"/>
      <c r="AY2" s="55"/>
      <c r="AZ2" s="55"/>
      <c r="BA2" s="55"/>
      <c r="BB2" s="55" t="s">
        <v>21</v>
      </c>
      <c r="BC2" s="55"/>
      <c r="BD2" s="55"/>
      <c r="BE2" s="55"/>
      <c r="BF2" s="55"/>
      <c r="BG2" s="13"/>
      <c r="BH2" s="13" t="s">
        <v>67</v>
      </c>
      <c r="BI2" s="13" t="s">
        <v>68</v>
      </c>
      <c r="BJ2" s="13" t="s">
        <v>19</v>
      </c>
      <c r="BK2" s="13" t="s">
        <v>58</v>
      </c>
      <c r="BL2" s="13" t="s">
        <v>69</v>
      </c>
      <c r="BM2" s="13" t="s">
        <v>20</v>
      </c>
      <c r="BN2" s="13" t="s">
        <v>22</v>
      </c>
      <c r="BO2" s="13" t="s">
        <v>70</v>
      </c>
      <c r="BP2" s="13" t="s">
        <v>71</v>
      </c>
      <c r="BQ2" s="13" t="s">
        <v>21</v>
      </c>
      <c r="BR2" s="13" t="s">
        <v>16</v>
      </c>
      <c r="BS2" s="54" t="s">
        <v>17</v>
      </c>
      <c r="BT2" s="54"/>
      <c r="BU2" s="54"/>
      <c r="BV2" s="54"/>
      <c r="BW2" s="54"/>
      <c r="BX2" s="54" t="s">
        <v>18</v>
      </c>
      <c r="BY2" s="54"/>
      <c r="BZ2" s="54"/>
      <c r="CA2" s="54"/>
      <c r="CB2" s="54"/>
      <c r="CC2" s="54" t="s">
        <v>21</v>
      </c>
      <c r="CD2" s="54"/>
      <c r="CE2" s="54"/>
      <c r="CF2" s="54"/>
      <c r="CG2" s="54"/>
      <c r="CH2" s="14"/>
      <c r="CI2" s="14" t="s">
        <v>67</v>
      </c>
      <c r="CJ2" s="14" t="s">
        <v>68</v>
      </c>
      <c r="CK2" s="14" t="s">
        <v>19</v>
      </c>
      <c r="CL2" s="14" t="s">
        <v>58</v>
      </c>
      <c r="CM2" s="14" t="s">
        <v>69</v>
      </c>
      <c r="CN2" s="14" t="s">
        <v>20</v>
      </c>
      <c r="CO2" s="14" t="s">
        <v>22</v>
      </c>
      <c r="CP2" s="14" t="s">
        <v>70</v>
      </c>
      <c r="CQ2" s="14" t="s">
        <v>71</v>
      </c>
      <c r="CR2" s="14" t="s">
        <v>21</v>
      </c>
      <c r="CS2" s="14" t="s">
        <v>16</v>
      </c>
      <c r="CT2" s="46" t="s">
        <v>187</v>
      </c>
      <c r="CU2" s="54" t="s">
        <v>17</v>
      </c>
      <c r="CV2" s="54"/>
      <c r="CW2" s="54"/>
      <c r="CX2" s="54"/>
      <c r="CY2" s="54"/>
      <c r="CZ2" s="54" t="s">
        <v>18</v>
      </c>
      <c r="DA2" s="54"/>
      <c r="DB2" s="54"/>
      <c r="DC2" s="54"/>
      <c r="DD2" s="54"/>
      <c r="DE2" s="54" t="s">
        <v>72</v>
      </c>
      <c r="DF2" s="54"/>
      <c r="DG2" s="54"/>
      <c r="DH2" s="54"/>
      <c r="DI2" s="54"/>
      <c r="DJ2" s="54" t="s">
        <v>21</v>
      </c>
      <c r="DK2" s="54"/>
      <c r="DL2" s="54"/>
      <c r="DM2" s="54"/>
      <c r="DN2" s="54"/>
      <c r="DO2" s="14" t="s">
        <v>67</v>
      </c>
      <c r="DP2" s="14" t="s">
        <v>68</v>
      </c>
      <c r="DQ2" s="14" t="s">
        <v>19</v>
      </c>
      <c r="DR2" s="14" t="s">
        <v>58</v>
      </c>
      <c r="DS2" s="14" t="s">
        <v>69</v>
      </c>
      <c r="DT2" s="14" t="s">
        <v>20</v>
      </c>
      <c r="DU2" s="14" t="s">
        <v>22</v>
      </c>
      <c r="DV2" s="14" t="s">
        <v>73</v>
      </c>
      <c r="DW2" s="14" t="s">
        <v>74</v>
      </c>
      <c r="DX2" s="14" t="s">
        <v>72</v>
      </c>
      <c r="DY2" s="14" t="s">
        <v>70</v>
      </c>
      <c r="DZ2" s="14" t="s">
        <v>71</v>
      </c>
      <c r="EA2" s="14" t="s">
        <v>21</v>
      </c>
      <c r="EB2" s="14" t="s">
        <v>16</v>
      </c>
      <c r="EC2" s="55" t="s">
        <v>17</v>
      </c>
      <c r="ED2" s="55"/>
      <c r="EE2" s="55"/>
      <c r="EF2" s="55"/>
      <c r="EG2" s="55"/>
      <c r="EH2" s="55" t="s">
        <v>18</v>
      </c>
      <c r="EI2" s="55"/>
      <c r="EJ2" s="55"/>
      <c r="EK2" s="55"/>
      <c r="EL2" s="55"/>
      <c r="EM2" s="55" t="s">
        <v>72</v>
      </c>
      <c r="EN2" s="55"/>
      <c r="EO2" s="55"/>
      <c r="EP2" s="55"/>
      <c r="EQ2" s="55"/>
      <c r="ER2" s="55" t="s">
        <v>21</v>
      </c>
      <c r="ES2" s="55"/>
      <c r="ET2" s="55"/>
      <c r="EU2" s="55"/>
      <c r="EV2" s="55"/>
      <c r="EW2" s="13" t="s">
        <v>67</v>
      </c>
      <c r="EX2" s="13" t="s">
        <v>68</v>
      </c>
      <c r="EY2" s="13" t="s">
        <v>19</v>
      </c>
      <c r="EZ2" s="13" t="s">
        <v>58</v>
      </c>
      <c r="FA2" s="13" t="s">
        <v>69</v>
      </c>
      <c r="FB2" s="13" t="s">
        <v>20</v>
      </c>
      <c r="FC2" s="13" t="s">
        <v>22</v>
      </c>
      <c r="FD2" s="13" t="s">
        <v>73</v>
      </c>
      <c r="FE2" s="13" t="s">
        <v>74</v>
      </c>
      <c r="FF2" s="13" t="s">
        <v>72</v>
      </c>
      <c r="FG2" s="13" t="s">
        <v>70</v>
      </c>
      <c r="FH2" s="13" t="s">
        <v>71</v>
      </c>
      <c r="FI2" s="13" t="s">
        <v>21</v>
      </c>
      <c r="FJ2" s="13" t="s">
        <v>16</v>
      </c>
      <c r="FK2" s="54" t="s">
        <v>17</v>
      </c>
      <c r="FL2" s="54"/>
      <c r="FM2" s="54"/>
      <c r="FN2" s="54"/>
      <c r="FO2" s="54"/>
      <c r="FP2" s="54" t="s">
        <v>18</v>
      </c>
      <c r="FQ2" s="54"/>
      <c r="FR2" s="54"/>
      <c r="FS2" s="54"/>
      <c r="FT2" s="54"/>
      <c r="FU2" s="54" t="s">
        <v>72</v>
      </c>
      <c r="FV2" s="54"/>
      <c r="FW2" s="54"/>
      <c r="FX2" s="54"/>
      <c r="FY2" s="54"/>
      <c r="FZ2" s="54" t="s">
        <v>21</v>
      </c>
      <c r="GA2" s="54"/>
      <c r="GB2" s="54"/>
      <c r="GC2" s="54"/>
      <c r="GD2" s="54"/>
      <c r="GE2" s="14" t="s">
        <v>67</v>
      </c>
      <c r="GF2" s="14" t="s">
        <v>68</v>
      </c>
      <c r="GG2" s="14" t="s">
        <v>19</v>
      </c>
      <c r="GH2" s="14" t="s">
        <v>58</v>
      </c>
      <c r="GI2" s="14" t="s">
        <v>69</v>
      </c>
      <c r="GJ2" s="14" t="s">
        <v>20</v>
      </c>
      <c r="GK2" s="14" t="s">
        <v>22</v>
      </c>
      <c r="GL2" s="14" t="s">
        <v>73</v>
      </c>
      <c r="GM2" s="14" t="s">
        <v>74</v>
      </c>
      <c r="GN2" s="14" t="s">
        <v>72</v>
      </c>
      <c r="GO2" s="14" t="s">
        <v>70</v>
      </c>
      <c r="GP2" s="14" t="s">
        <v>71</v>
      </c>
      <c r="GQ2" s="14" t="s">
        <v>21</v>
      </c>
      <c r="GR2" s="14" t="s">
        <v>16</v>
      </c>
      <c r="GS2" s="55" t="s">
        <v>17</v>
      </c>
      <c r="GT2" s="55"/>
      <c r="GU2" s="55"/>
      <c r="GV2" s="55"/>
      <c r="GW2" s="55"/>
      <c r="GX2" s="55" t="s">
        <v>18</v>
      </c>
      <c r="GY2" s="55"/>
      <c r="GZ2" s="55"/>
      <c r="HA2" s="55"/>
      <c r="HB2" s="55"/>
      <c r="HC2" s="55" t="s">
        <v>72</v>
      </c>
      <c r="HD2" s="55"/>
      <c r="HE2" s="55"/>
      <c r="HF2" s="55"/>
      <c r="HG2" s="55"/>
      <c r="HH2" s="55" t="s">
        <v>21</v>
      </c>
      <c r="HI2" s="55"/>
      <c r="HJ2" s="55"/>
      <c r="HK2" s="55"/>
      <c r="HL2" s="55"/>
      <c r="HM2" s="13" t="s">
        <v>67</v>
      </c>
      <c r="HN2" s="13" t="s">
        <v>68</v>
      </c>
      <c r="HO2" s="13" t="s">
        <v>19</v>
      </c>
      <c r="HP2" s="13" t="s">
        <v>58</v>
      </c>
      <c r="HQ2" s="13" t="s">
        <v>69</v>
      </c>
      <c r="HR2" s="13" t="s">
        <v>20</v>
      </c>
      <c r="HS2" s="13" t="s">
        <v>22</v>
      </c>
      <c r="HT2" s="13" t="s">
        <v>73</v>
      </c>
      <c r="HU2" s="13" t="s">
        <v>74</v>
      </c>
      <c r="HV2" s="13" t="s">
        <v>72</v>
      </c>
      <c r="HW2" s="13" t="s">
        <v>70</v>
      </c>
      <c r="HX2" s="13" t="s">
        <v>71</v>
      </c>
      <c r="HY2" s="13" t="s">
        <v>21</v>
      </c>
      <c r="HZ2" s="13" t="s">
        <v>16</v>
      </c>
      <c r="IA2" s="54" t="s">
        <v>17</v>
      </c>
      <c r="IB2" s="54"/>
      <c r="IC2" s="54"/>
      <c r="ID2" s="54"/>
      <c r="IE2" s="54"/>
      <c r="IF2" s="54" t="s">
        <v>18</v>
      </c>
      <c r="IG2" s="54"/>
      <c r="IH2" s="54"/>
      <c r="II2" s="54"/>
      <c r="IJ2" s="54"/>
      <c r="IK2" s="54" t="s">
        <v>72</v>
      </c>
      <c r="IL2" s="54"/>
      <c r="IM2" s="54"/>
      <c r="IN2" s="54"/>
      <c r="IO2" s="54"/>
      <c r="IP2" s="54" t="s">
        <v>21</v>
      </c>
      <c r="IQ2" s="54"/>
      <c r="IR2" s="54"/>
      <c r="IS2" s="54"/>
      <c r="IT2" s="54"/>
      <c r="IU2" s="14" t="s">
        <v>67</v>
      </c>
      <c r="IV2" s="14" t="s">
        <v>68</v>
      </c>
      <c r="IW2" s="14" t="s">
        <v>19</v>
      </c>
      <c r="IX2" s="14" t="s">
        <v>58</v>
      </c>
      <c r="IY2" s="14" t="s">
        <v>69</v>
      </c>
      <c r="IZ2" s="14" t="s">
        <v>20</v>
      </c>
      <c r="JA2" s="14" t="s">
        <v>22</v>
      </c>
      <c r="JB2" s="14" t="s">
        <v>73</v>
      </c>
      <c r="JC2" s="14" t="s">
        <v>74</v>
      </c>
      <c r="JD2" s="14" t="s">
        <v>72</v>
      </c>
      <c r="JE2" s="14" t="s">
        <v>70</v>
      </c>
      <c r="JF2" s="14" t="s">
        <v>71</v>
      </c>
      <c r="JG2" s="14" t="s">
        <v>21</v>
      </c>
      <c r="JH2" s="14" t="s">
        <v>16</v>
      </c>
      <c r="JI2" s="55" t="s">
        <v>17</v>
      </c>
      <c r="JJ2" s="55"/>
      <c r="JK2" s="55"/>
      <c r="JL2" s="55"/>
      <c r="JM2" s="55"/>
      <c r="JN2" s="55" t="s">
        <v>18</v>
      </c>
      <c r="JO2" s="55"/>
      <c r="JP2" s="55"/>
      <c r="JQ2" s="55"/>
      <c r="JR2" s="55"/>
      <c r="JS2" s="55" t="s">
        <v>72</v>
      </c>
      <c r="JT2" s="55"/>
      <c r="JU2" s="55"/>
      <c r="JV2" s="55"/>
      <c r="JW2" s="55"/>
      <c r="JX2" s="55" t="s">
        <v>21</v>
      </c>
      <c r="JY2" s="55"/>
      <c r="JZ2" s="55"/>
      <c r="KA2" s="55"/>
      <c r="KB2" s="55"/>
      <c r="KC2" s="13" t="s">
        <v>67</v>
      </c>
      <c r="KD2" s="13" t="s">
        <v>68</v>
      </c>
      <c r="KE2" s="13" t="s">
        <v>19</v>
      </c>
      <c r="KF2" s="13" t="s">
        <v>58</v>
      </c>
      <c r="KG2" s="13" t="s">
        <v>69</v>
      </c>
      <c r="KH2" s="13" t="s">
        <v>20</v>
      </c>
      <c r="KI2" s="13" t="s">
        <v>22</v>
      </c>
      <c r="KJ2" s="13" t="s">
        <v>73</v>
      </c>
      <c r="KK2" s="13" t="s">
        <v>74</v>
      </c>
      <c r="KL2" s="13" t="s">
        <v>72</v>
      </c>
      <c r="KM2" s="13" t="s">
        <v>70</v>
      </c>
      <c r="KN2" s="13" t="s">
        <v>71</v>
      </c>
      <c r="KO2" s="13" t="s">
        <v>21</v>
      </c>
      <c r="KP2" s="13" t="s">
        <v>16</v>
      </c>
      <c r="KQ2" s="54" t="s">
        <v>17</v>
      </c>
      <c r="KR2" s="54"/>
      <c r="KS2" s="54"/>
      <c r="KT2" s="54"/>
      <c r="KU2" s="54"/>
      <c r="KV2" s="54" t="s">
        <v>18</v>
      </c>
      <c r="KW2" s="54"/>
      <c r="KX2" s="54"/>
      <c r="KY2" s="54"/>
      <c r="KZ2" s="54"/>
      <c r="LA2" s="54" t="s">
        <v>72</v>
      </c>
      <c r="LB2" s="54"/>
      <c r="LC2" s="54"/>
      <c r="LD2" s="54"/>
      <c r="LE2" s="54"/>
      <c r="LF2" s="54" t="s">
        <v>21</v>
      </c>
      <c r="LG2" s="54"/>
      <c r="LH2" s="54"/>
      <c r="LI2" s="54"/>
      <c r="LJ2" s="54"/>
      <c r="LK2" s="14" t="s">
        <v>67</v>
      </c>
      <c r="LL2" s="14" t="s">
        <v>68</v>
      </c>
      <c r="LM2" s="14" t="s">
        <v>19</v>
      </c>
      <c r="LN2" s="14" t="s">
        <v>58</v>
      </c>
      <c r="LO2" s="14" t="s">
        <v>69</v>
      </c>
      <c r="LP2" s="14" t="s">
        <v>20</v>
      </c>
      <c r="LQ2" s="14" t="s">
        <v>22</v>
      </c>
      <c r="LR2" s="14" t="s">
        <v>73</v>
      </c>
      <c r="LS2" s="14" t="s">
        <v>74</v>
      </c>
      <c r="LT2" s="14" t="s">
        <v>72</v>
      </c>
      <c r="LU2" s="14" t="s">
        <v>70</v>
      </c>
      <c r="LV2" s="14" t="s">
        <v>71</v>
      </c>
      <c r="LW2" s="14" t="s">
        <v>21</v>
      </c>
      <c r="LX2" s="14" t="s">
        <v>16</v>
      </c>
      <c r="LY2" s="55" t="s">
        <v>17</v>
      </c>
      <c r="LZ2" s="55"/>
      <c r="MA2" s="55"/>
      <c r="MB2" s="55"/>
      <c r="MC2" s="55"/>
      <c r="MD2" s="55" t="s">
        <v>18</v>
      </c>
      <c r="ME2" s="55"/>
      <c r="MF2" s="55"/>
      <c r="MG2" s="55"/>
      <c r="MH2" s="55"/>
      <c r="MI2" s="55" t="s">
        <v>72</v>
      </c>
      <c r="MJ2" s="55"/>
      <c r="MK2" s="55"/>
      <c r="ML2" s="55"/>
      <c r="MM2" s="55"/>
      <c r="MN2" s="55" t="s">
        <v>21</v>
      </c>
      <c r="MO2" s="55"/>
      <c r="MP2" s="55"/>
      <c r="MQ2" s="55"/>
      <c r="MR2" s="55"/>
      <c r="MS2" s="13" t="s">
        <v>67</v>
      </c>
      <c r="MT2" s="13" t="s">
        <v>68</v>
      </c>
      <c r="MU2" s="13" t="s">
        <v>19</v>
      </c>
      <c r="MV2" s="13" t="s">
        <v>58</v>
      </c>
      <c r="MW2" s="13" t="s">
        <v>69</v>
      </c>
      <c r="MX2" s="13" t="s">
        <v>20</v>
      </c>
      <c r="MY2" s="13" t="s">
        <v>22</v>
      </c>
      <c r="MZ2" s="13" t="s">
        <v>73</v>
      </c>
      <c r="NA2" s="13" t="s">
        <v>74</v>
      </c>
      <c r="NB2" s="13" t="s">
        <v>72</v>
      </c>
      <c r="NC2" s="13" t="s">
        <v>70</v>
      </c>
      <c r="ND2" s="13" t="s">
        <v>71</v>
      </c>
      <c r="NE2" s="13" t="s">
        <v>21</v>
      </c>
      <c r="NF2" s="13" t="s">
        <v>16</v>
      </c>
      <c r="NG2" s="54" t="s">
        <v>17</v>
      </c>
      <c r="NH2" s="54"/>
      <c r="NI2" s="54"/>
      <c r="NJ2" s="54"/>
      <c r="NK2" s="54"/>
      <c r="NL2" s="54" t="s">
        <v>18</v>
      </c>
      <c r="NM2" s="54"/>
      <c r="NN2" s="54"/>
      <c r="NO2" s="54"/>
      <c r="NP2" s="54"/>
      <c r="NQ2" s="54" t="s">
        <v>72</v>
      </c>
      <c r="NR2" s="54"/>
      <c r="NS2" s="54"/>
      <c r="NT2" s="54"/>
      <c r="NU2" s="54"/>
      <c r="NV2" s="54" t="s">
        <v>21</v>
      </c>
      <c r="NW2" s="54"/>
      <c r="NX2" s="54"/>
      <c r="NY2" s="54"/>
      <c r="NZ2" s="54"/>
      <c r="OA2" s="14" t="s">
        <v>67</v>
      </c>
      <c r="OB2" s="14" t="s">
        <v>68</v>
      </c>
      <c r="OC2" s="14" t="s">
        <v>19</v>
      </c>
      <c r="OD2" s="14" t="s">
        <v>58</v>
      </c>
      <c r="OE2" s="14" t="s">
        <v>69</v>
      </c>
      <c r="OF2" s="14" t="s">
        <v>20</v>
      </c>
      <c r="OG2" s="14" t="s">
        <v>22</v>
      </c>
      <c r="OH2" s="14" t="s">
        <v>73</v>
      </c>
      <c r="OI2" s="14" t="s">
        <v>74</v>
      </c>
      <c r="OJ2" s="14" t="s">
        <v>72</v>
      </c>
      <c r="OK2" s="14" t="s">
        <v>70</v>
      </c>
      <c r="OL2" s="14" t="s">
        <v>71</v>
      </c>
      <c r="OM2" s="14" t="s">
        <v>21</v>
      </c>
      <c r="ON2" s="14" t="s">
        <v>16</v>
      </c>
      <c r="OO2" s="55" t="s">
        <v>17</v>
      </c>
      <c r="OP2" s="55"/>
      <c r="OQ2" s="55"/>
      <c r="OR2" s="55"/>
      <c r="OS2" s="55"/>
      <c r="OT2" s="55" t="s">
        <v>18</v>
      </c>
      <c r="OU2" s="55"/>
      <c r="OV2" s="55"/>
      <c r="OW2" s="55"/>
      <c r="OX2" s="55"/>
      <c r="OY2" s="55" t="s">
        <v>72</v>
      </c>
      <c r="OZ2" s="55"/>
      <c r="PA2" s="55"/>
      <c r="PB2" s="55"/>
      <c r="PC2" s="55"/>
      <c r="PD2" s="55" t="s">
        <v>21</v>
      </c>
      <c r="PE2" s="55"/>
      <c r="PF2" s="55"/>
      <c r="PG2" s="55"/>
      <c r="PH2" s="55"/>
      <c r="PI2" s="13" t="s">
        <v>67</v>
      </c>
      <c r="PJ2" s="13" t="s">
        <v>68</v>
      </c>
      <c r="PK2" s="13" t="s">
        <v>19</v>
      </c>
      <c r="PL2" s="13" t="s">
        <v>58</v>
      </c>
      <c r="PM2" s="13" t="s">
        <v>69</v>
      </c>
      <c r="PN2" s="13" t="s">
        <v>20</v>
      </c>
      <c r="PO2" s="13" t="s">
        <v>22</v>
      </c>
      <c r="PP2" s="13" t="s">
        <v>73</v>
      </c>
      <c r="PQ2" s="13" t="s">
        <v>74</v>
      </c>
      <c r="PR2" s="13" t="s">
        <v>72</v>
      </c>
      <c r="PS2" s="13" t="s">
        <v>70</v>
      </c>
      <c r="PT2" s="13" t="s">
        <v>71</v>
      </c>
      <c r="PU2" s="13" t="s">
        <v>21</v>
      </c>
      <c r="PV2" s="13" t="s">
        <v>16</v>
      </c>
      <c r="PW2" s="54" t="s">
        <v>17</v>
      </c>
      <c r="PX2" s="54"/>
      <c r="PY2" s="54"/>
      <c r="PZ2" s="54"/>
      <c r="QA2" s="54"/>
      <c r="QB2" s="54" t="s">
        <v>18</v>
      </c>
      <c r="QC2" s="54"/>
      <c r="QD2" s="54"/>
      <c r="QE2" s="54"/>
      <c r="QF2" s="54"/>
      <c r="QG2" s="54" t="s">
        <v>72</v>
      </c>
      <c r="QH2" s="54"/>
      <c r="QI2" s="54"/>
      <c r="QJ2" s="54"/>
      <c r="QK2" s="54"/>
      <c r="QL2" s="54" t="s">
        <v>21</v>
      </c>
      <c r="QM2" s="54"/>
      <c r="QN2" s="54"/>
      <c r="QO2" s="54"/>
      <c r="QP2" s="54"/>
      <c r="QQ2" s="14" t="s">
        <v>67</v>
      </c>
      <c r="QR2" s="14" t="s">
        <v>68</v>
      </c>
      <c r="QS2" s="14" t="s">
        <v>19</v>
      </c>
      <c r="QT2" s="14" t="s">
        <v>58</v>
      </c>
      <c r="QU2" s="14" t="s">
        <v>69</v>
      </c>
      <c r="QV2" s="14" t="s">
        <v>20</v>
      </c>
      <c r="QW2" s="14" t="s">
        <v>22</v>
      </c>
      <c r="QX2" s="14" t="s">
        <v>73</v>
      </c>
      <c r="QY2" s="14" t="s">
        <v>74</v>
      </c>
      <c r="QZ2" s="14" t="s">
        <v>72</v>
      </c>
      <c r="RA2" s="14" t="s">
        <v>70</v>
      </c>
      <c r="RB2" s="14" t="s">
        <v>71</v>
      </c>
      <c r="RC2" s="14" t="s">
        <v>21</v>
      </c>
      <c r="RD2" s="14" t="s">
        <v>16</v>
      </c>
      <c r="RE2" s="55" t="s">
        <v>17</v>
      </c>
      <c r="RF2" s="55"/>
      <c r="RG2" s="55"/>
      <c r="RH2" s="55"/>
      <c r="RI2" s="55"/>
      <c r="RJ2" s="55" t="s">
        <v>18</v>
      </c>
      <c r="RK2" s="55"/>
      <c r="RL2" s="55"/>
      <c r="RM2" s="55"/>
      <c r="RN2" s="55"/>
      <c r="RO2" s="55" t="s">
        <v>72</v>
      </c>
      <c r="RP2" s="55"/>
      <c r="RQ2" s="55"/>
      <c r="RR2" s="55"/>
      <c r="RS2" s="55"/>
      <c r="RT2" s="55" t="s">
        <v>21</v>
      </c>
      <c r="RU2" s="55"/>
      <c r="RV2" s="55"/>
      <c r="RW2" s="55"/>
      <c r="RX2" s="55"/>
      <c r="RY2" s="13" t="s">
        <v>67</v>
      </c>
      <c r="RZ2" s="13" t="s">
        <v>68</v>
      </c>
      <c r="SA2" s="13" t="s">
        <v>19</v>
      </c>
      <c r="SB2" s="13" t="s">
        <v>58</v>
      </c>
      <c r="SC2" s="13" t="s">
        <v>69</v>
      </c>
      <c r="SD2" s="13" t="s">
        <v>20</v>
      </c>
      <c r="SE2" s="13" t="s">
        <v>22</v>
      </c>
      <c r="SF2" s="13" t="s">
        <v>73</v>
      </c>
      <c r="SG2" s="13" t="s">
        <v>74</v>
      </c>
      <c r="SH2" s="13" t="s">
        <v>72</v>
      </c>
      <c r="SI2" s="13" t="s">
        <v>70</v>
      </c>
      <c r="SJ2" s="13" t="s">
        <v>71</v>
      </c>
      <c r="SK2" s="13" t="s">
        <v>21</v>
      </c>
      <c r="SL2" s="13" t="s">
        <v>16</v>
      </c>
      <c r="SM2" s="54" t="s">
        <v>17</v>
      </c>
      <c r="SN2" s="54"/>
      <c r="SO2" s="54"/>
      <c r="SP2" s="54"/>
      <c r="SQ2" s="54"/>
      <c r="SR2" s="54" t="s">
        <v>18</v>
      </c>
      <c r="SS2" s="54"/>
      <c r="ST2" s="54"/>
      <c r="SU2" s="54"/>
      <c r="SV2" s="54"/>
      <c r="SW2" s="54" t="s">
        <v>72</v>
      </c>
      <c r="SX2" s="54"/>
      <c r="SY2" s="54"/>
      <c r="SZ2" s="54"/>
      <c r="TA2" s="54"/>
      <c r="TB2" s="54" t="s">
        <v>21</v>
      </c>
      <c r="TC2" s="54"/>
      <c r="TD2" s="54"/>
      <c r="TE2" s="54"/>
      <c r="TF2" s="54"/>
      <c r="TG2" s="14" t="s">
        <v>67</v>
      </c>
      <c r="TH2" s="14" t="s">
        <v>68</v>
      </c>
      <c r="TI2" s="14" t="s">
        <v>19</v>
      </c>
      <c r="TJ2" s="14" t="s">
        <v>58</v>
      </c>
      <c r="TK2" s="14" t="s">
        <v>69</v>
      </c>
      <c r="TL2" s="14" t="s">
        <v>20</v>
      </c>
      <c r="TM2" s="14" t="s">
        <v>22</v>
      </c>
      <c r="TN2" s="14" t="s">
        <v>73</v>
      </c>
      <c r="TO2" s="14" t="s">
        <v>74</v>
      </c>
      <c r="TP2" s="14" t="s">
        <v>72</v>
      </c>
      <c r="TQ2" s="14" t="s">
        <v>70</v>
      </c>
      <c r="TR2" s="14" t="s">
        <v>71</v>
      </c>
      <c r="TS2" s="14" t="s">
        <v>21</v>
      </c>
      <c r="TT2" s="14" t="s">
        <v>16</v>
      </c>
      <c r="TU2" s="55" t="s">
        <v>17</v>
      </c>
      <c r="TV2" s="55"/>
      <c r="TW2" s="55"/>
      <c r="TX2" s="55"/>
      <c r="TY2" s="55"/>
      <c r="TZ2" s="55" t="s">
        <v>18</v>
      </c>
      <c r="UA2" s="55"/>
      <c r="UB2" s="55"/>
      <c r="UC2" s="55"/>
      <c r="UD2" s="55"/>
      <c r="UE2" s="55" t="s">
        <v>72</v>
      </c>
      <c r="UF2" s="55"/>
      <c r="UG2" s="55"/>
      <c r="UH2" s="55"/>
      <c r="UI2" s="55"/>
      <c r="UJ2" s="55" t="s">
        <v>21</v>
      </c>
      <c r="UK2" s="55"/>
      <c r="UL2" s="55"/>
      <c r="UM2" s="55"/>
      <c r="UN2" s="55"/>
      <c r="UO2" s="13" t="s">
        <v>67</v>
      </c>
      <c r="UP2" s="13" t="s">
        <v>68</v>
      </c>
      <c r="UQ2" s="13" t="s">
        <v>19</v>
      </c>
      <c r="UR2" s="13" t="s">
        <v>58</v>
      </c>
      <c r="US2" s="13" t="s">
        <v>69</v>
      </c>
      <c r="UT2" s="13" t="s">
        <v>20</v>
      </c>
      <c r="UU2" s="13" t="s">
        <v>22</v>
      </c>
      <c r="UV2" s="13" t="s">
        <v>73</v>
      </c>
      <c r="UW2" s="13" t="s">
        <v>74</v>
      </c>
      <c r="UX2" s="13" t="s">
        <v>72</v>
      </c>
      <c r="UY2" s="13" t="s">
        <v>70</v>
      </c>
      <c r="UZ2" s="13" t="s">
        <v>71</v>
      </c>
      <c r="VA2" s="13" t="s">
        <v>21</v>
      </c>
      <c r="VB2" s="13" t="s">
        <v>16</v>
      </c>
      <c r="VC2" s="54" t="s">
        <v>17</v>
      </c>
      <c r="VD2" s="54"/>
      <c r="VE2" s="54"/>
      <c r="VF2" s="54"/>
      <c r="VG2" s="54"/>
      <c r="VH2" s="54" t="s">
        <v>18</v>
      </c>
      <c r="VI2" s="54"/>
      <c r="VJ2" s="54"/>
      <c r="VK2" s="54"/>
      <c r="VL2" s="54"/>
      <c r="VM2" s="54" t="s">
        <v>72</v>
      </c>
      <c r="VN2" s="54"/>
      <c r="VO2" s="54"/>
      <c r="VP2" s="54"/>
      <c r="VQ2" s="54"/>
      <c r="VR2" s="54" t="s">
        <v>21</v>
      </c>
      <c r="VS2" s="54"/>
      <c r="VT2" s="54"/>
      <c r="VU2" s="54"/>
      <c r="VV2" s="54"/>
      <c r="VW2" s="14" t="s">
        <v>67</v>
      </c>
      <c r="VX2" s="14" t="s">
        <v>68</v>
      </c>
      <c r="VY2" s="14" t="s">
        <v>19</v>
      </c>
      <c r="VZ2" s="14" t="s">
        <v>58</v>
      </c>
      <c r="WA2" s="14" t="s">
        <v>69</v>
      </c>
      <c r="WB2" s="14" t="s">
        <v>20</v>
      </c>
      <c r="WC2" s="14" t="s">
        <v>22</v>
      </c>
      <c r="WD2" s="14" t="s">
        <v>73</v>
      </c>
      <c r="WE2" s="14" t="s">
        <v>74</v>
      </c>
      <c r="WF2" s="14" t="s">
        <v>72</v>
      </c>
      <c r="WG2" s="14" t="s">
        <v>70</v>
      </c>
      <c r="WH2" s="14" t="s">
        <v>71</v>
      </c>
      <c r="WI2" s="14" t="s">
        <v>21</v>
      </c>
      <c r="WJ2" s="14" t="s">
        <v>16</v>
      </c>
    </row>
    <row r="3" spans="1:608" x14ac:dyDescent="0.2">
      <c r="A3" s="56"/>
      <c r="B3" s="56"/>
      <c r="C3" s="56"/>
      <c r="D3" s="56"/>
      <c r="E3" s="56"/>
      <c r="F3" s="60"/>
      <c r="G3" s="56"/>
      <c r="H3" s="56"/>
      <c r="I3" s="56"/>
      <c r="J3" s="57"/>
      <c r="K3" s="58"/>
      <c r="L3" s="57"/>
      <c r="M3" s="58"/>
      <c r="N3" s="61"/>
      <c r="O3" s="58"/>
      <c r="P3" s="58"/>
      <c r="Q3" s="14" t="s">
        <v>13</v>
      </c>
      <c r="R3" s="14" t="s">
        <v>14</v>
      </c>
      <c r="S3" s="14" t="s">
        <v>8</v>
      </c>
      <c r="T3" s="14" t="s">
        <v>15</v>
      </c>
      <c r="U3" s="14" t="s">
        <v>27</v>
      </c>
      <c r="V3" s="14" t="s">
        <v>13</v>
      </c>
      <c r="W3" s="14" t="s">
        <v>14</v>
      </c>
      <c r="X3" s="14" t="s">
        <v>8</v>
      </c>
      <c r="Y3" s="14" t="s">
        <v>15</v>
      </c>
      <c r="Z3" s="14" t="s">
        <v>27</v>
      </c>
      <c r="AA3" s="14" t="s">
        <v>13</v>
      </c>
      <c r="AB3" s="14" t="s">
        <v>14</v>
      </c>
      <c r="AC3" s="14" t="s">
        <v>8</v>
      </c>
      <c r="AD3" s="14" t="s">
        <v>15</v>
      </c>
      <c r="AE3" s="14" t="s">
        <v>27</v>
      </c>
      <c r="AF3" s="14" t="s">
        <v>41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13</v>
      </c>
      <c r="AS3" s="13" t="s">
        <v>14</v>
      </c>
      <c r="AT3" s="13" t="s">
        <v>8</v>
      </c>
      <c r="AU3" s="13" t="s">
        <v>15</v>
      </c>
      <c r="AV3" s="13" t="s">
        <v>27</v>
      </c>
      <c r="AW3" s="13" t="s">
        <v>13</v>
      </c>
      <c r="AX3" s="13" t="s">
        <v>14</v>
      </c>
      <c r="AY3" s="13" t="s">
        <v>8</v>
      </c>
      <c r="AZ3" s="13" t="s">
        <v>15</v>
      </c>
      <c r="BA3" s="13" t="s">
        <v>27</v>
      </c>
      <c r="BB3" s="13" t="s">
        <v>13</v>
      </c>
      <c r="BC3" s="13" t="s">
        <v>14</v>
      </c>
      <c r="BD3" s="13" t="s">
        <v>8</v>
      </c>
      <c r="BE3" s="13" t="s">
        <v>15</v>
      </c>
      <c r="BF3" s="13" t="s">
        <v>27</v>
      </c>
      <c r="BG3" s="13" t="s">
        <v>41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13</v>
      </c>
      <c r="BT3" s="14" t="s">
        <v>14</v>
      </c>
      <c r="BU3" s="14" t="s">
        <v>8</v>
      </c>
      <c r="BV3" s="14" t="s">
        <v>15</v>
      </c>
      <c r="BW3" s="14" t="s">
        <v>27</v>
      </c>
      <c r="BX3" s="14" t="s">
        <v>13</v>
      </c>
      <c r="BY3" s="14" t="s">
        <v>14</v>
      </c>
      <c r="BZ3" s="14" t="s">
        <v>8</v>
      </c>
      <c r="CA3" s="14" t="s">
        <v>15</v>
      </c>
      <c r="CB3" s="14" t="s">
        <v>27</v>
      </c>
      <c r="CC3" s="14" t="s">
        <v>13</v>
      </c>
      <c r="CD3" s="14" t="s">
        <v>14</v>
      </c>
      <c r="CE3" s="14" t="s">
        <v>8</v>
      </c>
      <c r="CF3" s="14" t="s">
        <v>15</v>
      </c>
      <c r="CG3" s="14" t="s">
        <v>27</v>
      </c>
      <c r="CH3" s="14" t="s">
        <v>41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46"/>
      <c r="CU3" s="14" t="s">
        <v>13</v>
      </c>
      <c r="CV3" s="14" t="s">
        <v>14</v>
      </c>
      <c r="CW3" s="14" t="s">
        <v>8</v>
      </c>
      <c r="CX3" s="14" t="s">
        <v>15</v>
      </c>
      <c r="CY3" s="14" t="s">
        <v>27</v>
      </c>
      <c r="CZ3" s="14" t="s">
        <v>13</v>
      </c>
      <c r="DA3" s="14" t="s">
        <v>14</v>
      </c>
      <c r="DB3" s="14" t="s">
        <v>8</v>
      </c>
      <c r="DC3" s="14" t="s">
        <v>15</v>
      </c>
      <c r="DD3" s="14" t="s">
        <v>27</v>
      </c>
      <c r="DE3" s="14" t="s">
        <v>13</v>
      </c>
      <c r="DF3" s="14" t="s">
        <v>14</v>
      </c>
      <c r="DG3" s="14" t="s">
        <v>8</v>
      </c>
      <c r="DH3" s="14" t="s">
        <v>15</v>
      </c>
      <c r="DI3" s="14" t="s">
        <v>27</v>
      </c>
      <c r="DJ3" s="14" t="s">
        <v>13</v>
      </c>
      <c r="DK3" s="14" t="s">
        <v>14</v>
      </c>
      <c r="DL3" s="14" t="s">
        <v>8</v>
      </c>
      <c r="DM3" s="14" t="s">
        <v>15</v>
      </c>
      <c r="DN3" s="14" t="s">
        <v>27</v>
      </c>
      <c r="DO3" s="6"/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14"/>
      <c r="EC3" s="13" t="s">
        <v>13</v>
      </c>
      <c r="ED3" s="13" t="s">
        <v>14</v>
      </c>
      <c r="EE3" s="13" t="s">
        <v>8</v>
      </c>
      <c r="EF3" s="13" t="s">
        <v>15</v>
      </c>
      <c r="EG3" s="13" t="s">
        <v>27</v>
      </c>
      <c r="EH3" s="13" t="s">
        <v>13</v>
      </c>
      <c r="EI3" s="13" t="s">
        <v>14</v>
      </c>
      <c r="EJ3" s="13" t="s">
        <v>8</v>
      </c>
      <c r="EK3" s="13" t="s">
        <v>15</v>
      </c>
      <c r="EL3" s="13" t="s">
        <v>27</v>
      </c>
      <c r="EM3" s="13" t="s">
        <v>13</v>
      </c>
      <c r="EN3" s="13" t="s">
        <v>14</v>
      </c>
      <c r="EO3" s="13" t="s">
        <v>8</v>
      </c>
      <c r="EP3" s="13" t="s">
        <v>15</v>
      </c>
      <c r="EQ3" s="13" t="s">
        <v>27</v>
      </c>
      <c r="ER3" s="13" t="s">
        <v>13</v>
      </c>
      <c r="ES3" s="13" t="s">
        <v>14</v>
      </c>
      <c r="ET3" s="13" t="s">
        <v>8</v>
      </c>
      <c r="EU3" s="13" t="s">
        <v>15</v>
      </c>
      <c r="EV3" s="13" t="s">
        <v>27</v>
      </c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13"/>
      <c r="FK3" s="14" t="s">
        <v>13</v>
      </c>
      <c r="FL3" s="14" t="s">
        <v>14</v>
      </c>
      <c r="FM3" s="14" t="s">
        <v>8</v>
      </c>
      <c r="FN3" s="14" t="s">
        <v>15</v>
      </c>
      <c r="FO3" s="14" t="s">
        <v>27</v>
      </c>
      <c r="FP3" s="14" t="s">
        <v>13</v>
      </c>
      <c r="FQ3" s="14" t="s">
        <v>14</v>
      </c>
      <c r="FR3" s="14" t="s">
        <v>8</v>
      </c>
      <c r="FS3" s="14" t="s">
        <v>15</v>
      </c>
      <c r="FT3" s="14" t="s">
        <v>27</v>
      </c>
      <c r="FU3" s="14" t="s">
        <v>13</v>
      </c>
      <c r="FV3" s="14" t="s">
        <v>14</v>
      </c>
      <c r="FW3" s="14" t="s">
        <v>8</v>
      </c>
      <c r="FX3" s="14" t="s">
        <v>15</v>
      </c>
      <c r="FY3" s="14" t="s">
        <v>27</v>
      </c>
      <c r="FZ3" s="14" t="s">
        <v>13</v>
      </c>
      <c r="GA3" s="14" t="s">
        <v>14</v>
      </c>
      <c r="GB3" s="14" t="s">
        <v>8</v>
      </c>
      <c r="GC3" s="14" t="s">
        <v>15</v>
      </c>
      <c r="GD3" s="14" t="s">
        <v>27</v>
      </c>
      <c r="GE3" s="6"/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14"/>
      <c r="GS3" s="13" t="s">
        <v>13</v>
      </c>
      <c r="GT3" s="13" t="s">
        <v>14</v>
      </c>
      <c r="GU3" s="13" t="s">
        <v>8</v>
      </c>
      <c r="GV3" s="13" t="s">
        <v>15</v>
      </c>
      <c r="GW3" s="13" t="s">
        <v>27</v>
      </c>
      <c r="GX3" s="13" t="s">
        <v>13</v>
      </c>
      <c r="GY3" s="13" t="s">
        <v>14</v>
      </c>
      <c r="GZ3" s="13" t="s">
        <v>8</v>
      </c>
      <c r="HA3" s="13" t="s">
        <v>15</v>
      </c>
      <c r="HB3" s="13" t="s">
        <v>27</v>
      </c>
      <c r="HC3" s="13" t="s">
        <v>13</v>
      </c>
      <c r="HD3" s="13" t="s">
        <v>14</v>
      </c>
      <c r="HE3" s="13" t="s">
        <v>8</v>
      </c>
      <c r="HF3" s="13" t="s">
        <v>15</v>
      </c>
      <c r="HG3" s="13" t="s">
        <v>27</v>
      </c>
      <c r="HH3" s="13" t="s">
        <v>13</v>
      </c>
      <c r="HI3" s="13" t="s">
        <v>14</v>
      </c>
      <c r="HJ3" s="13" t="s">
        <v>8</v>
      </c>
      <c r="HK3" s="13" t="s">
        <v>15</v>
      </c>
      <c r="HL3" s="13" t="s">
        <v>27</v>
      </c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13"/>
      <c r="IA3" s="14" t="s">
        <v>13</v>
      </c>
      <c r="IB3" s="14" t="s">
        <v>14</v>
      </c>
      <c r="IC3" s="14" t="s">
        <v>8</v>
      </c>
      <c r="ID3" s="14" t="s">
        <v>15</v>
      </c>
      <c r="IE3" s="14" t="s">
        <v>27</v>
      </c>
      <c r="IF3" s="14" t="s">
        <v>13</v>
      </c>
      <c r="IG3" s="14" t="s">
        <v>14</v>
      </c>
      <c r="IH3" s="14" t="s">
        <v>8</v>
      </c>
      <c r="II3" s="14" t="s">
        <v>15</v>
      </c>
      <c r="IJ3" s="14" t="s">
        <v>27</v>
      </c>
      <c r="IK3" s="14" t="s">
        <v>13</v>
      </c>
      <c r="IL3" s="14" t="s">
        <v>14</v>
      </c>
      <c r="IM3" s="14" t="s">
        <v>8</v>
      </c>
      <c r="IN3" s="14" t="s">
        <v>15</v>
      </c>
      <c r="IO3" s="14" t="s">
        <v>27</v>
      </c>
      <c r="IP3" s="14" t="s">
        <v>13</v>
      </c>
      <c r="IQ3" s="14" t="s">
        <v>14</v>
      </c>
      <c r="IR3" s="14" t="s">
        <v>8</v>
      </c>
      <c r="IS3" s="14" t="s">
        <v>15</v>
      </c>
      <c r="IT3" s="14" t="s">
        <v>27</v>
      </c>
      <c r="IU3" s="6"/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14"/>
      <c r="JI3" s="13" t="s">
        <v>13</v>
      </c>
      <c r="JJ3" s="13" t="s">
        <v>14</v>
      </c>
      <c r="JK3" s="13" t="s">
        <v>8</v>
      </c>
      <c r="JL3" s="13" t="s">
        <v>15</v>
      </c>
      <c r="JM3" s="13" t="s">
        <v>27</v>
      </c>
      <c r="JN3" s="13" t="s">
        <v>13</v>
      </c>
      <c r="JO3" s="13" t="s">
        <v>14</v>
      </c>
      <c r="JP3" s="13" t="s">
        <v>8</v>
      </c>
      <c r="JQ3" s="13" t="s">
        <v>15</v>
      </c>
      <c r="JR3" s="13" t="s">
        <v>27</v>
      </c>
      <c r="JS3" s="13" t="s">
        <v>13</v>
      </c>
      <c r="JT3" s="13" t="s">
        <v>14</v>
      </c>
      <c r="JU3" s="13" t="s">
        <v>8</v>
      </c>
      <c r="JV3" s="13" t="s">
        <v>15</v>
      </c>
      <c r="JW3" s="13" t="s">
        <v>27</v>
      </c>
      <c r="JX3" s="13" t="s">
        <v>13</v>
      </c>
      <c r="JY3" s="13" t="s">
        <v>14</v>
      </c>
      <c r="JZ3" s="13" t="s">
        <v>8</v>
      </c>
      <c r="KA3" s="13" t="s">
        <v>15</v>
      </c>
      <c r="KB3" s="13" t="s">
        <v>27</v>
      </c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14" t="s">
        <v>13</v>
      </c>
      <c r="KR3" s="14" t="s">
        <v>14</v>
      </c>
      <c r="KS3" s="14" t="s">
        <v>8</v>
      </c>
      <c r="KT3" s="14" t="s">
        <v>15</v>
      </c>
      <c r="KU3" s="14" t="s">
        <v>27</v>
      </c>
      <c r="KV3" s="14" t="s">
        <v>13</v>
      </c>
      <c r="KW3" s="14" t="s">
        <v>14</v>
      </c>
      <c r="KX3" s="14" t="s">
        <v>8</v>
      </c>
      <c r="KY3" s="14" t="s">
        <v>15</v>
      </c>
      <c r="KZ3" s="14" t="s">
        <v>27</v>
      </c>
      <c r="LA3" s="14" t="s">
        <v>13</v>
      </c>
      <c r="LB3" s="14" t="s">
        <v>14</v>
      </c>
      <c r="LC3" s="14" t="s">
        <v>8</v>
      </c>
      <c r="LD3" s="14" t="s">
        <v>15</v>
      </c>
      <c r="LE3" s="14" t="s">
        <v>27</v>
      </c>
      <c r="LF3" s="14" t="s">
        <v>13</v>
      </c>
      <c r="LG3" s="14" t="s">
        <v>14</v>
      </c>
      <c r="LH3" s="14" t="s">
        <v>8</v>
      </c>
      <c r="LI3" s="14" t="s">
        <v>15</v>
      </c>
      <c r="LJ3" s="14" t="s">
        <v>27</v>
      </c>
      <c r="LK3" s="6"/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13" t="s">
        <v>13</v>
      </c>
      <c r="LZ3" s="13" t="s">
        <v>14</v>
      </c>
      <c r="MA3" s="13" t="s">
        <v>8</v>
      </c>
      <c r="MB3" s="13" t="s">
        <v>15</v>
      </c>
      <c r="MC3" s="13" t="s">
        <v>27</v>
      </c>
      <c r="MD3" s="13" t="s">
        <v>13</v>
      </c>
      <c r="ME3" s="13" t="s">
        <v>14</v>
      </c>
      <c r="MF3" s="13" t="s">
        <v>8</v>
      </c>
      <c r="MG3" s="13" t="s">
        <v>15</v>
      </c>
      <c r="MH3" s="13" t="s">
        <v>27</v>
      </c>
      <c r="MI3" s="13" t="s">
        <v>13</v>
      </c>
      <c r="MJ3" s="13" t="s">
        <v>14</v>
      </c>
      <c r="MK3" s="13" t="s">
        <v>8</v>
      </c>
      <c r="ML3" s="13" t="s">
        <v>15</v>
      </c>
      <c r="MM3" s="13" t="s">
        <v>27</v>
      </c>
      <c r="MN3" s="13" t="s">
        <v>13</v>
      </c>
      <c r="MO3" s="13" t="s">
        <v>14</v>
      </c>
      <c r="MP3" s="13" t="s">
        <v>8</v>
      </c>
      <c r="MQ3" s="13" t="s">
        <v>15</v>
      </c>
      <c r="MR3" s="13" t="s">
        <v>27</v>
      </c>
      <c r="MS3" s="7"/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14" t="s">
        <v>13</v>
      </c>
      <c r="NH3" s="14" t="s">
        <v>14</v>
      </c>
      <c r="NI3" s="14" t="s">
        <v>8</v>
      </c>
      <c r="NJ3" s="14" t="s">
        <v>15</v>
      </c>
      <c r="NK3" s="14" t="s">
        <v>27</v>
      </c>
      <c r="NL3" s="14" t="s">
        <v>13</v>
      </c>
      <c r="NM3" s="14" t="s">
        <v>14</v>
      </c>
      <c r="NN3" s="14" t="s">
        <v>8</v>
      </c>
      <c r="NO3" s="14" t="s">
        <v>15</v>
      </c>
      <c r="NP3" s="14" t="s">
        <v>27</v>
      </c>
      <c r="NQ3" s="14" t="s">
        <v>13</v>
      </c>
      <c r="NR3" s="14" t="s">
        <v>14</v>
      </c>
      <c r="NS3" s="14" t="s">
        <v>8</v>
      </c>
      <c r="NT3" s="14" t="s">
        <v>15</v>
      </c>
      <c r="NU3" s="14" t="s">
        <v>27</v>
      </c>
      <c r="NV3" s="14" t="s">
        <v>13</v>
      </c>
      <c r="NW3" s="14" t="s">
        <v>14</v>
      </c>
      <c r="NX3" s="14" t="s">
        <v>8</v>
      </c>
      <c r="NY3" s="14" t="s">
        <v>15</v>
      </c>
      <c r="NZ3" s="14" t="s">
        <v>27</v>
      </c>
      <c r="OA3" s="6"/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13" t="s">
        <v>13</v>
      </c>
      <c r="OP3" s="13" t="s">
        <v>14</v>
      </c>
      <c r="OQ3" s="13" t="s">
        <v>8</v>
      </c>
      <c r="OR3" s="13" t="s">
        <v>15</v>
      </c>
      <c r="OS3" s="13" t="s">
        <v>27</v>
      </c>
      <c r="OT3" s="13" t="s">
        <v>13</v>
      </c>
      <c r="OU3" s="13" t="s">
        <v>14</v>
      </c>
      <c r="OV3" s="13" t="s">
        <v>8</v>
      </c>
      <c r="OW3" s="13" t="s">
        <v>15</v>
      </c>
      <c r="OX3" s="13" t="s">
        <v>27</v>
      </c>
      <c r="OY3" s="13" t="s">
        <v>13</v>
      </c>
      <c r="OZ3" s="13" t="s">
        <v>14</v>
      </c>
      <c r="PA3" s="13" t="s">
        <v>8</v>
      </c>
      <c r="PB3" s="13" t="s">
        <v>15</v>
      </c>
      <c r="PC3" s="13" t="s">
        <v>27</v>
      </c>
      <c r="PD3" s="13" t="s">
        <v>13</v>
      </c>
      <c r="PE3" s="13" t="s">
        <v>14</v>
      </c>
      <c r="PF3" s="13" t="s">
        <v>8</v>
      </c>
      <c r="PG3" s="13" t="s">
        <v>15</v>
      </c>
      <c r="PH3" s="13" t="s">
        <v>27</v>
      </c>
      <c r="PI3" s="7"/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14" t="s">
        <v>13</v>
      </c>
      <c r="PX3" s="14" t="s">
        <v>14</v>
      </c>
      <c r="PY3" s="14" t="s">
        <v>8</v>
      </c>
      <c r="PZ3" s="14" t="s">
        <v>15</v>
      </c>
      <c r="QA3" s="14" t="s">
        <v>27</v>
      </c>
      <c r="QB3" s="14" t="s">
        <v>13</v>
      </c>
      <c r="QC3" s="14" t="s">
        <v>14</v>
      </c>
      <c r="QD3" s="14" t="s">
        <v>8</v>
      </c>
      <c r="QE3" s="14" t="s">
        <v>15</v>
      </c>
      <c r="QF3" s="14" t="s">
        <v>27</v>
      </c>
      <c r="QG3" s="14" t="s">
        <v>13</v>
      </c>
      <c r="QH3" s="14" t="s">
        <v>14</v>
      </c>
      <c r="QI3" s="14" t="s">
        <v>8</v>
      </c>
      <c r="QJ3" s="14" t="s">
        <v>15</v>
      </c>
      <c r="QK3" s="14" t="s">
        <v>27</v>
      </c>
      <c r="QL3" s="14" t="s">
        <v>13</v>
      </c>
      <c r="QM3" s="14" t="s">
        <v>14</v>
      </c>
      <c r="QN3" s="14" t="s">
        <v>8</v>
      </c>
      <c r="QO3" s="14" t="s">
        <v>15</v>
      </c>
      <c r="QP3" s="14" t="s">
        <v>27</v>
      </c>
      <c r="QQ3" s="6"/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13" t="s">
        <v>13</v>
      </c>
      <c r="RF3" s="13" t="s">
        <v>14</v>
      </c>
      <c r="RG3" s="13" t="s">
        <v>8</v>
      </c>
      <c r="RH3" s="13" t="s">
        <v>15</v>
      </c>
      <c r="RI3" s="13" t="s">
        <v>27</v>
      </c>
      <c r="RJ3" s="13" t="s">
        <v>13</v>
      </c>
      <c r="RK3" s="13" t="s">
        <v>14</v>
      </c>
      <c r="RL3" s="13" t="s">
        <v>8</v>
      </c>
      <c r="RM3" s="13" t="s">
        <v>15</v>
      </c>
      <c r="RN3" s="13" t="s">
        <v>27</v>
      </c>
      <c r="RO3" s="13" t="s">
        <v>13</v>
      </c>
      <c r="RP3" s="13" t="s">
        <v>14</v>
      </c>
      <c r="RQ3" s="13" t="s">
        <v>8</v>
      </c>
      <c r="RR3" s="13" t="s">
        <v>15</v>
      </c>
      <c r="RS3" s="13" t="s">
        <v>27</v>
      </c>
      <c r="RT3" s="13" t="s">
        <v>13</v>
      </c>
      <c r="RU3" s="13" t="s">
        <v>14</v>
      </c>
      <c r="RV3" s="13" t="s">
        <v>8</v>
      </c>
      <c r="RW3" s="13" t="s">
        <v>15</v>
      </c>
      <c r="RX3" s="13" t="s">
        <v>27</v>
      </c>
      <c r="RY3" s="7"/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14" t="s">
        <v>13</v>
      </c>
      <c r="SN3" s="14" t="s">
        <v>14</v>
      </c>
      <c r="SO3" s="14" t="s">
        <v>8</v>
      </c>
      <c r="SP3" s="14" t="s">
        <v>15</v>
      </c>
      <c r="SQ3" s="14" t="s">
        <v>27</v>
      </c>
      <c r="SR3" s="14" t="s">
        <v>13</v>
      </c>
      <c r="SS3" s="14" t="s">
        <v>14</v>
      </c>
      <c r="ST3" s="14" t="s">
        <v>8</v>
      </c>
      <c r="SU3" s="14" t="s">
        <v>15</v>
      </c>
      <c r="SV3" s="14" t="s">
        <v>27</v>
      </c>
      <c r="SW3" s="14" t="s">
        <v>13</v>
      </c>
      <c r="SX3" s="14" t="s">
        <v>14</v>
      </c>
      <c r="SY3" s="14" t="s">
        <v>8</v>
      </c>
      <c r="SZ3" s="14" t="s">
        <v>15</v>
      </c>
      <c r="TA3" s="14" t="s">
        <v>27</v>
      </c>
      <c r="TB3" s="14" t="s">
        <v>13</v>
      </c>
      <c r="TC3" s="14" t="s">
        <v>14</v>
      </c>
      <c r="TD3" s="14" t="s">
        <v>8</v>
      </c>
      <c r="TE3" s="14" t="s">
        <v>15</v>
      </c>
      <c r="TF3" s="14" t="s">
        <v>27</v>
      </c>
      <c r="TG3" s="6"/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13" t="s">
        <v>13</v>
      </c>
      <c r="TV3" s="13" t="s">
        <v>14</v>
      </c>
      <c r="TW3" s="13" t="s">
        <v>8</v>
      </c>
      <c r="TX3" s="13" t="s">
        <v>15</v>
      </c>
      <c r="TY3" s="13" t="s">
        <v>27</v>
      </c>
      <c r="TZ3" s="13" t="s">
        <v>13</v>
      </c>
      <c r="UA3" s="13" t="s">
        <v>14</v>
      </c>
      <c r="UB3" s="13" t="s">
        <v>8</v>
      </c>
      <c r="UC3" s="13" t="s">
        <v>15</v>
      </c>
      <c r="UD3" s="13" t="s">
        <v>27</v>
      </c>
      <c r="UE3" s="13" t="s">
        <v>13</v>
      </c>
      <c r="UF3" s="13" t="s">
        <v>14</v>
      </c>
      <c r="UG3" s="13" t="s">
        <v>8</v>
      </c>
      <c r="UH3" s="13" t="s">
        <v>15</v>
      </c>
      <c r="UI3" s="13" t="s">
        <v>27</v>
      </c>
      <c r="UJ3" s="13" t="s">
        <v>13</v>
      </c>
      <c r="UK3" s="13" t="s">
        <v>14</v>
      </c>
      <c r="UL3" s="13" t="s">
        <v>8</v>
      </c>
      <c r="UM3" s="13" t="s">
        <v>15</v>
      </c>
      <c r="UN3" s="13" t="s">
        <v>27</v>
      </c>
      <c r="UO3" s="7"/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14" t="s">
        <v>13</v>
      </c>
      <c r="VD3" s="14" t="s">
        <v>14</v>
      </c>
      <c r="VE3" s="14" t="s">
        <v>8</v>
      </c>
      <c r="VF3" s="14" t="s">
        <v>15</v>
      </c>
      <c r="VG3" s="14" t="s">
        <v>27</v>
      </c>
      <c r="VH3" s="14" t="s">
        <v>13</v>
      </c>
      <c r="VI3" s="14" t="s">
        <v>14</v>
      </c>
      <c r="VJ3" s="14" t="s">
        <v>8</v>
      </c>
      <c r="VK3" s="14" t="s">
        <v>15</v>
      </c>
      <c r="VL3" s="14" t="s">
        <v>27</v>
      </c>
      <c r="VM3" s="14" t="s">
        <v>13</v>
      </c>
      <c r="VN3" s="14" t="s">
        <v>14</v>
      </c>
      <c r="VO3" s="14" t="s">
        <v>8</v>
      </c>
      <c r="VP3" s="14" t="s">
        <v>15</v>
      </c>
      <c r="VQ3" s="14" t="s">
        <v>27</v>
      </c>
      <c r="VR3" s="14" t="s">
        <v>13</v>
      </c>
      <c r="VS3" s="14" t="s">
        <v>14</v>
      </c>
      <c r="VT3" s="14" t="s">
        <v>8</v>
      </c>
      <c r="VU3" s="14" t="s">
        <v>15</v>
      </c>
      <c r="VV3" s="14" t="s">
        <v>27</v>
      </c>
      <c r="VW3" s="6"/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</row>
    <row r="4" spans="1:608" x14ac:dyDescent="0.2">
      <c r="A4" s="4" cm="1">
        <f t="array" ref="A4">IF(AND(H4&lt;&gt;"",H4&lt;&gt;"No DD"),SUMPRODUCT((H$4:H$12&lt;&gt;"")*(H$4:H$12&lt;&gt;"No DD")*(E$4:E$12&gt;E4))+1,IF(H4="No DD",SUMPRODUCT((H$4:H$12="No DD")*(E$4:E$12&gt;E4))+1+SUMPRODUCT((H$4:H$12&lt;&gt;"")*(H$4:H$12&lt;&gt;"No DD")),""))</f>
        <v>1</v>
      </c>
      <c r="B4" s="5" t="s">
        <v>136</v>
      </c>
      <c r="C4" s="4" t="s">
        <v>6</v>
      </c>
      <c r="D4" s="4" t="s">
        <v>135</v>
      </c>
      <c r="E4" s="9">
        <f t="shared" ref="E4:E11" si="0">J4+L4+N4+(J4+L4)*0.0000001+MAX(J4,L4)*0.0000000000001</f>
        <v>92.640009264004732</v>
      </c>
      <c r="F4" s="3" t="str">
        <f t="shared" ref="F4:F11" si="1">IF(OR(AND(AG4&gt;=AQ$14,AG4&lt;&gt;"",AI4&gt;=AQ$18,AI4&lt;&gt;"",AF4=""),AND(AJ4&gt;=AQ$14,AJ4&lt;&gt;"",AL4&gt;=AQ$18,AL4&lt;&gt;"",AF4=""),AND(AN4&gt;=AQ$14,AN4&lt;&gt;"",AP4&gt;=AQ$18,AP4&lt;&gt;"",AF4=""),AND(BH4&gt;=BR$14,BH4&lt;&gt;"",BJ4&gt;=BR$18,BJ4&lt;&gt;"",BG4=""),AND(BK4&gt;=BR$14,BK4&lt;&gt;"",BM4&gt;=BR$18,BM4&lt;&gt;"",BG4=""),AND(BO4&gt;=BR$14,BO4&lt;&gt;"",BQ4&gt;=BR$18,BQ4&lt;&gt;"",BG4=""),AND(CI4&gt;=CS$14,CI4&lt;&gt;"",CK4&gt;=CS$18,CK4&lt;&gt;"",CH4=""),AND(CL4&gt;=CS$14,CL4&lt;&gt;"",CN4&gt;=CS$18,CN4&lt;&gt;"",CH4=""),AND(CP4&gt;=CS$14,CP4&lt;&gt;"",CR4&gt;=CS$18,CR4&lt;&gt;"",CH4=""),AND(DO4&gt;=EB$14,DO4&lt;&gt;"",DQ4&gt;=EB$18,DQ4&lt;&gt;""),AND(DR4&gt;=EB$14,DR4&lt;&gt;"",DT4&gt;=EB$18,DT4&lt;&gt;""),AND(DV4&gt;=EB$14,DV4&lt;&gt;"",DX4&gt;=EB$18,DX4&lt;&gt;""),AND(DY4&gt;=EB$14,DY4&lt;&gt;"",EA4&gt;=EB$18,EA4&lt;&gt;""),AND(EW4&gt;=FJ$14,EW4&lt;&gt;"",EY4&gt;=FJ$18,EY4&lt;&gt;""),AND(EZ4&gt;=FJ$14,EZ4&lt;&gt;"",FB4&gt;=FJ$18,FB4&lt;&gt;""),AND(FD4&gt;=FJ$14,FD4&lt;&gt;"",FF4&gt;=FJ$18,FF4&lt;&gt;""),AND(FG4&gt;=FJ$14,FG4&lt;&gt;"",FI4&gt;=FJ$18,FI4&lt;&gt;""),AND(GE4&gt;=GR$14,GE4&lt;&gt;"",GG4&gt;=GR$18,GG4&lt;&gt;""),AND(GH4&gt;=GR$14,GH4&lt;&gt;"",GJ4&gt;=GR$18,GJ4&lt;&gt;""),AND(GL4&gt;=GR$14,GL4&lt;&gt;"",GN4&gt;=GR$18,GN4&lt;&gt;""),AND(GO4&gt;=GR$14,GO4&lt;&gt;"",GQ4&gt;=GR$18,GQ4&lt;&gt;""),AND(HM4&gt;=HZ$14,HM4&lt;&gt;"",HO4&gt;=HZ$18,HO4&lt;&gt;""),AND(HP4&gt;=HZ$14,HP4&lt;&gt;"",HR4&gt;=HZ$18,HR4&lt;&gt;""),AND(HT4&gt;=HZ$14,HT4&lt;&gt;"",HV4&gt;=HZ$18,HV4&lt;&gt;""),AND(HW4&gt;=HZ$14,HW4&lt;&gt;"",HY4&gt;=HZ$18,HY4&lt;&gt;""),AND(IU4&gt;=JH$14,IU4&lt;&gt;"",IW4&gt;=JH$18,IW4&lt;&gt;""),AND(IX4&gt;=JH$14,IX4&lt;&gt;"",IZ4&gt;=JH$18,IZ4&lt;&gt;""),AND(JB4&gt;=JH$14,JB4&lt;&gt;"",JD4&gt;=JH$18,JD4&lt;&gt;""),AND(JE4&gt;=JH$14,JE4&lt;&gt;"",JG4&gt;=JH$18,JG4&lt;&gt;""),AND(KC4&gt;=KP$14,KC4&lt;&gt;"",KE4&gt;=KP$18,KE4&lt;&gt;""),AND(KF4&gt;=KP$14,KF4&lt;&gt;"",KH4&gt;=KP$18,KH4&lt;&gt;""),AND(KJ4&gt;=KP$14,KJ4&lt;&gt;"",KL4&gt;=KP$18,KL4&lt;&gt;""),AND(KM4&gt;=KP$14,KM4&lt;&gt;"",KO4&gt;=KP$18,KO4&lt;&gt;""),AND(LK4&gt;=LX$14,LK4&lt;&gt;"",LM4&gt;=LX$18,LM4&lt;&gt;""),AND(LN4&gt;=LX$14,LN4&lt;&gt;"",LP4&gt;=LX$18,LP4&lt;&gt;""),AND(LR4&gt;=LX$14,LR4&lt;&gt;"",LT4&gt;=LX$18,LT4&lt;&gt;""),AND(LU4&gt;=LX$14,LU4&lt;&gt;"",LW4&gt;=LX$18,LW4&lt;&gt;""),AND(MS4&gt;=NF$14,MS4&lt;&gt;"",MU4&gt;=NF$18,MU4&lt;&gt;""),AND(MV4&gt;=NF$14,MV4&lt;&gt;"",MX4&gt;=NF$18,MX4&lt;&gt;""),AND(MZ4&gt;=NF$14,MZ4&lt;&gt;"",NB4&gt;=NF$18,NB4&lt;&gt;""),AND(NC4&gt;=NF$14,NC4&lt;&gt;"",NE4&gt;=NF$18,NE4&lt;&gt;""),AND(OA4&gt;=ON$14,OA4&lt;&gt;"",OC4&gt;=ON$18,OC4&lt;&gt;""),AND(OD4&gt;=ON$14,OD4&lt;&gt;"",OF4&gt;=ON$18,OF4&lt;&gt;""),AND(OH4&gt;=ON$14,OH4&lt;&gt;"",OJ4&gt;=ON$18,OJ4&lt;&gt;""),AND(OK4&gt;=ON$14,OK4&lt;&gt;"",OM4&gt;=ON$18,OM4&lt;&gt;""),AND(PI4&gt;=PV$14,PI4&lt;&gt;"",PK4&gt;=PV$18,PK4&lt;&gt;""),AND(PL4&gt;=PV$14,PL4&lt;&gt;"",PN4&gt;=PV$18,PN4&lt;&gt;""),AND(PP4&gt;=PV$14,PP4&lt;&gt;"",PR4&gt;=PV$18,PR4&lt;&gt;""),AND(PS4&gt;=PV$14,PS4&lt;&gt;"",PU4&gt;=PV$18,PU4&lt;&gt;""),AND(QQ4&gt;=RD$14,QQ4&lt;&gt;"",QS4&gt;=RD$18,QS4&lt;&gt;""),AND(QT4&gt;=RD$14,QT4&lt;&gt;"",QV4&gt;=RD$18,QV4&lt;&gt;""),AND(QX4&gt;=RD$14,QX4&lt;&gt;"",QZ4&gt;=RD$18,QZ4&lt;&gt;""),AND(RA4&gt;=RD$14,RA4&lt;&gt;"",RC4&gt;=RD$18,RC4&lt;&gt;""),AND(RY4&gt;=SL$14,RY4&lt;&gt;"",SA4&gt;=SL$18,SA4&lt;&gt;""),AND(SB4&gt;=SL$14,SB4&lt;&gt;"",SD4&gt;=SL$18,SD4&lt;&gt;""),AND(SF4&gt;=SL$14,SF4&lt;&gt;"",SH4&gt;=SL$18,SH4&lt;&gt;""),AND(SI4&gt;=SL$14,SI4&lt;&gt;"",SK4&gt;=SL$18,SK4&lt;&gt;""),AND(TG4&gt;=TT$14,TG4&lt;&gt;"",TI4&gt;=TT$18,TI4&lt;&gt;""),AND(TJ4&gt;=TT$14,TJ4&lt;&gt;"",TL4&gt;=TT$18,TL4&lt;&gt;""),AND(TN4&gt;=TT$14,TN4&lt;&gt;"",TP4&gt;=TT$18,TXN4&lt;&gt;""),AND(TQ4&gt;=TT$14,TQ4&lt;&gt;"",TS4&gt;=TT$18,TS4&lt;&gt;""),AND(UO4&gt;=VB$14,UO4&lt;&gt;"",UQ4&gt;=VB$18,UQ4&lt;&gt;""),AND(UR4&gt;=VB$14,UR4&lt;&gt;"",UT4&gt;=VB$18,UT4&lt;&gt;""),AND(UV4&gt;=VB$14,UV4&lt;&gt;"",UX4&gt;=VB$18,UX4&lt;&gt;""),AND(UY4&gt;=VB$14,UY4&lt;&gt;"",VA4&gt;=VB$18,VA4&lt;&gt;""),AND(VW4&gt;=WJ$14,VW4&lt;&gt;"",VY4&gt;=WJ$18,VY4&lt;&gt;""),AND(VZ4&gt;=WJ$14,VZ4&lt;&gt;"",WB4&gt;=WJ$18,WB4&lt;&gt;""),AND(WD4&gt;=WJ$14,WD4&lt;&gt;"",WF4&gt;=WJ$18,WF4&lt;&gt;""),AND(WG4&gt;=WJ$14,WG4&lt;&gt;"",WI4&gt;=WJ$18,WI4&lt;&gt;"")),"P","")</f>
        <v>P</v>
      </c>
      <c r="G4" s="3" t="str">
        <f t="shared" ref="G4:G11" si="2">IF(OR(AND(AI4&gt;=AQ$18,AI4&lt;&gt;"",AF4=""),AND(AL4&gt;=AQ$18,AL4&lt;&gt;"",AF4=""),AND(AP4&gt;=AQ$18,AP4&lt;&gt;"",AF4=""),AND(BJ4&gt;=BR$18,BJ4&lt;&gt;"",BG4=""),AND(BM4&gt;=BR$18,BM4&lt;&gt;"",BG4=""),AND(BQ4&gt;=BR$18,BQ4&lt;&gt;"",BG4=""),AND(CK4&gt;=CS$18,CK4&lt;&gt;"",CH4=""),AND(CN4&gt;=CS$18,CN4&lt;&gt;"",CH4=""),AND(CR4&gt;=CS$18,CR4&lt;&gt;"",CH4=""),AND(DQ4&gt;=EB$18,DQ4&lt;&gt;""),AND(DT4&gt;=EB$18,DT4&lt;&gt;""),AND(DX4&gt;=EB$18,DX4&lt;&gt;""),AND(EA4&gt;=EB$18,EA4&lt;&gt;""),AND(EY4&gt;=FJ$18,EY4&lt;&gt;""),AND(FB4&gt;=FJ$18,FB4&lt;&gt;""),AND(FF4&gt;=FJ$18,FF4&lt;&gt;""),AND(FI4&gt;=FJ$18,FI4&lt;&gt;""),AND(GG4&gt;=GR$18,GG4&lt;&gt;""),AND(GJ4&gt;=GR$18,GJ4&lt;&gt;""),AND(GN4&gt;=GR$18,GN4&lt;&gt;""),AND(GQ4&gt;=GR$18,GQ4&lt;&gt;""),AND(HO4&gt;=HZ$18,HO4&lt;&gt;""),AND(HR4&gt;=HZ$18,HR4&lt;&gt;""),AND(HV4&gt;=HZ$18,HV4&lt;&gt;""),AND(HY4&gt;=HZ$18,HY4&lt;&gt;""),AND(IW4&gt;=JH$18,IW4&lt;&gt;""),AND(IZ4&gt;=JH$18,IZ4&lt;&gt;""),AND(JD4&gt;=JH$18,JD4&lt;&gt;""),AND(JG4&gt;=JH$18,JG4&lt;&gt;""),AND(KE4&gt;=KP$18,KE4&lt;&gt;""),AND(KH4&gt;=KP$18,KH4&lt;&gt;""),AND(KL4&gt;=KP$18,KL4&lt;&gt;""),AND(KO4&gt;=KP$18,KO4&lt;&gt;""),AND(LM4&gt;=LX$18,LM4&lt;&gt;""),AND(LP4&gt;=LX$18,LP4&lt;&gt;""),AND(LT4&gt;=LX$18,LT4&lt;&gt;""),AND(LW4&gt;=LX$18,LW4&lt;&gt;""),AND(MU4&gt;=NF$18,MU4&lt;&gt;""),AND(MX4&gt;=NF$18,MX4&lt;&gt;""),AND(NB4&gt;=NF$18,NB4&lt;&gt;""),AND(NE4&gt;=NF$18,NE4&lt;&gt;""),AND(OC4&gt;=ON$18,OC4&lt;&gt;""),AND(OF4&gt;=ON$18,OF4&lt;&gt;""),AND(OJ4&gt;=ON$18,OJ4&lt;&gt;""),AND(OM4&gt;=ON$18,OM4&lt;&gt;""),AND(PK4&gt;=PV$18,PK4&lt;&gt;""),AND(PN4&gt;=PV$18,PN4&lt;&gt;""),AND(PR4&gt;=PV$18,PR4&lt;&gt;""),AND(PU4&gt;=PV$18,PU4&lt;&gt;""),AND(QS4&gt;=RD$18,QS4&lt;&gt;""),AND(QV4&gt;=RD$18,QV4&lt;&gt;""),AND(QZ4&gt;=RD$18,QZ4&lt;&gt;""),AND(RC4&gt;=RD$18,RC4&lt;&gt;""),AND(SA4&gt;=SL$18,SA4&lt;&gt;""),AND(SD4&gt;=SL$18,SD4&lt;&gt;""),AND(SH4&gt;=SL$18,SH4&lt;&gt;""),AND(SK4&gt;=SL$18,SK4&lt;&gt;""),AND(TI4&gt;=TT$18,TI4&lt;&gt;""),AND(TL4&gt;=TT$18,TL4&lt;&gt;""),AND(TP4&gt;=TT$18,TXN4&lt;&gt;""),AND(TS4&gt;=TT$18,TS4&lt;&gt;""),AND(UQ4&gt;=VB$18,UQ4&lt;&gt;""),AND(UT4&gt;=VB$18,UT4&lt;&gt;""),AND(UX4&gt;=VB$18,UX4&lt;&gt;""),AND(VA4&gt;=VB$18,VA4&lt;&gt;""),AND(VY4&gt;=WJ$18,VY4&lt;&gt;""),AND(WB4&gt;=WJ$18,WB4&lt;&gt;""),AND(WF4&gt;=WJ$18,WF4&lt;&gt;""),AND(WI4&gt;=WJ$18,WI4&lt;&gt;"")),"P","")</f>
        <v>P</v>
      </c>
      <c r="H4" s="32" t="str">
        <f t="shared" ref="H4:H11" si="3">IF(AND(G4="P",F4=""),"No DD",IF(OR(AND(AG4&gt;=AQ$17,AG4&lt;&gt;"",AI4&gt;=AQ$21,AI4&lt;&gt;"",AF4=""),AND(AJ4&gt;=AQ$17,AJ4&lt;&gt;"",AL4&gt;=AQ$21,AL4&lt;&gt;"",AF4=""),AND(AN4&gt;=AQ$17,AN4&lt;&gt;"",AP4&gt;=AQ$21,AP4&lt;&gt;"",AF4=""),AND(BH4&gt;=BR$17,BH4&lt;&gt;"",BJ4&gt;=BR$21,BJ4&lt;&gt;"",BG4=""),AND(BK4&gt;=BR$17,BK4&lt;&gt;"",BM4&gt;=BR$21,BM4&lt;&gt;"",BG4=""),AND(BO4&gt;=BR$17,BO4&lt;&gt;"",BQ4&gt;=BR$21,BQ4&lt;&gt;"",BG4=""),AND(CI4&gt;=CS$17,CI4&lt;&gt;"",CK4&gt;=CS$21,CK4&lt;&gt;"",CH4=""),AND(CL4&gt;=CS$17,CL4&lt;&gt;"",CN4&gt;=CS$21,CN4&lt;&gt;"",CH4=""),AND(CP4&gt;=CS$17,CP4&lt;&gt;"",CR4&gt;=CS$21,CR4&lt;&gt;"",CH4=""),AND(DO4&gt;=EB$17,DO4&lt;&gt;"",DQ4&gt;=EB$21,DQ4&lt;&gt;""),AND(DR4&gt;=EB$17,DR4&lt;&gt;"",DT4&gt;=EB$21,DT4&lt;&gt;""),AND(DV4&gt;=EB$17,DV4&lt;&gt;"",DX4&gt;=EB$21,DX4&lt;&gt;""),AND(DY4&gt;=EB$17,DY4&lt;&gt;"",EA4&gt;=EB$21,EA4&lt;&gt;""),AND(EW4&gt;=FJ$17,EW4&lt;&gt;"",EY4&gt;=FJ$21,EY4&lt;&gt;""),AND(EZ4&gt;=FJ$17,EZ4&lt;&gt;"",FB4&gt;=FJ$21,FB4&lt;&gt;""),AND(FD4&gt;=FJ$17,FD4&lt;&gt;"",FF4&gt;=FJ$21,FF4&lt;&gt;""),AND(FG4&gt;=FJ$17,FG4&lt;&gt;"",FI4&gt;=FJ$21,FI4&lt;&gt;""),AND(GE4&gt;=GR$17,GE4&lt;&gt;"",GG4&gt;=GR$21,GG4&lt;&gt;""),AND(GH4&gt;=GR$17,GH4&lt;&gt;"",GJ4&gt;=GR$21,GJ4&lt;&gt;""),AND(GL4&gt;=GR$17,GL4&lt;&gt;"",GN4&gt;=GR$21,GN4&lt;&gt;""),AND(GO4&gt;=GR$17,GO4&lt;&gt;"",GQ4&gt;=GR$21,GQ4&lt;&gt;""),AND(HM4&gt;=HZ$17,HM4&lt;&gt;"",HO4&gt;=HZ$21,HO4&lt;&gt;""),AND(HP4&gt;=HZ$17,HP4&lt;&gt;"",HR4&gt;=HZ$21,HR4&lt;&gt;""),AND(HT4&gt;=HZ$17,HT4&lt;&gt;"",HV4&gt;=HZ$21,HV4&lt;&gt;""),AND(HW4&gt;=HZ$17,HW4&lt;&gt;"",HY4&gt;=HZ$21,HY4&lt;&gt;""),AND(IU4&gt;=JH$17,IU4&lt;&gt;"",IW4&gt;=JH$21,IW4&lt;&gt;""),AND(IX4&gt;=JH$17,IX4&lt;&gt;"",IZ4&gt;=JH$21,IZ4&lt;&gt;""),AND(JB4&gt;=JH$17,JB4&lt;&gt;"",JD4&gt;=JH$21,JD4&lt;&gt;""),AND(JE4&gt;=JH$17,JE4&lt;&gt;"",JG4&gt;=JH$21,JG4&lt;&gt;""),AND(KC4&gt;=KP$17,KC4&lt;&gt;"",KE4&gt;=KP$21,KE4&lt;&gt;""),AND(KF4&gt;=KP$17,KF4&lt;&gt;"",KH4&gt;=KP$21,KH4&lt;&gt;""),AND(KJ4&gt;=KP$17,KJ4&lt;&gt;"",KL4&gt;=KP$21,KL4&lt;&gt;""),AND(KM4&gt;=KP$17,KM4&lt;&gt;"",KO4&gt;=KP$21,KO4&lt;&gt;""),AND(LK4&gt;=LX$17,LK4&lt;&gt;"",LM4&gt;=LX$21,LM4&lt;&gt;""),AND(LN4&gt;=LX$17,LN4&lt;&gt;"",LP4&gt;=LX$21,LP4&lt;&gt;""),AND(LR4&gt;=LX$17,LR4&lt;&gt;"",LT4&gt;=LX$21,LT4&lt;&gt;""),AND(LU4&gt;=LX$17,LU4&lt;&gt;"",LW4&gt;=LX$21,LW4&lt;&gt;""),AND(MS4&gt;=NF$17,MS4&lt;&gt;"",MU4&gt;=NF$21,MU4&lt;&gt;""),AND(MV4&gt;=NF$17,MV4&lt;&gt;"",MX4&gt;=NF$21,MX4&lt;&gt;""),AND(MZ4&gt;=NF$17,MZ4&lt;&gt;"",NB4&gt;=NF$21,NB4&lt;&gt;""),AND(NC4&gt;=NF$17,NC4&lt;&gt;"",NE4&gt;=NF$21,NE4&lt;&gt;""),AND(OA4&gt;=ON$17,OA4&lt;&gt;"",OC4&gt;=ON$21,OC4&lt;&gt;""),AND(OD4&gt;=ON$17,OD4&lt;&gt;"",OF4&gt;=ON$21,OF4&lt;&gt;""),AND(OH4&gt;=ON$17,OH4&lt;&gt;"",OJ4&gt;=ON$21,OJ4&lt;&gt;""),AND(OK4&gt;=ON$17,OK4&lt;&gt;"",OM4&gt;=ON$21,OM4&lt;&gt;""),AND(PI4&gt;=PV$17,PI4&lt;&gt;"",PK4&gt;=PV$21,PK4&lt;&gt;""),AND(PL4&gt;=PV$17,PL4&lt;&gt;"",PN4&gt;=PV$21,PN4&lt;&gt;""),AND(PP4&gt;=PV$17,PP4&lt;&gt;"",PR4&gt;=PV$21,PR4&lt;&gt;""),AND(PS4&gt;=PV$17,PS4&lt;&gt;"",PU4&gt;=PV$21,PU4&lt;&gt;""),AND(QQ4&gt;=RD$17,QQ4&lt;&gt;"",QS4&gt;=RD$21,QS4&lt;&gt;""),AND(QT4&gt;=RD$17,QT4&lt;&gt;"",QV4&gt;=RD$21,QV4&lt;&gt;""),AND(QX4&gt;=RD$17,QX4&lt;&gt;"",QZ4&gt;=RD$21,QZ4&lt;&gt;""),AND(RA4&gt;=RD$17,RA4&lt;&gt;"",RC4&gt;=RD$21,RC4&lt;&gt;""),AND(RY4&gt;=SL$17,RY4&lt;&gt;"",SA4&gt;=SL$21,SA4&lt;&gt;""),AND(SB4&gt;=SL$17,SB4&lt;&gt;"",SD4&gt;=SL$21,SD4&lt;&gt;""),AND(SF4&gt;=SL$17,SF4&lt;&gt;"",SH4&gt;=SL$21,SH4&lt;&gt;""),AND(SI4&gt;=SL$17,SI4&lt;&gt;"",SK4&gt;=SL$21,SK4&lt;&gt;""),AND(TG4&gt;=TT$17,TG4&lt;&gt;"",TI4&gt;=TT$21,TI4&lt;&gt;""),AND(TJ4&gt;=TT$17,TJ4&lt;&gt;"",TL4&gt;=TT$21,TL4&lt;&gt;""),AND(TN4&gt;=TT$17,TN4&lt;&gt;"",TP4&gt;=TT$341,TXN4&lt;&gt;""),AND(TQ4&gt;=TT$17,TQ4&lt;&gt;"",TS4&gt;=TT$21,TS4&lt;&gt;""),AND(UO4&gt;=VB$17,UO4&lt;&gt;"",UQ4&gt;=VB$21,UQ4&lt;&gt;""),AND(UR4&gt;=VB$17,UR4&lt;&gt;"",UT4&gt;=VB$21,UT4&lt;&gt;""),AND(UV4&gt;=VB$17,UV4&lt;&gt;"",UX4&gt;=VB$21,UX4&lt;&gt;""),AND(UY4&gt;=VB$17,UY4&lt;&gt;"",VA4&gt;=VB$21,VA4&lt;&gt;""),AND(VW4&gt;=WJ$17,VW4&lt;&gt;"",VY4&gt;=WJ$21,VY4&lt;&gt;""),AND(VZ4&gt;=WJ$17,VZ4&lt;&gt;"",WB4&gt;=WJ$21,WB4&lt;&gt;""),AND(WD4&gt;=WJ$17,WD4&lt;&gt;"",WF4&gt;=WJ$21,WF4&lt;&gt;""),AND(WG4&gt;=WJ$17,WG4&lt;&gt;"",WI4&gt;=WJ$21,WI4&lt;&gt;"")),"Merit",IF(OR(AND(AG4&gt;=AQ$16,AG4&lt;&gt;"",AI4&gt;=AQ$20,AI4&lt;&gt;"",AF4=""),AND(AJ4&gt;=AQ$16,AJ4&lt;&gt;"",AL4&gt;=AQ$20,AL4&lt;&gt;"",AF4=""),AND(AN4&gt;=AQ$16,AN4&lt;&gt;"",AP4&gt;=AQ$20,AP4&lt;&gt;"",AF4=""),AND(BH4&gt;=BR$16,BH4&lt;&gt;"",BJ4&gt;=BR$20,BJ4&lt;&gt;"",BG4=""),AND(BK4&gt;=BR$16,BK4&lt;&gt;"",BM4&gt;=BR$20,BM4&lt;&gt;"",BG4=""),AND(BO4&gt;=BR$16,BO4&lt;&gt;"",BQ4&gt;=BR$20,BQ4&lt;&gt;"",BG4=""),AND(CI4&gt;=CS$16,CI4&lt;&gt;"",CK4&gt;=CS$20,CK4&lt;&gt;"",CH4=""),AND(CL4&gt;=CS$16,CL4&lt;&gt;"",CN4&gt;=CS$20,CN4&lt;&gt;"",CH4=""),AND(CP4&gt;=CS$16,CP4&lt;&gt;"",CR4&gt;=CS$20,CR4&lt;&gt;"",CH4=""),AND(DO4&gt;=EB$16,DO4&lt;&gt;"",DQ4&gt;=EB$20,DQ4&lt;&gt;""),AND(DR4&gt;=EB$16,DR4&lt;&gt;"",DT4&gt;=EB$20,DT4&lt;&gt;""),AND(DV4&gt;=EB$16,DV4&lt;&gt;"",DX4&gt;=EB$20,DX4&lt;&gt;""),AND(DY4&gt;=EB$16,DY4&lt;&gt;"",EA4&gt;=EB$20,EA4&lt;&gt;""),AND(EW4&gt;=FJ$16,EW4&lt;&gt;"",EY4&gt;=FJ$20,EY4&lt;&gt;""),AND(EZ4&gt;=FJ$16,EZ4&lt;&gt;"",FB4&gt;=FJ$20,FB4&lt;&gt;""),AND(FD4&gt;=FJ$16,FD4&lt;&gt;"",FF4&gt;=FJ$20,FF4&lt;&gt;""),AND(FG4&gt;=FJ$16,FG4&lt;&gt;"",FI4&gt;=FJ$20,FI4&lt;&gt;""),AND(GE4&gt;=GR$16,GE4&lt;&gt;"",GG4&gt;=GR$20,GG4&lt;&gt;""),AND(GH4&gt;=GR$16,GH4&lt;&gt;"",GJ4&gt;=GR$20,GJ4&lt;&gt;""),AND(GL4&gt;=GR$16,GL4&lt;&gt;"",GN4&gt;=GR$20,GN4&lt;&gt;""),AND(GO4&gt;=GR$16,GO4&lt;&gt;"",GQ4&gt;=GR$20,GQ4&lt;&gt;""),AND(HM4&gt;=HZ$16,HM4&lt;&gt;"",HO4&gt;=HZ$20,HO4&lt;&gt;""),AND(HP4&gt;=HZ$16,HP4&lt;&gt;"",HR4&gt;=HZ$20,HR4&lt;&gt;""),AND(HT4&gt;=HZ$16,HT4&lt;&gt;"",HV4&gt;=HZ$20,HV4&lt;&gt;""),AND(HW4&gt;=HZ$16,HW4&lt;&gt;"",HY4&gt;=HZ$20,HY4&lt;&gt;""),AND(IU4&gt;=JH$16,IU4&lt;&gt;"",IW4&gt;=JH$20,IW4&lt;&gt;""),AND(IX4&gt;=JH$16,IX4&lt;&gt;"",IZ4&gt;=JH$20,IZ4&lt;&gt;""),AND(JB4&gt;=JH$16,JB4&lt;&gt;"",JD4&gt;=JH$20,JD4&lt;&gt;""),AND(JE4&gt;=JH$16,JE4&lt;&gt;"",JG4&gt;=JH$20,JG4&lt;&gt;""),AND(KC4&gt;=KP$16,KC4&lt;&gt;"",KE4&gt;=KP$20,KE4&lt;&gt;""),AND(KF4&gt;=KP$16,KF4&lt;&gt;"",KH4&gt;=KP$20,KH4&lt;&gt;""),AND(KJ4&gt;=KP$16,KJ4&lt;&gt;"",KL4&gt;=KP$20,KL4&lt;&gt;""),AND(KM4&gt;=KP$16,KM4&lt;&gt;"",KO4&gt;=KP$20,KO4&lt;&gt;""),AND(LK4&gt;=LX$16,LK4&lt;&gt;"",LM4&gt;=LX$20,LM4&lt;&gt;""),AND(LN4&gt;=LX$16,LN4&lt;&gt;"",LP4&gt;=LX$20,LP4&lt;&gt;""),AND(LR4&gt;=LX$16,LR4&lt;&gt;"",LT4&gt;=LX$20,LT4&lt;&gt;""),AND(LU4&gt;=LX$16,LU4&lt;&gt;"",LW4&gt;=LX$20,LW4&lt;&gt;""),AND(MS4&gt;=NF$16,MS4&lt;&gt;"",MU4&gt;=NF$20,MU4&lt;&gt;""),AND(MV4&gt;=NF$16,MV4&lt;&gt;"",MX4&gt;=NF$20,MX4&lt;&gt;""),AND(MZ4&gt;=NF$16,MZ4&lt;&gt;"",NB4&gt;=NF$20,NB4&lt;&gt;""),AND(NC4&gt;=NF$16,NC4&lt;&gt;"",NE4&gt;=NF$20,NE4&lt;&gt;""),AND(OA4&gt;=ON$16,OA4&lt;&gt;"",OC4&gt;=ON$20,OC4&lt;&gt;""),AND(OD4&gt;=ON$16,OD4&lt;&gt;"",OF4&gt;=ON$20,OF4&lt;&gt;""),AND(OH4&gt;=ON$16,OH4&lt;&gt;"",OJ4&gt;=ON$20,OJ4&lt;&gt;""),AND(OK4&gt;=ON$16,OK4&lt;&gt;"",OM4&gt;=ON$20,OM4&lt;&gt;""),AND(PI4&gt;=PV$16,PI4&lt;&gt;"",PK4&gt;=PV$20,PK4&lt;&gt;""),AND(PL4&gt;=PV$16,PL4&lt;&gt;"",PN4&gt;=PV$20,PN4&lt;&gt;""),AND(PP4&gt;=PV$16,PP4&lt;&gt;"",PR4&gt;=PV$20,PR4&lt;&gt;""),AND(PS4&gt;=PV$16,PS4&lt;&gt;"",PU4&gt;=PV$20,PU4&lt;&gt;""),AND(QQ4&gt;=RD$16,QQ4&lt;&gt;"",QS4&gt;=RD$20,QS4&lt;&gt;""),AND(QT4&gt;=RD$16,QT4&lt;&gt;"",QV4&gt;=RD$20,QV4&lt;&gt;""),AND(QX4&gt;=RD$16,QX4&lt;&gt;"",QZ4&gt;=RD$20,QZ4&lt;&gt;""),AND(RA4&gt;=RD$16,RA4&lt;&gt;"",RC4&gt;=RD$20,RC4&lt;&gt;""),AND(RY4&gt;=SL$16,RY4&lt;&gt;"",SA4&gt;=SL$20,SA4&lt;&gt;""),AND(SB4&gt;=SL$16,SB4&lt;&gt;"",SD4&gt;=SL$20,SD4&lt;&gt;""),AND(SF4&gt;=SL$16,SF4&lt;&gt;"",SH4&gt;=SL$20,SH4&lt;&gt;""),AND(SI4&gt;=SL$16,SI4&lt;&gt;"",SK4&gt;=SL$20,SK4&lt;&gt;""),AND(TG4&gt;=TT$16,TG4&lt;&gt;"",TI4&gt;=TT$20,TI4&lt;&gt;""),AND(TJ4&gt;=TT$16,TJ4&lt;&gt;"",TL4&gt;=TT$20,TL4&lt;&gt;""),AND(TN4&gt;=TT$16,TN4&lt;&gt;"",TP4&gt;=TT$20,TXN4&lt;&gt;""),AND(TQ4&gt;=TT$16,TQ4&lt;&gt;"",TS4&gt;=TT$20,TS4&lt;&gt;""),AND(UO4&gt;=VB$16,UO4&lt;&gt;"",UQ4&gt;=VB$20,UQ4&lt;&gt;""),AND(UR4&gt;=VB$16,UR4&lt;&gt;"",UT4&gt;=VB$20,UT4&lt;&gt;""),AND(UV4&gt;=VB$16,UV4&lt;&gt;"",UX4&gt;=VB$20,UX4&lt;&gt;""),AND(UY4&gt;=VB$16,UY4&lt;&gt;"",VA4&gt;=VB$20,VA4&lt;&gt;""),AND(VW4&gt;=WJ$16,VW4&lt;&gt;"",VY4&gt;=WJ$20,VY4&lt;&gt;""),AND(VZ4&gt;=WJ$16,VZ4&lt;&gt;"",WB4&gt;=WJ$20,WB4&lt;&gt;""),AND(WD4&gt;=WJ$16,WD4&lt;&gt;"",WF4&gt;=WJ$20,WF4&lt;&gt;""),AND(WG4&gt;=WJ$16,WG4&lt;&gt;"",WI4&gt;=WJ$20,WI4&lt;&gt;"")),"Excellence",IF(I4="P","Worlds Team",IF(F4="P","National Team","")))))</f>
        <v>National Team</v>
      </c>
      <c r="I4" s="3" t="str">
        <f t="shared" ref="I4:I11" si="4">IF(OR(AND(AG4&gt;=AQ$15,AG4&lt;&gt;"",AI4&gt;=AQ$19,AI4&lt;&gt;"",AF4=""),AND(AJ4&gt;=AQ$15,AJ4&lt;&gt;"",AL4&gt;=AQ$19,AL4&lt;&gt;"",AF4=""),AND(AN4&gt;=AQ$15,AN4&lt;&gt;"",AP4&gt;=AQ$19,AP4&lt;&gt;"",AF4=""),AND(BH4&gt;=BR$15,BH4&lt;&gt;"",BJ4&gt;=BR$19,BJ4&lt;&gt;"",BG4=""),AND(BK4&gt;=BR$15,BK4&lt;&gt;"",BM4&gt;=BR$19,BM4&lt;&gt;"",BG4=""),AND(BO4&gt;=BR$15,BO4&lt;&gt;"",BQ4&gt;=BR$19,BQ4&lt;&gt;"",BG4=""),AND(CI4&gt;=CS$15,CI4&lt;&gt;"",CK4&gt;=CS$19,CK4&lt;&gt;"",CH4=""),AND(CL4&gt;=CS$15,CL4&lt;&gt;"",CN4&gt;=CS$19,CN4&lt;&gt;"",CH4=""),AND(CP4&gt;=CS$15,CP4&lt;&gt;"",CR4&gt;=CS$19,CR4&lt;&gt;"",CH4=""),AND(DO4&gt;=EB$15,DO4&lt;&gt;"",DQ4&gt;=EB$19,DQ4&lt;&gt;""),AND(DR4&gt;=EB$15,DR4&lt;&gt;"",DT4&gt;=EB$19,DT4&lt;&gt;""),AND(DV4&gt;=EB$15,DV4&lt;&gt;"",DX4&gt;=EB$19,DX4&lt;&gt;""),AND(DY4&gt;=EB$15,DY4&lt;&gt;"",EA4&gt;=EB$19,EA4&lt;&gt;""),AND(EW4&gt;=FJ$15,EW4&lt;&gt;"",EY4&gt;=FJ$19,EY4&lt;&gt;""),AND(EZ4&gt;=FJ$15,EZ4&lt;&gt;"",FB4&gt;=FJ$19,FB4&lt;&gt;""),AND(FD4&gt;=FJ$15,FD4&lt;&gt;"",FF4&gt;=FJ$19,FF4&lt;&gt;""),AND(FG4&gt;=FJ$15,FG4&lt;&gt;"",FI4&gt;=FJ$19,FI4&lt;&gt;""),AND(GE4&gt;=GR$15,GE4&lt;&gt;"",GG4&gt;=GR$19,GG4&lt;&gt;""),AND(GH4&gt;=GR$15,GH4&lt;&gt;"",GJ4&gt;=GR$19,GJ4&lt;&gt;""),AND(GL4&gt;=GR$15,GL4&lt;&gt;"",GN4&gt;=GR$19,GN4&lt;&gt;""),AND(GO4&gt;=GR$15,GO4&lt;&gt;"",GQ4&gt;=GR$19,GQ4&lt;&gt;""),AND(HM4&gt;=HZ$15,HM4&lt;&gt;"",HO4&gt;=HZ$19,HO4&lt;&gt;""),AND(HP4&gt;=HZ$15,HP4&lt;&gt;"",HR4&gt;=HZ$19,HR4&lt;&gt;""),AND(HT4&gt;=HZ$15,HT4&lt;&gt;"",HV4&gt;=HZ$19,HV4&lt;&gt;""),AND(HW4&gt;=HZ$15,HW4&lt;&gt;"",HY4&gt;=HZ$19,HY4&lt;&gt;""),AND(IU4&gt;=JH$15,IU4&lt;&gt;"",IW4&gt;=JH$19,IW4&lt;&gt;""),AND(IX4&gt;=JH$15,IX4&lt;&gt;"",IZ4&gt;=JH$19,IZ4&lt;&gt;""),AND(JB4&gt;=JH$15,JB4&lt;&gt;"",JD4&gt;=JH$19,JD4&lt;&gt;""),AND(JE4&gt;=JH$15,JE4&lt;&gt;"",JG4&gt;=JH$19,JG4&lt;&gt;""),AND(KC4&gt;=KP$15,KC4&lt;&gt;"",KE4&gt;=KP$19,KE4&lt;&gt;""),AND(KF4&gt;=KP$15,KF4&lt;&gt;"",KH4&gt;=KP$19,KH4&lt;&gt;""),AND(KJ4&gt;=KP$15,KJ4&lt;&gt;"",KL4&gt;=KP$19,KL4&lt;&gt;""),AND(KM4&gt;=KP$15,KM4&lt;&gt;"",KO4&gt;=KP$19,KO4&lt;&gt;""),AND(LK4&gt;=LX$15,LK4&lt;&gt;"",LM4&gt;=LX$19,LM4&lt;&gt;""),AND(LN4&gt;=LX$15,LN4&lt;&gt;"",LP4&gt;=LX$19,LP4&lt;&gt;""),AND(LR4&gt;=LX$15,LR4&lt;&gt;"",LT4&gt;=LX$19,LT4&lt;&gt;""),AND(LU4&gt;=LX$15,LU4&lt;&gt;"",LW4&gt;=LX$19,LW4&lt;&gt;""),AND(MS4&gt;=NF$15,MS4&lt;&gt;"",MU4&gt;=NF$19,MU4&lt;&gt;""),AND(MV4&gt;=NF$15,MV4&lt;&gt;"",MX4&gt;=NF$19,MX4&lt;&gt;""),AND(MZ4&gt;=NF$15,MZ4&lt;&gt;"",NB4&gt;=NF$19,NB4&lt;&gt;""),AND(NC4&gt;=NF$15,NC4&lt;&gt;"",NE4&gt;=NF$19,NE4&lt;&gt;""),AND(OA4&gt;=ON$15,OA4&lt;&gt;"",OC4&gt;=ON$19,OC4&lt;&gt;""),AND(OD4&gt;=ON$15,OD4&lt;&gt;"",OF4&gt;=ON$19,OF4&lt;&gt;""),AND(OH4&gt;=ON$15,OH4&lt;&gt;"",OJ4&gt;=ON$19,OJ4&lt;&gt;""),AND(OK4&gt;=ON$15,OK4&lt;&gt;"",OM4&gt;=ON$19,OM4&lt;&gt;""),AND(PI4&gt;=PV$15,PI4&lt;&gt;"",PK4&gt;=PV$19,PK4&lt;&gt;""),AND(PL4&gt;=PV$15,PL4&lt;&gt;"",PN4&gt;=PV$19,PN4&lt;&gt;""),AND(PP4&gt;=PV$15,PP4&lt;&gt;"",PR4&gt;=PV$19,PR4&lt;&gt;""),AND(PS4&gt;=PV$15,PS4&lt;&gt;"",PU4&gt;=PV$19,PU4&lt;&gt;""),AND(QQ4&gt;=RD$15,QQ4&lt;&gt;"",QS4&gt;=RD$19,QS4&lt;&gt;""),AND(QT4&gt;=RD$15,QT4&lt;&gt;"",QV4&gt;=RD$19,QV4&lt;&gt;""),AND(QX4&gt;=RD$15,QX4&lt;&gt;"",QZ4&gt;=RD$19,QZ4&lt;&gt;""),AND(RA4&gt;=RD$15,RA4&lt;&gt;"",RC4&gt;=RD$19,RC4&lt;&gt;""),AND(RY4&gt;=SL$15,RY4&lt;&gt;"",SA4&gt;=SL$19,SA4&lt;&gt;""),AND(SB4&gt;=SL$15,SB4&lt;&gt;"",SD4&gt;=SL$19,SD4&lt;&gt;""),AND(SF4&gt;=SL$15,SF4&lt;&gt;"",SH4&gt;=SL$19,SH4&lt;&gt;""),AND(SI4&gt;=SL$15,SI4&lt;&gt;"",SK4&gt;=SL$19,SK4&lt;&gt;""),AND(TG4&gt;=TT$15,TG4&lt;&gt;"",TI4&gt;=TT$19,TI4&lt;&gt;""),AND(TJ4&gt;=TT$15,TJ4&lt;&gt;"",TL4&gt;=TT$19,TL4&lt;&gt;""),AND(TN4&gt;=TT$15,TN4&lt;&gt;"",TP4&gt;=TT$19,TXN4&lt;&gt;""),AND(TQ4&gt;=TT$15,TQ4&lt;&gt;"",TS4&gt;=TT$19,TS4&lt;&gt;""),AND(UO4&gt;=VB$15,UO4&lt;&gt;"",UQ4&gt;=VB$19,UQ4&lt;&gt;""),AND(UR4&gt;=VB$15,UR4&lt;&gt;"",UT4&gt;=VB$19,UT4&lt;&gt;""),AND(UV4&gt;=VB$15,UV4&lt;&gt;"",UX4&gt;=VB$19,UX4&lt;&gt;""),AND(UY4&gt;=VB$15,UY4&lt;&gt;"",VA4&gt;=VB$19,VA4&lt;&gt;""),AND(VW4&gt;=WJ$15,VW4&lt;&gt;"",VY4&gt;=WJ$19,VY4&lt;&gt;""),AND(VZ4&gt;=WJ$15,VZ4&lt;&gt;"",WB4&gt;=WJ$19,WB4&lt;&gt;""),AND(WD4&gt;=WJ$15,WD4&lt;&gt;"",WF4&gt;=WJ$19,WF4&lt;&gt;""),AND(WG4&gt;=WJ$15,WG4&lt;&gt;"",WI4&gt;=WJ$19,WI4&lt;&gt;"")),"P","")</f>
        <v/>
      </c>
      <c r="J4" s="8">
        <f t="shared" ref="J4:J11" si="5">MAX(AI4,AL4,AP4,BJ4,BM4,BQ4,CK4,CN4,CR4)</f>
        <v>47.36</v>
      </c>
      <c r="K4" s="8" t="str">
        <f t="shared" ref="K4:K11" si="6">IF(J4="","",IF(OR(J4=CK4,J4=CN4,J4=CR4),$BS$1,IF(OR(J4=BJ4,J4=BM4,J4=BQ4),$AR$1,IF(OR(J4=AI4,J4=AL4,J4=AP4),$Q$1,""))))</f>
        <v>2025 Nationals</v>
      </c>
      <c r="L4" s="8">
        <f>IFERROR(LARGE((AI4,AL4,AP4,BJ4,BM4,BQ4,CK4,CN4,CR4),2),0)</f>
        <v>45.28</v>
      </c>
      <c r="M4" s="8" t="str">
        <f t="shared" ref="M4:M11" si="7">IF(L4="","",IF(OR(L4=CK4,L4=CN4,L4=CR4),$BS$1,IF(OR(L4=BJ4,L4=BM4,L4=BQ4),$AR$1,IF(OR(L4=AI4,L4=AL4,L4=AP4),$Q$1,""))))</f>
        <v>2025 Nationals</v>
      </c>
      <c r="N4" s="8">
        <f t="shared" ref="N4:N11" si="8">IF(MAX(CT4,0)&gt;0,MAX(CT4,0),0)</f>
        <v>0</v>
      </c>
      <c r="O4" s="11" t="str">
        <f t="shared" ref="O4:O11" si="9">IF(N4=0,"",IF(N4=CT4,"("&amp;CT$2&amp;")"))</f>
        <v/>
      </c>
      <c r="P4" s="8" t="str">
        <f t="shared" ref="P4:P11" si="10">IF(N4=0,"",IF(N4+MAX(L4,0)=MAX(WC4,WF4,WI4),$VC$1,IF(N4+MAX(L4,0)=MAX(UU4,UX4,VA4),$TU$1,IF(N4+MAX(L4,0)=MAX(TM4,TP4,TS4),$SM$1,IF(N4+MAX(L4,0)=MAX(SE4,SH4,SK4),$RE$1,IF(N4+MAX(L4,0)=MAX(QW4,QZ4,RC4),$PW$1,IF(N4+MAX(L4,0)=MAX(PO4,PR4,PU4),$OO$1,IF(N4+MAX(L4,0)=MAX(OG4,OJ4,OM4),$NG$1,IF(N4+MAX(L4,0)=MAX(MY4,NB4,NE4),$LY$1,IF(N4+MAX(L4,0)=MAX(LQ4,LT4,LW4),$KQ$1,IF(N4+MAX(L4,0)=MAX(KI4,KL4,KO4),$JI$1,IF(N4+MAX(L4,0)=MAX(JA4,JD4,JG4),$IA$1,IF(N4+MAX(L4,0)=MAX(HS4,HV4,HY4),$GS$1,IF(N4+MAX(L4,0)=MAX(GK4,GN4,GQ4),$FK$1,IF(N4+MAX(L4,0)=MAX(FC4,FF4,FI4),$EC$1,IF(N4+MAX(L4,0)=MAX(DU4,DX4,EA4),$CU$1))))))))))))))))</f>
        <v/>
      </c>
      <c r="Q4" s="18">
        <v>6.88</v>
      </c>
      <c r="R4" s="18">
        <v>8.4499999999999993</v>
      </c>
      <c r="S4" s="18">
        <v>9.8000000000000007</v>
      </c>
      <c r="T4" s="18">
        <v>15.56</v>
      </c>
      <c r="U4" s="18">
        <v>0</v>
      </c>
      <c r="V4" s="18">
        <v>6.45</v>
      </c>
      <c r="W4" s="18">
        <v>8.0500000000000007</v>
      </c>
      <c r="X4" s="18">
        <v>10.9</v>
      </c>
      <c r="Y4" s="18">
        <v>15.86</v>
      </c>
      <c r="Z4" s="18">
        <v>0</v>
      </c>
      <c r="AA4" s="18"/>
      <c r="AB4" s="18"/>
      <c r="AC4" s="18"/>
      <c r="AD4" s="18"/>
      <c r="AE4" s="18"/>
      <c r="AF4" s="23"/>
      <c r="AG4" s="34">
        <f t="shared" ref="AG4:AH11" si="11">IF(S4&gt;0,S4,"")</f>
        <v>9.8000000000000007</v>
      </c>
      <c r="AH4" s="34">
        <f t="shared" si="11"/>
        <v>15.56</v>
      </c>
      <c r="AI4" s="36">
        <f t="shared" ref="AI4:AI11" si="12">IF(SUM(Q4:T4)-U4&gt;0,SUM(Q4:T4)-U4,"")</f>
        <v>40.69</v>
      </c>
      <c r="AJ4" s="36">
        <f t="shared" ref="AJ4:AK11" si="13">IF(X4&gt;0,X4,"")</f>
        <v>10.9</v>
      </c>
      <c r="AK4" s="36">
        <f t="shared" si="13"/>
        <v>15.86</v>
      </c>
      <c r="AL4" s="36">
        <f t="shared" ref="AL4:AL11" si="14">IF(SUM(V4:Y4)-Z4&gt;0,SUM(V4:Y4)-Z4,"")</f>
        <v>41.26</v>
      </c>
      <c r="AM4" s="36">
        <f t="shared" ref="AM4:AM11" si="15">IF(AI4="","",MAX(AI4,AL4))</f>
        <v>41.26</v>
      </c>
      <c r="AN4" s="36" t="str">
        <f t="shared" ref="AN4:AO11" si="16">IF(AC4&gt;0,AC4,"")</f>
        <v/>
      </c>
      <c r="AO4" s="36" t="str">
        <f t="shared" si="16"/>
        <v/>
      </c>
      <c r="AP4" s="36" t="str">
        <f t="shared" ref="AP4:AP11" si="17">IF(SUM(AA4:AD4)-AE4&gt;0,SUM(AA4:AD4)-AE4,"")</f>
        <v/>
      </c>
      <c r="AQ4" s="36">
        <f t="shared" ref="AQ4:AQ11" si="18">IF(SUM(AM4,AP4)&gt;0,SUM(AM4,AP4),"")</f>
        <v>41.26</v>
      </c>
      <c r="AR4" s="22">
        <v>7.63</v>
      </c>
      <c r="AS4" s="22">
        <v>9.4</v>
      </c>
      <c r="AT4" s="22">
        <v>11.7</v>
      </c>
      <c r="AU4" s="22">
        <v>15.94</v>
      </c>
      <c r="AV4" s="22">
        <v>0</v>
      </c>
      <c r="AW4" s="22">
        <v>7.35</v>
      </c>
      <c r="AX4" s="22">
        <v>9.15</v>
      </c>
      <c r="AY4" s="22">
        <v>11.7</v>
      </c>
      <c r="AZ4" s="22">
        <v>17.079999999999998</v>
      </c>
      <c r="BA4" s="22">
        <v>0</v>
      </c>
      <c r="BB4" s="22">
        <v>8.0500000000000007</v>
      </c>
      <c r="BC4" s="22">
        <v>9.5500000000000007</v>
      </c>
      <c r="BD4" s="22">
        <v>11.7</v>
      </c>
      <c r="BE4" s="22">
        <v>18.059999999999999</v>
      </c>
      <c r="BF4" s="22">
        <v>0</v>
      </c>
      <c r="BG4" s="24"/>
      <c r="BH4" s="35">
        <f t="shared" ref="BH4:BI11" si="19">IF(AT4&gt;0,AT4,"")</f>
        <v>11.7</v>
      </c>
      <c r="BI4" s="35">
        <f t="shared" si="19"/>
        <v>15.94</v>
      </c>
      <c r="BJ4" s="11">
        <f t="shared" ref="BJ4:BJ11" si="20">IF(SUM(AR4:AU4)-AV4&gt;0,SUM(AR4:AU4)-AV4,"")</f>
        <v>44.67</v>
      </c>
      <c r="BK4" s="11">
        <f t="shared" ref="BK4:BL11" si="21">IF(AY4&gt;0,AY4,"")</f>
        <v>11.7</v>
      </c>
      <c r="BL4" s="11">
        <f t="shared" si="21"/>
        <v>17.079999999999998</v>
      </c>
      <c r="BM4" s="11">
        <f t="shared" ref="BM4:BM11" si="22">IF(SUM(AW4:AZ4)-BA4&gt;0,SUM(AW4:AZ4)-BA4,"")</f>
        <v>45.28</v>
      </c>
      <c r="BN4" s="11">
        <f t="shared" ref="BN4:BN11" si="23">IF(BJ4="","",MAX(BJ4,BM4))</f>
        <v>45.28</v>
      </c>
      <c r="BO4" s="11">
        <f t="shared" ref="BO4:BP11" si="24">IF(BD4&gt;0,BD4,"")</f>
        <v>11.7</v>
      </c>
      <c r="BP4" s="11">
        <f t="shared" si="24"/>
        <v>18.059999999999999</v>
      </c>
      <c r="BQ4" s="11">
        <f t="shared" ref="BQ4:BQ11" si="25">IF(SUM(BB4:BE4)-BF4&gt;0,SUM(BB4:BE4)-BF4,"")</f>
        <v>47.36</v>
      </c>
      <c r="BR4" s="11">
        <f t="shared" ref="BR4:BR11" si="26">IF(SUM(BN4,BQ4)&gt;0,SUM(BN4,BQ4),"")</f>
        <v>92.64</v>
      </c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23"/>
      <c r="CI4" s="34" t="str">
        <f t="shared" ref="CI4:CJ11" si="27">IF(BU4&gt;0,BU4,"")</f>
        <v/>
      </c>
      <c r="CJ4" s="34" t="str">
        <f t="shared" si="27"/>
        <v/>
      </c>
      <c r="CK4" s="36" t="str">
        <f t="shared" ref="CK4:CK11" si="28">IF(SUM(BS4:BV4)-BW4&gt;0,SUM(BS4:BV4)-BW4,"")</f>
        <v/>
      </c>
      <c r="CL4" s="36" t="str">
        <f t="shared" ref="CL4:CM11" si="29">IF(BZ4&gt;0,BZ4,"")</f>
        <v/>
      </c>
      <c r="CM4" s="36" t="str">
        <f t="shared" si="29"/>
        <v/>
      </c>
      <c r="CN4" s="36" t="str">
        <f t="shared" ref="CN4:CN11" si="30">IF(SUM(BX4:CA4)-CB4&gt;0,SUM(BX4:CA4)-CB4,"")</f>
        <v/>
      </c>
      <c r="CO4" s="36" t="str">
        <f t="shared" ref="CO4:CO11" si="31">IF(CK4="","",MAX(CK4,CN4))</f>
        <v/>
      </c>
      <c r="CP4" s="36" t="str">
        <f t="shared" ref="CP4:CQ11" si="32">IF(CE4&gt;0,CE4,"")</f>
        <v/>
      </c>
      <c r="CQ4" s="36" t="str">
        <f t="shared" si="32"/>
        <v/>
      </c>
      <c r="CR4" s="36" t="str">
        <f t="shared" ref="CR4:CR11" si="33">IF(SUM(CC4:CF4)-CG4&gt;0,SUM(CC4:CF4)-CG4,"")</f>
        <v/>
      </c>
      <c r="CS4" s="36" t="str">
        <f t="shared" ref="CS4:CS11" si="34">IF(SUM(CO4,CR4)&gt;0,SUM(CO4,CR4),"")</f>
        <v/>
      </c>
      <c r="CT4" s="47" t="str">
        <f t="shared" ref="CT4:CT11" si="35">IF(MAX(DU4,DX4,EA4,FC4,FF4,FI4,GK4,GN4,GQ4,HS4,HV4,HY4,JA4,JD4,JG4,KI4,KL4,KO4,LQ4,LT4,LW4,MY4,NB4,NE4,OG4,OJ4,OM4,PO4,PR4,PU4,QW4,QZ4,RC4,SE4,SH4,SK4,TM4,TP4,TS4,UU4,UX4,VA4,WC4,WF4,WI4)-MAX(L4,0)&gt;0.001,MAX(DU4,DX4,EA4,FC4,FF4,FI4,GK4,GN4,GQ4,HS4,HV4,HY4,JA4,JD4,JG4,KI4,KL4,KO4,LQ4,LT4,LW4,MY4,NB4,NE4,OG4,OJ4,OM4,PO4,PR4,PU4,QW4,QZ4,RC4,SE4,SH4,SK4,TM4,TP4,TS4,UU4,UX4,VA4,WC4,WF4,WI4)-MAX(L4,0),"")</f>
        <v/>
      </c>
      <c r="CU4" s="15"/>
      <c r="CV4" s="15"/>
      <c r="CW4" s="15"/>
      <c r="CX4" s="15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5"/>
      <c r="DJ4" s="15"/>
      <c r="DK4" s="15"/>
      <c r="DL4" s="15"/>
      <c r="DM4" s="15"/>
      <c r="DN4" s="15"/>
      <c r="DO4" s="36" t="str">
        <f t="shared" ref="DO4:DP11" si="36">IF(CW4&gt;0,CW4,"")</f>
        <v/>
      </c>
      <c r="DP4" s="36" t="str">
        <f t="shared" si="36"/>
        <v/>
      </c>
      <c r="DQ4" s="36" t="str">
        <f t="shared" ref="DQ4:DQ11" si="37">IF(SUM(CU4:CX4)-CY4&gt;0,SUM(CU4:CX4)-CY4,"")</f>
        <v/>
      </c>
      <c r="DR4" s="36" t="str">
        <f t="shared" ref="DR4:DS11" si="38">IF(DB4&gt;0,DB4,"")</f>
        <v/>
      </c>
      <c r="DS4" s="36" t="str">
        <f t="shared" si="38"/>
        <v/>
      </c>
      <c r="DT4" s="36" t="str">
        <f t="shared" ref="DT4:DT11" si="39">IF(SUM(CZ4:DC4)-DD4&gt;0,SUM(CZ4:DC4)-DD4,"")</f>
        <v/>
      </c>
      <c r="DU4" s="36" t="str">
        <f t="shared" ref="DU4:DU11" si="40">IF(MAX(DQ4,DT4)&gt;0,MAX(DQ4,DT4),"")</f>
        <v/>
      </c>
      <c r="DV4" s="36" t="str">
        <f t="shared" ref="DV4:DW11" si="41">IF(DG4&gt;0,DG4,"")</f>
        <v/>
      </c>
      <c r="DW4" s="36" t="str">
        <f t="shared" si="41"/>
        <v/>
      </c>
      <c r="DX4" s="36" t="str">
        <f t="shared" ref="DX4:DX11" si="42">IF(SUM(DE4:DH4)-DI4&gt;0,SUM(DE4:DH4)-DI4,"")</f>
        <v/>
      </c>
      <c r="DY4" s="36" t="str">
        <f t="shared" ref="DY4:DZ11" si="43">IF(DL4&gt;0,DL4,"")</f>
        <v/>
      </c>
      <c r="DZ4" s="36" t="str">
        <f t="shared" si="43"/>
        <v/>
      </c>
      <c r="EA4" s="36" t="str">
        <f t="shared" ref="EA4:EA11" si="44">IF(SUM(DJ4:DM4)-DN4&gt;0,SUM(DJ4:DM4)-DN4,"")</f>
        <v/>
      </c>
      <c r="EB4" s="36" t="str">
        <f t="shared" ref="EB4:EB11" si="45">IF(SUM(DU4,DX4,EA4)&gt;0,SUM(DU4,DX4,EA4),"")</f>
        <v/>
      </c>
      <c r="EC4" s="16"/>
      <c r="ED4" s="16"/>
      <c r="EE4" s="16"/>
      <c r="EF4" s="16"/>
      <c r="EG4" s="16"/>
      <c r="EH4" s="16"/>
      <c r="EI4" s="16"/>
      <c r="EJ4" s="16"/>
      <c r="EK4" s="16"/>
      <c r="EL4" s="16"/>
      <c r="EM4" s="16"/>
      <c r="EN4" s="16"/>
      <c r="EO4" s="16"/>
      <c r="EP4" s="16"/>
      <c r="EQ4" s="16"/>
      <c r="ER4" s="16"/>
      <c r="ES4" s="16"/>
      <c r="ET4" s="16"/>
      <c r="EU4" s="16"/>
      <c r="EV4" s="16"/>
      <c r="EW4" s="11" t="str">
        <f t="shared" ref="EW4:EX11" si="46">IF(EE4&gt;0,EE4,"")</f>
        <v/>
      </c>
      <c r="EX4" s="11" t="str">
        <f t="shared" si="46"/>
        <v/>
      </c>
      <c r="EY4" s="11" t="str">
        <f t="shared" ref="EY4:EY11" si="47">IF(SUM(EC4:EF4)-EG4&gt;0,SUM(EC4:EF4)-EG4,"")</f>
        <v/>
      </c>
      <c r="EZ4" s="11" t="str">
        <f t="shared" ref="EZ4:FA11" si="48">IF(EJ4&gt;0,EJ4,"")</f>
        <v/>
      </c>
      <c r="FA4" s="11" t="str">
        <f t="shared" si="48"/>
        <v/>
      </c>
      <c r="FB4" s="11" t="str">
        <f t="shared" ref="FB4:FB11" si="49">IF(SUM(EH4:EK4)-EL4&gt;0,SUM(EH4:EK4)-EL4,"")</f>
        <v/>
      </c>
      <c r="FC4" s="11" t="str">
        <f t="shared" ref="FC4:FC11" si="50">IF(MAX(EY4,FB4)&gt;0,MAX(EY4,FB4),"")</f>
        <v/>
      </c>
      <c r="FD4" s="11" t="str">
        <f t="shared" ref="FD4:FE11" si="51">IF(EO4&gt;0,EO4,"")</f>
        <v/>
      </c>
      <c r="FE4" s="11" t="str">
        <f t="shared" si="51"/>
        <v/>
      </c>
      <c r="FF4" s="11" t="str">
        <f t="shared" ref="FF4:FF11" si="52">IF(SUM(EM4:EP4)-EQ4&gt;0,SUM(EM4:EP4)-EQ4,"")</f>
        <v/>
      </c>
      <c r="FG4" s="11" t="str">
        <f t="shared" ref="FG4:FH11" si="53">IF(ET4&gt;0,ET4,"")</f>
        <v/>
      </c>
      <c r="FH4" s="11" t="str">
        <f t="shared" si="53"/>
        <v/>
      </c>
      <c r="FI4" s="11" t="str">
        <f t="shared" ref="FI4:FI11" si="54">IF(SUM(ER4:EU4)-EV4&gt;0,SUM(ER4:EU4)-EV4,"")</f>
        <v/>
      </c>
      <c r="FJ4" s="11" t="str">
        <f t="shared" ref="FJ4:FJ11" si="55">IF(SUM(FC4,FF4,FI4)&gt;0,SUM(FC4,FF4,FI4),"")</f>
        <v/>
      </c>
      <c r="FK4" s="15"/>
      <c r="FL4" s="15"/>
      <c r="FM4" s="15"/>
      <c r="FN4" s="15"/>
      <c r="FO4" s="15"/>
      <c r="FP4" s="15"/>
      <c r="FQ4" s="15"/>
      <c r="FR4" s="15"/>
      <c r="FS4" s="15"/>
      <c r="FT4" s="15"/>
      <c r="FU4" s="15"/>
      <c r="FV4" s="15"/>
      <c r="FW4" s="15"/>
      <c r="FX4" s="15"/>
      <c r="FY4" s="15"/>
      <c r="FZ4" s="15"/>
      <c r="GA4" s="15"/>
      <c r="GB4" s="15"/>
      <c r="GC4" s="15"/>
      <c r="GD4" s="15"/>
      <c r="GE4" s="36" t="str">
        <f t="shared" ref="GE4:GF11" si="56">IF(FM4&gt;0,FM4,"")</f>
        <v/>
      </c>
      <c r="GF4" s="36" t="str">
        <f t="shared" si="56"/>
        <v/>
      </c>
      <c r="GG4" s="36" t="str">
        <f t="shared" ref="GG4:GG11" si="57">IF(SUM(FK4:FN4)-FO4&gt;0,SUM(FK4:FN4)-FO4,"")</f>
        <v/>
      </c>
      <c r="GH4" s="36" t="str">
        <f t="shared" ref="GH4:GI11" si="58">IF(FR4&gt;0,FR4,"")</f>
        <v/>
      </c>
      <c r="GI4" s="36" t="str">
        <f t="shared" si="58"/>
        <v/>
      </c>
      <c r="GJ4" s="36" t="str">
        <f t="shared" ref="GJ4:GJ11" si="59">IF(SUM(FP4:FS4)-FT4&gt;0,SUM(FP4:FS4)-FT4,"")</f>
        <v/>
      </c>
      <c r="GK4" s="36" t="str">
        <f t="shared" ref="GK4:GK11" si="60">IF(MAX(GG4,GJ4)&gt;0,MAX(GG4,GJ4),"")</f>
        <v/>
      </c>
      <c r="GL4" s="36" t="str">
        <f t="shared" ref="GL4:GM11" si="61">IF(FW4&gt;0,FW4,"")</f>
        <v/>
      </c>
      <c r="GM4" s="36" t="str">
        <f t="shared" si="61"/>
        <v/>
      </c>
      <c r="GN4" s="36" t="str">
        <f t="shared" ref="GN4:GN11" si="62">IF(SUM(FU4:FX4)-FY4&gt;0,SUM(FU4:FX4)-FY4,"")</f>
        <v/>
      </c>
      <c r="GO4" s="36" t="str">
        <f t="shared" ref="GO4:GP11" si="63">IF(GB4&gt;0,GB4,"")</f>
        <v/>
      </c>
      <c r="GP4" s="36" t="str">
        <f t="shared" si="63"/>
        <v/>
      </c>
      <c r="GQ4" s="36" t="str">
        <f t="shared" ref="GQ4:GQ11" si="64">IF(SUM(FZ4:GC4)-GD4&gt;0,SUM(FZ4:GC4)-GD4,"")</f>
        <v/>
      </c>
      <c r="GR4" s="36" t="str">
        <f t="shared" ref="GR4:GR11" si="65">IF(SUM(GK4,GN4,GQ4)&gt;0,SUM(GK4,GN4,GQ4),"")</f>
        <v/>
      </c>
      <c r="GS4" s="16"/>
      <c r="GT4" s="16"/>
      <c r="GU4" s="16"/>
      <c r="GV4" s="16"/>
      <c r="GW4" s="16"/>
      <c r="GX4" s="16"/>
      <c r="GY4" s="16"/>
      <c r="GZ4" s="16"/>
      <c r="HA4" s="16"/>
      <c r="HB4" s="16"/>
      <c r="HC4" s="16"/>
      <c r="HD4" s="16"/>
      <c r="HE4" s="16"/>
      <c r="HF4" s="16"/>
      <c r="HG4" s="16"/>
      <c r="HH4" s="16"/>
      <c r="HI4" s="16"/>
      <c r="HJ4" s="16"/>
      <c r="HK4" s="16"/>
      <c r="HL4" s="16"/>
      <c r="HM4" s="11" t="str">
        <f t="shared" ref="HM4:HN11" si="66">IF(GU4&gt;0,GU4,"")</f>
        <v/>
      </c>
      <c r="HN4" s="11" t="str">
        <f t="shared" si="66"/>
        <v/>
      </c>
      <c r="HO4" s="11" t="str">
        <f t="shared" ref="HO4:HO11" si="67">IF(SUM(GS4:GV4)-GW4&gt;0,SUM(GS4:GV4)-GW4,"")</f>
        <v/>
      </c>
      <c r="HP4" s="11" t="str">
        <f t="shared" ref="HP4:HQ11" si="68">IF(GZ4&gt;0,GZ4,"")</f>
        <v/>
      </c>
      <c r="HQ4" s="11" t="str">
        <f t="shared" si="68"/>
        <v/>
      </c>
      <c r="HR4" s="11" t="str">
        <f t="shared" ref="HR4:HR11" si="69">IF(SUM(GX4:HA4)-HB4&gt;0,SUM(GX4:HA4)-HB4,"")</f>
        <v/>
      </c>
      <c r="HS4" s="11" t="str">
        <f t="shared" ref="HS4:HS11" si="70">IF(MAX(HO4,HR4)&gt;0,MAX(HO4,HR4),"")</f>
        <v/>
      </c>
      <c r="HT4" s="11" t="str">
        <f t="shared" ref="HT4:HU11" si="71">IF(HE4&gt;0,HE4,"")</f>
        <v/>
      </c>
      <c r="HU4" s="11" t="str">
        <f t="shared" si="71"/>
        <v/>
      </c>
      <c r="HV4" s="11" t="str">
        <f t="shared" ref="HV4:HV11" si="72">IF(SUM(HC4:HF4)-HG4&gt;0,SUM(HC4:HF4)-HG4,"")</f>
        <v/>
      </c>
      <c r="HW4" s="11" t="str">
        <f t="shared" ref="HW4:HX11" si="73">IF(HJ4&gt;0,HJ4,"")</f>
        <v/>
      </c>
      <c r="HX4" s="11" t="str">
        <f t="shared" si="73"/>
        <v/>
      </c>
      <c r="HY4" s="11" t="str">
        <f t="shared" ref="HY4:HY11" si="74">IF(SUM(HH4:HK4)-HL4&gt;0,SUM(HH4:HK4)-HL4,"")</f>
        <v/>
      </c>
      <c r="HZ4" s="11" t="str">
        <f t="shared" ref="HZ4:HZ11" si="75">IF(SUM(HS4,HV4,HY4)&gt;0,SUM(HS4,HV4,HY4),"")</f>
        <v/>
      </c>
      <c r="IA4" s="15"/>
      <c r="IB4" s="15"/>
      <c r="IC4" s="15"/>
      <c r="ID4" s="15"/>
      <c r="IE4" s="15"/>
      <c r="IF4" s="15"/>
      <c r="IG4" s="15"/>
      <c r="IH4" s="15"/>
      <c r="II4" s="15"/>
      <c r="IJ4" s="15"/>
      <c r="IK4" s="15"/>
      <c r="IL4" s="15"/>
      <c r="IM4" s="15"/>
      <c r="IN4" s="15"/>
      <c r="IO4" s="15"/>
      <c r="IP4" s="15"/>
      <c r="IQ4" s="15"/>
      <c r="IR4" s="15"/>
      <c r="IS4" s="15"/>
      <c r="IT4" s="15"/>
      <c r="IU4" s="36" t="str">
        <f t="shared" ref="IU4:IV11" si="76">IF(IC4&gt;0,IC4,"")</f>
        <v/>
      </c>
      <c r="IV4" s="36" t="str">
        <f t="shared" si="76"/>
        <v/>
      </c>
      <c r="IW4" s="36" t="str">
        <f t="shared" ref="IW4:IW11" si="77">IF(SUM(IA4:ID4)-IE4&gt;0,SUM(IA4:ID4)-IE4,"")</f>
        <v/>
      </c>
      <c r="IX4" s="36" t="str">
        <f t="shared" ref="IX4:IY11" si="78">IF(IH4&gt;0,IH4,"")</f>
        <v/>
      </c>
      <c r="IY4" s="36" t="str">
        <f t="shared" si="78"/>
        <v/>
      </c>
      <c r="IZ4" s="36" t="str">
        <f t="shared" ref="IZ4:IZ11" si="79">IF(SUM(IF4:II4)-IJ4&gt;0,SUM(IF4:II4)-IJ4,"")</f>
        <v/>
      </c>
      <c r="JA4" s="36" t="str">
        <f t="shared" ref="JA4:JA11" si="80">IF(MAX(IW4,IZ4)&gt;0,MAX(IW4,IZ4),"")</f>
        <v/>
      </c>
      <c r="JB4" s="36" t="str">
        <f t="shared" ref="JB4:JC11" si="81">IF(IM4&gt;0,IM4,"")</f>
        <v/>
      </c>
      <c r="JC4" s="36" t="str">
        <f t="shared" si="81"/>
        <v/>
      </c>
      <c r="JD4" s="36" t="str">
        <f t="shared" ref="JD4:JD11" si="82">IF(SUM(IK4:IN4)-IO4&gt;0,SUM(IK4:IN4)-IO4,"")</f>
        <v/>
      </c>
      <c r="JE4" s="36" t="str">
        <f t="shared" ref="JE4:JF11" si="83">IF(IR4&gt;0,IR4,"")</f>
        <v/>
      </c>
      <c r="JF4" s="36" t="str">
        <f t="shared" si="83"/>
        <v/>
      </c>
      <c r="JG4" s="36" t="str">
        <f t="shared" ref="JG4:JG11" si="84">IF(SUM(IP4:IS4)-IT4&gt;0,SUM(IP4:IS4)-IT4,"")</f>
        <v/>
      </c>
      <c r="JH4" s="36" t="str">
        <f t="shared" ref="JH4:JH11" si="85">IF(SUM(JA4,JD4,JG4)&gt;0,SUM(JA4,JD4,JG4),"")</f>
        <v/>
      </c>
      <c r="JI4" s="16"/>
      <c r="JJ4" s="16"/>
      <c r="JK4" s="16"/>
      <c r="JL4" s="16"/>
      <c r="JM4" s="16"/>
      <c r="JN4" s="16"/>
      <c r="JO4" s="16"/>
      <c r="JP4" s="16"/>
      <c r="JQ4" s="16"/>
      <c r="JR4" s="16"/>
      <c r="JS4" s="16"/>
      <c r="JT4" s="16"/>
      <c r="JU4" s="16"/>
      <c r="JV4" s="16"/>
      <c r="JW4" s="16"/>
      <c r="JX4" s="16"/>
      <c r="JY4" s="16"/>
      <c r="JZ4" s="16"/>
      <c r="KA4" s="16"/>
      <c r="KB4" s="16"/>
      <c r="KC4" s="11" t="str">
        <f t="shared" ref="KC4:KD11" si="86">IF(JK4&gt;0,JK4,"")</f>
        <v/>
      </c>
      <c r="KD4" s="11" t="str">
        <f t="shared" si="86"/>
        <v/>
      </c>
      <c r="KE4" s="11" t="str">
        <f t="shared" ref="KE4:KE11" si="87">IF(SUM(JI4:JL4)-JM4&gt;0,SUM(JI4:JL4)-JM4,"")</f>
        <v/>
      </c>
      <c r="KF4" s="11" t="str">
        <f t="shared" ref="KF4:KG11" si="88">IF(JP4&gt;0,JP4,"")</f>
        <v/>
      </c>
      <c r="KG4" s="11" t="str">
        <f t="shared" si="88"/>
        <v/>
      </c>
      <c r="KH4" s="11" t="str">
        <f t="shared" ref="KH4:KH11" si="89">IF(SUM(JN4:JQ4)-JR4&gt;0,SUM(JN4:JQ4)-JR4,"")</f>
        <v/>
      </c>
      <c r="KI4" s="11" t="str">
        <f t="shared" ref="KI4:KI11" si="90">IF(MAX(KE4,KH4)&gt;0,MAX(KE4,KH4),"")</f>
        <v/>
      </c>
      <c r="KJ4" s="11" t="str">
        <f t="shared" ref="KJ4:KK11" si="91">IF(JU4&gt;0,JU4,"")</f>
        <v/>
      </c>
      <c r="KK4" s="11" t="str">
        <f t="shared" si="91"/>
        <v/>
      </c>
      <c r="KL4" s="11" t="str">
        <f t="shared" ref="KL4:KL11" si="92">IF(SUM(JS4:JV4)-JW4&gt;0,SUM(JS4:JV4)-JW4,"")</f>
        <v/>
      </c>
      <c r="KM4" s="11" t="str">
        <f t="shared" ref="KM4:KN11" si="93">IF(JZ4&gt;0,JZ4,"")</f>
        <v/>
      </c>
      <c r="KN4" s="11" t="str">
        <f t="shared" si="93"/>
        <v/>
      </c>
      <c r="KO4" s="11" t="str">
        <f t="shared" ref="KO4:KO11" si="94">IF(SUM(JX4:KA4)-KB4&gt;0,SUM(JX4:KA4)-KB4,"")</f>
        <v/>
      </c>
      <c r="KP4" s="11" t="str">
        <f t="shared" ref="KP4:KP11" si="95">IF(SUM(KI4,KL4,KO4)&gt;0,SUM(KI4,KL4,KO4),"")</f>
        <v/>
      </c>
      <c r="KQ4" s="15"/>
      <c r="KR4" s="15"/>
      <c r="KS4" s="15"/>
      <c r="KT4" s="15"/>
      <c r="KU4" s="15"/>
      <c r="KV4" s="15"/>
      <c r="KW4" s="15"/>
      <c r="KX4" s="15"/>
      <c r="KY4" s="15"/>
      <c r="KZ4" s="15"/>
      <c r="LA4" s="15"/>
      <c r="LB4" s="15"/>
      <c r="LC4" s="15"/>
      <c r="LD4" s="15"/>
      <c r="LE4" s="15"/>
      <c r="LF4" s="15"/>
      <c r="LG4" s="15"/>
      <c r="LH4" s="15"/>
      <c r="LI4" s="15"/>
      <c r="LJ4" s="15"/>
      <c r="LK4" s="36" t="str">
        <f t="shared" ref="LK4:LL11" si="96">IF(KS4&gt;0,KS4,"")</f>
        <v/>
      </c>
      <c r="LL4" s="36" t="str">
        <f t="shared" si="96"/>
        <v/>
      </c>
      <c r="LM4" s="36" t="str">
        <f t="shared" ref="LM4:LM11" si="97">IF(SUM(KQ4:KT4)-KU4&gt;0,SUM(KQ4:KT4)-KU4,"")</f>
        <v/>
      </c>
      <c r="LN4" s="36" t="str">
        <f t="shared" ref="LN4:LO11" si="98">IF(KX4&gt;0,KX4,"")</f>
        <v/>
      </c>
      <c r="LO4" s="36" t="str">
        <f t="shared" si="98"/>
        <v/>
      </c>
      <c r="LP4" s="36" t="str">
        <f t="shared" ref="LP4:LP11" si="99">IF(SUM(KV4:KY4)-KZ4&gt;0,SUM(KV4:KY4)-KZ4,"")</f>
        <v/>
      </c>
      <c r="LQ4" s="36" t="str">
        <f t="shared" ref="LQ4:LQ11" si="100">IF(MAX(LM4,LP4)&gt;0,MAX(LM4,LP4),"")</f>
        <v/>
      </c>
      <c r="LR4" s="36" t="str">
        <f t="shared" ref="LR4:LS11" si="101">IF(LC4&gt;0,LC4,"")</f>
        <v/>
      </c>
      <c r="LS4" s="36" t="str">
        <f t="shared" si="101"/>
        <v/>
      </c>
      <c r="LT4" s="36" t="str">
        <f t="shared" ref="LT4:LT11" si="102">IF(SUM(LA4:LD4)-LE4&gt;0,SUM(LA4:LD4)-LE4,"")</f>
        <v/>
      </c>
      <c r="LU4" s="36" t="str">
        <f t="shared" ref="LU4:LV11" si="103">IF(LH4&gt;0,LH4,"")</f>
        <v/>
      </c>
      <c r="LV4" s="36" t="str">
        <f t="shared" si="103"/>
        <v/>
      </c>
      <c r="LW4" s="36" t="str">
        <f t="shared" ref="LW4:LW11" si="104">IF(SUM(LF4:LI4)-LJ4&gt;0,SUM(LF4:LI4)-LJ4,"")</f>
        <v/>
      </c>
      <c r="LX4" s="36" t="str">
        <f t="shared" ref="LX4:LX11" si="105">IF(SUM(LQ4,LT4,LW4)&gt;0,SUM(LQ4,LT4,LW4),"")</f>
        <v/>
      </c>
      <c r="LY4" s="16"/>
      <c r="LZ4" s="16"/>
      <c r="MA4" s="16"/>
      <c r="MB4" s="16"/>
      <c r="MC4" s="16"/>
      <c r="MD4" s="16"/>
      <c r="ME4" s="16"/>
      <c r="MF4" s="16"/>
      <c r="MG4" s="16"/>
      <c r="MH4" s="16"/>
      <c r="MI4" s="16"/>
      <c r="MJ4" s="16"/>
      <c r="MK4" s="16"/>
      <c r="ML4" s="16"/>
      <c r="MM4" s="16"/>
      <c r="MN4" s="16"/>
      <c r="MO4" s="16"/>
      <c r="MP4" s="16"/>
      <c r="MQ4" s="16"/>
      <c r="MR4" s="16"/>
      <c r="MS4" s="11" t="str">
        <f t="shared" ref="MS4:MT11" si="106">IF(MA4&gt;0,MA4,"")</f>
        <v/>
      </c>
      <c r="MT4" s="11" t="str">
        <f t="shared" si="106"/>
        <v/>
      </c>
      <c r="MU4" s="11" t="str">
        <f t="shared" ref="MU4:MU11" si="107">IF(SUM(LY4:MB4)-MC4&gt;0,SUM(LY4:MB4)-MC4,"")</f>
        <v/>
      </c>
      <c r="MV4" s="11" t="str">
        <f t="shared" ref="MV4:MW11" si="108">IF(MF4&gt;0,MF4,"")</f>
        <v/>
      </c>
      <c r="MW4" s="11" t="str">
        <f t="shared" si="108"/>
        <v/>
      </c>
      <c r="MX4" s="11" t="str">
        <f t="shared" ref="MX4:MX11" si="109">IF(SUM(MD4:MG4)-MH4&gt;0,SUM(MD4:MG4)-MH4,"")</f>
        <v/>
      </c>
      <c r="MY4" s="11" t="str">
        <f t="shared" ref="MY4:MY11" si="110">IF(MAX(MU4,MX4)&gt;0,MAX(MU4,MX4),"")</f>
        <v/>
      </c>
      <c r="MZ4" s="11" t="str">
        <f t="shared" ref="MZ4:NA11" si="111">IF(MK4&gt;0,MK4,"")</f>
        <v/>
      </c>
      <c r="NA4" s="11" t="str">
        <f t="shared" si="111"/>
        <v/>
      </c>
      <c r="NB4" s="11" t="str">
        <f t="shared" ref="NB4:NB11" si="112">IF(SUM(MI4:ML4)-MM4&gt;0,SUM(MI4:ML4)-MM4,"")</f>
        <v/>
      </c>
      <c r="NC4" s="11" t="str">
        <f t="shared" ref="NC4:ND11" si="113">IF(MP4&gt;0,MP4,"")</f>
        <v/>
      </c>
      <c r="ND4" s="11" t="str">
        <f t="shared" si="113"/>
        <v/>
      </c>
      <c r="NE4" s="11" t="str">
        <f t="shared" ref="NE4:NE11" si="114">IF(SUM(MN4:MQ4)-MR4&gt;0,SUM(MN4:MQ4)-MR4,"")</f>
        <v/>
      </c>
      <c r="NF4" s="11" t="str">
        <f t="shared" ref="NF4:NF11" si="115">IF(SUM(MY4,NB4,NE4)&gt;0,SUM(MY4,NB4,NE4),"")</f>
        <v/>
      </c>
      <c r="NG4" s="15"/>
      <c r="NH4" s="15"/>
      <c r="NI4" s="15"/>
      <c r="NJ4" s="15"/>
      <c r="NK4" s="15"/>
      <c r="NL4" s="15"/>
      <c r="NM4" s="15"/>
      <c r="NN4" s="15"/>
      <c r="NO4" s="15"/>
      <c r="NP4" s="15"/>
      <c r="NQ4" s="15"/>
      <c r="NR4" s="15"/>
      <c r="NS4" s="15"/>
      <c r="NT4" s="15"/>
      <c r="NU4" s="15"/>
      <c r="NV4" s="15"/>
      <c r="NW4" s="15"/>
      <c r="NX4" s="15"/>
      <c r="NY4" s="15"/>
      <c r="NZ4" s="15"/>
      <c r="OA4" s="36" t="str">
        <f t="shared" ref="OA4:OB11" si="116">IF(NI4&gt;0,NI4,"")</f>
        <v/>
      </c>
      <c r="OB4" s="36" t="str">
        <f t="shared" si="116"/>
        <v/>
      </c>
      <c r="OC4" s="36" t="str">
        <f t="shared" ref="OC4:OC11" si="117">IF(SUM(NG4:NJ4)-NK4&gt;0,SUM(NG4:NJ4)-NK4,"")</f>
        <v/>
      </c>
      <c r="OD4" s="36" t="str">
        <f t="shared" ref="OD4:OE11" si="118">IF(NN4&gt;0,NN4,"")</f>
        <v/>
      </c>
      <c r="OE4" s="36" t="str">
        <f t="shared" si="118"/>
        <v/>
      </c>
      <c r="OF4" s="36" t="str">
        <f t="shared" ref="OF4:OF11" si="119">IF(SUM(NL4:NO4)-NP4&gt;0,SUM(NL4:NO4)-NP4,"")</f>
        <v/>
      </c>
      <c r="OG4" s="36" t="str">
        <f t="shared" ref="OG4:OG11" si="120">IF(MAX(OC4,OF4)&gt;0,MAX(OC4,OF4),"")</f>
        <v/>
      </c>
      <c r="OH4" s="36" t="str">
        <f t="shared" ref="OH4:OI11" si="121">IF(NS4&gt;0,NS4,"")</f>
        <v/>
      </c>
      <c r="OI4" s="36" t="str">
        <f t="shared" si="121"/>
        <v/>
      </c>
      <c r="OJ4" s="36" t="str">
        <f t="shared" ref="OJ4:OJ11" si="122">IF(SUM(NQ4:NT4)-NU4&gt;0,SUM(NQ4:NT4)-NU4,"")</f>
        <v/>
      </c>
      <c r="OK4" s="36" t="str">
        <f t="shared" ref="OK4:OL11" si="123">IF(NX4&gt;0,NX4,"")</f>
        <v/>
      </c>
      <c r="OL4" s="36" t="str">
        <f t="shared" si="123"/>
        <v/>
      </c>
      <c r="OM4" s="36" t="str">
        <f t="shared" ref="OM4:OM11" si="124">IF(SUM(NV4:NY4)-NZ4&gt;0,SUM(NV4:NY4)-NZ4,"")</f>
        <v/>
      </c>
      <c r="ON4" s="36" t="str">
        <f t="shared" ref="ON4:ON11" si="125">IF(SUM(OG4,OJ4,OM4)&gt;0,SUM(OG4,OJ4,OM4),"")</f>
        <v/>
      </c>
      <c r="OO4" s="16"/>
      <c r="OP4" s="16"/>
      <c r="OQ4" s="16"/>
      <c r="OR4" s="16"/>
      <c r="OS4" s="16"/>
      <c r="OT4" s="16"/>
      <c r="OU4" s="16"/>
      <c r="OV4" s="16"/>
      <c r="OW4" s="16"/>
      <c r="OX4" s="16"/>
      <c r="OY4" s="16"/>
      <c r="OZ4" s="16"/>
      <c r="PA4" s="16"/>
      <c r="PB4" s="16"/>
      <c r="PC4" s="16"/>
      <c r="PD4" s="16"/>
      <c r="PE4" s="16"/>
      <c r="PF4" s="16"/>
      <c r="PG4" s="16"/>
      <c r="PH4" s="16"/>
      <c r="PI4" s="11" t="str">
        <f t="shared" ref="PI4:PJ11" si="126">IF(OQ4&gt;0,OQ4,"")</f>
        <v/>
      </c>
      <c r="PJ4" s="11" t="str">
        <f t="shared" si="126"/>
        <v/>
      </c>
      <c r="PK4" s="11" t="str">
        <f t="shared" ref="PK4:PK11" si="127">IF(SUM(OO4:OR4)-OS4&gt;0,SUM(OO4:OR4)-OS4,"")</f>
        <v/>
      </c>
      <c r="PL4" s="11" t="str">
        <f t="shared" ref="PL4:PM11" si="128">IF(OV4&gt;0,OV4,"")</f>
        <v/>
      </c>
      <c r="PM4" s="11" t="str">
        <f t="shared" si="128"/>
        <v/>
      </c>
      <c r="PN4" s="11" t="str">
        <f t="shared" ref="PN4:PN11" si="129">IF(SUM(OT4:OW4)-OX4&gt;0,SUM(OT4:OW4)-OX4,"")</f>
        <v/>
      </c>
      <c r="PO4" s="11" t="str">
        <f t="shared" ref="PO4:PO11" si="130">IF(MAX(PK4,PN4)&gt;0,MAX(PK4,PN4),"")</f>
        <v/>
      </c>
      <c r="PP4" s="11" t="str">
        <f t="shared" ref="PP4:PQ11" si="131">IF(PA4&gt;0,PA4,"")</f>
        <v/>
      </c>
      <c r="PQ4" s="11" t="str">
        <f t="shared" si="131"/>
        <v/>
      </c>
      <c r="PR4" s="11" t="str">
        <f t="shared" ref="PR4:PR11" si="132">IF(SUM(OY4:PB4)-PC4&gt;0,SUM(OY4:PB4)-PC4,"")</f>
        <v/>
      </c>
      <c r="PS4" s="11" t="str">
        <f t="shared" ref="PS4:PT11" si="133">IF(PF4&gt;0,PF4,"")</f>
        <v/>
      </c>
      <c r="PT4" s="11" t="str">
        <f t="shared" si="133"/>
        <v/>
      </c>
      <c r="PU4" s="11" t="str">
        <f t="shared" ref="PU4:PU11" si="134">IF(SUM(PD4:PG4)-PH4&gt;0,SUM(PD4:PG4)-PH4,"")</f>
        <v/>
      </c>
      <c r="PV4" s="11" t="str">
        <f t="shared" ref="PV4:PV11" si="135">IF(SUM(PO4,PR4,PU4)&gt;0,SUM(PO4,PR4,PU4),"")</f>
        <v/>
      </c>
      <c r="PW4" s="15"/>
      <c r="PX4" s="15"/>
      <c r="PY4" s="15"/>
      <c r="PZ4" s="15"/>
      <c r="QA4" s="15"/>
      <c r="QB4" s="15"/>
      <c r="QC4" s="15"/>
      <c r="QD4" s="15"/>
      <c r="QE4" s="15"/>
      <c r="QF4" s="15"/>
      <c r="QG4" s="15"/>
      <c r="QH4" s="15"/>
      <c r="QI4" s="15"/>
      <c r="QJ4" s="15"/>
      <c r="QK4" s="15"/>
      <c r="QL4" s="15"/>
      <c r="QM4" s="15"/>
      <c r="QN4" s="15"/>
      <c r="QO4" s="15"/>
      <c r="QP4" s="15"/>
      <c r="QQ4" s="36" t="str">
        <f t="shared" ref="QQ4:QR11" si="136">IF(PY4&gt;0,PY4,"")</f>
        <v/>
      </c>
      <c r="QR4" s="36" t="str">
        <f t="shared" si="136"/>
        <v/>
      </c>
      <c r="QS4" s="36" t="str">
        <f t="shared" ref="QS4:QS11" si="137">IF(SUM(PW4:PZ4)-QA4&gt;0,SUM(PW4:PZ4)-QA4,"")</f>
        <v/>
      </c>
      <c r="QT4" s="36" t="str">
        <f t="shared" ref="QT4:QU11" si="138">IF(QD4&gt;0,QD4,"")</f>
        <v/>
      </c>
      <c r="QU4" s="36" t="str">
        <f t="shared" si="138"/>
        <v/>
      </c>
      <c r="QV4" s="36" t="str">
        <f t="shared" ref="QV4:QV11" si="139">IF(SUM(QB4:QE4)-QF4&gt;0,SUM(QB4:QE4)-QF4,"")</f>
        <v/>
      </c>
      <c r="QW4" s="36" t="str">
        <f t="shared" ref="QW4:QW11" si="140">IF(MAX(QS4,QV4)&gt;0,MAX(QS4,QV4),"")</f>
        <v/>
      </c>
      <c r="QX4" s="36" t="str">
        <f t="shared" ref="QX4:QY11" si="141">IF(QI4&gt;0,QI4,"")</f>
        <v/>
      </c>
      <c r="QY4" s="36" t="str">
        <f t="shared" si="141"/>
        <v/>
      </c>
      <c r="QZ4" s="36" t="str">
        <f t="shared" ref="QZ4:QZ11" si="142">IF(SUM(QG4:QJ4)-QK4&gt;0,SUM(QG4:QJ4)-QK4,"")</f>
        <v/>
      </c>
      <c r="RA4" s="36" t="str">
        <f t="shared" ref="RA4:RB11" si="143">IF(QN4&gt;0,QN4,"")</f>
        <v/>
      </c>
      <c r="RB4" s="36" t="str">
        <f t="shared" si="143"/>
        <v/>
      </c>
      <c r="RC4" s="36" t="str">
        <f t="shared" ref="RC4:RC11" si="144">IF(SUM(QL4:QO4)-QP4&gt;0,SUM(QL4:QO4)-QP4,"")</f>
        <v/>
      </c>
      <c r="RD4" s="36" t="str">
        <f t="shared" ref="RD4:RD11" si="145">IF(SUM(QW4,QZ4,RC4)&gt;0,SUM(QW4,QZ4,RC4),"")</f>
        <v/>
      </c>
      <c r="RE4" s="16"/>
      <c r="RF4" s="16"/>
      <c r="RG4" s="16"/>
      <c r="RH4" s="16"/>
      <c r="RI4" s="16"/>
      <c r="RJ4" s="16"/>
      <c r="RK4" s="16"/>
      <c r="RL4" s="16"/>
      <c r="RM4" s="16"/>
      <c r="RN4" s="16"/>
      <c r="RO4" s="16"/>
      <c r="RP4" s="16"/>
      <c r="RQ4" s="16"/>
      <c r="RR4" s="16"/>
      <c r="RS4" s="16"/>
      <c r="RT4" s="16"/>
      <c r="RU4" s="16"/>
      <c r="RV4" s="16"/>
      <c r="RW4" s="16"/>
      <c r="RX4" s="16"/>
      <c r="RY4" s="11" t="str">
        <f t="shared" ref="RY4:RZ11" si="146">IF(RG4&gt;0,RG4,"")</f>
        <v/>
      </c>
      <c r="RZ4" s="11" t="str">
        <f t="shared" si="146"/>
        <v/>
      </c>
      <c r="SA4" s="11" t="str">
        <f t="shared" ref="SA4:SA11" si="147">IF(SUM(RE4:RH4)-RI4&gt;0,SUM(RE4:RH4)-RI4,"")</f>
        <v/>
      </c>
      <c r="SB4" s="11" t="str">
        <f t="shared" ref="SB4:SC11" si="148">IF(RL4&gt;0,RL4,"")</f>
        <v/>
      </c>
      <c r="SC4" s="11" t="str">
        <f t="shared" si="148"/>
        <v/>
      </c>
      <c r="SD4" s="11" t="str">
        <f t="shared" ref="SD4:SD11" si="149">IF(SUM(RJ4:RM4)-RN4&gt;0,SUM(RJ4:RM4)-RN4,"")</f>
        <v/>
      </c>
      <c r="SE4" s="11" t="str">
        <f t="shared" ref="SE4:SE11" si="150">IF(MAX(SA4,SD4)&gt;0,MAX(SA4,SD4),"")</f>
        <v/>
      </c>
      <c r="SF4" s="11" t="str">
        <f t="shared" ref="SF4:SG11" si="151">IF(RQ4&gt;0,RQ4,"")</f>
        <v/>
      </c>
      <c r="SG4" s="11" t="str">
        <f t="shared" si="151"/>
        <v/>
      </c>
      <c r="SH4" s="11" t="str">
        <f t="shared" ref="SH4:SH11" si="152">IF(SUM(RO4:RR4)-RS4&gt;0,SUM(RO4:RR4)-RS4,"")</f>
        <v/>
      </c>
      <c r="SI4" s="11" t="str">
        <f t="shared" ref="SI4:SJ11" si="153">IF(RV4&gt;0,RV4,"")</f>
        <v/>
      </c>
      <c r="SJ4" s="11" t="str">
        <f t="shared" si="153"/>
        <v/>
      </c>
      <c r="SK4" s="11" t="str">
        <f t="shared" ref="SK4:SK11" si="154">IF(SUM(RT4:RW4)-RX4&gt;0,SUM(RT4:RW4)-RX4,"")</f>
        <v/>
      </c>
      <c r="SL4" s="11" t="str">
        <f t="shared" ref="SL4:SL11" si="155">IF(SUM(SE4,SH4,SK4)&gt;0,SUM(SE4,SH4,SK4),"")</f>
        <v/>
      </c>
      <c r="SM4" s="15"/>
      <c r="SN4" s="15"/>
      <c r="SO4" s="15"/>
      <c r="SP4" s="15"/>
      <c r="SQ4" s="15"/>
      <c r="SR4" s="15"/>
      <c r="SS4" s="15"/>
      <c r="ST4" s="15"/>
      <c r="SU4" s="15"/>
      <c r="SV4" s="15"/>
      <c r="SW4" s="15"/>
      <c r="SX4" s="15"/>
      <c r="SY4" s="15"/>
      <c r="SZ4" s="15"/>
      <c r="TA4" s="15"/>
      <c r="TB4" s="15"/>
      <c r="TC4" s="15"/>
      <c r="TD4" s="15"/>
      <c r="TE4" s="15"/>
      <c r="TF4" s="15"/>
      <c r="TG4" s="36" t="str">
        <f t="shared" ref="TG4:TH11" si="156">IF(SO4&gt;0,SO4,"")</f>
        <v/>
      </c>
      <c r="TH4" s="36" t="str">
        <f t="shared" si="156"/>
        <v/>
      </c>
      <c r="TI4" s="36" t="str">
        <f t="shared" ref="TI4:TI11" si="157">IF(SUM(SM4:SP4)-SQ4&gt;0,SUM(SM4:SP4)-SQ4,"")</f>
        <v/>
      </c>
      <c r="TJ4" s="36" t="str">
        <f t="shared" ref="TJ4:TK11" si="158">IF(ST4&gt;0,ST4,"")</f>
        <v/>
      </c>
      <c r="TK4" s="36" t="str">
        <f t="shared" si="158"/>
        <v/>
      </c>
      <c r="TL4" s="36" t="str">
        <f t="shared" ref="TL4:TL11" si="159">IF(SUM(SR4:SU4)-SV4&gt;0,SUM(SR4:SU4)-SV4,"")</f>
        <v/>
      </c>
      <c r="TM4" s="36" t="str">
        <f t="shared" ref="TM4:TM11" si="160">IF(MAX(TI4,TL4)&gt;0,MAX(TI4,TL4),"")</f>
        <v/>
      </c>
      <c r="TN4" s="36" t="str">
        <f t="shared" ref="TN4:TO11" si="161">IF(SY4&gt;0,SY4,"")</f>
        <v/>
      </c>
      <c r="TO4" s="36" t="str">
        <f t="shared" si="161"/>
        <v/>
      </c>
      <c r="TP4" s="36" t="str">
        <f t="shared" ref="TP4:TP11" si="162">IF(SUM(SW4:SZ4)-TA4&gt;0,SUM(SW4:SZ4)-TA4,"")</f>
        <v/>
      </c>
      <c r="TQ4" s="36" t="str">
        <f t="shared" ref="TQ4:TR11" si="163">IF(TD4&gt;0,TD4,"")</f>
        <v/>
      </c>
      <c r="TR4" s="36" t="str">
        <f t="shared" si="163"/>
        <v/>
      </c>
      <c r="TS4" s="36" t="str">
        <f t="shared" ref="TS4:TS11" si="164">IF(SUM(TB4:TE4)-TF4&gt;0,SUM(TB4:TE4)-TF4,"")</f>
        <v/>
      </c>
      <c r="TT4" s="36" t="str">
        <f t="shared" ref="TT4:TT11" si="165">IF(SUM(TM4,TP4,TS4)&gt;0,SUM(TM4,TP4,TS4),"")</f>
        <v/>
      </c>
      <c r="TU4" s="16"/>
      <c r="TV4" s="16"/>
      <c r="TW4" s="16"/>
      <c r="TX4" s="16"/>
      <c r="TY4" s="16"/>
      <c r="TZ4" s="16"/>
      <c r="UA4" s="16"/>
      <c r="UB4" s="16"/>
      <c r="UC4" s="16"/>
      <c r="UD4" s="16"/>
      <c r="UE4" s="16"/>
      <c r="UF4" s="16"/>
      <c r="UG4" s="16"/>
      <c r="UH4" s="16"/>
      <c r="UI4" s="16"/>
      <c r="UJ4" s="16"/>
      <c r="UK4" s="16"/>
      <c r="UL4" s="16"/>
      <c r="UM4" s="16"/>
      <c r="UN4" s="16"/>
      <c r="UO4" s="11" t="str">
        <f t="shared" ref="UO4:UP11" si="166">IF(TW4&gt;0,TW4,"")</f>
        <v/>
      </c>
      <c r="UP4" s="11" t="str">
        <f t="shared" si="166"/>
        <v/>
      </c>
      <c r="UQ4" s="11" t="str">
        <f t="shared" ref="UQ4:UQ11" si="167">IF(SUM(TU4:TX4)-TY4&gt;0,SUM(TU4:TX4)-TY4,"")</f>
        <v/>
      </c>
      <c r="UR4" s="11" t="str">
        <f t="shared" ref="UR4:US11" si="168">IF(UB4&gt;0,UB4,"")</f>
        <v/>
      </c>
      <c r="US4" s="11" t="str">
        <f t="shared" si="168"/>
        <v/>
      </c>
      <c r="UT4" s="11" t="str">
        <f t="shared" ref="UT4:UT11" si="169">IF(SUM(TZ4:UC4)-UD4&gt;0,SUM(TZ4:UC4)-UD4,"")</f>
        <v/>
      </c>
      <c r="UU4" s="11" t="str">
        <f t="shared" ref="UU4:UU11" si="170">IF(MAX(UQ4,UT4)&gt;0,MAX(UQ4,UT4),"")</f>
        <v/>
      </c>
      <c r="UV4" s="11" t="str">
        <f t="shared" ref="UV4:UW11" si="171">IF(UG4&gt;0,UG4,"")</f>
        <v/>
      </c>
      <c r="UW4" s="11" t="str">
        <f t="shared" si="171"/>
        <v/>
      </c>
      <c r="UX4" s="11" t="str">
        <f t="shared" ref="UX4:UX11" si="172">IF(SUM(UE4:UH4)-UI4&gt;0,SUM(UE4:UH4)-UI4,"")</f>
        <v/>
      </c>
      <c r="UY4" s="11" t="str">
        <f t="shared" ref="UY4:UZ11" si="173">IF(UL4&gt;0,UL4,"")</f>
        <v/>
      </c>
      <c r="UZ4" s="11" t="str">
        <f t="shared" si="173"/>
        <v/>
      </c>
      <c r="VA4" s="11" t="str">
        <f t="shared" ref="VA4:VA11" si="174">IF(SUM(UJ4:UM4)-UN4&gt;0,SUM(UJ4:UM4)-UN4,"")</f>
        <v/>
      </c>
      <c r="VB4" s="11" t="str">
        <f t="shared" ref="VB4:VB11" si="175">IF(SUM(UU4,UX4,VA4)&gt;0,SUM(UU4,UX4,VA4),"")</f>
        <v/>
      </c>
      <c r="VC4" s="15"/>
      <c r="VD4" s="15"/>
      <c r="VE4" s="15"/>
      <c r="VF4" s="15"/>
      <c r="VG4" s="15"/>
      <c r="VH4" s="15"/>
      <c r="VI4" s="15"/>
      <c r="VJ4" s="15"/>
      <c r="VK4" s="15"/>
      <c r="VL4" s="15"/>
      <c r="VM4" s="15"/>
      <c r="VN4" s="15"/>
      <c r="VO4" s="15"/>
      <c r="VP4" s="15"/>
      <c r="VQ4" s="15"/>
      <c r="VR4" s="15"/>
      <c r="VS4" s="15"/>
      <c r="VT4" s="15"/>
      <c r="VU4" s="15"/>
      <c r="VV4" s="15"/>
      <c r="VW4" s="36" t="str">
        <f t="shared" ref="VW4:VX11" si="176">IF(VE4&gt;0,VE4,"")</f>
        <v/>
      </c>
      <c r="VX4" s="36" t="str">
        <f t="shared" si="176"/>
        <v/>
      </c>
      <c r="VY4" s="36" t="str">
        <f t="shared" ref="VY4:VY11" si="177">IF(SUM(VC4:VF4)-VG4&gt;0,SUM(VC4:VF4)-VG4,"")</f>
        <v/>
      </c>
      <c r="VZ4" s="36" t="str">
        <f t="shared" ref="VZ4:WA11" si="178">IF(VJ4&gt;0,VJ4,"")</f>
        <v/>
      </c>
      <c r="WA4" s="36" t="str">
        <f t="shared" si="178"/>
        <v/>
      </c>
      <c r="WB4" s="36" t="str">
        <f t="shared" ref="WB4:WB11" si="179">IF(SUM(VH4:VK4)-VL4&gt;0,SUM(VH4:VK4)-VL4,"")</f>
        <v/>
      </c>
      <c r="WC4" s="36" t="str">
        <f t="shared" ref="WC4:WC11" si="180">IF(MAX(VY4,WB4)&gt;0,MAX(VY4,WB4),"")</f>
        <v/>
      </c>
      <c r="WD4" s="36" t="str">
        <f t="shared" ref="WD4:WE11" si="181">IF(VO4&gt;0,VO4,"")</f>
        <v/>
      </c>
      <c r="WE4" s="36" t="str">
        <f t="shared" si="181"/>
        <v/>
      </c>
      <c r="WF4" s="36" t="str">
        <f t="shared" ref="WF4:WF11" si="182">IF(SUM(VM4:VP4)-VQ4&gt;0,SUM(VM4:VP4)-VQ4,"")</f>
        <v/>
      </c>
      <c r="WG4" s="36" t="str">
        <f t="shared" ref="WG4:WH11" si="183">IF(VT4&gt;0,VT4,"")</f>
        <v/>
      </c>
      <c r="WH4" s="36" t="str">
        <f t="shared" si="183"/>
        <v/>
      </c>
      <c r="WI4" s="36" t="str">
        <f t="shared" ref="WI4:WI11" si="184">IF(SUM(VR4:VU4)-VV4&gt;0,SUM(VR4:VU4)-VV4,"")</f>
        <v/>
      </c>
      <c r="WJ4" s="36" t="str">
        <f t="shared" ref="WJ4:WJ11" si="185">IF(SUM(WC4,WF4,WI4)&gt;0,SUM(WC4,WF4,WI4),"")</f>
        <v/>
      </c>
    </row>
    <row r="5" spans="1:608" x14ac:dyDescent="0.2">
      <c r="A5" s="4" cm="1">
        <f t="array" ref="A5">IF(AND(H5&lt;&gt;"",H5&lt;&gt;"No DD"),SUMPRODUCT((H$4:H$12&lt;&gt;"")*(H$4:H$12&lt;&gt;"No DD")*(E$4:E$12&gt;E5))+1,IF(H5="No DD",SUMPRODUCT((H$4:H$12="No DD")*(E$4:E$12&gt;E5))+1+SUMPRODUCT((H$4:H$12&lt;&gt;"")*(H$4:H$12&lt;&gt;"No DD")),""))</f>
        <v>2</v>
      </c>
      <c r="B5" s="5" t="s">
        <v>130</v>
      </c>
      <c r="C5" s="4" t="s">
        <v>131</v>
      </c>
      <c r="D5" s="4" t="s">
        <v>134</v>
      </c>
      <c r="E5" s="9">
        <f t="shared" si="0"/>
        <v>91.880008041004785</v>
      </c>
      <c r="F5" s="3" t="str">
        <f t="shared" si="1"/>
        <v>P</v>
      </c>
      <c r="G5" s="3" t="str">
        <f t="shared" si="2"/>
        <v>P</v>
      </c>
      <c r="H5" s="32" t="str">
        <f t="shared" si="3"/>
        <v>National Team</v>
      </c>
      <c r="I5" s="3" t="str">
        <f t="shared" si="4"/>
        <v/>
      </c>
      <c r="J5" s="8">
        <f t="shared" si="5"/>
        <v>47.870000000000005</v>
      </c>
      <c r="K5" s="8" t="str">
        <f t="shared" si="6"/>
        <v>2025 Elite Canada</v>
      </c>
      <c r="L5" s="8">
        <f>IFERROR(LARGE((AI5,AL5,AP5,BJ5,BM5,BQ5,CK5,CN5,CR5),2),0)</f>
        <v>32.54</v>
      </c>
      <c r="M5" s="8" t="str">
        <f t="shared" si="7"/>
        <v>2025 Elite Canada</v>
      </c>
      <c r="N5" s="8">
        <f t="shared" si="8"/>
        <v>11.469999999999999</v>
      </c>
      <c r="O5" s="11" t="str">
        <f t="shared" si="9"/>
        <v>(Any)</v>
      </c>
      <c r="P5" s="8" t="str">
        <f t="shared" si="10"/>
        <v>2025 World Cup ITA (April 5)</v>
      </c>
      <c r="Q5" s="18">
        <v>5.45</v>
      </c>
      <c r="R5" s="18">
        <v>6.25</v>
      </c>
      <c r="S5" s="18">
        <v>9.6999999999999993</v>
      </c>
      <c r="T5" s="18">
        <v>11.14</v>
      </c>
      <c r="U5" s="18">
        <v>0</v>
      </c>
      <c r="V5" s="18">
        <v>8.0500000000000007</v>
      </c>
      <c r="W5" s="18">
        <v>9.4</v>
      </c>
      <c r="X5" s="18">
        <v>13.4</v>
      </c>
      <c r="Y5" s="18">
        <v>17.02</v>
      </c>
      <c r="Z5" s="18">
        <v>0</v>
      </c>
      <c r="AA5" s="18"/>
      <c r="AB5" s="18"/>
      <c r="AC5" s="18"/>
      <c r="AD5" s="18"/>
      <c r="AE5" s="18"/>
      <c r="AF5" s="23"/>
      <c r="AG5" s="34">
        <f t="shared" si="11"/>
        <v>9.6999999999999993</v>
      </c>
      <c r="AH5" s="34">
        <f t="shared" si="11"/>
        <v>11.14</v>
      </c>
      <c r="AI5" s="36">
        <f t="shared" si="12"/>
        <v>32.54</v>
      </c>
      <c r="AJ5" s="36">
        <f t="shared" si="13"/>
        <v>13.4</v>
      </c>
      <c r="AK5" s="36">
        <f t="shared" si="13"/>
        <v>17.02</v>
      </c>
      <c r="AL5" s="36">
        <f t="shared" si="14"/>
        <v>47.870000000000005</v>
      </c>
      <c r="AM5" s="36">
        <f t="shared" si="15"/>
        <v>47.870000000000005</v>
      </c>
      <c r="AN5" s="36" t="str">
        <f t="shared" si="16"/>
        <v/>
      </c>
      <c r="AO5" s="36" t="str">
        <f t="shared" si="16"/>
        <v/>
      </c>
      <c r="AP5" s="36" t="str">
        <f t="shared" si="17"/>
        <v/>
      </c>
      <c r="AQ5" s="36">
        <f t="shared" si="18"/>
        <v>47.870000000000005</v>
      </c>
      <c r="AR5" s="22">
        <v>2.7250000000000001</v>
      </c>
      <c r="AS5" s="22">
        <v>3.125</v>
      </c>
      <c r="AT5" s="22">
        <v>4.8499999999999996</v>
      </c>
      <c r="AU5" s="22">
        <v>5.57</v>
      </c>
      <c r="AV5" s="22">
        <v>0</v>
      </c>
      <c r="AW5" s="22">
        <v>4.0250000000000004</v>
      </c>
      <c r="AX5" s="22">
        <v>4.7</v>
      </c>
      <c r="AY5" s="22">
        <v>6.7</v>
      </c>
      <c r="AZ5" s="22">
        <v>8.51</v>
      </c>
      <c r="BA5" s="22">
        <v>0</v>
      </c>
      <c r="BB5" s="22">
        <v>0</v>
      </c>
      <c r="BC5" s="22">
        <v>0</v>
      </c>
      <c r="BD5" s="22">
        <v>0</v>
      </c>
      <c r="BE5" s="22">
        <v>0</v>
      </c>
      <c r="BF5" s="22">
        <v>0</v>
      </c>
      <c r="BG5" s="24" t="s">
        <v>42</v>
      </c>
      <c r="BH5" s="35">
        <f t="shared" si="19"/>
        <v>4.8499999999999996</v>
      </c>
      <c r="BI5" s="35">
        <f t="shared" si="19"/>
        <v>5.57</v>
      </c>
      <c r="BJ5" s="11">
        <f t="shared" si="20"/>
        <v>16.27</v>
      </c>
      <c r="BK5" s="11">
        <f t="shared" si="21"/>
        <v>6.7</v>
      </c>
      <c r="BL5" s="11">
        <f t="shared" si="21"/>
        <v>8.51</v>
      </c>
      <c r="BM5" s="11">
        <f t="shared" si="22"/>
        <v>23.935000000000002</v>
      </c>
      <c r="BN5" s="11">
        <f t="shared" si="23"/>
        <v>23.935000000000002</v>
      </c>
      <c r="BO5" s="11" t="str">
        <f t="shared" si="24"/>
        <v/>
      </c>
      <c r="BP5" s="11" t="str">
        <f t="shared" si="24"/>
        <v/>
      </c>
      <c r="BQ5" s="11" t="str">
        <f t="shared" si="25"/>
        <v/>
      </c>
      <c r="BR5" s="11">
        <f t="shared" si="26"/>
        <v>23.935000000000002</v>
      </c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23"/>
      <c r="CI5" s="34" t="str">
        <f t="shared" si="27"/>
        <v/>
      </c>
      <c r="CJ5" s="34" t="str">
        <f t="shared" si="27"/>
        <v/>
      </c>
      <c r="CK5" s="36" t="str">
        <f t="shared" si="28"/>
        <v/>
      </c>
      <c r="CL5" s="36" t="str">
        <f t="shared" si="29"/>
        <v/>
      </c>
      <c r="CM5" s="36" t="str">
        <f t="shared" si="29"/>
        <v/>
      </c>
      <c r="CN5" s="36" t="str">
        <f t="shared" si="30"/>
        <v/>
      </c>
      <c r="CO5" s="36" t="str">
        <f t="shared" si="31"/>
        <v/>
      </c>
      <c r="CP5" s="36" t="str">
        <f t="shared" si="32"/>
        <v/>
      </c>
      <c r="CQ5" s="36" t="str">
        <f t="shared" si="32"/>
        <v/>
      </c>
      <c r="CR5" s="36" t="str">
        <f t="shared" si="33"/>
        <v/>
      </c>
      <c r="CS5" s="36" t="str">
        <f t="shared" si="34"/>
        <v/>
      </c>
      <c r="CT5" s="47">
        <f t="shared" si="35"/>
        <v>11.469999999999999</v>
      </c>
      <c r="CU5" s="15">
        <v>4.2</v>
      </c>
      <c r="CV5" s="15">
        <v>5.7</v>
      </c>
      <c r="CW5" s="15">
        <v>8.4</v>
      </c>
      <c r="CX5" s="15">
        <v>10.6</v>
      </c>
      <c r="CY5" s="15">
        <v>0</v>
      </c>
      <c r="CZ5" s="15">
        <v>6.7</v>
      </c>
      <c r="DA5" s="15">
        <v>8.5500000000000007</v>
      </c>
      <c r="DB5" s="15">
        <v>11.9</v>
      </c>
      <c r="DC5" s="15">
        <v>16.86</v>
      </c>
      <c r="DD5" s="15">
        <v>0</v>
      </c>
      <c r="DE5" s="15"/>
      <c r="DF5" s="15"/>
      <c r="DG5" s="15"/>
      <c r="DH5" s="15"/>
      <c r="DI5" s="15"/>
      <c r="DJ5" s="15"/>
      <c r="DK5" s="15"/>
      <c r="DL5" s="15"/>
      <c r="DM5" s="15"/>
      <c r="DN5" s="15"/>
      <c r="DO5" s="36">
        <f t="shared" si="36"/>
        <v>8.4</v>
      </c>
      <c r="DP5" s="36">
        <f t="shared" si="36"/>
        <v>10.6</v>
      </c>
      <c r="DQ5" s="36">
        <f t="shared" si="37"/>
        <v>28.9</v>
      </c>
      <c r="DR5" s="36">
        <f t="shared" si="38"/>
        <v>11.9</v>
      </c>
      <c r="DS5" s="36">
        <f t="shared" si="38"/>
        <v>16.86</v>
      </c>
      <c r="DT5" s="36">
        <f t="shared" si="39"/>
        <v>44.01</v>
      </c>
      <c r="DU5" s="36">
        <f t="shared" si="40"/>
        <v>44.01</v>
      </c>
      <c r="DV5" s="36" t="str">
        <f t="shared" si="41"/>
        <v/>
      </c>
      <c r="DW5" s="36" t="str">
        <f t="shared" si="41"/>
        <v/>
      </c>
      <c r="DX5" s="36" t="str">
        <f t="shared" si="42"/>
        <v/>
      </c>
      <c r="DY5" s="36" t="str">
        <f t="shared" si="43"/>
        <v/>
      </c>
      <c r="DZ5" s="36" t="str">
        <f t="shared" si="43"/>
        <v/>
      </c>
      <c r="EA5" s="36" t="str">
        <f t="shared" si="44"/>
        <v/>
      </c>
      <c r="EB5" s="36">
        <f t="shared" si="45"/>
        <v>44.01</v>
      </c>
      <c r="EC5" s="16"/>
      <c r="ED5" s="16"/>
      <c r="EE5" s="16"/>
      <c r="EF5" s="16"/>
      <c r="EG5" s="16"/>
      <c r="EH5" s="16"/>
      <c r="EI5" s="16"/>
      <c r="EJ5" s="16"/>
      <c r="EK5" s="16"/>
      <c r="EL5" s="16"/>
      <c r="EM5" s="16"/>
      <c r="EN5" s="16"/>
      <c r="EO5" s="16"/>
      <c r="EP5" s="16"/>
      <c r="EQ5" s="16"/>
      <c r="ER5" s="16"/>
      <c r="ES5" s="16"/>
      <c r="ET5" s="16"/>
      <c r="EU5" s="16"/>
      <c r="EV5" s="16"/>
      <c r="EW5" s="11" t="str">
        <f t="shared" si="46"/>
        <v/>
      </c>
      <c r="EX5" s="11" t="str">
        <f t="shared" si="46"/>
        <v/>
      </c>
      <c r="EY5" s="11" t="str">
        <f t="shared" si="47"/>
        <v/>
      </c>
      <c r="EZ5" s="11" t="str">
        <f t="shared" si="48"/>
        <v/>
      </c>
      <c r="FA5" s="11" t="str">
        <f t="shared" si="48"/>
        <v/>
      </c>
      <c r="FB5" s="11" t="str">
        <f t="shared" si="49"/>
        <v/>
      </c>
      <c r="FC5" s="11" t="str">
        <f t="shared" si="50"/>
        <v/>
      </c>
      <c r="FD5" s="11" t="str">
        <f t="shared" si="51"/>
        <v/>
      </c>
      <c r="FE5" s="11" t="str">
        <f t="shared" si="51"/>
        <v/>
      </c>
      <c r="FF5" s="11" t="str">
        <f t="shared" si="52"/>
        <v/>
      </c>
      <c r="FG5" s="11" t="str">
        <f t="shared" si="53"/>
        <v/>
      </c>
      <c r="FH5" s="11" t="str">
        <f t="shared" si="53"/>
        <v/>
      </c>
      <c r="FI5" s="11" t="str">
        <f t="shared" si="54"/>
        <v/>
      </c>
      <c r="FJ5" s="11" t="str">
        <f t="shared" si="55"/>
        <v/>
      </c>
      <c r="FK5" s="15"/>
      <c r="FL5" s="15"/>
      <c r="FM5" s="15"/>
      <c r="FN5" s="15"/>
      <c r="FO5" s="15"/>
      <c r="FP5" s="15"/>
      <c r="FQ5" s="15"/>
      <c r="FR5" s="15"/>
      <c r="FS5" s="15"/>
      <c r="FT5" s="15"/>
      <c r="FU5" s="15"/>
      <c r="FV5" s="15"/>
      <c r="FW5" s="15"/>
      <c r="FX5" s="15"/>
      <c r="FY5" s="15"/>
      <c r="FZ5" s="15"/>
      <c r="GA5" s="15"/>
      <c r="GB5" s="15"/>
      <c r="GC5" s="15"/>
      <c r="GD5" s="15"/>
      <c r="GE5" s="36" t="str">
        <f t="shared" si="56"/>
        <v/>
      </c>
      <c r="GF5" s="36" t="str">
        <f t="shared" si="56"/>
        <v/>
      </c>
      <c r="GG5" s="36" t="str">
        <f t="shared" si="57"/>
        <v/>
      </c>
      <c r="GH5" s="36" t="str">
        <f t="shared" si="58"/>
        <v/>
      </c>
      <c r="GI5" s="36" t="str">
        <f t="shared" si="58"/>
        <v/>
      </c>
      <c r="GJ5" s="36" t="str">
        <f t="shared" si="59"/>
        <v/>
      </c>
      <c r="GK5" s="36" t="str">
        <f t="shared" si="60"/>
        <v/>
      </c>
      <c r="GL5" s="36" t="str">
        <f t="shared" si="61"/>
        <v/>
      </c>
      <c r="GM5" s="36" t="str">
        <f t="shared" si="61"/>
        <v/>
      </c>
      <c r="GN5" s="36" t="str">
        <f t="shared" si="62"/>
        <v/>
      </c>
      <c r="GO5" s="36" t="str">
        <f t="shared" si="63"/>
        <v/>
      </c>
      <c r="GP5" s="36" t="str">
        <f t="shared" si="63"/>
        <v/>
      </c>
      <c r="GQ5" s="36" t="str">
        <f t="shared" si="64"/>
        <v/>
      </c>
      <c r="GR5" s="36" t="str">
        <f t="shared" si="65"/>
        <v/>
      </c>
      <c r="GS5" s="16"/>
      <c r="GT5" s="16"/>
      <c r="GU5" s="16"/>
      <c r="GV5" s="16"/>
      <c r="GW5" s="16"/>
      <c r="GX5" s="16"/>
      <c r="GY5" s="16"/>
      <c r="GZ5" s="16"/>
      <c r="HA5" s="16"/>
      <c r="HB5" s="16"/>
      <c r="HC5" s="16"/>
      <c r="HD5" s="16"/>
      <c r="HE5" s="16"/>
      <c r="HF5" s="16"/>
      <c r="HG5" s="16"/>
      <c r="HH5" s="16"/>
      <c r="HI5" s="16"/>
      <c r="HJ5" s="16"/>
      <c r="HK5" s="16"/>
      <c r="HL5" s="16"/>
      <c r="HM5" s="11" t="str">
        <f t="shared" si="66"/>
        <v/>
      </c>
      <c r="HN5" s="11" t="str">
        <f t="shared" si="66"/>
        <v/>
      </c>
      <c r="HO5" s="11" t="str">
        <f t="shared" si="67"/>
        <v/>
      </c>
      <c r="HP5" s="11" t="str">
        <f t="shared" si="68"/>
        <v/>
      </c>
      <c r="HQ5" s="11" t="str">
        <f t="shared" si="68"/>
        <v/>
      </c>
      <c r="HR5" s="11" t="str">
        <f t="shared" si="69"/>
        <v/>
      </c>
      <c r="HS5" s="11" t="str">
        <f t="shared" si="70"/>
        <v/>
      </c>
      <c r="HT5" s="11" t="str">
        <f t="shared" si="71"/>
        <v/>
      </c>
      <c r="HU5" s="11" t="str">
        <f t="shared" si="71"/>
        <v/>
      </c>
      <c r="HV5" s="11" t="str">
        <f t="shared" si="72"/>
        <v/>
      </c>
      <c r="HW5" s="11" t="str">
        <f t="shared" si="73"/>
        <v/>
      </c>
      <c r="HX5" s="11" t="str">
        <f t="shared" si="73"/>
        <v/>
      </c>
      <c r="HY5" s="11" t="str">
        <f t="shared" si="74"/>
        <v/>
      </c>
      <c r="HZ5" s="11" t="str">
        <f t="shared" si="75"/>
        <v/>
      </c>
      <c r="IA5" s="15"/>
      <c r="IB5" s="15"/>
      <c r="IC5" s="15"/>
      <c r="ID5" s="15"/>
      <c r="IE5" s="15"/>
      <c r="IF5" s="15"/>
      <c r="IG5" s="15"/>
      <c r="IH5" s="15"/>
      <c r="II5" s="15"/>
      <c r="IJ5" s="15"/>
      <c r="IK5" s="15"/>
      <c r="IL5" s="15"/>
      <c r="IM5" s="15"/>
      <c r="IN5" s="15"/>
      <c r="IO5" s="15"/>
      <c r="IP5" s="15"/>
      <c r="IQ5" s="15"/>
      <c r="IR5" s="15"/>
      <c r="IS5" s="15"/>
      <c r="IT5" s="15"/>
      <c r="IU5" s="36" t="str">
        <f t="shared" si="76"/>
        <v/>
      </c>
      <c r="IV5" s="36" t="str">
        <f t="shared" si="76"/>
        <v/>
      </c>
      <c r="IW5" s="36" t="str">
        <f t="shared" si="77"/>
        <v/>
      </c>
      <c r="IX5" s="36" t="str">
        <f t="shared" si="78"/>
        <v/>
      </c>
      <c r="IY5" s="36" t="str">
        <f t="shared" si="78"/>
        <v/>
      </c>
      <c r="IZ5" s="36" t="str">
        <f t="shared" si="79"/>
        <v/>
      </c>
      <c r="JA5" s="36" t="str">
        <f t="shared" si="80"/>
        <v/>
      </c>
      <c r="JB5" s="36" t="str">
        <f t="shared" si="81"/>
        <v/>
      </c>
      <c r="JC5" s="36" t="str">
        <f t="shared" si="81"/>
        <v/>
      </c>
      <c r="JD5" s="36" t="str">
        <f t="shared" si="82"/>
        <v/>
      </c>
      <c r="JE5" s="36" t="str">
        <f t="shared" si="83"/>
        <v/>
      </c>
      <c r="JF5" s="36" t="str">
        <f t="shared" si="83"/>
        <v/>
      </c>
      <c r="JG5" s="36" t="str">
        <f t="shared" si="84"/>
        <v/>
      </c>
      <c r="JH5" s="36" t="str">
        <f t="shared" si="85"/>
        <v/>
      </c>
      <c r="JI5" s="16"/>
      <c r="JJ5" s="16"/>
      <c r="JK5" s="16"/>
      <c r="JL5" s="16"/>
      <c r="JM5" s="16"/>
      <c r="JN5" s="16"/>
      <c r="JO5" s="16"/>
      <c r="JP5" s="16"/>
      <c r="JQ5" s="16"/>
      <c r="JR5" s="16"/>
      <c r="JS5" s="16"/>
      <c r="JT5" s="16"/>
      <c r="JU5" s="16"/>
      <c r="JV5" s="16"/>
      <c r="JW5" s="16"/>
      <c r="JX5" s="16"/>
      <c r="JY5" s="16"/>
      <c r="JZ5" s="16"/>
      <c r="KA5" s="16"/>
      <c r="KB5" s="16"/>
      <c r="KC5" s="11" t="str">
        <f t="shared" si="86"/>
        <v/>
      </c>
      <c r="KD5" s="11" t="str">
        <f t="shared" si="86"/>
        <v/>
      </c>
      <c r="KE5" s="11" t="str">
        <f t="shared" si="87"/>
        <v/>
      </c>
      <c r="KF5" s="11" t="str">
        <f t="shared" si="88"/>
        <v/>
      </c>
      <c r="KG5" s="11" t="str">
        <f t="shared" si="88"/>
        <v/>
      </c>
      <c r="KH5" s="11" t="str">
        <f t="shared" si="89"/>
        <v/>
      </c>
      <c r="KI5" s="11" t="str">
        <f t="shared" si="90"/>
        <v/>
      </c>
      <c r="KJ5" s="11" t="str">
        <f t="shared" si="91"/>
        <v/>
      </c>
      <c r="KK5" s="11" t="str">
        <f t="shared" si="91"/>
        <v/>
      </c>
      <c r="KL5" s="11" t="str">
        <f t="shared" si="92"/>
        <v/>
      </c>
      <c r="KM5" s="11" t="str">
        <f t="shared" si="93"/>
        <v/>
      </c>
      <c r="KN5" s="11" t="str">
        <f t="shared" si="93"/>
        <v/>
      </c>
      <c r="KO5" s="11" t="str">
        <f t="shared" si="94"/>
        <v/>
      </c>
      <c r="KP5" s="11" t="str">
        <f t="shared" si="95"/>
        <v/>
      </c>
      <c r="KQ5" s="15"/>
      <c r="KR5" s="15"/>
      <c r="KS5" s="15"/>
      <c r="KT5" s="15"/>
      <c r="KU5" s="15"/>
      <c r="KV5" s="15"/>
      <c r="KW5" s="15"/>
      <c r="KX5" s="15"/>
      <c r="KY5" s="15"/>
      <c r="KZ5" s="15"/>
      <c r="LA5" s="15"/>
      <c r="LB5" s="15"/>
      <c r="LC5" s="15"/>
      <c r="LD5" s="15"/>
      <c r="LE5" s="15"/>
      <c r="LF5" s="15"/>
      <c r="LG5" s="15"/>
      <c r="LH5" s="15"/>
      <c r="LI5" s="15"/>
      <c r="LJ5" s="15"/>
      <c r="LK5" s="36" t="str">
        <f t="shared" si="96"/>
        <v/>
      </c>
      <c r="LL5" s="36" t="str">
        <f t="shared" si="96"/>
        <v/>
      </c>
      <c r="LM5" s="36" t="str">
        <f t="shared" si="97"/>
        <v/>
      </c>
      <c r="LN5" s="36" t="str">
        <f t="shared" si="98"/>
        <v/>
      </c>
      <c r="LO5" s="36" t="str">
        <f t="shared" si="98"/>
        <v/>
      </c>
      <c r="LP5" s="36" t="str">
        <f t="shared" si="99"/>
        <v/>
      </c>
      <c r="LQ5" s="36" t="str">
        <f t="shared" si="100"/>
        <v/>
      </c>
      <c r="LR5" s="36" t="str">
        <f t="shared" si="101"/>
        <v/>
      </c>
      <c r="LS5" s="36" t="str">
        <f t="shared" si="101"/>
        <v/>
      </c>
      <c r="LT5" s="36" t="str">
        <f t="shared" si="102"/>
        <v/>
      </c>
      <c r="LU5" s="36" t="str">
        <f t="shared" si="103"/>
        <v/>
      </c>
      <c r="LV5" s="36" t="str">
        <f t="shared" si="103"/>
        <v/>
      </c>
      <c r="LW5" s="36" t="str">
        <f t="shared" si="104"/>
        <v/>
      </c>
      <c r="LX5" s="36" t="str">
        <f t="shared" si="105"/>
        <v/>
      </c>
      <c r="LY5" s="16"/>
      <c r="LZ5" s="16"/>
      <c r="MA5" s="16"/>
      <c r="MB5" s="16"/>
      <c r="MC5" s="16"/>
      <c r="MD5" s="16"/>
      <c r="ME5" s="16"/>
      <c r="MF5" s="16"/>
      <c r="MG5" s="16"/>
      <c r="MH5" s="16"/>
      <c r="MI5" s="16"/>
      <c r="MJ5" s="16"/>
      <c r="MK5" s="16"/>
      <c r="ML5" s="16"/>
      <c r="MM5" s="16"/>
      <c r="MN5" s="16"/>
      <c r="MO5" s="16"/>
      <c r="MP5" s="16"/>
      <c r="MQ5" s="16"/>
      <c r="MR5" s="16"/>
      <c r="MS5" s="11" t="str">
        <f t="shared" si="106"/>
        <v/>
      </c>
      <c r="MT5" s="11" t="str">
        <f t="shared" si="106"/>
        <v/>
      </c>
      <c r="MU5" s="11" t="str">
        <f t="shared" si="107"/>
        <v/>
      </c>
      <c r="MV5" s="11" t="str">
        <f t="shared" si="108"/>
        <v/>
      </c>
      <c r="MW5" s="11" t="str">
        <f t="shared" si="108"/>
        <v/>
      </c>
      <c r="MX5" s="11" t="str">
        <f t="shared" si="109"/>
        <v/>
      </c>
      <c r="MY5" s="11" t="str">
        <f t="shared" si="110"/>
        <v/>
      </c>
      <c r="MZ5" s="11" t="str">
        <f t="shared" si="111"/>
        <v/>
      </c>
      <c r="NA5" s="11" t="str">
        <f t="shared" si="111"/>
        <v/>
      </c>
      <c r="NB5" s="11" t="str">
        <f t="shared" si="112"/>
        <v/>
      </c>
      <c r="NC5" s="11" t="str">
        <f t="shared" si="113"/>
        <v/>
      </c>
      <c r="ND5" s="11" t="str">
        <f t="shared" si="113"/>
        <v/>
      </c>
      <c r="NE5" s="11" t="str">
        <f t="shared" si="114"/>
        <v/>
      </c>
      <c r="NF5" s="11" t="str">
        <f t="shared" si="115"/>
        <v/>
      </c>
      <c r="NG5" s="15"/>
      <c r="NH5" s="15"/>
      <c r="NI5" s="15"/>
      <c r="NJ5" s="15"/>
      <c r="NK5" s="15"/>
      <c r="NL5" s="15"/>
      <c r="NM5" s="15"/>
      <c r="NN5" s="15"/>
      <c r="NO5" s="15"/>
      <c r="NP5" s="15"/>
      <c r="NQ5" s="15"/>
      <c r="NR5" s="15"/>
      <c r="NS5" s="15"/>
      <c r="NT5" s="15"/>
      <c r="NU5" s="15"/>
      <c r="NV5" s="15"/>
      <c r="NW5" s="15"/>
      <c r="NX5" s="15"/>
      <c r="NY5" s="15"/>
      <c r="NZ5" s="15"/>
      <c r="OA5" s="36" t="str">
        <f t="shared" si="116"/>
        <v/>
      </c>
      <c r="OB5" s="36" t="str">
        <f t="shared" si="116"/>
        <v/>
      </c>
      <c r="OC5" s="36" t="str">
        <f t="shared" si="117"/>
        <v/>
      </c>
      <c r="OD5" s="36" t="str">
        <f t="shared" si="118"/>
        <v/>
      </c>
      <c r="OE5" s="36" t="str">
        <f t="shared" si="118"/>
        <v/>
      </c>
      <c r="OF5" s="36" t="str">
        <f t="shared" si="119"/>
        <v/>
      </c>
      <c r="OG5" s="36" t="str">
        <f t="shared" si="120"/>
        <v/>
      </c>
      <c r="OH5" s="36" t="str">
        <f t="shared" si="121"/>
        <v/>
      </c>
      <c r="OI5" s="36" t="str">
        <f t="shared" si="121"/>
        <v/>
      </c>
      <c r="OJ5" s="36" t="str">
        <f t="shared" si="122"/>
        <v/>
      </c>
      <c r="OK5" s="36" t="str">
        <f t="shared" si="123"/>
        <v/>
      </c>
      <c r="OL5" s="36" t="str">
        <f t="shared" si="123"/>
        <v/>
      </c>
      <c r="OM5" s="36" t="str">
        <f t="shared" si="124"/>
        <v/>
      </c>
      <c r="ON5" s="36" t="str">
        <f t="shared" si="125"/>
        <v/>
      </c>
      <c r="OO5" s="16"/>
      <c r="OP5" s="16"/>
      <c r="OQ5" s="16"/>
      <c r="OR5" s="16"/>
      <c r="OS5" s="16"/>
      <c r="OT5" s="16"/>
      <c r="OU5" s="16"/>
      <c r="OV5" s="16"/>
      <c r="OW5" s="16"/>
      <c r="OX5" s="16"/>
      <c r="OY5" s="16"/>
      <c r="OZ5" s="16"/>
      <c r="PA5" s="16"/>
      <c r="PB5" s="16"/>
      <c r="PC5" s="16"/>
      <c r="PD5" s="16"/>
      <c r="PE5" s="16"/>
      <c r="PF5" s="16"/>
      <c r="PG5" s="16"/>
      <c r="PH5" s="16"/>
      <c r="PI5" s="11" t="str">
        <f t="shared" si="126"/>
        <v/>
      </c>
      <c r="PJ5" s="11" t="str">
        <f t="shared" si="126"/>
        <v/>
      </c>
      <c r="PK5" s="11" t="str">
        <f t="shared" si="127"/>
        <v/>
      </c>
      <c r="PL5" s="11" t="str">
        <f t="shared" si="128"/>
        <v/>
      </c>
      <c r="PM5" s="11" t="str">
        <f t="shared" si="128"/>
        <v/>
      </c>
      <c r="PN5" s="11" t="str">
        <f t="shared" si="129"/>
        <v/>
      </c>
      <c r="PO5" s="11" t="str">
        <f t="shared" si="130"/>
        <v/>
      </c>
      <c r="PP5" s="11" t="str">
        <f t="shared" si="131"/>
        <v/>
      </c>
      <c r="PQ5" s="11" t="str">
        <f t="shared" si="131"/>
        <v/>
      </c>
      <c r="PR5" s="11" t="str">
        <f t="shared" si="132"/>
        <v/>
      </c>
      <c r="PS5" s="11" t="str">
        <f t="shared" si="133"/>
        <v/>
      </c>
      <c r="PT5" s="11" t="str">
        <f t="shared" si="133"/>
        <v/>
      </c>
      <c r="PU5" s="11" t="str">
        <f t="shared" si="134"/>
        <v/>
      </c>
      <c r="PV5" s="11" t="str">
        <f t="shared" si="135"/>
        <v/>
      </c>
      <c r="PW5" s="15"/>
      <c r="PX5" s="15"/>
      <c r="PY5" s="15"/>
      <c r="PZ5" s="15"/>
      <c r="QA5" s="15"/>
      <c r="QB5" s="15"/>
      <c r="QC5" s="15"/>
      <c r="QD5" s="15"/>
      <c r="QE5" s="15"/>
      <c r="QF5" s="15"/>
      <c r="QG5" s="15"/>
      <c r="QH5" s="15"/>
      <c r="QI5" s="15"/>
      <c r="QJ5" s="15"/>
      <c r="QK5" s="15"/>
      <c r="QL5" s="15"/>
      <c r="QM5" s="15"/>
      <c r="QN5" s="15"/>
      <c r="QO5" s="15"/>
      <c r="QP5" s="15"/>
      <c r="QQ5" s="36" t="str">
        <f t="shared" si="136"/>
        <v/>
      </c>
      <c r="QR5" s="36" t="str">
        <f t="shared" si="136"/>
        <v/>
      </c>
      <c r="QS5" s="36" t="str">
        <f t="shared" si="137"/>
        <v/>
      </c>
      <c r="QT5" s="36" t="str">
        <f t="shared" si="138"/>
        <v/>
      </c>
      <c r="QU5" s="36" t="str">
        <f t="shared" si="138"/>
        <v/>
      </c>
      <c r="QV5" s="36" t="str">
        <f t="shared" si="139"/>
        <v/>
      </c>
      <c r="QW5" s="36" t="str">
        <f t="shared" si="140"/>
        <v/>
      </c>
      <c r="QX5" s="36" t="str">
        <f t="shared" si="141"/>
        <v/>
      </c>
      <c r="QY5" s="36" t="str">
        <f t="shared" si="141"/>
        <v/>
      </c>
      <c r="QZ5" s="36" t="str">
        <f t="shared" si="142"/>
        <v/>
      </c>
      <c r="RA5" s="36" t="str">
        <f t="shared" si="143"/>
        <v/>
      </c>
      <c r="RB5" s="36" t="str">
        <f t="shared" si="143"/>
        <v/>
      </c>
      <c r="RC5" s="36" t="str">
        <f t="shared" si="144"/>
        <v/>
      </c>
      <c r="RD5" s="36" t="str">
        <f t="shared" si="145"/>
        <v/>
      </c>
      <c r="RE5" s="16"/>
      <c r="RF5" s="16"/>
      <c r="RG5" s="16"/>
      <c r="RH5" s="16"/>
      <c r="RI5" s="16"/>
      <c r="RJ5" s="16"/>
      <c r="RK5" s="16"/>
      <c r="RL5" s="16"/>
      <c r="RM5" s="16"/>
      <c r="RN5" s="16"/>
      <c r="RO5" s="16"/>
      <c r="RP5" s="16"/>
      <c r="RQ5" s="16"/>
      <c r="RR5" s="16"/>
      <c r="RS5" s="16"/>
      <c r="RT5" s="16"/>
      <c r="RU5" s="16"/>
      <c r="RV5" s="16"/>
      <c r="RW5" s="16"/>
      <c r="RX5" s="16"/>
      <c r="RY5" s="11" t="str">
        <f t="shared" si="146"/>
        <v/>
      </c>
      <c r="RZ5" s="11" t="str">
        <f t="shared" si="146"/>
        <v/>
      </c>
      <c r="SA5" s="11" t="str">
        <f t="shared" si="147"/>
        <v/>
      </c>
      <c r="SB5" s="11" t="str">
        <f t="shared" si="148"/>
        <v/>
      </c>
      <c r="SC5" s="11" t="str">
        <f t="shared" si="148"/>
        <v/>
      </c>
      <c r="SD5" s="11" t="str">
        <f t="shared" si="149"/>
        <v/>
      </c>
      <c r="SE5" s="11" t="str">
        <f t="shared" si="150"/>
        <v/>
      </c>
      <c r="SF5" s="11" t="str">
        <f t="shared" si="151"/>
        <v/>
      </c>
      <c r="SG5" s="11" t="str">
        <f t="shared" si="151"/>
        <v/>
      </c>
      <c r="SH5" s="11" t="str">
        <f t="shared" si="152"/>
        <v/>
      </c>
      <c r="SI5" s="11" t="str">
        <f t="shared" si="153"/>
        <v/>
      </c>
      <c r="SJ5" s="11" t="str">
        <f t="shared" si="153"/>
        <v/>
      </c>
      <c r="SK5" s="11" t="str">
        <f t="shared" si="154"/>
        <v/>
      </c>
      <c r="SL5" s="11" t="str">
        <f t="shared" si="155"/>
        <v/>
      </c>
      <c r="SM5" s="15"/>
      <c r="SN5" s="15"/>
      <c r="SO5" s="15"/>
      <c r="SP5" s="15"/>
      <c r="SQ5" s="15"/>
      <c r="SR5" s="15"/>
      <c r="SS5" s="15"/>
      <c r="ST5" s="15"/>
      <c r="SU5" s="15"/>
      <c r="SV5" s="15"/>
      <c r="SW5" s="15"/>
      <c r="SX5" s="15"/>
      <c r="SY5" s="15"/>
      <c r="SZ5" s="15"/>
      <c r="TA5" s="15"/>
      <c r="TB5" s="15"/>
      <c r="TC5" s="15"/>
      <c r="TD5" s="15"/>
      <c r="TE5" s="15"/>
      <c r="TF5" s="15"/>
      <c r="TG5" s="36" t="str">
        <f t="shared" si="156"/>
        <v/>
      </c>
      <c r="TH5" s="36" t="str">
        <f t="shared" si="156"/>
        <v/>
      </c>
      <c r="TI5" s="36" t="str">
        <f t="shared" si="157"/>
        <v/>
      </c>
      <c r="TJ5" s="36" t="str">
        <f t="shared" si="158"/>
        <v/>
      </c>
      <c r="TK5" s="36" t="str">
        <f t="shared" si="158"/>
        <v/>
      </c>
      <c r="TL5" s="36" t="str">
        <f t="shared" si="159"/>
        <v/>
      </c>
      <c r="TM5" s="36" t="str">
        <f t="shared" si="160"/>
        <v/>
      </c>
      <c r="TN5" s="36" t="str">
        <f t="shared" si="161"/>
        <v/>
      </c>
      <c r="TO5" s="36" t="str">
        <f t="shared" si="161"/>
        <v/>
      </c>
      <c r="TP5" s="36" t="str">
        <f t="shared" si="162"/>
        <v/>
      </c>
      <c r="TQ5" s="36" t="str">
        <f t="shared" si="163"/>
        <v/>
      </c>
      <c r="TR5" s="36" t="str">
        <f t="shared" si="163"/>
        <v/>
      </c>
      <c r="TS5" s="36" t="str">
        <f t="shared" si="164"/>
        <v/>
      </c>
      <c r="TT5" s="36" t="str">
        <f t="shared" si="165"/>
        <v/>
      </c>
      <c r="TU5" s="16"/>
      <c r="TV5" s="16"/>
      <c r="TW5" s="16"/>
      <c r="TX5" s="16"/>
      <c r="TY5" s="16"/>
      <c r="TZ5" s="16"/>
      <c r="UA5" s="16"/>
      <c r="UB5" s="16"/>
      <c r="UC5" s="16"/>
      <c r="UD5" s="16"/>
      <c r="UE5" s="16"/>
      <c r="UF5" s="16"/>
      <c r="UG5" s="16"/>
      <c r="UH5" s="16"/>
      <c r="UI5" s="16"/>
      <c r="UJ5" s="16"/>
      <c r="UK5" s="16"/>
      <c r="UL5" s="16"/>
      <c r="UM5" s="16"/>
      <c r="UN5" s="16"/>
      <c r="UO5" s="11" t="str">
        <f t="shared" si="166"/>
        <v/>
      </c>
      <c r="UP5" s="11" t="str">
        <f t="shared" si="166"/>
        <v/>
      </c>
      <c r="UQ5" s="11" t="str">
        <f t="shared" si="167"/>
        <v/>
      </c>
      <c r="UR5" s="11" t="str">
        <f t="shared" si="168"/>
        <v/>
      </c>
      <c r="US5" s="11" t="str">
        <f t="shared" si="168"/>
        <v/>
      </c>
      <c r="UT5" s="11" t="str">
        <f t="shared" si="169"/>
        <v/>
      </c>
      <c r="UU5" s="11" t="str">
        <f t="shared" si="170"/>
        <v/>
      </c>
      <c r="UV5" s="11" t="str">
        <f t="shared" si="171"/>
        <v/>
      </c>
      <c r="UW5" s="11" t="str">
        <f t="shared" si="171"/>
        <v/>
      </c>
      <c r="UX5" s="11" t="str">
        <f t="shared" si="172"/>
        <v/>
      </c>
      <c r="UY5" s="11" t="str">
        <f t="shared" si="173"/>
        <v/>
      </c>
      <c r="UZ5" s="11" t="str">
        <f t="shared" si="173"/>
        <v/>
      </c>
      <c r="VA5" s="11" t="str">
        <f t="shared" si="174"/>
        <v/>
      </c>
      <c r="VB5" s="11" t="str">
        <f t="shared" si="175"/>
        <v/>
      </c>
      <c r="VC5" s="15"/>
      <c r="VD5" s="15"/>
      <c r="VE5" s="15"/>
      <c r="VF5" s="15"/>
      <c r="VG5" s="15"/>
      <c r="VH5" s="15"/>
      <c r="VI5" s="15"/>
      <c r="VJ5" s="15"/>
      <c r="VK5" s="15"/>
      <c r="VL5" s="15"/>
      <c r="VM5" s="15"/>
      <c r="VN5" s="15"/>
      <c r="VO5" s="15"/>
      <c r="VP5" s="15"/>
      <c r="VQ5" s="15"/>
      <c r="VR5" s="15"/>
      <c r="VS5" s="15"/>
      <c r="VT5" s="15"/>
      <c r="VU5" s="15"/>
      <c r="VV5" s="15"/>
      <c r="VW5" s="36" t="str">
        <f t="shared" si="176"/>
        <v/>
      </c>
      <c r="VX5" s="36" t="str">
        <f t="shared" si="176"/>
        <v/>
      </c>
      <c r="VY5" s="36" t="str">
        <f t="shared" si="177"/>
        <v/>
      </c>
      <c r="VZ5" s="36" t="str">
        <f t="shared" si="178"/>
        <v/>
      </c>
      <c r="WA5" s="36" t="str">
        <f t="shared" si="178"/>
        <v/>
      </c>
      <c r="WB5" s="36" t="str">
        <f t="shared" si="179"/>
        <v/>
      </c>
      <c r="WC5" s="36" t="str">
        <f t="shared" si="180"/>
        <v/>
      </c>
      <c r="WD5" s="36" t="str">
        <f t="shared" si="181"/>
        <v/>
      </c>
      <c r="WE5" s="36" t="str">
        <f t="shared" si="181"/>
        <v/>
      </c>
      <c r="WF5" s="36" t="str">
        <f t="shared" si="182"/>
        <v/>
      </c>
      <c r="WG5" s="36" t="str">
        <f t="shared" si="183"/>
        <v/>
      </c>
      <c r="WH5" s="36" t="str">
        <f t="shared" si="183"/>
        <v/>
      </c>
      <c r="WI5" s="36" t="str">
        <f t="shared" si="184"/>
        <v/>
      </c>
      <c r="WJ5" s="36" t="str">
        <f t="shared" si="185"/>
        <v/>
      </c>
    </row>
    <row r="6" spans="1:608" x14ac:dyDescent="0.2">
      <c r="A6" s="4" cm="1">
        <f t="array" ref="A6">IF(AND(H6&lt;&gt;"",H6&lt;&gt;"No DD"),SUMPRODUCT((H$4:H$12&lt;&gt;"")*(H$4:H$12&lt;&gt;"No DD")*(E$4:E$12&gt;E6))+1,IF(H6="No DD",SUMPRODUCT((H$4:H$12="No DD")*(E$4:E$12&gt;E6))+1+SUMPRODUCT((H$4:H$12&lt;&gt;"")*(H$4:H$12&lt;&gt;"No DD")),""))</f>
        <v>3</v>
      </c>
      <c r="B6" s="5" t="s">
        <v>129</v>
      </c>
      <c r="C6" s="4" t="s">
        <v>3</v>
      </c>
      <c r="D6" s="4" t="s">
        <v>133</v>
      </c>
      <c r="E6" s="9">
        <f t="shared" si="0"/>
        <v>91.210009121004646</v>
      </c>
      <c r="F6" s="3" t="str">
        <f t="shared" si="1"/>
        <v>P</v>
      </c>
      <c r="G6" s="3" t="str">
        <f t="shared" si="2"/>
        <v>P</v>
      </c>
      <c r="H6" s="32" t="str">
        <f t="shared" si="3"/>
        <v>National Team</v>
      </c>
      <c r="I6" s="3" t="str">
        <f t="shared" si="4"/>
        <v/>
      </c>
      <c r="J6" s="8">
        <f t="shared" si="5"/>
        <v>46.38</v>
      </c>
      <c r="K6" s="8" t="str">
        <f t="shared" si="6"/>
        <v>2025 Nationals</v>
      </c>
      <c r="L6" s="8">
        <f>IFERROR(LARGE((AI6,AL6,AP6,BJ6,BM6,BQ6,CK6,CN6,CR6),2),0)</f>
        <v>44.83</v>
      </c>
      <c r="M6" s="8" t="str">
        <f t="shared" si="7"/>
        <v>2025 Elite Canada</v>
      </c>
      <c r="N6" s="8">
        <f t="shared" si="8"/>
        <v>0</v>
      </c>
      <c r="O6" s="11" t="str">
        <f t="shared" si="9"/>
        <v/>
      </c>
      <c r="P6" s="8" t="str">
        <f t="shared" si="10"/>
        <v/>
      </c>
      <c r="Q6" s="18">
        <v>7.05</v>
      </c>
      <c r="R6" s="18">
        <v>9.1999999999999993</v>
      </c>
      <c r="S6" s="18">
        <v>11.8</v>
      </c>
      <c r="T6" s="18">
        <v>15.92</v>
      </c>
      <c r="U6" s="18">
        <v>0</v>
      </c>
      <c r="V6" s="18">
        <v>6.78</v>
      </c>
      <c r="W6" s="18">
        <v>9.25</v>
      </c>
      <c r="X6" s="18">
        <v>11.8</v>
      </c>
      <c r="Y6" s="18">
        <v>16.36</v>
      </c>
      <c r="Z6" s="18">
        <v>0</v>
      </c>
      <c r="AA6" s="18">
        <v>6.93</v>
      </c>
      <c r="AB6" s="18">
        <v>9.1999999999999993</v>
      </c>
      <c r="AC6" s="18">
        <v>11.8</v>
      </c>
      <c r="AD6" s="18">
        <v>16.899999999999999</v>
      </c>
      <c r="AE6" s="18">
        <v>0</v>
      </c>
      <c r="AF6" s="23"/>
      <c r="AG6" s="34">
        <f t="shared" si="11"/>
        <v>11.8</v>
      </c>
      <c r="AH6" s="34">
        <f t="shared" si="11"/>
        <v>15.92</v>
      </c>
      <c r="AI6" s="36">
        <f t="shared" si="12"/>
        <v>43.97</v>
      </c>
      <c r="AJ6" s="36">
        <f t="shared" si="13"/>
        <v>11.8</v>
      </c>
      <c r="AK6" s="36">
        <f t="shared" si="13"/>
        <v>16.36</v>
      </c>
      <c r="AL6" s="36">
        <f t="shared" si="14"/>
        <v>44.19</v>
      </c>
      <c r="AM6" s="36">
        <f t="shared" si="15"/>
        <v>44.19</v>
      </c>
      <c r="AN6" s="36">
        <f t="shared" si="16"/>
        <v>11.8</v>
      </c>
      <c r="AO6" s="36">
        <f t="shared" si="16"/>
        <v>16.899999999999999</v>
      </c>
      <c r="AP6" s="36">
        <f t="shared" si="17"/>
        <v>44.83</v>
      </c>
      <c r="AQ6" s="36">
        <f t="shared" si="18"/>
        <v>89.02</v>
      </c>
      <c r="AR6" s="22">
        <v>5.48</v>
      </c>
      <c r="AS6" s="22">
        <v>7.05</v>
      </c>
      <c r="AT6" s="22">
        <v>9</v>
      </c>
      <c r="AU6" s="22">
        <v>9.8800000000000008</v>
      </c>
      <c r="AV6" s="22">
        <v>0</v>
      </c>
      <c r="AW6" s="22">
        <v>1.35</v>
      </c>
      <c r="AX6" s="22">
        <v>1.9</v>
      </c>
      <c r="AY6" s="22">
        <v>2.6</v>
      </c>
      <c r="AZ6" s="22">
        <v>3.26</v>
      </c>
      <c r="BA6" s="22">
        <v>0</v>
      </c>
      <c r="BB6" s="22">
        <v>7.2</v>
      </c>
      <c r="BC6" s="22">
        <v>9.1</v>
      </c>
      <c r="BD6" s="22">
        <v>11.8</v>
      </c>
      <c r="BE6" s="22">
        <v>18.28</v>
      </c>
      <c r="BF6" s="22">
        <v>0</v>
      </c>
      <c r="BG6" s="24"/>
      <c r="BH6" s="35">
        <f t="shared" si="19"/>
        <v>9</v>
      </c>
      <c r="BI6" s="35">
        <f t="shared" si="19"/>
        <v>9.8800000000000008</v>
      </c>
      <c r="BJ6" s="11">
        <f t="shared" si="20"/>
        <v>31.410000000000004</v>
      </c>
      <c r="BK6" s="11">
        <f t="shared" si="21"/>
        <v>2.6</v>
      </c>
      <c r="BL6" s="11">
        <f t="shared" si="21"/>
        <v>3.26</v>
      </c>
      <c r="BM6" s="11">
        <f t="shared" si="22"/>
        <v>9.11</v>
      </c>
      <c r="BN6" s="11">
        <f t="shared" si="23"/>
        <v>31.410000000000004</v>
      </c>
      <c r="BO6" s="11">
        <f t="shared" si="24"/>
        <v>11.8</v>
      </c>
      <c r="BP6" s="11">
        <f t="shared" si="24"/>
        <v>18.28</v>
      </c>
      <c r="BQ6" s="11">
        <f t="shared" si="25"/>
        <v>46.38</v>
      </c>
      <c r="BR6" s="11">
        <f t="shared" si="26"/>
        <v>77.790000000000006</v>
      </c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23"/>
      <c r="CI6" s="34" t="str">
        <f t="shared" si="27"/>
        <v/>
      </c>
      <c r="CJ6" s="34" t="str">
        <f t="shared" si="27"/>
        <v/>
      </c>
      <c r="CK6" s="36" t="str">
        <f t="shared" si="28"/>
        <v/>
      </c>
      <c r="CL6" s="36" t="str">
        <f t="shared" si="29"/>
        <v/>
      </c>
      <c r="CM6" s="36" t="str">
        <f t="shared" si="29"/>
        <v/>
      </c>
      <c r="CN6" s="36" t="str">
        <f t="shared" si="30"/>
        <v/>
      </c>
      <c r="CO6" s="36" t="str">
        <f t="shared" si="31"/>
        <v/>
      </c>
      <c r="CP6" s="36" t="str">
        <f t="shared" si="32"/>
        <v/>
      </c>
      <c r="CQ6" s="36" t="str">
        <f t="shared" si="32"/>
        <v/>
      </c>
      <c r="CR6" s="36" t="str">
        <f t="shared" si="33"/>
        <v/>
      </c>
      <c r="CS6" s="36" t="str">
        <f t="shared" si="34"/>
        <v/>
      </c>
      <c r="CT6" s="47" t="str">
        <f t="shared" si="35"/>
        <v/>
      </c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  <c r="DJ6" s="15"/>
      <c r="DK6" s="15"/>
      <c r="DL6" s="15"/>
      <c r="DM6" s="15"/>
      <c r="DN6" s="15"/>
      <c r="DO6" s="36" t="str">
        <f t="shared" si="36"/>
        <v/>
      </c>
      <c r="DP6" s="36" t="str">
        <f t="shared" si="36"/>
        <v/>
      </c>
      <c r="DQ6" s="36" t="str">
        <f t="shared" si="37"/>
        <v/>
      </c>
      <c r="DR6" s="36" t="str">
        <f t="shared" si="38"/>
        <v/>
      </c>
      <c r="DS6" s="36" t="str">
        <f t="shared" si="38"/>
        <v/>
      </c>
      <c r="DT6" s="36" t="str">
        <f t="shared" si="39"/>
        <v/>
      </c>
      <c r="DU6" s="36" t="str">
        <f t="shared" si="40"/>
        <v/>
      </c>
      <c r="DV6" s="36" t="str">
        <f t="shared" si="41"/>
        <v/>
      </c>
      <c r="DW6" s="36" t="str">
        <f t="shared" si="41"/>
        <v/>
      </c>
      <c r="DX6" s="36" t="str">
        <f t="shared" si="42"/>
        <v/>
      </c>
      <c r="DY6" s="36" t="str">
        <f t="shared" si="43"/>
        <v/>
      </c>
      <c r="DZ6" s="36" t="str">
        <f t="shared" si="43"/>
        <v/>
      </c>
      <c r="EA6" s="36" t="str">
        <f t="shared" si="44"/>
        <v/>
      </c>
      <c r="EB6" s="36" t="str">
        <f t="shared" si="45"/>
        <v/>
      </c>
      <c r="EC6" s="16"/>
      <c r="ED6" s="16"/>
      <c r="EE6" s="16"/>
      <c r="EF6" s="16"/>
      <c r="EG6" s="16"/>
      <c r="EH6" s="16"/>
      <c r="EI6" s="16"/>
      <c r="EJ6" s="16"/>
      <c r="EK6" s="16"/>
      <c r="EL6" s="16"/>
      <c r="EM6" s="16"/>
      <c r="EN6" s="16"/>
      <c r="EO6" s="16"/>
      <c r="EP6" s="16"/>
      <c r="EQ6" s="16"/>
      <c r="ER6" s="16"/>
      <c r="ES6" s="16"/>
      <c r="ET6" s="16"/>
      <c r="EU6" s="16"/>
      <c r="EV6" s="16"/>
      <c r="EW6" s="11" t="str">
        <f t="shared" si="46"/>
        <v/>
      </c>
      <c r="EX6" s="11" t="str">
        <f t="shared" si="46"/>
        <v/>
      </c>
      <c r="EY6" s="11" t="str">
        <f t="shared" si="47"/>
        <v/>
      </c>
      <c r="EZ6" s="11" t="str">
        <f t="shared" si="48"/>
        <v/>
      </c>
      <c r="FA6" s="11" t="str">
        <f t="shared" si="48"/>
        <v/>
      </c>
      <c r="FB6" s="11" t="str">
        <f t="shared" si="49"/>
        <v/>
      </c>
      <c r="FC6" s="11" t="str">
        <f t="shared" si="50"/>
        <v/>
      </c>
      <c r="FD6" s="11" t="str">
        <f t="shared" si="51"/>
        <v/>
      </c>
      <c r="FE6" s="11" t="str">
        <f t="shared" si="51"/>
        <v/>
      </c>
      <c r="FF6" s="11" t="str">
        <f t="shared" si="52"/>
        <v/>
      </c>
      <c r="FG6" s="11" t="str">
        <f t="shared" si="53"/>
        <v/>
      </c>
      <c r="FH6" s="11" t="str">
        <f t="shared" si="53"/>
        <v/>
      </c>
      <c r="FI6" s="11" t="str">
        <f t="shared" si="54"/>
        <v/>
      </c>
      <c r="FJ6" s="11" t="str">
        <f t="shared" si="55"/>
        <v/>
      </c>
      <c r="FK6" s="15"/>
      <c r="FL6" s="15"/>
      <c r="FM6" s="15"/>
      <c r="FN6" s="15"/>
      <c r="FO6" s="15"/>
      <c r="FP6" s="15"/>
      <c r="FQ6" s="15"/>
      <c r="FR6" s="15"/>
      <c r="FS6" s="15"/>
      <c r="FT6" s="15"/>
      <c r="FU6" s="15"/>
      <c r="FV6" s="15"/>
      <c r="FW6" s="15"/>
      <c r="FX6" s="15"/>
      <c r="FY6" s="15"/>
      <c r="FZ6" s="15"/>
      <c r="GA6" s="15"/>
      <c r="GB6" s="15"/>
      <c r="GC6" s="15"/>
      <c r="GD6" s="15"/>
      <c r="GE6" s="36" t="str">
        <f t="shared" si="56"/>
        <v/>
      </c>
      <c r="GF6" s="36" t="str">
        <f t="shared" si="56"/>
        <v/>
      </c>
      <c r="GG6" s="36" t="str">
        <f t="shared" si="57"/>
        <v/>
      </c>
      <c r="GH6" s="36" t="str">
        <f t="shared" si="58"/>
        <v/>
      </c>
      <c r="GI6" s="36" t="str">
        <f t="shared" si="58"/>
        <v/>
      </c>
      <c r="GJ6" s="36" t="str">
        <f t="shared" si="59"/>
        <v/>
      </c>
      <c r="GK6" s="36" t="str">
        <f t="shared" si="60"/>
        <v/>
      </c>
      <c r="GL6" s="36" t="str">
        <f t="shared" si="61"/>
        <v/>
      </c>
      <c r="GM6" s="36" t="str">
        <f t="shared" si="61"/>
        <v/>
      </c>
      <c r="GN6" s="36" t="str">
        <f t="shared" si="62"/>
        <v/>
      </c>
      <c r="GO6" s="36" t="str">
        <f t="shared" si="63"/>
        <v/>
      </c>
      <c r="GP6" s="36" t="str">
        <f t="shared" si="63"/>
        <v/>
      </c>
      <c r="GQ6" s="36" t="str">
        <f t="shared" si="64"/>
        <v/>
      </c>
      <c r="GR6" s="36" t="str">
        <f t="shared" si="65"/>
        <v/>
      </c>
      <c r="GS6" s="16"/>
      <c r="GT6" s="16"/>
      <c r="GU6" s="16"/>
      <c r="GV6" s="16"/>
      <c r="GW6" s="16"/>
      <c r="GX6" s="16"/>
      <c r="GY6" s="16"/>
      <c r="GZ6" s="16"/>
      <c r="HA6" s="16"/>
      <c r="HB6" s="16"/>
      <c r="HC6" s="16"/>
      <c r="HD6" s="16"/>
      <c r="HE6" s="16"/>
      <c r="HF6" s="16"/>
      <c r="HG6" s="16"/>
      <c r="HH6" s="16"/>
      <c r="HI6" s="16"/>
      <c r="HJ6" s="16"/>
      <c r="HK6" s="16"/>
      <c r="HL6" s="16"/>
      <c r="HM6" s="11" t="str">
        <f t="shared" si="66"/>
        <v/>
      </c>
      <c r="HN6" s="11" t="str">
        <f t="shared" si="66"/>
        <v/>
      </c>
      <c r="HO6" s="11" t="str">
        <f t="shared" si="67"/>
        <v/>
      </c>
      <c r="HP6" s="11" t="str">
        <f t="shared" si="68"/>
        <v/>
      </c>
      <c r="HQ6" s="11" t="str">
        <f t="shared" si="68"/>
        <v/>
      </c>
      <c r="HR6" s="11" t="str">
        <f t="shared" si="69"/>
        <v/>
      </c>
      <c r="HS6" s="11" t="str">
        <f t="shared" si="70"/>
        <v/>
      </c>
      <c r="HT6" s="11" t="str">
        <f t="shared" si="71"/>
        <v/>
      </c>
      <c r="HU6" s="11" t="str">
        <f t="shared" si="71"/>
        <v/>
      </c>
      <c r="HV6" s="11" t="str">
        <f t="shared" si="72"/>
        <v/>
      </c>
      <c r="HW6" s="11" t="str">
        <f t="shared" si="73"/>
        <v/>
      </c>
      <c r="HX6" s="11" t="str">
        <f t="shared" si="73"/>
        <v/>
      </c>
      <c r="HY6" s="11" t="str">
        <f t="shared" si="74"/>
        <v/>
      </c>
      <c r="HZ6" s="11" t="str">
        <f t="shared" si="75"/>
        <v/>
      </c>
      <c r="IA6" s="15"/>
      <c r="IB6" s="15"/>
      <c r="IC6" s="15"/>
      <c r="ID6" s="15"/>
      <c r="IE6" s="15"/>
      <c r="IF6" s="15"/>
      <c r="IG6" s="15"/>
      <c r="IH6" s="15"/>
      <c r="II6" s="15"/>
      <c r="IJ6" s="15"/>
      <c r="IK6" s="15"/>
      <c r="IL6" s="15"/>
      <c r="IM6" s="15"/>
      <c r="IN6" s="15"/>
      <c r="IO6" s="15"/>
      <c r="IP6" s="15"/>
      <c r="IQ6" s="15"/>
      <c r="IR6" s="15"/>
      <c r="IS6" s="15"/>
      <c r="IT6" s="15"/>
      <c r="IU6" s="36" t="str">
        <f t="shared" si="76"/>
        <v/>
      </c>
      <c r="IV6" s="36" t="str">
        <f t="shared" si="76"/>
        <v/>
      </c>
      <c r="IW6" s="36" t="str">
        <f t="shared" si="77"/>
        <v/>
      </c>
      <c r="IX6" s="36" t="str">
        <f t="shared" si="78"/>
        <v/>
      </c>
      <c r="IY6" s="36" t="str">
        <f t="shared" si="78"/>
        <v/>
      </c>
      <c r="IZ6" s="36" t="str">
        <f t="shared" si="79"/>
        <v/>
      </c>
      <c r="JA6" s="36" t="str">
        <f t="shared" si="80"/>
        <v/>
      </c>
      <c r="JB6" s="36" t="str">
        <f t="shared" si="81"/>
        <v/>
      </c>
      <c r="JC6" s="36" t="str">
        <f t="shared" si="81"/>
        <v/>
      </c>
      <c r="JD6" s="36" t="str">
        <f t="shared" si="82"/>
        <v/>
      </c>
      <c r="JE6" s="36" t="str">
        <f t="shared" si="83"/>
        <v/>
      </c>
      <c r="JF6" s="36" t="str">
        <f t="shared" si="83"/>
        <v/>
      </c>
      <c r="JG6" s="36" t="str">
        <f t="shared" si="84"/>
        <v/>
      </c>
      <c r="JH6" s="36" t="str">
        <f t="shared" si="85"/>
        <v/>
      </c>
      <c r="JI6" s="16"/>
      <c r="JJ6" s="16"/>
      <c r="JK6" s="16"/>
      <c r="JL6" s="16"/>
      <c r="JM6" s="16"/>
      <c r="JN6" s="16"/>
      <c r="JO6" s="16"/>
      <c r="JP6" s="16"/>
      <c r="JQ6" s="16"/>
      <c r="JR6" s="16"/>
      <c r="JS6" s="16"/>
      <c r="JT6" s="16"/>
      <c r="JU6" s="16"/>
      <c r="JV6" s="16"/>
      <c r="JW6" s="16"/>
      <c r="JX6" s="16"/>
      <c r="JY6" s="16"/>
      <c r="JZ6" s="16"/>
      <c r="KA6" s="16"/>
      <c r="KB6" s="16"/>
      <c r="KC6" s="11" t="str">
        <f t="shared" si="86"/>
        <v/>
      </c>
      <c r="KD6" s="11" t="str">
        <f t="shared" si="86"/>
        <v/>
      </c>
      <c r="KE6" s="11" t="str">
        <f t="shared" si="87"/>
        <v/>
      </c>
      <c r="KF6" s="11" t="str">
        <f t="shared" si="88"/>
        <v/>
      </c>
      <c r="KG6" s="11" t="str">
        <f t="shared" si="88"/>
        <v/>
      </c>
      <c r="KH6" s="11" t="str">
        <f t="shared" si="89"/>
        <v/>
      </c>
      <c r="KI6" s="11" t="str">
        <f t="shared" si="90"/>
        <v/>
      </c>
      <c r="KJ6" s="11" t="str">
        <f t="shared" si="91"/>
        <v/>
      </c>
      <c r="KK6" s="11" t="str">
        <f t="shared" si="91"/>
        <v/>
      </c>
      <c r="KL6" s="11" t="str">
        <f t="shared" si="92"/>
        <v/>
      </c>
      <c r="KM6" s="11" t="str">
        <f t="shared" si="93"/>
        <v/>
      </c>
      <c r="KN6" s="11" t="str">
        <f t="shared" si="93"/>
        <v/>
      </c>
      <c r="KO6" s="11" t="str">
        <f t="shared" si="94"/>
        <v/>
      </c>
      <c r="KP6" s="11" t="str">
        <f t="shared" si="95"/>
        <v/>
      </c>
      <c r="KQ6" s="15"/>
      <c r="KR6" s="15"/>
      <c r="KS6" s="15"/>
      <c r="KT6" s="15"/>
      <c r="KU6" s="15"/>
      <c r="KV6" s="15"/>
      <c r="KW6" s="15"/>
      <c r="KX6" s="15"/>
      <c r="KY6" s="15"/>
      <c r="KZ6" s="15"/>
      <c r="LA6" s="15"/>
      <c r="LB6" s="15"/>
      <c r="LC6" s="15"/>
      <c r="LD6" s="15"/>
      <c r="LE6" s="15"/>
      <c r="LF6" s="15"/>
      <c r="LG6" s="15"/>
      <c r="LH6" s="15"/>
      <c r="LI6" s="15"/>
      <c r="LJ6" s="15"/>
      <c r="LK6" s="36" t="str">
        <f t="shared" si="96"/>
        <v/>
      </c>
      <c r="LL6" s="36" t="str">
        <f t="shared" si="96"/>
        <v/>
      </c>
      <c r="LM6" s="36" t="str">
        <f t="shared" si="97"/>
        <v/>
      </c>
      <c r="LN6" s="36" t="str">
        <f t="shared" si="98"/>
        <v/>
      </c>
      <c r="LO6" s="36" t="str">
        <f t="shared" si="98"/>
        <v/>
      </c>
      <c r="LP6" s="36" t="str">
        <f t="shared" si="99"/>
        <v/>
      </c>
      <c r="LQ6" s="36" t="str">
        <f t="shared" si="100"/>
        <v/>
      </c>
      <c r="LR6" s="36" t="str">
        <f t="shared" si="101"/>
        <v/>
      </c>
      <c r="LS6" s="36" t="str">
        <f t="shared" si="101"/>
        <v/>
      </c>
      <c r="LT6" s="36" t="str">
        <f t="shared" si="102"/>
        <v/>
      </c>
      <c r="LU6" s="36" t="str">
        <f t="shared" si="103"/>
        <v/>
      </c>
      <c r="LV6" s="36" t="str">
        <f t="shared" si="103"/>
        <v/>
      </c>
      <c r="LW6" s="36" t="str">
        <f t="shared" si="104"/>
        <v/>
      </c>
      <c r="LX6" s="36" t="str">
        <f t="shared" si="105"/>
        <v/>
      </c>
      <c r="LY6" s="16"/>
      <c r="LZ6" s="16"/>
      <c r="MA6" s="16"/>
      <c r="MB6" s="16"/>
      <c r="MC6" s="16"/>
      <c r="MD6" s="16"/>
      <c r="ME6" s="16"/>
      <c r="MF6" s="16"/>
      <c r="MG6" s="16"/>
      <c r="MH6" s="16"/>
      <c r="MI6" s="16"/>
      <c r="MJ6" s="16"/>
      <c r="MK6" s="16"/>
      <c r="ML6" s="16"/>
      <c r="MM6" s="16"/>
      <c r="MN6" s="16"/>
      <c r="MO6" s="16"/>
      <c r="MP6" s="16"/>
      <c r="MQ6" s="16"/>
      <c r="MR6" s="16"/>
      <c r="MS6" s="11" t="str">
        <f t="shared" si="106"/>
        <v/>
      </c>
      <c r="MT6" s="11" t="str">
        <f t="shared" si="106"/>
        <v/>
      </c>
      <c r="MU6" s="11" t="str">
        <f t="shared" si="107"/>
        <v/>
      </c>
      <c r="MV6" s="11" t="str">
        <f t="shared" si="108"/>
        <v/>
      </c>
      <c r="MW6" s="11" t="str">
        <f t="shared" si="108"/>
        <v/>
      </c>
      <c r="MX6" s="11" t="str">
        <f t="shared" si="109"/>
        <v/>
      </c>
      <c r="MY6" s="11" t="str">
        <f t="shared" si="110"/>
        <v/>
      </c>
      <c r="MZ6" s="11" t="str">
        <f t="shared" si="111"/>
        <v/>
      </c>
      <c r="NA6" s="11" t="str">
        <f t="shared" si="111"/>
        <v/>
      </c>
      <c r="NB6" s="11" t="str">
        <f t="shared" si="112"/>
        <v/>
      </c>
      <c r="NC6" s="11" t="str">
        <f t="shared" si="113"/>
        <v/>
      </c>
      <c r="ND6" s="11" t="str">
        <f t="shared" si="113"/>
        <v/>
      </c>
      <c r="NE6" s="11" t="str">
        <f t="shared" si="114"/>
        <v/>
      </c>
      <c r="NF6" s="11" t="str">
        <f t="shared" si="115"/>
        <v/>
      </c>
      <c r="NG6" s="15"/>
      <c r="NH6" s="15"/>
      <c r="NI6" s="15"/>
      <c r="NJ6" s="15"/>
      <c r="NK6" s="15"/>
      <c r="NL6" s="15"/>
      <c r="NM6" s="15"/>
      <c r="NN6" s="15"/>
      <c r="NO6" s="15"/>
      <c r="NP6" s="15"/>
      <c r="NQ6" s="15"/>
      <c r="NR6" s="15"/>
      <c r="NS6" s="15"/>
      <c r="NT6" s="15"/>
      <c r="NU6" s="15"/>
      <c r="NV6" s="15"/>
      <c r="NW6" s="15"/>
      <c r="NX6" s="15"/>
      <c r="NY6" s="15"/>
      <c r="NZ6" s="15"/>
      <c r="OA6" s="36" t="str">
        <f t="shared" si="116"/>
        <v/>
      </c>
      <c r="OB6" s="36" t="str">
        <f t="shared" si="116"/>
        <v/>
      </c>
      <c r="OC6" s="36" t="str">
        <f t="shared" si="117"/>
        <v/>
      </c>
      <c r="OD6" s="36" t="str">
        <f t="shared" si="118"/>
        <v/>
      </c>
      <c r="OE6" s="36" t="str">
        <f t="shared" si="118"/>
        <v/>
      </c>
      <c r="OF6" s="36" t="str">
        <f t="shared" si="119"/>
        <v/>
      </c>
      <c r="OG6" s="36" t="str">
        <f t="shared" si="120"/>
        <v/>
      </c>
      <c r="OH6" s="36" t="str">
        <f t="shared" si="121"/>
        <v/>
      </c>
      <c r="OI6" s="36" t="str">
        <f t="shared" si="121"/>
        <v/>
      </c>
      <c r="OJ6" s="36" t="str">
        <f t="shared" si="122"/>
        <v/>
      </c>
      <c r="OK6" s="36" t="str">
        <f t="shared" si="123"/>
        <v/>
      </c>
      <c r="OL6" s="36" t="str">
        <f t="shared" si="123"/>
        <v/>
      </c>
      <c r="OM6" s="36" t="str">
        <f t="shared" si="124"/>
        <v/>
      </c>
      <c r="ON6" s="36" t="str">
        <f t="shared" si="125"/>
        <v/>
      </c>
      <c r="OO6" s="16"/>
      <c r="OP6" s="16"/>
      <c r="OQ6" s="16"/>
      <c r="OR6" s="16"/>
      <c r="OS6" s="16"/>
      <c r="OT6" s="16"/>
      <c r="OU6" s="16"/>
      <c r="OV6" s="16"/>
      <c r="OW6" s="16"/>
      <c r="OX6" s="16"/>
      <c r="OY6" s="16"/>
      <c r="OZ6" s="16"/>
      <c r="PA6" s="16"/>
      <c r="PB6" s="16"/>
      <c r="PC6" s="16"/>
      <c r="PD6" s="16"/>
      <c r="PE6" s="16"/>
      <c r="PF6" s="16"/>
      <c r="PG6" s="16"/>
      <c r="PH6" s="16"/>
      <c r="PI6" s="11" t="str">
        <f t="shared" si="126"/>
        <v/>
      </c>
      <c r="PJ6" s="11" t="str">
        <f t="shared" si="126"/>
        <v/>
      </c>
      <c r="PK6" s="11" t="str">
        <f t="shared" si="127"/>
        <v/>
      </c>
      <c r="PL6" s="11" t="str">
        <f t="shared" si="128"/>
        <v/>
      </c>
      <c r="PM6" s="11" t="str">
        <f t="shared" si="128"/>
        <v/>
      </c>
      <c r="PN6" s="11" t="str">
        <f t="shared" si="129"/>
        <v/>
      </c>
      <c r="PO6" s="11" t="str">
        <f t="shared" si="130"/>
        <v/>
      </c>
      <c r="PP6" s="11" t="str">
        <f t="shared" si="131"/>
        <v/>
      </c>
      <c r="PQ6" s="11" t="str">
        <f t="shared" si="131"/>
        <v/>
      </c>
      <c r="PR6" s="11" t="str">
        <f t="shared" si="132"/>
        <v/>
      </c>
      <c r="PS6" s="11" t="str">
        <f t="shared" si="133"/>
        <v/>
      </c>
      <c r="PT6" s="11" t="str">
        <f t="shared" si="133"/>
        <v/>
      </c>
      <c r="PU6" s="11" t="str">
        <f t="shared" si="134"/>
        <v/>
      </c>
      <c r="PV6" s="11" t="str">
        <f t="shared" si="135"/>
        <v/>
      </c>
      <c r="PW6" s="15"/>
      <c r="PX6" s="15"/>
      <c r="PY6" s="15"/>
      <c r="PZ6" s="15"/>
      <c r="QA6" s="15"/>
      <c r="QB6" s="15"/>
      <c r="QC6" s="15"/>
      <c r="QD6" s="15"/>
      <c r="QE6" s="15"/>
      <c r="QF6" s="15"/>
      <c r="QG6" s="15"/>
      <c r="QH6" s="15"/>
      <c r="QI6" s="15"/>
      <c r="QJ6" s="15"/>
      <c r="QK6" s="15"/>
      <c r="QL6" s="15"/>
      <c r="QM6" s="15"/>
      <c r="QN6" s="15"/>
      <c r="QO6" s="15"/>
      <c r="QP6" s="15"/>
      <c r="QQ6" s="36" t="str">
        <f t="shared" si="136"/>
        <v/>
      </c>
      <c r="QR6" s="36" t="str">
        <f t="shared" si="136"/>
        <v/>
      </c>
      <c r="QS6" s="36" t="str">
        <f t="shared" si="137"/>
        <v/>
      </c>
      <c r="QT6" s="36" t="str">
        <f t="shared" si="138"/>
        <v/>
      </c>
      <c r="QU6" s="36" t="str">
        <f t="shared" si="138"/>
        <v/>
      </c>
      <c r="QV6" s="36" t="str">
        <f t="shared" si="139"/>
        <v/>
      </c>
      <c r="QW6" s="36" t="str">
        <f t="shared" si="140"/>
        <v/>
      </c>
      <c r="QX6" s="36" t="str">
        <f t="shared" si="141"/>
        <v/>
      </c>
      <c r="QY6" s="36" t="str">
        <f t="shared" si="141"/>
        <v/>
      </c>
      <c r="QZ6" s="36" t="str">
        <f t="shared" si="142"/>
        <v/>
      </c>
      <c r="RA6" s="36" t="str">
        <f t="shared" si="143"/>
        <v/>
      </c>
      <c r="RB6" s="36" t="str">
        <f t="shared" si="143"/>
        <v/>
      </c>
      <c r="RC6" s="36" t="str">
        <f t="shared" si="144"/>
        <v/>
      </c>
      <c r="RD6" s="36" t="str">
        <f t="shared" si="145"/>
        <v/>
      </c>
      <c r="RE6" s="16"/>
      <c r="RF6" s="16"/>
      <c r="RG6" s="16"/>
      <c r="RH6" s="16"/>
      <c r="RI6" s="16"/>
      <c r="RJ6" s="16"/>
      <c r="RK6" s="16"/>
      <c r="RL6" s="16"/>
      <c r="RM6" s="16"/>
      <c r="RN6" s="16"/>
      <c r="RO6" s="16"/>
      <c r="RP6" s="16"/>
      <c r="RQ6" s="16"/>
      <c r="RR6" s="16"/>
      <c r="RS6" s="16"/>
      <c r="RT6" s="16"/>
      <c r="RU6" s="16"/>
      <c r="RV6" s="16"/>
      <c r="RW6" s="16"/>
      <c r="RX6" s="16"/>
      <c r="RY6" s="11" t="str">
        <f t="shared" si="146"/>
        <v/>
      </c>
      <c r="RZ6" s="11" t="str">
        <f t="shared" si="146"/>
        <v/>
      </c>
      <c r="SA6" s="11" t="str">
        <f t="shared" si="147"/>
        <v/>
      </c>
      <c r="SB6" s="11" t="str">
        <f t="shared" si="148"/>
        <v/>
      </c>
      <c r="SC6" s="11" t="str">
        <f t="shared" si="148"/>
        <v/>
      </c>
      <c r="SD6" s="11" t="str">
        <f t="shared" si="149"/>
        <v/>
      </c>
      <c r="SE6" s="11" t="str">
        <f t="shared" si="150"/>
        <v/>
      </c>
      <c r="SF6" s="11" t="str">
        <f t="shared" si="151"/>
        <v/>
      </c>
      <c r="SG6" s="11" t="str">
        <f t="shared" si="151"/>
        <v/>
      </c>
      <c r="SH6" s="11" t="str">
        <f t="shared" si="152"/>
        <v/>
      </c>
      <c r="SI6" s="11" t="str">
        <f t="shared" si="153"/>
        <v/>
      </c>
      <c r="SJ6" s="11" t="str">
        <f t="shared" si="153"/>
        <v/>
      </c>
      <c r="SK6" s="11" t="str">
        <f t="shared" si="154"/>
        <v/>
      </c>
      <c r="SL6" s="11" t="str">
        <f t="shared" si="155"/>
        <v/>
      </c>
      <c r="SM6" s="15"/>
      <c r="SN6" s="15"/>
      <c r="SO6" s="15"/>
      <c r="SP6" s="15"/>
      <c r="SQ6" s="15"/>
      <c r="SR6" s="15"/>
      <c r="SS6" s="15"/>
      <c r="ST6" s="15"/>
      <c r="SU6" s="15"/>
      <c r="SV6" s="15"/>
      <c r="SW6" s="15"/>
      <c r="SX6" s="15"/>
      <c r="SY6" s="15"/>
      <c r="SZ6" s="15"/>
      <c r="TA6" s="15"/>
      <c r="TB6" s="15"/>
      <c r="TC6" s="15"/>
      <c r="TD6" s="15"/>
      <c r="TE6" s="15"/>
      <c r="TF6" s="15"/>
      <c r="TG6" s="36" t="str">
        <f t="shared" si="156"/>
        <v/>
      </c>
      <c r="TH6" s="36" t="str">
        <f t="shared" si="156"/>
        <v/>
      </c>
      <c r="TI6" s="36" t="str">
        <f t="shared" si="157"/>
        <v/>
      </c>
      <c r="TJ6" s="36" t="str">
        <f t="shared" si="158"/>
        <v/>
      </c>
      <c r="TK6" s="36" t="str">
        <f t="shared" si="158"/>
        <v/>
      </c>
      <c r="TL6" s="36" t="str">
        <f t="shared" si="159"/>
        <v/>
      </c>
      <c r="TM6" s="36" t="str">
        <f t="shared" si="160"/>
        <v/>
      </c>
      <c r="TN6" s="36" t="str">
        <f t="shared" si="161"/>
        <v/>
      </c>
      <c r="TO6" s="36" t="str">
        <f t="shared" si="161"/>
        <v/>
      </c>
      <c r="TP6" s="36" t="str">
        <f t="shared" si="162"/>
        <v/>
      </c>
      <c r="TQ6" s="36" t="str">
        <f t="shared" si="163"/>
        <v/>
      </c>
      <c r="TR6" s="36" t="str">
        <f t="shared" si="163"/>
        <v/>
      </c>
      <c r="TS6" s="36" t="str">
        <f t="shared" si="164"/>
        <v/>
      </c>
      <c r="TT6" s="36" t="str">
        <f t="shared" si="165"/>
        <v/>
      </c>
      <c r="TU6" s="16"/>
      <c r="TV6" s="16"/>
      <c r="TW6" s="16"/>
      <c r="TX6" s="16"/>
      <c r="TY6" s="16"/>
      <c r="TZ6" s="16"/>
      <c r="UA6" s="16"/>
      <c r="UB6" s="16"/>
      <c r="UC6" s="16"/>
      <c r="UD6" s="16"/>
      <c r="UE6" s="16"/>
      <c r="UF6" s="16"/>
      <c r="UG6" s="16"/>
      <c r="UH6" s="16"/>
      <c r="UI6" s="16"/>
      <c r="UJ6" s="16"/>
      <c r="UK6" s="16"/>
      <c r="UL6" s="16"/>
      <c r="UM6" s="16"/>
      <c r="UN6" s="16"/>
      <c r="UO6" s="11" t="str">
        <f t="shared" si="166"/>
        <v/>
      </c>
      <c r="UP6" s="11" t="str">
        <f t="shared" si="166"/>
        <v/>
      </c>
      <c r="UQ6" s="11" t="str">
        <f t="shared" si="167"/>
        <v/>
      </c>
      <c r="UR6" s="11" t="str">
        <f t="shared" si="168"/>
        <v/>
      </c>
      <c r="US6" s="11" t="str">
        <f t="shared" si="168"/>
        <v/>
      </c>
      <c r="UT6" s="11" t="str">
        <f t="shared" si="169"/>
        <v/>
      </c>
      <c r="UU6" s="11" t="str">
        <f t="shared" si="170"/>
        <v/>
      </c>
      <c r="UV6" s="11" t="str">
        <f t="shared" si="171"/>
        <v/>
      </c>
      <c r="UW6" s="11" t="str">
        <f t="shared" si="171"/>
        <v/>
      </c>
      <c r="UX6" s="11" t="str">
        <f t="shared" si="172"/>
        <v/>
      </c>
      <c r="UY6" s="11" t="str">
        <f t="shared" si="173"/>
        <v/>
      </c>
      <c r="UZ6" s="11" t="str">
        <f t="shared" si="173"/>
        <v/>
      </c>
      <c r="VA6" s="11" t="str">
        <f t="shared" si="174"/>
        <v/>
      </c>
      <c r="VB6" s="11" t="str">
        <f t="shared" si="175"/>
        <v/>
      </c>
      <c r="VC6" s="15"/>
      <c r="VD6" s="15"/>
      <c r="VE6" s="15"/>
      <c r="VF6" s="15"/>
      <c r="VG6" s="15"/>
      <c r="VH6" s="15"/>
      <c r="VI6" s="15"/>
      <c r="VJ6" s="15"/>
      <c r="VK6" s="15"/>
      <c r="VL6" s="15"/>
      <c r="VM6" s="15"/>
      <c r="VN6" s="15"/>
      <c r="VO6" s="15"/>
      <c r="VP6" s="15"/>
      <c r="VQ6" s="15"/>
      <c r="VR6" s="15"/>
      <c r="VS6" s="15"/>
      <c r="VT6" s="15"/>
      <c r="VU6" s="15"/>
      <c r="VV6" s="15"/>
      <c r="VW6" s="36" t="str">
        <f t="shared" si="176"/>
        <v/>
      </c>
      <c r="VX6" s="36" t="str">
        <f t="shared" si="176"/>
        <v/>
      </c>
      <c r="VY6" s="36" t="str">
        <f t="shared" si="177"/>
        <v/>
      </c>
      <c r="VZ6" s="36" t="str">
        <f t="shared" si="178"/>
        <v/>
      </c>
      <c r="WA6" s="36" t="str">
        <f t="shared" si="178"/>
        <v/>
      </c>
      <c r="WB6" s="36" t="str">
        <f t="shared" si="179"/>
        <v/>
      </c>
      <c r="WC6" s="36" t="str">
        <f t="shared" si="180"/>
        <v/>
      </c>
      <c r="WD6" s="36" t="str">
        <f t="shared" si="181"/>
        <v/>
      </c>
      <c r="WE6" s="36" t="str">
        <f t="shared" si="181"/>
        <v/>
      </c>
      <c r="WF6" s="36" t="str">
        <f t="shared" si="182"/>
        <v/>
      </c>
      <c r="WG6" s="36" t="str">
        <f t="shared" si="183"/>
        <v/>
      </c>
      <c r="WH6" s="36" t="str">
        <f t="shared" si="183"/>
        <v/>
      </c>
      <c r="WI6" s="36" t="str">
        <f t="shared" si="184"/>
        <v/>
      </c>
      <c r="WJ6" s="36" t="str">
        <f t="shared" si="185"/>
        <v/>
      </c>
    </row>
    <row r="7" spans="1:608" x14ac:dyDescent="0.2">
      <c r="A7" s="4" cm="1">
        <f t="array" ref="A7">IF(AND(H7&lt;&gt;"",H7&lt;&gt;"No DD"),SUMPRODUCT((H$4:H$12&lt;&gt;"")*(H$4:H$12&lt;&gt;"No DD")*(E$4:E$12&gt;E7))+1,IF(H7="No DD",SUMPRODUCT((H$4:H$12="No DD")*(E$4:E$12&gt;E7))+1+SUMPRODUCT((H$4:H$12&lt;&gt;"")*(H$4:H$12&lt;&gt;"No DD")),""))</f>
        <v>4</v>
      </c>
      <c r="B7" s="5" t="s">
        <v>128</v>
      </c>
      <c r="C7" s="4" t="s">
        <v>7</v>
      </c>
      <c r="D7" s="4" t="s">
        <v>127</v>
      </c>
      <c r="E7" s="9">
        <f t="shared" si="0"/>
        <v>76.960007696004624</v>
      </c>
      <c r="F7" s="3" t="str">
        <f t="shared" si="1"/>
        <v>P</v>
      </c>
      <c r="G7" s="3" t="str">
        <f t="shared" si="2"/>
        <v>P</v>
      </c>
      <c r="H7" s="32" t="str">
        <f t="shared" si="3"/>
        <v>National Team</v>
      </c>
      <c r="I7" s="3" t="str">
        <f t="shared" si="4"/>
        <v/>
      </c>
      <c r="J7" s="8">
        <f t="shared" si="5"/>
        <v>46.24</v>
      </c>
      <c r="K7" s="8" t="str">
        <f t="shared" si="6"/>
        <v>2025 Elite Canada</v>
      </c>
      <c r="L7" s="8">
        <f>IFERROR(LARGE((AI7,AL7,AP7,BJ7,BM7,BQ7,CK7,CN7,CR7),2),0)</f>
        <v>30.72</v>
      </c>
      <c r="M7" s="8" t="str">
        <f t="shared" si="7"/>
        <v>2025 Elite Canada</v>
      </c>
      <c r="N7" s="8">
        <f t="shared" si="8"/>
        <v>0</v>
      </c>
      <c r="O7" s="11" t="str">
        <f t="shared" si="9"/>
        <v/>
      </c>
      <c r="P7" s="8" t="str">
        <f t="shared" si="10"/>
        <v/>
      </c>
      <c r="Q7" s="18">
        <v>1.6</v>
      </c>
      <c r="R7" s="18">
        <v>1.8</v>
      </c>
      <c r="S7" s="18">
        <v>2.6</v>
      </c>
      <c r="T7" s="18">
        <v>2.72</v>
      </c>
      <c r="U7" s="18">
        <v>0</v>
      </c>
      <c r="V7" s="18">
        <v>6.65</v>
      </c>
      <c r="W7" s="18">
        <v>8.35</v>
      </c>
      <c r="X7" s="18">
        <v>10.3</v>
      </c>
      <c r="Y7" s="18">
        <v>5.42</v>
      </c>
      <c r="Z7" s="18">
        <v>0</v>
      </c>
      <c r="AA7" s="18">
        <v>7.4</v>
      </c>
      <c r="AB7" s="18">
        <v>9.4</v>
      </c>
      <c r="AC7" s="18">
        <v>11.8</v>
      </c>
      <c r="AD7" s="18">
        <v>17.64</v>
      </c>
      <c r="AE7" s="18">
        <v>0</v>
      </c>
      <c r="AF7" s="23"/>
      <c r="AG7" s="34">
        <f t="shared" si="11"/>
        <v>2.6</v>
      </c>
      <c r="AH7" s="34">
        <f t="shared" si="11"/>
        <v>2.72</v>
      </c>
      <c r="AI7" s="36">
        <f t="shared" si="12"/>
        <v>8.7200000000000006</v>
      </c>
      <c r="AJ7" s="36">
        <f t="shared" si="13"/>
        <v>10.3</v>
      </c>
      <c r="AK7" s="36">
        <f t="shared" si="13"/>
        <v>5.42</v>
      </c>
      <c r="AL7" s="36">
        <f t="shared" si="14"/>
        <v>30.72</v>
      </c>
      <c r="AM7" s="36">
        <f t="shared" si="15"/>
        <v>30.72</v>
      </c>
      <c r="AN7" s="36">
        <f t="shared" si="16"/>
        <v>11.8</v>
      </c>
      <c r="AO7" s="36">
        <f t="shared" si="16"/>
        <v>17.64</v>
      </c>
      <c r="AP7" s="36">
        <f t="shared" si="17"/>
        <v>46.24</v>
      </c>
      <c r="AQ7" s="36">
        <f t="shared" si="18"/>
        <v>76.960000000000008</v>
      </c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4"/>
      <c r="BH7" s="35" t="str">
        <f t="shared" si="19"/>
        <v/>
      </c>
      <c r="BI7" s="35" t="str">
        <f t="shared" si="19"/>
        <v/>
      </c>
      <c r="BJ7" s="11" t="str">
        <f t="shared" si="20"/>
        <v/>
      </c>
      <c r="BK7" s="11" t="str">
        <f t="shared" si="21"/>
        <v/>
      </c>
      <c r="BL7" s="11" t="str">
        <f t="shared" si="21"/>
        <v/>
      </c>
      <c r="BM7" s="11" t="str">
        <f t="shared" si="22"/>
        <v/>
      </c>
      <c r="BN7" s="11" t="str">
        <f t="shared" si="23"/>
        <v/>
      </c>
      <c r="BO7" s="11" t="str">
        <f t="shared" si="24"/>
        <v/>
      </c>
      <c r="BP7" s="11" t="str">
        <f t="shared" si="24"/>
        <v/>
      </c>
      <c r="BQ7" s="11" t="str">
        <f t="shared" si="25"/>
        <v/>
      </c>
      <c r="BR7" s="11" t="str">
        <f t="shared" si="26"/>
        <v/>
      </c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23"/>
      <c r="CI7" s="34" t="str">
        <f t="shared" si="27"/>
        <v/>
      </c>
      <c r="CJ7" s="34" t="str">
        <f t="shared" si="27"/>
        <v/>
      </c>
      <c r="CK7" s="36" t="str">
        <f t="shared" si="28"/>
        <v/>
      </c>
      <c r="CL7" s="36" t="str">
        <f t="shared" si="29"/>
        <v/>
      </c>
      <c r="CM7" s="36" t="str">
        <f t="shared" si="29"/>
        <v/>
      </c>
      <c r="CN7" s="36" t="str">
        <f t="shared" si="30"/>
        <v/>
      </c>
      <c r="CO7" s="36" t="str">
        <f t="shared" si="31"/>
        <v/>
      </c>
      <c r="CP7" s="36" t="str">
        <f t="shared" si="32"/>
        <v/>
      </c>
      <c r="CQ7" s="36" t="str">
        <f t="shared" si="32"/>
        <v/>
      </c>
      <c r="CR7" s="36" t="str">
        <f t="shared" si="33"/>
        <v/>
      </c>
      <c r="CS7" s="36" t="str">
        <f t="shared" si="34"/>
        <v/>
      </c>
      <c r="CT7" s="47" t="str">
        <f t="shared" si="35"/>
        <v/>
      </c>
      <c r="CU7" s="15"/>
      <c r="CV7" s="15"/>
      <c r="CW7" s="15"/>
      <c r="CX7" s="15"/>
      <c r="CY7" s="15"/>
      <c r="CZ7" s="15"/>
      <c r="DA7" s="15"/>
      <c r="DB7" s="15"/>
      <c r="DC7" s="15"/>
      <c r="DD7" s="15"/>
      <c r="DE7" s="15"/>
      <c r="DF7" s="15"/>
      <c r="DG7" s="15"/>
      <c r="DH7" s="15"/>
      <c r="DI7" s="15"/>
      <c r="DJ7" s="15"/>
      <c r="DK7" s="15"/>
      <c r="DL7" s="15"/>
      <c r="DM7" s="15"/>
      <c r="DN7" s="15"/>
      <c r="DO7" s="36" t="str">
        <f t="shared" si="36"/>
        <v/>
      </c>
      <c r="DP7" s="36" t="str">
        <f t="shared" si="36"/>
        <v/>
      </c>
      <c r="DQ7" s="36" t="str">
        <f t="shared" si="37"/>
        <v/>
      </c>
      <c r="DR7" s="36" t="str">
        <f t="shared" si="38"/>
        <v/>
      </c>
      <c r="DS7" s="36" t="str">
        <f t="shared" si="38"/>
        <v/>
      </c>
      <c r="DT7" s="36" t="str">
        <f t="shared" si="39"/>
        <v/>
      </c>
      <c r="DU7" s="36" t="str">
        <f t="shared" si="40"/>
        <v/>
      </c>
      <c r="DV7" s="36" t="str">
        <f t="shared" si="41"/>
        <v/>
      </c>
      <c r="DW7" s="36" t="str">
        <f t="shared" si="41"/>
        <v/>
      </c>
      <c r="DX7" s="36" t="str">
        <f t="shared" si="42"/>
        <v/>
      </c>
      <c r="DY7" s="36" t="str">
        <f t="shared" si="43"/>
        <v/>
      </c>
      <c r="DZ7" s="36" t="str">
        <f t="shared" si="43"/>
        <v/>
      </c>
      <c r="EA7" s="36" t="str">
        <f t="shared" si="44"/>
        <v/>
      </c>
      <c r="EB7" s="36" t="str">
        <f t="shared" si="45"/>
        <v/>
      </c>
      <c r="EC7" s="16"/>
      <c r="ED7" s="16"/>
      <c r="EE7" s="16"/>
      <c r="EF7" s="16"/>
      <c r="EG7" s="16"/>
      <c r="EH7" s="16"/>
      <c r="EI7" s="16"/>
      <c r="EJ7" s="16"/>
      <c r="EK7" s="16"/>
      <c r="EL7" s="16"/>
      <c r="EM7" s="16"/>
      <c r="EN7" s="16"/>
      <c r="EO7" s="16"/>
      <c r="EP7" s="16"/>
      <c r="EQ7" s="16"/>
      <c r="ER7" s="16"/>
      <c r="ES7" s="16"/>
      <c r="ET7" s="16"/>
      <c r="EU7" s="16"/>
      <c r="EV7" s="16"/>
      <c r="EW7" s="11" t="str">
        <f t="shared" si="46"/>
        <v/>
      </c>
      <c r="EX7" s="11" t="str">
        <f t="shared" si="46"/>
        <v/>
      </c>
      <c r="EY7" s="11" t="str">
        <f t="shared" si="47"/>
        <v/>
      </c>
      <c r="EZ7" s="11" t="str">
        <f t="shared" si="48"/>
        <v/>
      </c>
      <c r="FA7" s="11" t="str">
        <f t="shared" si="48"/>
        <v/>
      </c>
      <c r="FB7" s="11" t="str">
        <f t="shared" si="49"/>
        <v/>
      </c>
      <c r="FC7" s="11" t="str">
        <f t="shared" si="50"/>
        <v/>
      </c>
      <c r="FD7" s="11" t="str">
        <f t="shared" si="51"/>
        <v/>
      </c>
      <c r="FE7" s="11" t="str">
        <f t="shared" si="51"/>
        <v/>
      </c>
      <c r="FF7" s="11" t="str">
        <f t="shared" si="52"/>
        <v/>
      </c>
      <c r="FG7" s="11" t="str">
        <f t="shared" si="53"/>
        <v/>
      </c>
      <c r="FH7" s="11" t="str">
        <f t="shared" si="53"/>
        <v/>
      </c>
      <c r="FI7" s="11" t="str">
        <f t="shared" si="54"/>
        <v/>
      </c>
      <c r="FJ7" s="11" t="str">
        <f t="shared" si="55"/>
        <v/>
      </c>
      <c r="FK7" s="15"/>
      <c r="FL7" s="15"/>
      <c r="FM7" s="15"/>
      <c r="FN7" s="15"/>
      <c r="FO7" s="15"/>
      <c r="FP7" s="15"/>
      <c r="FQ7" s="15"/>
      <c r="FR7" s="15"/>
      <c r="FS7" s="15"/>
      <c r="FT7" s="15"/>
      <c r="FU7" s="15"/>
      <c r="FV7" s="15"/>
      <c r="FW7" s="15"/>
      <c r="FX7" s="15"/>
      <c r="FY7" s="15"/>
      <c r="FZ7" s="15"/>
      <c r="GA7" s="15"/>
      <c r="GB7" s="15"/>
      <c r="GC7" s="15"/>
      <c r="GD7" s="15"/>
      <c r="GE7" s="36" t="str">
        <f t="shared" si="56"/>
        <v/>
      </c>
      <c r="GF7" s="36" t="str">
        <f t="shared" si="56"/>
        <v/>
      </c>
      <c r="GG7" s="36" t="str">
        <f t="shared" si="57"/>
        <v/>
      </c>
      <c r="GH7" s="36" t="str">
        <f t="shared" si="58"/>
        <v/>
      </c>
      <c r="GI7" s="36" t="str">
        <f t="shared" si="58"/>
        <v/>
      </c>
      <c r="GJ7" s="36" t="str">
        <f t="shared" si="59"/>
        <v/>
      </c>
      <c r="GK7" s="36" t="str">
        <f t="shared" si="60"/>
        <v/>
      </c>
      <c r="GL7" s="36" t="str">
        <f t="shared" si="61"/>
        <v/>
      </c>
      <c r="GM7" s="36" t="str">
        <f t="shared" si="61"/>
        <v/>
      </c>
      <c r="GN7" s="36" t="str">
        <f t="shared" si="62"/>
        <v/>
      </c>
      <c r="GO7" s="36" t="str">
        <f t="shared" si="63"/>
        <v/>
      </c>
      <c r="GP7" s="36" t="str">
        <f t="shared" si="63"/>
        <v/>
      </c>
      <c r="GQ7" s="36" t="str">
        <f t="shared" si="64"/>
        <v/>
      </c>
      <c r="GR7" s="36" t="str">
        <f t="shared" si="65"/>
        <v/>
      </c>
      <c r="GS7" s="16"/>
      <c r="GT7" s="16"/>
      <c r="GU7" s="16"/>
      <c r="GV7" s="16"/>
      <c r="GW7" s="16"/>
      <c r="GX7" s="16"/>
      <c r="GY7" s="16"/>
      <c r="GZ7" s="16"/>
      <c r="HA7" s="16"/>
      <c r="HB7" s="16"/>
      <c r="HC7" s="16"/>
      <c r="HD7" s="16"/>
      <c r="HE7" s="16"/>
      <c r="HF7" s="16"/>
      <c r="HG7" s="16"/>
      <c r="HH7" s="16"/>
      <c r="HI7" s="16"/>
      <c r="HJ7" s="16"/>
      <c r="HK7" s="16"/>
      <c r="HL7" s="16"/>
      <c r="HM7" s="11" t="str">
        <f t="shared" si="66"/>
        <v/>
      </c>
      <c r="HN7" s="11" t="str">
        <f t="shared" si="66"/>
        <v/>
      </c>
      <c r="HO7" s="11" t="str">
        <f t="shared" si="67"/>
        <v/>
      </c>
      <c r="HP7" s="11" t="str">
        <f t="shared" si="68"/>
        <v/>
      </c>
      <c r="HQ7" s="11" t="str">
        <f t="shared" si="68"/>
        <v/>
      </c>
      <c r="HR7" s="11" t="str">
        <f t="shared" si="69"/>
        <v/>
      </c>
      <c r="HS7" s="11" t="str">
        <f t="shared" si="70"/>
        <v/>
      </c>
      <c r="HT7" s="11" t="str">
        <f t="shared" si="71"/>
        <v/>
      </c>
      <c r="HU7" s="11" t="str">
        <f t="shared" si="71"/>
        <v/>
      </c>
      <c r="HV7" s="11" t="str">
        <f t="shared" si="72"/>
        <v/>
      </c>
      <c r="HW7" s="11" t="str">
        <f t="shared" si="73"/>
        <v/>
      </c>
      <c r="HX7" s="11" t="str">
        <f t="shared" si="73"/>
        <v/>
      </c>
      <c r="HY7" s="11" t="str">
        <f t="shared" si="74"/>
        <v/>
      </c>
      <c r="HZ7" s="11" t="str">
        <f t="shared" si="75"/>
        <v/>
      </c>
      <c r="IA7" s="15"/>
      <c r="IB7" s="15"/>
      <c r="IC7" s="15"/>
      <c r="ID7" s="15"/>
      <c r="IE7" s="15"/>
      <c r="IF7" s="15"/>
      <c r="IG7" s="15"/>
      <c r="IH7" s="15"/>
      <c r="II7" s="15"/>
      <c r="IJ7" s="15"/>
      <c r="IK7" s="15"/>
      <c r="IL7" s="15"/>
      <c r="IM7" s="15"/>
      <c r="IN7" s="15"/>
      <c r="IO7" s="15"/>
      <c r="IP7" s="15"/>
      <c r="IQ7" s="15"/>
      <c r="IR7" s="15"/>
      <c r="IS7" s="15"/>
      <c r="IT7" s="15"/>
      <c r="IU7" s="36" t="str">
        <f t="shared" si="76"/>
        <v/>
      </c>
      <c r="IV7" s="36" t="str">
        <f t="shared" si="76"/>
        <v/>
      </c>
      <c r="IW7" s="36" t="str">
        <f t="shared" si="77"/>
        <v/>
      </c>
      <c r="IX7" s="36" t="str">
        <f t="shared" si="78"/>
        <v/>
      </c>
      <c r="IY7" s="36" t="str">
        <f t="shared" si="78"/>
        <v/>
      </c>
      <c r="IZ7" s="36" t="str">
        <f t="shared" si="79"/>
        <v/>
      </c>
      <c r="JA7" s="36" t="str">
        <f t="shared" si="80"/>
        <v/>
      </c>
      <c r="JB7" s="36" t="str">
        <f t="shared" si="81"/>
        <v/>
      </c>
      <c r="JC7" s="36" t="str">
        <f t="shared" si="81"/>
        <v/>
      </c>
      <c r="JD7" s="36" t="str">
        <f t="shared" si="82"/>
        <v/>
      </c>
      <c r="JE7" s="36" t="str">
        <f t="shared" si="83"/>
        <v/>
      </c>
      <c r="JF7" s="36" t="str">
        <f t="shared" si="83"/>
        <v/>
      </c>
      <c r="JG7" s="36" t="str">
        <f t="shared" si="84"/>
        <v/>
      </c>
      <c r="JH7" s="36" t="str">
        <f t="shared" si="85"/>
        <v/>
      </c>
      <c r="JI7" s="16"/>
      <c r="JJ7" s="16"/>
      <c r="JK7" s="16"/>
      <c r="JL7" s="16"/>
      <c r="JM7" s="16"/>
      <c r="JN7" s="16"/>
      <c r="JO7" s="16"/>
      <c r="JP7" s="16"/>
      <c r="JQ7" s="16"/>
      <c r="JR7" s="16"/>
      <c r="JS7" s="16"/>
      <c r="JT7" s="16"/>
      <c r="JU7" s="16"/>
      <c r="JV7" s="16"/>
      <c r="JW7" s="16"/>
      <c r="JX7" s="16"/>
      <c r="JY7" s="16"/>
      <c r="JZ7" s="16"/>
      <c r="KA7" s="16"/>
      <c r="KB7" s="16"/>
      <c r="KC7" s="11" t="str">
        <f t="shared" si="86"/>
        <v/>
      </c>
      <c r="KD7" s="11" t="str">
        <f t="shared" si="86"/>
        <v/>
      </c>
      <c r="KE7" s="11" t="str">
        <f t="shared" si="87"/>
        <v/>
      </c>
      <c r="KF7" s="11" t="str">
        <f t="shared" si="88"/>
        <v/>
      </c>
      <c r="KG7" s="11" t="str">
        <f t="shared" si="88"/>
        <v/>
      </c>
      <c r="KH7" s="11" t="str">
        <f t="shared" si="89"/>
        <v/>
      </c>
      <c r="KI7" s="11" t="str">
        <f t="shared" si="90"/>
        <v/>
      </c>
      <c r="KJ7" s="11" t="str">
        <f t="shared" si="91"/>
        <v/>
      </c>
      <c r="KK7" s="11" t="str">
        <f t="shared" si="91"/>
        <v/>
      </c>
      <c r="KL7" s="11" t="str">
        <f t="shared" si="92"/>
        <v/>
      </c>
      <c r="KM7" s="11" t="str">
        <f t="shared" si="93"/>
        <v/>
      </c>
      <c r="KN7" s="11" t="str">
        <f t="shared" si="93"/>
        <v/>
      </c>
      <c r="KO7" s="11" t="str">
        <f t="shared" si="94"/>
        <v/>
      </c>
      <c r="KP7" s="11" t="str">
        <f t="shared" si="95"/>
        <v/>
      </c>
      <c r="KQ7" s="15"/>
      <c r="KR7" s="15"/>
      <c r="KS7" s="15"/>
      <c r="KT7" s="15"/>
      <c r="KU7" s="15"/>
      <c r="KV7" s="15"/>
      <c r="KW7" s="15"/>
      <c r="KX7" s="15"/>
      <c r="KY7" s="15"/>
      <c r="KZ7" s="15"/>
      <c r="LA7" s="15"/>
      <c r="LB7" s="15"/>
      <c r="LC7" s="15"/>
      <c r="LD7" s="15"/>
      <c r="LE7" s="15"/>
      <c r="LF7" s="15"/>
      <c r="LG7" s="15"/>
      <c r="LH7" s="15"/>
      <c r="LI7" s="15"/>
      <c r="LJ7" s="15"/>
      <c r="LK7" s="36" t="str">
        <f t="shared" si="96"/>
        <v/>
      </c>
      <c r="LL7" s="36" t="str">
        <f t="shared" si="96"/>
        <v/>
      </c>
      <c r="LM7" s="36" t="str">
        <f t="shared" si="97"/>
        <v/>
      </c>
      <c r="LN7" s="36" t="str">
        <f t="shared" si="98"/>
        <v/>
      </c>
      <c r="LO7" s="36" t="str">
        <f t="shared" si="98"/>
        <v/>
      </c>
      <c r="LP7" s="36" t="str">
        <f t="shared" si="99"/>
        <v/>
      </c>
      <c r="LQ7" s="36" t="str">
        <f t="shared" si="100"/>
        <v/>
      </c>
      <c r="LR7" s="36" t="str">
        <f t="shared" si="101"/>
        <v/>
      </c>
      <c r="LS7" s="36" t="str">
        <f t="shared" si="101"/>
        <v/>
      </c>
      <c r="LT7" s="36" t="str">
        <f t="shared" si="102"/>
        <v/>
      </c>
      <c r="LU7" s="36" t="str">
        <f t="shared" si="103"/>
        <v/>
      </c>
      <c r="LV7" s="36" t="str">
        <f t="shared" si="103"/>
        <v/>
      </c>
      <c r="LW7" s="36" t="str">
        <f t="shared" si="104"/>
        <v/>
      </c>
      <c r="LX7" s="36" t="str">
        <f t="shared" si="105"/>
        <v/>
      </c>
      <c r="LY7" s="16"/>
      <c r="LZ7" s="16"/>
      <c r="MA7" s="16"/>
      <c r="MB7" s="16"/>
      <c r="MC7" s="16"/>
      <c r="MD7" s="16"/>
      <c r="ME7" s="16"/>
      <c r="MF7" s="16"/>
      <c r="MG7" s="16"/>
      <c r="MH7" s="16"/>
      <c r="MI7" s="16"/>
      <c r="MJ7" s="16"/>
      <c r="MK7" s="16"/>
      <c r="ML7" s="16"/>
      <c r="MM7" s="16"/>
      <c r="MN7" s="16"/>
      <c r="MO7" s="16"/>
      <c r="MP7" s="16"/>
      <c r="MQ7" s="16"/>
      <c r="MR7" s="16"/>
      <c r="MS7" s="11" t="str">
        <f t="shared" si="106"/>
        <v/>
      </c>
      <c r="MT7" s="11" t="str">
        <f t="shared" si="106"/>
        <v/>
      </c>
      <c r="MU7" s="11" t="str">
        <f t="shared" si="107"/>
        <v/>
      </c>
      <c r="MV7" s="11" t="str">
        <f t="shared" si="108"/>
        <v/>
      </c>
      <c r="MW7" s="11" t="str">
        <f t="shared" si="108"/>
        <v/>
      </c>
      <c r="MX7" s="11" t="str">
        <f t="shared" si="109"/>
        <v/>
      </c>
      <c r="MY7" s="11" t="str">
        <f t="shared" si="110"/>
        <v/>
      </c>
      <c r="MZ7" s="11" t="str">
        <f t="shared" si="111"/>
        <v/>
      </c>
      <c r="NA7" s="11" t="str">
        <f t="shared" si="111"/>
        <v/>
      </c>
      <c r="NB7" s="11" t="str">
        <f t="shared" si="112"/>
        <v/>
      </c>
      <c r="NC7" s="11" t="str">
        <f t="shared" si="113"/>
        <v/>
      </c>
      <c r="ND7" s="11" t="str">
        <f t="shared" si="113"/>
        <v/>
      </c>
      <c r="NE7" s="11" t="str">
        <f t="shared" si="114"/>
        <v/>
      </c>
      <c r="NF7" s="11" t="str">
        <f t="shared" si="115"/>
        <v/>
      </c>
      <c r="NG7" s="15"/>
      <c r="NH7" s="15"/>
      <c r="NI7" s="15"/>
      <c r="NJ7" s="15"/>
      <c r="NK7" s="15"/>
      <c r="NL7" s="15"/>
      <c r="NM7" s="15"/>
      <c r="NN7" s="15"/>
      <c r="NO7" s="15"/>
      <c r="NP7" s="15"/>
      <c r="NQ7" s="15"/>
      <c r="NR7" s="15"/>
      <c r="NS7" s="15"/>
      <c r="NT7" s="15"/>
      <c r="NU7" s="15"/>
      <c r="NV7" s="15"/>
      <c r="NW7" s="15"/>
      <c r="NX7" s="15"/>
      <c r="NY7" s="15"/>
      <c r="NZ7" s="15"/>
      <c r="OA7" s="36" t="str">
        <f t="shared" si="116"/>
        <v/>
      </c>
      <c r="OB7" s="36" t="str">
        <f t="shared" si="116"/>
        <v/>
      </c>
      <c r="OC7" s="36" t="str">
        <f t="shared" si="117"/>
        <v/>
      </c>
      <c r="OD7" s="36" t="str">
        <f t="shared" si="118"/>
        <v/>
      </c>
      <c r="OE7" s="36" t="str">
        <f t="shared" si="118"/>
        <v/>
      </c>
      <c r="OF7" s="36" t="str">
        <f t="shared" si="119"/>
        <v/>
      </c>
      <c r="OG7" s="36" t="str">
        <f t="shared" si="120"/>
        <v/>
      </c>
      <c r="OH7" s="36" t="str">
        <f t="shared" si="121"/>
        <v/>
      </c>
      <c r="OI7" s="36" t="str">
        <f t="shared" si="121"/>
        <v/>
      </c>
      <c r="OJ7" s="36" t="str">
        <f t="shared" si="122"/>
        <v/>
      </c>
      <c r="OK7" s="36" t="str">
        <f t="shared" si="123"/>
        <v/>
      </c>
      <c r="OL7" s="36" t="str">
        <f t="shared" si="123"/>
        <v/>
      </c>
      <c r="OM7" s="36" t="str">
        <f t="shared" si="124"/>
        <v/>
      </c>
      <c r="ON7" s="36" t="str">
        <f t="shared" si="125"/>
        <v/>
      </c>
      <c r="OO7" s="16"/>
      <c r="OP7" s="16"/>
      <c r="OQ7" s="16"/>
      <c r="OR7" s="16"/>
      <c r="OS7" s="16"/>
      <c r="OT7" s="16"/>
      <c r="OU7" s="16"/>
      <c r="OV7" s="16"/>
      <c r="OW7" s="16"/>
      <c r="OX7" s="16"/>
      <c r="OY7" s="16"/>
      <c r="OZ7" s="16"/>
      <c r="PA7" s="16"/>
      <c r="PB7" s="16"/>
      <c r="PC7" s="16"/>
      <c r="PD7" s="16"/>
      <c r="PE7" s="16"/>
      <c r="PF7" s="16"/>
      <c r="PG7" s="16"/>
      <c r="PH7" s="16"/>
      <c r="PI7" s="11" t="str">
        <f t="shared" si="126"/>
        <v/>
      </c>
      <c r="PJ7" s="11" t="str">
        <f t="shared" si="126"/>
        <v/>
      </c>
      <c r="PK7" s="11" t="str">
        <f t="shared" si="127"/>
        <v/>
      </c>
      <c r="PL7" s="11" t="str">
        <f t="shared" si="128"/>
        <v/>
      </c>
      <c r="PM7" s="11" t="str">
        <f t="shared" si="128"/>
        <v/>
      </c>
      <c r="PN7" s="11" t="str">
        <f t="shared" si="129"/>
        <v/>
      </c>
      <c r="PO7" s="11" t="str">
        <f t="shared" si="130"/>
        <v/>
      </c>
      <c r="PP7" s="11" t="str">
        <f t="shared" si="131"/>
        <v/>
      </c>
      <c r="PQ7" s="11" t="str">
        <f t="shared" si="131"/>
        <v/>
      </c>
      <c r="PR7" s="11" t="str">
        <f t="shared" si="132"/>
        <v/>
      </c>
      <c r="PS7" s="11" t="str">
        <f t="shared" si="133"/>
        <v/>
      </c>
      <c r="PT7" s="11" t="str">
        <f t="shared" si="133"/>
        <v/>
      </c>
      <c r="PU7" s="11" t="str">
        <f t="shared" si="134"/>
        <v/>
      </c>
      <c r="PV7" s="11" t="str">
        <f t="shared" si="135"/>
        <v/>
      </c>
      <c r="PW7" s="15"/>
      <c r="PX7" s="15"/>
      <c r="PY7" s="15"/>
      <c r="PZ7" s="15"/>
      <c r="QA7" s="15"/>
      <c r="QB7" s="15"/>
      <c r="QC7" s="15"/>
      <c r="QD7" s="15"/>
      <c r="QE7" s="15"/>
      <c r="QF7" s="15"/>
      <c r="QG7" s="15"/>
      <c r="QH7" s="15"/>
      <c r="QI7" s="15"/>
      <c r="QJ7" s="15"/>
      <c r="QK7" s="15"/>
      <c r="QL7" s="15"/>
      <c r="QM7" s="15"/>
      <c r="QN7" s="15"/>
      <c r="QO7" s="15"/>
      <c r="QP7" s="15"/>
      <c r="QQ7" s="36" t="str">
        <f t="shared" si="136"/>
        <v/>
      </c>
      <c r="QR7" s="36" t="str">
        <f t="shared" si="136"/>
        <v/>
      </c>
      <c r="QS7" s="36" t="str">
        <f t="shared" si="137"/>
        <v/>
      </c>
      <c r="QT7" s="36" t="str">
        <f t="shared" si="138"/>
        <v/>
      </c>
      <c r="QU7" s="36" t="str">
        <f t="shared" si="138"/>
        <v/>
      </c>
      <c r="QV7" s="36" t="str">
        <f t="shared" si="139"/>
        <v/>
      </c>
      <c r="QW7" s="36" t="str">
        <f t="shared" si="140"/>
        <v/>
      </c>
      <c r="QX7" s="36" t="str">
        <f t="shared" si="141"/>
        <v/>
      </c>
      <c r="QY7" s="36" t="str">
        <f t="shared" si="141"/>
        <v/>
      </c>
      <c r="QZ7" s="36" t="str">
        <f t="shared" si="142"/>
        <v/>
      </c>
      <c r="RA7" s="36" t="str">
        <f t="shared" si="143"/>
        <v/>
      </c>
      <c r="RB7" s="36" t="str">
        <f t="shared" si="143"/>
        <v/>
      </c>
      <c r="RC7" s="36" t="str">
        <f t="shared" si="144"/>
        <v/>
      </c>
      <c r="RD7" s="36" t="str">
        <f t="shared" si="145"/>
        <v/>
      </c>
      <c r="RE7" s="16"/>
      <c r="RF7" s="16"/>
      <c r="RG7" s="16"/>
      <c r="RH7" s="16"/>
      <c r="RI7" s="16"/>
      <c r="RJ7" s="16"/>
      <c r="RK7" s="16"/>
      <c r="RL7" s="16"/>
      <c r="RM7" s="16"/>
      <c r="RN7" s="16"/>
      <c r="RO7" s="16"/>
      <c r="RP7" s="16"/>
      <c r="RQ7" s="16"/>
      <c r="RR7" s="16"/>
      <c r="RS7" s="16"/>
      <c r="RT7" s="16"/>
      <c r="RU7" s="16"/>
      <c r="RV7" s="16"/>
      <c r="RW7" s="16"/>
      <c r="RX7" s="16"/>
      <c r="RY7" s="11" t="str">
        <f t="shared" si="146"/>
        <v/>
      </c>
      <c r="RZ7" s="11" t="str">
        <f t="shared" si="146"/>
        <v/>
      </c>
      <c r="SA7" s="11" t="str">
        <f t="shared" si="147"/>
        <v/>
      </c>
      <c r="SB7" s="11" t="str">
        <f t="shared" si="148"/>
        <v/>
      </c>
      <c r="SC7" s="11" t="str">
        <f t="shared" si="148"/>
        <v/>
      </c>
      <c r="SD7" s="11" t="str">
        <f t="shared" si="149"/>
        <v/>
      </c>
      <c r="SE7" s="11" t="str">
        <f t="shared" si="150"/>
        <v/>
      </c>
      <c r="SF7" s="11" t="str">
        <f t="shared" si="151"/>
        <v/>
      </c>
      <c r="SG7" s="11" t="str">
        <f t="shared" si="151"/>
        <v/>
      </c>
      <c r="SH7" s="11" t="str">
        <f t="shared" si="152"/>
        <v/>
      </c>
      <c r="SI7" s="11" t="str">
        <f t="shared" si="153"/>
        <v/>
      </c>
      <c r="SJ7" s="11" t="str">
        <f t="shared" si="153"/>
        <v/>
      </c>
      <c r="SK7" s="11" t="str">
        <f t="shared" si="154"/>
        <v/>
      </c>
      <c r="SL7" s="11" t="str">
        <f t="shared" si="155"/>
        <v/>
      </c>
      <c r="SM7" s="15"/>
      <c r="SN7" s="15"/>
      <c r="SO7" s="15"/>
      <c r="SP7" s="15"/>
      <c r="SQ7" s="15"/>
      <c r="SR7" s="15"/>
      <c r="SS7" s="15"/>
      <c r="ST7" s="15"/>
      <c r="SU7" s="15"/>
      <c r="SV7" s="15"/>
      <c r="SW7" s="15"/>
      <c r="SX7" s="15"/>
      <c r="SY7" s="15"/>
      <c r="SZ7" s="15"/>
      <c r="TA7" s="15"/>
      <c r="TB7" s="15"/>
      <c r="TC7" s="15"/>
      <c r="TD7" s="15"/>
      <c r="TE7" s="15"/>
      <c r="TF7" s="15"/>
      <c r="TG7" s="36" t="str">
        <f t="shared" si="156"/>
        <v/>
      </c>
      <c r="TH7" s="36" t="str">
        <f t="shared" si="156"/>
        <v/>
      </c>
      <c r="TI7" s="36" t="str">
        <f t="shared" si="157"/>
        <v/>
      </c>
      <c r="TJ7" s="36" t="str">
        <f t="shared" si="158"/>
        <v/>
      </c>
      <c r="TK7" s="36" t="str">
        <f t="shared" si="158"/>
        <v/>
      </c>
      <c r="TL7" s="36" t="str">
        <f t="shared" si="159"/>
        <v/>
      </c>
      <c r="TM7" s="36" t="str">
        <f t="shared" si="160"/>
        <v/>
      </c>
      <c r="TN7" s="36" t="str">
        <f t="shared" si="161"/>
        <v/>
      </c>
      <c r="TO7" s="36" t="str">
        <f t="shared" si="161"/>
        <v/>
      </c>
      <c r="TP7" s="36" t="str">
        <f t="shared" si="162"/>
        <v/>
      </c>
      <c r="TQ7" s="36" t="str">
        <f t="shared" si="163"/>
        <v/>
      </c>
      <c r="TR7" s="36" t="str">
        <f t="shared" si="163"/>
        <v/>
      </c>
      <c r="TS7" s="36" t="str">
        <f t="shared" si="164"/>
        <v/>
      </c>
      <c r="TT7" s="36" t="str">
        <f t="shared" si="165"/>
        <v/>
      </c>
      <c r="TU7" s="16"/>
      <c r="TV7" s="16"/>
      <c r="TW7" s="16"/>
      <c r="TX7" s="16"/>
      <c r="TY7" s="16"/>
      <c r="TZ7" s="16"/>
      <c r="UA7" s="16"/>
      <c r="UB7" s="16"/>
      <c r="UC7" s="16"/>
      <c r="UD7" s="16"/>
      <c r="UE7" s="16"/>
      <c r="UF7" s="16"/>
      <c r="UG7" s="16"/>
      <c r="UH7" s="16"/>
      <c r="UI7" s="16"/>
      <c r="UJ7" s="16"/>
      <c r="UK7" s="16"/>
      <c r="UL7" s="16"/>
      <c r="UM7" s="16"/>
      <c r="UN7" s="16"/>
      <c r="UO7" s="11" t="str">
        <f t="shared" si="166"/>
        <v/>
      </c>
      <c r="UP7" s="11" t="str">
        <f t="shared" si="166"/>
        <v/>
      </c>
      <c r="UQ7" s="11" t="str">
        <f t="shared" si="167"/>
        <v/>
      </c>
      <c r="UR7" s="11" t="str">
        <f t="shared" si="168"/>
        <v/>
      </c>
      <c r="US7" s="11" t="str">
        <f t="shared" si="168"/>
        <v/>
      </c>
      <c r="UT7" s="11" t="str">
        <f t="shared" si="169"/>
        <v/>
      </c>
      <c r="UU7" s="11" t="str">
        <f t="shared" si="170"/>
        <v/>
      </c>
      <c r="UV7" s="11" t="str">
        <f t="shared" si="171"/>
        <v/>
      </c>
      <c r="UW7" s="11" t="str">
        <f t="shared" si="171"/>
        <v/>
      </c>
      <c r="UX7" s="11" t="str">
        <f t="shared" si="172"/>
        <v/>
      </c>
      <c r="UY7" s="11" t="str">
        <f t="shared" si="173"/>
        <v/>
      </c>
      <c r="UZ7" s="11" t="str">
        <f t="shared" si="173"/>
        <v/>
      </c>
      <c r="VA7" s="11" t="str">
        <f t="shared" si="174"/>
        <v/>
      </c>
      <c r="VB7" s="11" t="str">
        <f t="shared" si="175"/>
        <v/>
      </c>
      <c r="VC7" s="15"/>
      <c r="VD7" s="15"/>
      <c r="VE7" s="15"/>
      <c r="VF7" s="15"/>
      <c r="VG7" s="15"/>
      <c r="VH7" s="15"/>
      <c r="VI7" s="15"/>
      <c r="VJ7" s="15"/>
      <c r="VK7" s="15"/>
      <c r="VL7" s="15"/>
      <c r="VM7" s="15"/>
      <c r="VN7" s="15"/>
      <c r="VO7" s="15"/>
      <c r="VP7" s="15"/>
      <c r="VQ7" s="15"/>
      <c r="VR7" s="15"/>
      <c r="VS7" s="15"/>
      <c r="VT7" s="15"/>
      <c r="VU7" s="15"/>
      <c r="VV7" s="15"/>
      <c r="VW7" s="36" t="str">
        <f t="shared" si="176"/>
        <v/>
      </c>
      <c r="VX7" s="36" t="str">
        <f t="shared" si="176"/>
        <v/>
      </c>
      <c r="VY7" s="36" t="str">
        <f t="shared" si="177"/>
        <v/>
      </c>
      <c r="VZ7" s="36" t="str">
        <f t="shared" si="178"/>
        <v/>
      </c>
      <c r="WA7" s="36" t="str">
        <f t="shared" si="178"/>
        <v/>
      </c>
      <c r="WB7" s="36" t="str">
        <f t="shared" si="179"/>
        <v/>
      </c>
      <c r="WC7" s="36" t="str">
        <f t="shared" si="180"/>
        <v/>
      </c>
      <c r="WD7" s="36" t="str">
        <f t="shared" si="181"/>
        <v/>
      </c>
      <c r="WE7" s="36" t="str">
        <f t="shared" si="181"/>
        <v/>
      </c>
      <c r="WF7" s="36" t="str">
        <f t="shared" si="182"/>
        <v/>
      </c>
      <c r="WG7" s="36" t="str">
        <f t="shared" si="183"/>
        <v/>
      </c>
      <c r="WH7" s="36" t="str">
        <f t="shared" si="183"/>
        <v/>
      </c>
      <c r="WI7" s="36" t="str">
        <f t="shared" si="184"/>
        <v/>
      </c>
      <c r="WJ7" s="36" t="str">
        <f t="shared" si="185"/>
        <v/>
      </c>
    </row>
    <row r="8" spans="1:608" x14ac:dyDescent="0.2">
      <c r="A8" s="4" cm="1">
        <f t="array" ref="A8">IF(AND(H8&lt;&gt;"",H8&lt;&gt;"No DD"),SUMPRODUCT((H$4:H$12&lt;&gt;"")*(H$4:H$12&lt;&gt;"No DD")*(E$4:E$12&gt;E8))+1,IF(H8="No DD",SUMPRODUCT((H$4:H$12="No DD")*(E$4:E$12&gt;E8))+1+SUMPRODUCT((H$4:H$12&lt;&gt;"")*(H$4:H$12&lt;&gt;"No DD")),""))</f>
        <v>5</v>
      </c>
      <c r="B8" s="5" t="s">
        <v>170</v>
      </c>
      <c r="C8" s="4" t="s">
        <v>131</v>
      </c>
      <c r="D8" s="4" t="s">
        <v>169</v>
      </c>
      <c r="E8" s="9">
        <f t="shared" si="0"/>
        <v>48.08</v>
      </c>
      <c r="F8" s="3" t="str">
        <f t="shared" si="1"/>
        <v>P</v>
      </c>
      <c r="G8" s="3" t="str">
        <f t="shared" si="2"/>
        <v>P</v>
      </c>
      <c r="H8" s="32" t="str">
        <f t="shared" si="3"/>
        <v>National Team</v>
      </c>
      <c r="I8" s="3" t="str">
        <f t="shared" si="4"/>
        <v/>
      </c>
      <c r="J8" s="8">
        <f t="shared" si="5"/>
        <v>0</v>
      </c>
      <c r="K8" s="8" t="str">
        <f t="shared" si="6"/>
        <v/>
      </c>
      <c r="L8" s="8">
        <f>IFERROR(LARGE((AI8,AL8,AP8,BJ8,BM8,BQ8,CK8,CN8,CR8),2),0)</f>
        <v>0</v>
      </c>
      <c r="M8" s="8" t="str">
        <f t="shared" si="7"/>
        <v/>
      </c>
      <c r="N8" s="8">
        <f t="shared" si="8"/>
        <v>48.08</v>
      </c>
      <c r="O8" s="11" t="str">
        <f t="shared" si="9"/>
        <v>(Any)</v>
      </c>
      <c r="P8" s="8" t="str">
        <f t="shared" si="10"/>
        <v>2025 World Cup GER (Sept 21)</v>
      </c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23"/>
      <c r="AG8" s="34" t="str">
        <f t="shared" si="11"/>
        <v/>
      </c>
      <c r="AH8" s="34" t="str">
        <f t="shared" si="11"/>
        <v/>
      </c>
      <c r="AI8" s="36" t="str">
        <f t="shared" si="12"/>
        <v/>
      </c>
      <c r="AJ8" s="36" t="str">
        <f t="shared" si="13"/>
        <v/>
      </c>
      <c r="AK8" s="36" t="str">
        <f t="shared" si="13"/>
        <v/>
      </c>
      <c r="AL8" s="36" t="str">
        <f t="shared" si="14"/>
        <v/>
      </c>
      <c r="AM8" s="36" t="str">
        <f t="shared" si="15"/>
        <v/>
      </c>
      <c r="AN8" s="36" t="str">
        <f t="shared" si="16"/>
        <v/>
      </c>
      <c r="AO8" s="36" t="str">
        <f t="shared" si="16"/>
        <v/>
      </c>
      <c r="AP8" s="36" t="str">
        <f t="shared" si="17"/>
        <v/>
      </c>
      <c r="AQ8" s="36" t="str">
        <f t="shared" si="18"/>
        <v/>
      </c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4"/>
      <c r="BH8" s="35" t="str">
        <f t="shared" si="19"/>
        <v/>
      </c>
      <c r="BI8" s="35" t="str">
        <f t="shared" si="19"/>
        <v/>
      </c>
      <c r="BJ8" s="11" t="str">
        <f t="shared" si="20"/>
        <v/>
      </c>
      <c r="BK8" s="11" t="str">
        <f t="shared" si="21"/>
        <v/>
      </c>
      <c r="BL8" s="11" t="str">
        <f t="shared" si="21"/>
        <v/>
      </c>
      <c r="BM8" s="11" t="str">
        <f t="shared" si="22"/>
        <v/>
      </c>
      <c r="BN8" s="11" t="str">
        <f t="shared" si="23"/>
        <v/>
      </c>
      <c r="BO8" s="11" t="str">
        <f t="shared" si="24"/>
        <v/>
      </c>
      <c r="BP8" s="11" t="str">
        <f t="shared" si="24"/>
        <v/>
      </c>
      <c r="BQ8" s="11" t="str">
        <f t="shared" si="25"/>
        <v/>
      </c>
      <c r="BR8" s="11" t="str">
        <f t="shared" si="26"/>
        <v/>
      </c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23"/>
      <c r="CI8" s="34" t="str">
        <f t="shared" si="27"/>
        <v/>
      </c>
      <c r="CJ8" s="34" t="str">
        <f t="shared" si="27"/>
        <v/>
      </c>
      <c r="CK8" s="36" t="str">
        <f t="shared" si="28"/>
        <v/>
      </c>
      <c r="CL8" s="36" t="str">
        <f t="shared" si="29"/>
        <v/>
      </c>
      <c r="CM8" s="36" t="str">
        <f t="shared" si="29"/>
        <v/>
      </c>
      <c r="CN8" s="36" t="str">
        <f t="shared" si="30"/>
        <v/>
      </c>
      <c r="CO8" s="36" t="str">
        <f t="shared" si="31"/>
        <v/>
      </c>
      <c r="CP8" s="36" t="str">
        <f t="shared" si="32"/>
        <v/>
      </c>
      <c r="CQ8" s="36" t="str">
        <f t="shared" si="32"/>
        <v/>
      </c>
      <c r="CR8" s="36" t="str">
        <f t="shared" si="33"/>
        <v/>
      </c>
      <c r="CS8" s="36" t="str">
        <f t="shared" si="34"/>
        <v/>
      </c>
      <c r="CT8" s="47">
        <f t="shared" si="35"/>
        <v>48.08</v>
      </c>
      <c r="CU8" s="15"/>
      <c r="CV8" s="15"/>
      <c r="CW8" s="15"/>
      <c r="CX8" s="15"/>
      <c r="CY8" s="15"/>
      <c r="CZ8" s="15"/>
      <c r="DA8" s="15"/>
      <c r="DB8" s="15"/>
      <c r="DC8" s="15"/>
      <c r="DD8" s="15"/>
      <c r="DE8" s="15"/>
      <c r="DF8" s="15"/>
      <c r="DG8" s="15"/>
      <c r="DH8" s="15"/>
      <c r="DI8" s="15"/>
      <c r="DJ8" s="15"/>
      <c r="DK8" s="15"/>
      <c r="DL8" s="15"/>
      <c r="DM8" s="15"/>
      <c r="DN8" s="15"/>
      <c r="DO8" s="36" t="str">
        <f t="shared" si="36"/>
        <v/>
      </c>
      <c r="DP8" s="36" t="str">
        <f t="shared" si="36"/>
        <v/>
      </c>
      <c r="DQ8" s="36" t="str">
        <f t="shared" si="37"/>
        <v/>
      </c>
      <c r="DR8" s="36" t="str">
        <f t="shared" si="38"/>
        <v/>
      </c>
      <c r="DS8" s="36" t="str">
        <f t="shared" si="38"/>
        <v/>
      </c>
      <c r="DT8" s="36" t="str">
        <f t="shared" si="39"/>
        <v/>
      </c>
      <c r="DU8" s="36" t="str">
        <f t="shared" si="40"/>
        <v/>
      </c>
      <c r="DV8" s="36" t="str">
        <f t="shared" si="41"/>
        <v/>
      </c>
      <c r="DW8" s="36" t="str">
        <f t="shared" si="41"/>
        <v/>
      </c>
      <c r="DX8" s="36" t="str">
        <f t="shared" si="42"/>
        <v/>
      </c>
      <c r="DY8" s="36" t="str">
        <f t="shared" si="43"/>
        <v/>
      </c>
      <c r="DZ8" s="36" t="str">
        <f t="shared" si="43"/>
        <v/>
      </c>
      <c r="EA8" s="36" t="str">
        <f t="shared" si="44"/>
        <v/>
      </c>
      <c r="EB8" s="36" t="str">
        <f t="shared" si="45"/>
        <v/>
      </c>
      <c r="EC8" s="16">
        <v>7.8</v>
      </c>
      <c r="ED8" s="16">
        <v>9.25</v>
      </c>
      <c r="EE8" s="16">
        <v>13.6</v>
      </c>
      <c r="EF8" s="16">
        <v>17.420000000000002</v>
      </c>
      <c r="EG8" s="16">
        <v>0</v>
      </c>
      <c r="EH8" s="16">
        <v>1.45</v>
      </c>
      <c r="EI8" s="16">
        <v>1.85</v>
      </c>
      <c r="EJ8" s="16">
        <v>3.5</v>
      </c>
      <c r="EK8" s="16">
        <v>3.24</v>
      </c>
      <c r="EL8" s="16">
        <v>0</v>
      </c>
      <c r="EM8" s="16"/>
      <c r="EN8" s="16"/>
      <c r="EO8" s="16"/>
      <c r="EP8" s="16"/>
      <c r="EQ8" s="16"/>
      <c r="ER8" s="16">
        <v>7.7</v>
      </c>
      <c r="ES8" s="16">
        <v>9.1999999999999993</v>
      </c>
      <c r="ET8" s="16">
        <v>13.6</v>
      </c>
      <c r="EU8" s="16">
        <v>17.579999999999998</v>
      </c>
      <c r="EV8" s="16">
        <v>0</v>
      </c>
      <c r="EW8" s="11">
        <f t="shared" si="46"/>
        <v>13.6</v>
      </c>
      <c r="EX8" s="11">
        <f t="shared" si="46"/>
        <v>17.420000000000002</v>
      </c>
      <c r="EY8" s="11">
        <f t="shared" si="47"/>
        <v>48.07</v>
      </c>
      <c r="EZ8" s="11">
        <f t="shared" si="48"/>
        <v>3.5</v>
      </c>
      <c r="FA8" s="11">
        <f t="shared" si="48"/>
        <v>3.24</v>
      </c>
      <c r="FB8" s="11">
        <f t="shared" si="49"/>
        <v>10.039999999999999</v>
      </c>
      <c r="FC8" s="11">
        <f t="shared" si="50"/>
        <v>48.07</v>
      </c>
      <c r="FD8" s="11" t="str">
        <f t="shared" si="51"/>
        <v/>
      </c>
      <c r="FE8" s="11" t="str">
        <f t="shared" si="51"/>
        <v/>
      </c>
      <c r="FF8" s="11" t="str">
        <f t="shared" si="52"/>
        <v/>
      </c>
      <c r="FG8" s="11">
        <f t="shared" si="53"/>
        <v>13.6</v>
      </c>
      <c r="FH8" s="11">
        <f t="shared" si="53"/>
        <v>17.579999999999998</v>
      </c>
      <c r="FI8" s="11">
        <f t="shared" si="54"/>
        <v>48.08</v>
      </c>
      <c r="FJ8" s="11">
        <f t="shared" si="55"/>
        <v>96.15</v>
      </c>
      <c r="FK8" s="15">
        <v>2.15</v>
      </c>
      <c r="FL8" s="15">
        <v>2.75</v>
      </c>
      <c r="FM8" s="15">
        <v>4.5</v>
      </c>
      <c r="FN8" s="15">
        <v>5.74</v>
      </c>
      <c r="FO8" s="15">
        <v>0</v>
      </c>
      <c r="FP8" s="15">
        <v>2.2000000000000002</v>
      </c>
      <c r="FQ8" s="15">
        <v>2.85</v>
      </c>
      <c r="FR8" s="15">
        <v>4.5</v>
      </c>
      <c r="FS8" s="15">
        <v>4.0199999999999996</v>
      </c>
      <c r="FT8" s="15">
        <v>0</v>
      </c>
      <c r="FU8" s="15"/>
      <c r="FV8" s="15"/>
      <c r="FW8" s="15"/>
      <c r="FX8" s="15"/>
      <c r="FY8" s="15"/>
      <c r="FZ8" s="15"/>
      <c r="GA8" s="15"/>
      <c r="GB8" s="15"/>
      <c r="GC8" s="15"/>
      <c r="GD8" s="15"/>
      <c r="GE8" s="36">
        <f t="shared" si="56"/>
        <v>4.5</v>
      </c>
      <c r="GF8" s="36">
        <f t="shared" si="56"/>
        <v>5.74</v>
      </c>
      <c r="GG8" s="36">
        <f t="shared" si="57"/>
        <v>15.14</v>
      </c>
      <c r="GH8" s="36">
        <f t="shared" si="58"/>
        <v>4.5</v>
      </c>
      <c r="GI8" s="36">
        <f t="shared" si="58"/>
        <v>4.0199999999999996</v>
      </c>
      <c r="GJ8" s="36">
        <f t="shared" si="59"/>
        <v>13.57</v>
      </c>
      <c r="GK8" s="36">
        <f t="shared" si="60"/>
        <v>15.14</v>
      </c>
      <c r="GL8" s="36" t="str">
        <f t="shared" si="61"/>
        <v/>
      </c>
      <c r="GM8" s="36" t="str">
        <f t="shared" si="61"/>
        <v/>
      </c>
      <c r="GN8" s="36" t="str">
        <f t="shared" si="62"/>
        <v/>
      </c>
      <c r="GO8" s="36" t="str">
        <f t="shared" si="63"/>
        <v/>
      </c>
      <c r="GP8" s="36" t="str">
        <f t="shared" si="63"/>
        <v/>
      </c>
      <c r="GQ8" s="36" t="str">
        <f t="shared" si="64"/>
        <v/>
      </c>
      <c r="GR8" s="36">
        <f t="shared" si="65"/>
        <v>15.14</v>
      </c>
      <c r="GS8" s="16"/>
      <c r="GT8" s="16"/>
      <c r="GU8" s="16"/>
      <c r="GV8" s="16"/>
      <c r="GW8" s="16"/>
      <c r="GX8" s="16"/>
      <c r="GY8" s="16"/>
      <c r="GZ8" s="16"/>
      <c r="HA8" s="16"/>
      <c r="HB8" s="16"/>
      <c r="HC8" s="16"/>
      <c r="HD8" s="16"/>
      <c r="HE8" s="16"/>
      <c r="HF8" s="16"/>
      <c r="HG8" s="16"/>
      <c r="HH8" s="16"/>
      <c r="HI8" s="16"/>
      <c r="HJ8" s="16"/>
      <c r="HK8" s="16"/>
      <c r="HL8" s="16"/>
      <c r="HM8" s="11" t="str">
        <f t="shared" si="66"/>
        <v/>
      </c>
      <c r="HN8" s="11" t="str">
        <f t="shared" si="66"/>
        <v/>
      </c>
      <c r="HO8" s="11" t="str">
        <f t="shared" si="67"/>
        <v/>
      </c>
      <c r="HP8" s="11" t="str">
        <f t="shared" si="68"/>
        <v/>
      </c>
      <c r="HQ8" s="11" t="str">
        <f t="shared" si="68"/>
        <v/>
      </c>
      <c r="HR8" s="11" t="str">
        <f t="shared" si="69"/>
        <v/>
      </c>
      <c r="HS8" s="11" t="str">
        <f t="shared" si="70"/>
        <v/>
      </c>
      <c r="HT8" s="11" t="str">
        <f t="shared" si="71"/>
        <v/>
      </c>
      <c r="HU8" s="11" t="str">
        <f t="shared" si="71"/>
        <v/>
      </c>
      <c r="HV8" s="11" t="str">
        <f t="shared" si="72"/>
        <v/>
      </c>
      <c r="HW8" s="11" t="str">
        <f t="shared" si="73"/>
        <v/>
      </c>
      <c r="HX8" s="11" t="str">
        <f t="shared" si="73"/>
        <v/>
      </c>
      <c r="HY8" s="11" t="str">
        <f t="shared" si="74"/>
        <v/>
      </c>
      <c r="HZ8" s="11" t="str">
        <f t="shared" si="75"/>
        <v/>
      </c>
      <c r="IA8" s="15"/>
      <c r="IB8" s="15"/>
      <c r="IC8" s="15"/>
      <c r="ID8" s="15"/>
      <c r="IE8" s="15"/>
      <c r="IF8" s="15"/>
      <c r="IG8" s="15"/>
      <c r="IH8" s="15"/>
      <c r="II8" s="15"/>
      <c r="IJ8" s="15"/>
      <c r="IK8" s="15"/>
      <c r="IL8" s="15"/>
      <c r="IM8" s="15"/>
      <c r="IN8" s="15"/>
      <c r="IO8" s="15"/>
      <c r="IP8" s="15"/>
      <c r="IQ8" s="15"/>
      <c r="IR8" s="15"/>
      <c r="IS8" s="15"/>
      <c r="IT8" s="15"/>
      <c r="IU8" s="36" t="str">
        <f t="shared" si="76"/>
        <v/>
      </c>
      <c r="IV8" s="36" t="str">
        <f t="shared" si="76"/>
        <v/>
      </c>
      <c r="IW8" s="36" t="str">
        <f t="shared" si="77"/>
        <v/>
      </c>
      <c r="IX8" s="36" t="str">
        <f t="shared" si="78"/>
        <v/>
      </c>
      <c r="IY8" s="36" t="str">
        <f t="shared" si="78"/>
        <v/>
      </c>
      <c r="IZ8" s="36" t="str">
        <f t="shared" si="79"/>
        <v/>
      </c>
      <c r="JA8" s="36" t="str">
        <f t="shared" si="80"/>
        <v/>
      </c>
      <c r="JB8" s="36" t="str">
        <f t="shared" si="81"/>
        <v/>
      </c>
      <c r="JC8" s="36" t="str">
        <f t="shared" si="81"/>
        <v/>
      </c>
      <c r="JD8" s="36" t="str">
        <f t="shared" si="82"/>
        <v/>
      </c>
      <c r="JE8" s="36" t="str">
        <f t="shared" si="83"/>
        <v/>
      </c>
      <c r="JF8" s="36" t="str">
        <f t="shared" si="83"/>
        <v/>
      </c>
      <c r="JG8" s="36" t="str">
        <f t="shared" si="84"/>
        <v/>
      </c>
      <c r="JH8" s="36" t="str">
        <f t="shared" si="85"/>
        <v/>
      </c>
      <c r="JI8" s="16"/>
      <c r="JJ8" s="16"/>
      <c r="JK8" s="16"/>
      <c r="JL8" s="16"/>
      <c r="JM8" s="16"/>
      <c r="JN8" s="16"/>
      <c r="JO8" s="16"/>
      <c r="JP8" s="16"/>
      <c r="JQ8" s="16"/>
      <c r="JR8" s="16"/>
      <c r="JS8" s="16"/>
      <c r="JT8" s="16"/>
      <c r="JU8" s="16"/>
      <c r="JV8" s="16"/>
      <c r="JW8" s="16"/>
      <c r="JX8" s="16"/>
      <c r="JY8" s="16"/>
      <c r="JZ8" s="16"/>
      <c r="KA8" s="16"/>
      <c r="KB8" s="16"/>
      <c r="KC8" s="11" t="str">
        <f t="shared" si="86"/>
        <v/>
      </c>
      <c r="KD8" s="11" t="str">
        <f t="shared" si="86"/>
        <v/>
      </c>
      <c r="KE8" s="11" t="str">
        <f t="shared" si="87"/>
        <v/>
      </c>
      <c r="KF8" s="11" t="str">
        <f t="shared" si="88"/>
        <v/>
      </c>
      <c r="KG8" s="11" t="str">
        <f t="shared" si="88"/>
        <v/>
      </c>
      <c r="KH8" s="11" t="str">
        <f t="shared" si="89"/>
        <v/>
      </c>
      <c r="KI8" s="11" t="str">
        <f t="shared" si="90"/>
        <v/>
      </c>
      <c r="KJ8" s="11" t="str">
        <f t="shared" si="91"/>
        <v/>
      </c>
      <c r="KK8" s="11" t="str">
        <f t="shared" si="91"/>
        <v/>
      </c>
      <c r="KL8" s="11" t="str">
        <f t="shared" si="92"/>
        <v/>
      </c>
      <c r="KM8" s="11" t="str">
        <f t="shared" si="93"/>
        <v/>
      </c>
      <c r="KN8" s="11" t="str">
        <f t="shared" si="93"/>
        <v/>
      </c>
      <c r="KO8" s="11" t="str">
        <f t="shared" si="94"/>
        <v/>
      </c>
      <c r="KP8" s="11" t="str">
        <f t="shared" si="95"/>
        <v/>
      </c>
      <c r="KQ8" s="15"/>
      <c r="KR8" s="15"/>
      <c r="KS8" s="15"/>
      <c r="KT8" s="15"/>
      <c r="KU8" s="15"/>
      <c r="KV8" s="15"/>
      <c r="KW8" s="15"/>
      <c r="KX8" s="15"/>
      <c r="KY8" s="15"/>
      <c r="KZ8" s="15"/>
      <c r="LA8" s="15"/>
      <c r="LB8" s="15"/>
      <c r="LC8" s="15"/>
      <c r="LD8" s="15"/>
      <c r="LE8" s="15"/>
      <c r="LF8" s="15"/>
      <c r="LG8" s="15"/>
      <c r="LH8" s="15"/>
      <c r="LI8" s="15"/>
      <c r="LJ8" s="15"/>
      <c r="LK8" s="36" t="str">
        <f t="shared" si="96"/>
        <v/>
      </c>
      <c r="LL8" s="36" t="str">
        <f t="shared" si="96"/>
        <v/>
      </c>
      <c r="LM8" s="36" t="str">
        <f t="shared" si="97"/>
        <v/>
      </c>
      <c r="LN8" s="36" t="str">
        <f t="shared" si="98"/>
        <v/>
      </c>
      <c r="LO8" s="36" t="str">
        <f t="shared" si="98"/>
        <v/>
      </c>
      <c r="LP8" s="36" t="str">
        <f t="shared" si="99"/>
        <v/>
      </c>
      <c r="LQ8" s="36" t="str">
        <f t="shared" si="100"/>
        <v/>
      </c>
      <c r="LR8" s="36" t="str">
        <f t="shared" si="101"/>
        <v/>
      </c>
      <c r="LS8" s="36" t="str">
        <f t="shared" si="101"/>
        <v/>
      </c>
      <c r="LT8" s="36" t="str">
        <f t="shared" si="102"/>
        <v/>
      </c>
      <c r="LU8" s="36" t="str">
        <f t="shared" si="103"/>
        <v/>
      </c>
      <c r="LV8" s="36" t="str">
        <f t="shared" si="103"/>
        <v/>
      </c>
      <c r="LW8" s="36" t="str">
        <f t="shared" si="104"/>
        <v/>
      </c>
      <c r="LX8" s="36" t="str">
        <f t="shared" si="105"/>
        <v/>
      </c>
      <c r="LY8" s="16"/>
      <c r="LZ8" s="16"/>
      <c r="MA8" s="16"/>
      <c r="MB8" s="16"/>
      <c r="MC8" s="16"/>
      <c r="MD8" s="16"/>
      <c r="ME8" s="16"/>
      <c r="MF8" s="16"/>
      <c r="MG8" s="16"/>
      <c r="MH8" s="16"/>
      <c r="MI8" s="16"/>
      <c r="MJ8" s="16"/>
      <c r="MK8" s="16"/>
      <c r="ML8" s="16"/>
      <c r="MM8" s="16"/>
      <c r="MN8" s="16"/>
      <c r="MO8" s="16"/>
      <c r="MP8" s="16"/>
      <c r="MQ8" s="16"/>
      <c r="MR8" s="16"/>
      <c r="MS8" s="11" t="str">
        <f t="shared" si="106"/>
        <v/>
      </c>
      <c r="MT8" s="11" t="str">
        <f t="shared" si="106"/>
        <v/>
      </c>
      <c r="MU8" s="11" t="str">
        <f t="shared" si="107"/>
        <v/>
      </c>
      <c r="MV8" s="11" t="str">
        <f t="shared" si="108"/>
        <v/>
      </c>
      <c r="MW8" s="11" t="str">
        <f t="shared" si="108"/>
        <v/>
      </c>
      <c r="MX8" s="11" t="str">
        <f t="shared" si="109"/>
        <v/>
      </c>
      <c r="MY8" s="11" t="str">
        <f t="shared" si="110"/>
        <v/>
      </c>
      <c r="MZ8" s="11" t="str">
        <f t="shared" si="111"/>
        <v/>
      </c>
      <c r="NA8" s="11" t="str">
        <f t="shared" si="111"/>
        <v/>
      </c>
      <c r="NB8" s="11" t="str">
        <f t="shared" si="112"/>
        <v/>
      </c>
      <c r="NC8" s="11" t="str">
        <f t="shared" si="113"/>
        <v/>
      </c>
      <c r="ND8" s="11" t="str">
        <f t="shared" si="113"/>
        <v/>
      </c>
      <c r="NE8" s="11" t="str">
        <f t="shared" si="114"/>
        <v/>
      </c>
      <c r="NF8" s="11" t="str">
        <f t="shared" si="115"/>
        <v/>
      </c>
      <c r="NG8" s="15"/>
      <c r="NH8" s="15"/>
      <c r="NI8" s="15"/>
      <c r="NJ8" s="15"/>
      <c r="NK8" s="15"/>
      <c r="NL8" s="15"/>
      <c r="NM8" s="15"/>
      <c r="NN8" s="15"/>
      <c r="NO8" s="15"/>
      <c r="NP8" s="15"/>
      <c r="NQ8" s="15"/>
      <c r="NR8" s="15"/>
      <c r="NS8" s="15"/>
      <c r="NT8" s="15"/>
      <c r="NU8" s="15"/>
      <c r="NV8" s="15"/>
      <c r="NW8" s="15"/>
      <c r="NX8" s="15"/>
      <c r="NY8" s="15"/>
      <c r="NZ8" s="15"/>
      <c r="OA8" s="36" t="str">
        <f t="shared" si="116"/>
        <v/>
      </c>
      <c r="OB8" s="36" t="str">
        <f t="shared" si="116"/>
        <v/>
      </c>
      <c r="OC8" s="36" t="str">
        <f t="shared" si="117"/>
        <v/>
      </c>
      <c r="OD8" s="36" t="str">
        <f t="shared" si="118"/>
        <v/>
      </c>
      <c r="OE8" s="36" t="str">
        <f t="shared" si="118"/>
        <v/>
      </c>
      <c r="OF8" s="36" t="str">
        <f t="shared" si="119"/>
        <v/>
      </c>
      <c r="OG8" s="36" t="str">
        <f t="shared" si="120"/>
        <v/>
      </c>
      <c r="OH8" s="36" t="str">
        <f t="shared" si="121"/>
        <v/>
      </c>
      <c r="OI8" s="36" t="str">
        <f t="shared" si="121"/>
        <v/>
      </c>
      <c r="OJ8" s="36" t="str">
        <f t="shared" si="122"/>
        <v/>
      </c>
      <c r="OK8" s="36" t="str">
        <f t="shared" si="123"/>
        <v/>
      </c>
      <c r="OL8" s="36" t="str">
        <f t="shared" si="123"/>
        <v/>
      </c>
      <c r="OM8" s="36" t="str">
        <f t="shared" si="124"/>
        <v/>
      </c>
      <c r="ON8" s="36" t="str">
        <f t="shared" si="125"/>
        <v/>
      </c>
      <c r="OO8" s="16"/>
      <c r="OP8" s="16"/>
      <c r="OQ8" s="16"/>
      <c r="OR8" s="16"/>
      <c r="OS8" s="16"/>
      <c r="OT8" s="16"/>
      <c r="OU8" s="16"/>
      <c r="OV8" s="16"/>
      <c r="OW8" s="16"/>
      <c r="OX8" s="16"/>
      <c r="OY8" s="16"/>
      <c r="OZ8" s="16"/>
      <c r="PA8" s="16"/>
      <c r="PB8" s="16"/>
      <c r="PC8" s="16"/>
      <c r="PD8" s="16"/>
      <c r="PE8" s="16"/>
      <c r="PF8" s="16"/>
      <c r="PG8" s="16"/>
      <c r="PH8" s="16"/>
      <c r="PI8" s="11" t="str">
        <f t="shared" si="126"/>
        <v/>
      </c>
      <c r="PJ8" s="11" t="str">
        <f t="shared" si="126"/>
        <v/>
      </c>
      <c r="PK8" s="11" t="str">
        <f t="shared" si="127"/>
        <v/>
      </c>
      <c r="PL8" s="11" t="str">
        <f t="shared" si="128"/>
        <v/>
      </c>
      <c r="PM8" s="11" t="str">
        <f t="shared" si="128"/>
        <v/>
      </c>
      <c r="PN8" s="11" t="str">
        <f t="shared" si="129"/>
        <v/>
      </c>
      <c r="PO8" s="11" t="str">
        <f t="shared" si="130"/>
        <v/>
      </c>
      <c r="PP8" s="11" t="str">
        <f t="shared" si="131"/>
        <v/>
      </c>
      <c r="PQ8" s="11" t="str">
        <f t="shared" si="131"/>
        <v/>
      </c>
      <c r="PR8" s="11" t="str">
        <f t="shared" si="132"/>
        <v/>
      </c>
      <c r="PS8" s="11" t="str">
        <f t="shared" si="133"/>
        <v/>
      </c>
      <c r="PT8" s="11" t="str">
        <f t="shared" si="133"/>
        <v/>
      </c>
      <c r="PU8" s="11" t="str">
        <f t="shared" si="134"/>
        <v/>
      </c>
      <c r="PV8" s="11" t="str">
        <f t="shared" si="135"/>
        <v/>
      </c>
      <c r="PW8" s="15"/>
      <c r="PX8" s="15"/>
      <c r="PY8" s="15"/>
      <c r="PZ8" s="15"/>
      <c r="QA8" s="15"/>
      <c r="QB8" s="15"/>
      <c r="QC8" s="15"/>
      <c r="QD8" s="15"/>
      <c r="QE8" s="15"/>
      <c r="QF8" s="15"/>
      <c r="QG8" s="15"/>
      <c r="QH8" s="15"/>
      <c r="QI8" s="15"/>
      <c r="QJ8" s="15"/>
      <c r="QK8" s="15"/>
      <c r="QL8" s="15"/>
      <c r="QM8" s="15"/>
      <c r="QN8" s="15"/>
      <c r="QO8" s="15"/>
      <c r="QP8" s="15"/>
      <c r="QQ8" s="36" t="str">
        <f t="shared" si="136"/>
        <v/>
      </c>
      <c r="QR8" s="36" t="str">
        <f t="shared" si="136"/>
        <v/>
      </c>
      <c r="QS8" s="36" t="str">
        <f t="shared" si="137"/>
        <v/>
      </c>
      <c r="QT8" s="36" t="str">
        <f t="shared" si="138"/>
        <v/>
      </c>
      <c r="QU8" s="36" t="str">
        <f t="shared" si="138"/>
        <v/>
      </c>
      <c r="QV8" s="36" t="str">
        <f t="shared" si="139"/>
        <v/>
      </c>
      <c r="QW8" s="36" t="str">
        <f t="shared" si="140"/>
        <v/>
      </c>
      <c r="QX8" s="36" t="str">
        <f t="shared" si="141"/>
        <v/>
      </c>
      <c r="QY8" s="36" t="str">
        <f t="shared" si="141"/>
        <v/>
      </c>
      <c r="QZ8" s="36" t="str">
        <f t="shared" si="142"/>
        <v/>
      </c>
      <c r="RA8" s="36" t="str">
        <f t="shared" si="143"/>
        <v/>
      </c>
      <c r="RB8" s="36" t="str">
        <f t="shared" si="143"/>
        <v/>
      </c>
      <c r="RC8" s="36" t="str">
        <f t="shared" si="144"/>
        <v/>
      </c>
      <c r="RD8" s="36" t="str">
        <f t="shared" si="145"/>
        <v/>
      </c>
      <c r="RE8" s="16"/>
      <c r="RF8" s="16"/>
      <c r="RG8" s="16"/>
      <c r="RH8" s="16"/>
      <c r="RI8" s="16"/>
      <c r="RJ8" s="16"/>
      <c r="RK8" s="16"/>
      <c r="RL8" s="16"/>
      <c r="RM8" s="16"/>
      <c r="RN8" s="16"/>
      <c r="RO8" s="16"/>
      <c r="RP8" s="16"/>
      <c r="RQ8" s="16"/>
      <c r="RR8" s="16"/>
      <c r="RS8" s="16"/>
      <c r="RT8" s="16"/>
      <c r="RU8" s="16"/>
      <c r="RV8" s="16"/>
      <c r="RW8" s="16"/>
      <c r="RX8" s="16"/>
      <c r="RY8" s="11" t="str">
        <f t="shared" si="146"/>
        <v/>
      </c>
      <c r="RZ8" s="11" t="str">
        <f t="shared" si="146"/>
        <v/>
      </c>
      <c r="SA8" s="11" t="str">
        <f t="shared" si="147"/>
        <v/>
      </c>
      <c r="SB8" s="11" t="str">
        <f t="shared" si="148"/>
        <v/>
      </c>
      <c r="SC8" s="11" t="str">
        <f t="shared" si="148"/>
        <v/>
      </c>
      <c r="SD8" s="11" t="str">
        <f t="shared" si="149"/>
        <v/>
      </c>
      <c r="SE8" s="11" t="str">
        <f t="shared" si="150"/>
        <v/>
      </c>
      <c r="SF8" s="11" t="str">
        <f t="shared" si="151"/>
        <v/>
      </c>
      <c r="SG8" s="11" t="str">
        <f t="shared" si="151"/>
        <v/>
      </c>
      <c r="SH8" s="11" t="str">
        <f t="shared" si="152"/>
        <v/>
      </c>
      <c r="SI8" s="11" t="str">
        <f t="shared" si="153"/>
        <v/>
      </c>
      <c r="SJ8" s="11" t="str">
        <f t="shared" si="153"/>
        <v/>
      </c>
      <c r="SK8" s="11" t="str">
        <f t="shared" si="154"/>
        <v/>
      </c>
      <c r="SL8" s="11" t="str">
        <f t="shared" si="155"/>
        <v/>
      </c>
      <c r="SM8" s="15"/>
      <c r="SN8" s="15"/>
      <c r="SO8" s="15"/>
      <c r="SP8" s="15"/>
      <c r="SQ8" s="15"/>
      <c r="SR8" s="15"/>
      <c r="SS8" s="15"/>
      <c r="ST8" s="15"/>
      <c r="SU8" s="15"/>
      <c r="SV8" s="15"/>
      <c r="SW8" s="15"/>
      <c r="SX8" s="15"/>
      <c r="SY8" s="15"/>
      <c r="SZ8" s="15"/>
      <c r="TA8" s="15"/>
      <c r="TB8" s="15"/>
      <c r="TC8" s="15"/>
      <c r="TD8" s="15"/>
      <c r="TE8" s="15"/>
      <c r="TF8" s="15"/>
      <c r="TG8" s="36" t="str">
        <f t="shared" si="156"/>
        <v/>
      </c>
      <c r="TH8" s="36" t="str">
        <f t="shared" si="156"/>
        <v/>
      </c>
      <c r="TI8" s="36" t="str">
        <f t="shared" si="157"/>
        <v/>
      </c>
      <c r="TJ8" s="36" t="str">
        <f t="shared" si="158"/>
        <v/>
      </c>
      <c r="TK8" s="36" t="str">
        <f t="shared" si="158"/>
        <v/>
      </c>
      <c r="TL8" s="36" t="str">
        <f t="shared" si="159"/>
        <v/>
      </c>
      <c r="TM8" s="36" t="str">
        <f t="shared" si="160"/>
        <v/>
      </c>
      <c r="TN8" s="36" t="str">
        <f t="shared" si="161"/>
        <v/>
      </c>
      <c r="TO8" s="36" t="str">
        <f t="shared" si="161"/>
        <v/>
      </c>
      <c r="TP8" s="36" t="str">
        <f t="shared" si="162"/>
        <v/>
      </c>
      <c r="TQ8" s="36" t="str">
        <f t="shared" si="163"/>
        <v/>
      </c>
      <c r="TR8" s="36" t="str">
        <f t="shared" si="163"/>
        <v/>
      </c>
      <c r="TS8" s="36" t="str">
        <f t="shared" si="164"/>
        <v/>
      </c>
      <c r="TT8" s="36" t="str">
        <f t="shared" si="165"/>
        <v/>
      </c>
      <c r="TU8" s="16"/>
      <c r="TV8" s="16"/>
      <c r="TW8" s="16"/>
      <c r="TX8" s="16"/>
      <c r="TY8" s="16"/>
      <c r="TZ8" s="16"/>
      <c r="UA8" s="16"/>
      <c r="UB8" s="16"/>
      <c r="UC8" s="16"/>
      <c r="UD8" s="16"/>
      <c r="UE8" s="16"/>
      <c r="UF8" s="16"/>
      <c r="UG8" s="16"/>
      <c r="UH8" s="16"/>
      <c r="UI8" s="16"/>
      <c r="UJ8" s="16"/>
      <c r="UK8" s="16"/>
      <c r="UL8" s="16"/>
      <c r="UM8" s="16"/>
      <c r="UN8" s="16"/>
      <c r="UO8" s="11" t="str">
        <f t="shared" si="166"/>
        <v/>
      </c>
      <c r="UP8" s="11" t="str">
        <f t="shared" si="166"/>
        <v/>
      </c>
      <c r="UQ8" s="11" t="str">
        <f t="shared" si="167"/>
        <v/>
      </c>
      <c r="UR8" s="11" t="str">
        <f t="shared" si="168"/>
        <v/>
      </c>
      <c r="US8" s="11" t="str">
        <f t="shared" si="168"/>
        <v/>
      </c>
      <c r="UT8" s="11" t="str">
        <f t="shared" si="169"/>
        <v/>
      </c>
      <c r="UU8" s="11" t="str">
        <f t="shared" si="170"/>
        <v/>
      </c>
      <c r="UV8" s="11" t="str">
        <f t="shared" si="171"/>
        <v/>
      </c>
      <c r="UW8" s="11" t="str">
        <f t="shared" si="171"/>
        <v/>
      </c>
      <c r="UX8" s="11" t="str">
        <f t="shared" si="172"/>
        <v/>
      </c>
      <c r="UY8" s="11" t="str">
        <f t="shared" si="173"/>
        <v/>
      </c>
      <c r="UZ8" s="11" t="str">
        <f t="shared" si="173"/>
        <v/>
      </c>
      <c r="VA8" s="11" t="str">
        <f t="shared" si="174"/>
        <v/>
      </c>
      <c r="VB8" s="11" t="str">
        <f t="shared" si="175"/>
        <v/>
      </c>
      <c r="VC8" s="15"/>
      <c r="VD8" s="15"/>
      <c r="VE8" s="15"/>
      <c r="VF8" s="15"/>
      <c r="VG8" s="15"/>
      <c r="VH8" s="15"/>
      <c r="VI8" s="15"/>
      <c r="VJ8" s="15"/>
      <c r="VK8" s="15"/>
      <c r="VL8" s="15"/>
      <c r="VM8" s="15"/>
      <c r="VN8" s="15"/>
      <c r="VO8" s="15"/>
      <c r="VP8" s="15"/>
      <c r="VQ8" s="15"/>
      <c r="VR8" s="15"/>
      <c r="VS8" s="15"/>
      <c r="VT8" s="15"/>
      <c r="VU8" s="15"/>
      <c r="VV8" s="15"/>
      <c r="VW8" s="36" t="str">
        <f t="shared" si="176"/>
        <v/>
      </c>
      <c r="VX8" s="36" t="str">
        <f t="shared" si="176"/>
        <v/>
      </c>
      <c r="VY8" s="36" t="str">
        <f t="shared" si="177"/>
        <v/>
      </c>
      <c r="VZ8" s="36" t="str">
        <f t="shared" si="178"/>
        <v/>
      </c>
      <c r="WA8" s="36" t="str">
        <f t="shared" si="178"/>
        <v/>
      </c>
      <c r="WB8" s="36" t="str">
        <f t="shared" si="179"/>
        <v/>
      </c>
      <c r="WC8" s="36" t="str">
        <f t="shared" si="180"/>
        <v/>
      </c>
      <c r="WD8" s="36" t="str">
        <f t="shared" si="181"/>
        <v/>
      </c>
      <c r="WE8" s="36" t="str">
        <f t="shared" si="181"/>
        <v/>
      </c>
      <c r="WF8" s="36" t="str">
        <f t="shared" si="182"/>
        <v/>
      </c>
      <c r="WG8" s="36" t="str">
        <f t="shared" si="183"/>
        <v/>
      </c>
      <c r="WH8" s="36" t="str">
        <f t="shared" si="183"/>
        <v/>
      </c>
      <c r="WI8" s="36" t="str">
        <f t="shared" si="184"/>
        <v/>
      </c>
      <c r="WJ8" s="36" t="str">
        <f t="shared" si="185"/>
        <v/>
      </c>
    </row>
    <row r="9" spans="1:608" x14ac:dyDescent="0.2">
      <c r="A9" s="4" cm="1">
        <f t="array" ref="A9">IF(AND(H9&lt;&gt;"",H9&lt;&gt;"No DD"),SUMPRODUCT((H$4:H$12&lt;&gt;"")*(H$4:H$12&lt;&gt;"No DD")*(E$4:E$12&gt;E9))+1,IF(H9="No DD",SUMPRODUCT((H$4:H$12="No DD")*(E$4:E$12&gt;E9))+1+SUMPRODUCT((H$4:H$12&lt;&gt;"")*(H$4:H$12&lt;&gt;"No DD")),""))</f>
        <v>6</v>
      </c>
      <c r="B9" s="5" t="s">
        <v>139</v>
      </c>
      <c r="C9" s="4" t="s">
        <v>107</v>
      </c>
      <c r="D9" s="4" t="s">
        <v>91</v>
      </c>
      <c r="E9" s="9">
        <f t="shared" si="0"/>
        <v>46.94</v>
      </c>
      <c r="F9" s="3" t="str">
        <f t="shared" si="1"/>
        <v>P</v>
      </c>
      <c r="G9" s="3" t="str">
        <f t="shared" si="2"/>
        <v>P</v>
      </c>
      <c r="H9" s="32" t="str">
        <f t="shared" si="3"/>
        <v>National Team</v>
      </c>
      <c r="I9" s="3" t="str">
        <f t="shared" si="4"/>
        <v/>
      </c>
      <c r="J9" s="8">
        <f t="shared" si="5"/>
        <v>0</v>
      </c>
      <c r="K9" s="8" t="str">
        <f t="shared" si="6"/>
        <v/>
      </c>
      <c r="L9" s="8">
        <f>IFERROR(LARGE((AI9,AL9,AP9,BJ9,BM9,BQ9,CK9,CN9,CR9),2),0)</f>
        <v>0</v>
      </c>
      <c r="M9" s="8" t="str">
        <f t="shared" si="7"/>
        <v/>
      </c>
      <c r="N9" s="8">
        <f t="shared" si="8"/>
        <v>46.94</v>
      </c>
      <c r="O9" s="11" t="str">
        <f t="shared" si="9"/>
        <v>(Any)</v>
      </c>
      <c r="P9" s="8" t="str">
        <f t="shared" si="10"/>
        <v>2025 World Cup ITA (April 5)</v>
      </c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23"/>
      <c r="AG9" s="34" t="str">
        <f t="shared" si="11"/>
        <v/>
      </c>
      <c r="AH9" s="34" t="str">
        <f t="shared" si="11"/>
        <v/>
      </c>
      <c r="AI9" s="36" t="str">
        <f t="shared" si="12"/>
        <v/>
      </c>
      <c r="AJ9" s="36" t="str">
        <f t="shared" si="13"/>
        <v/>
      </c>
      <c r="AK9" s="36" t="str">
        <f t="shared" si="13"/>
        <v/>
      </c>
      <c r="AL9" s="36" t="str">
        <f t="shared" si="14"/>
        <v/>
      </c>
      <c r="AM9" s="36" t="str">
        <f t="shared" si="15"/>
        <v/>
      </c>
      <c r="AN9" s="36" t="str">
        <f t="shared" si="16"/>
        <v/>
      </c>
      <c r="AO9" s="36" t="str">
        <f t="shared" si="16"/>
        <v/>
      </c>
      <c r="AP9" s="36" t="str">
        <f t="shared" si="17"/>
        <v/>
      </c>
      <c r="AQ9" s="36" t="str">
        <f t="shared" si="18"/>
        <v/>
      </c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4"/>
      <c r="BH9" s="35" t="str">
        <f t="shared" si="19"/>
        <v/>
      </c>
      <c r="BI9" s="35" t="str">
        <f t="shared" si="19"/>
        <v/>
      </c>
      <c r="BJ9" s="11" t="str">
        <f t="shared" si="20"/>
        <v/>
      </c>
      <c r="BK9" s="11" t="str">
        <f t="shared" si="21"/>
        <v/>
      </c>
      <c r="BL9" s="11" t="str">
        <f t="shared" si="21"/>
        <v/>
      </c>
      <c r="BM9" s="11" t="str">
        <f t="shared" si="22"/>
        <v/>
      </c>
      <c r="BN9" s="11" t="str">
        <f t="shared" si="23"/>
        <v/>
      </c>
      <c r="BO9" s="11" t="str">
        <f t="shared" si="24"/>
        <v/>
      </c>
      <c r="BP9" s="11" t="str">
        <f t="shared" si="24"/>
        <v/>
      </c>
      <c r="BQ9" s="11" t="str">
        <f t="shared" si="25"/>
        <v/>
      </c>
      <c r="BR9" s="11" t="str">
        <f t="shared" si="26"/>
        <v/>
      </c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23"/>
      <c r="CI9" s="34" t="str">
        <f t="shared" si="27"/>
        <v/>
      </c>
      <c r="CJ9" s="34" t="str">
        <f t="shared" si="27"/>
        <v/>
      </c>
      <c r="CK9" s="36" t="str">
        <f t="shared" si="28"/>
        <v/>
      </c>
      <c r="CL9" s="36" t="str">
        <f t="shared" si="29"/>
        <v/>
      </c>
      <c r="CM9" s="36" t="str">
        <f t="shared" si="29"/>
        <v/>
      </c>
      <c r="CN9" s="36" t="str">
        <f t="shared" si="30"/>
        <v/>
      </c>
      <c r="CO9" s="36" t="str">
        <f t="shared" si="31"/>
        <v/>
      </c>
      <c r="CP9" s="36" t="str">
        <f t="shared" si="32"/>
        <v/>
      </c>
      <c r="CQ9" s="36" t="str">
        <f t="shared" si="32"/>
        <v/>
      </c>
      <c r="CR9" s="36" t="str">
        <f t="shared" si="33"/>
        <v/>
      </c>
      <c r="CS9" s="36" t="str">
        <f t="shared" si="34"/>
        <v/>
      </c>
      <c r="CT9" s="47">
        <f t="shared" si="35"/>
        <v>46.94</v>
      </c>
      <c r="CU9" s="15">
        <v>7.85</v>
      </c>
      <c r="CV9" s="15">
        <v>9</v>
      </c>
      <c r="CW9" s="15">
        <v>11.8</v>
      </c>
      <c r="CX9" s="15">
        <v>18.34</v>
      </c>
      <c r="CY9" s="15">
        <v>0.4</v>
      </c>
      <c r="CZ9" s="15">
        <v>8</v>
      </c>
      <c r="DA9" s="15">
        <v>8.9</v>
      </c>
      <c r="DB9" s="15">
        <v>11.8</v>
      </c>
      <c r="DC9" s="15">
        <v>18.239999999999998</v>
      </c>
      <c r="DD9" s="15">
        <v>0</v>
      </c>
      <c r="DE9" s="15"/>
      <c r="DF9" s="15"/>
      <c r="DG9" s="15"/>
      <c r="DH9" s="15"/>
      <c r="DI9" s="15"/>
      <c r="DJ9" s="15">
        <v>7.7</v>
      </c>
      <c r="DK9" s="15">
        <v>8.9499999999999993</v>
      </c>
      <c r="DL9" s="15">
        <v>11.8</v>
      </c>
      <c r="DM9" s="15">
        <v>16.32</v>
      </c>
      <c r="DN9" s="15">
        <v>0</v>
      </c>
      <c r="DO9" s="36">
        <f t="shared" si="36"/>
        <v>11.8</v>
      </c>
      <c r="DP9" s="36">
        <f t="shared" si="36"/>
        <v>18.34</v>
      </c>
      <c r="DQ9" s="36">
        <f t="shared" si="37"/>
        <v>46.59</v>
      </c>
      <c r="DR9" s="36">
        <f t="shared" si="38"/>
        <v>11.8</v>
      </c>
      <c r="DS9" s="36">
        <f t="shared" si="38"/>
        <v>18.239999999999998</v>
      </c>
      <c r="DT9" s="36">
        <f t="shared" si="39"/>
        <v>46.94</v>
      </c>
      <c r="DU9" s="36">
        <f t="shared" si="40"/>
        <v>46.94</v>
      </c>
      <c r="DV9" s="36" t="str">
        <f t="shared" si="41"/>
        <v/>
      </c>
      <c r="DW9" s="36" t="str">
        <f t="shared" si="41"/>
        <v/>
      </c>
      <c r="DX9" s="36" t="str">
        <f t="shared" si="42"/>
        <v/>
      </c>
      <c r="DY9" s="36">
        <f t="shared" si="43"/>
        <v>11.8</v>
      </c>
      <c r="DZ9" s="36">
        <f t="shared" si="43"/>
        <v>16.32</v>
      </c>
      <c r="EA9" s="36">
        <f t="shared" si="44"/>
        <v>44.769999999999996</v>
      </c>
      <c r="EB9" s="36">
        <f t="shared" si="45"/>
        <v>91.71</v>
      </c>
      <c r="EC9" s="16"/>
      <c r="ED9" s="16"/>
      <c r="EE9" s="16"/>
      <c r="EF9" s="16"/>
      <c r="EG9" s="16"/>
      <c r="EH9" s="16"/>
      <c r="EI9" s="16"/>
      <c r="EJ9" s="16"/>
      <c r="EK9" s="16"/>
      <c r="EL9" s="16"/>
      <c r="EM9" s="16"/>
      <c r="EN9" s="16"/>
      <c r="EO9" s="16"/>
      <c r="EP9" s="16"/>
      <c r="EQ9" s="16"/>
      <c r="ER9" s="16"/>
      <c r="ES9" s="16"/>
      <c r="ET9" s="16"/>
      <c r="EU9" s="16"/>
      <c r="EV9" s="16"/>
      <c r="EW9" s="11" t="str">
        <f t="shared" si="46"/>
        <v/>
      </c>
      <c r="EX9" s="11" t="str">
        <f t="shared" si="46"/>
        <v/>
      </c>
      <c r="EY9" s="11" t="str">
        <f t="shared" si="47"/>
        <v/>
      </c>
      <c r="EZ9" s="11" t="str">
        <f t="shared" si="48"/>
        <v/>
      </c>
      <c r="FA9" s="11" t="str">
        <f t="shared" si="48"/>
        <v/>
      </c>
      <c r="FB9" s="11" t="str">
        <f t="shared" si="49"/>
        <v/>
      </c>
      <c r="FC9" s="11" t="str">
        <f t="shared" si="50"/>
        <v/>
      </c>
      <c r="FD9" s="11" t="str">
        <f t="shared" si="51"/>
        <v/>
      </c>
      <c r="FE9" s="11" t="str">
        <f t="shared" si="51"/>
        <v/>
      </c>
      <c r="FF9" s="11" t="str">
        <f t="shared" si="52"/>
        <v/>
      </c>
      <c r="FG9" s="11" t="str">
        <f t="shared" si="53"/>
        <v/>
      </c>
      <c r="FH9" s="11" t="str">
        <f t="shared" si="53"/>
        <v/>
      </c>
      <c r="FI9" s="11" t="str">
        <f t="shared" si="54"/>
        <v/>
      </c>
      <c r="FJ9" s="11" t="str">
        <f t="shared" si="55"/>
        <v/>
      </c>
      <c r="FK9" s="15"/>
      <c r="FL9" s="15"/>
      <c r="FM9" s="15"/>
      <c r="FN9" s="15"/>
      <c r="FO9" s="15"/>
      <c r="FP9" s="15"/>
      <c r="FQ9" s="15"/>
      <c r="FR9" s="15"/>
      <c r="FS9" s="15"/>
      <c r="FT9" s="15"/>
      <c r="FU9" s="15"/>
      <c r="FV9" s="15"/>
      <c r="FW9" s="15"/>
      <c r="FX9" s="15"/>
      <c r="FY9" s="15"/>
      <c r="FZ9" s="15"/>
      <c r="GA9" s="15"/>
      <c r="GB9" s="15"/>
      <c r="GC9" s="15"/>
      <c r="GD9" s="15"/>
      <c r="GE9" s="36" t="str">
        <f t="shared" si="56"/>
        <v/>
      </c>
      <c r="GF9" s="36" t="str">
        <f t="shared" si="56"/>
        <v/>
      </c>
      <c r="GG9" s="36" t="str">
        <f t="shared" si="57"/>
        <v/>
      </c>
      <c r="GH9" s="36" t="str">
        <f t="shared" si="58"/>
        <v/>
      </c>
      <c r="GI9" s="36" t="str">
        <f t="shared" si="58"/>
        <v/>
      </c>
      <c r="GJ9" s="36" t="str">
        <f t="shared" si="59"/>
        <v/>
      </c>
      <c r="GK9" s="36" t="str">
        <f t="shared" si="60"/>
        <v/>
      </c>
      <c r="GL9" s="36" t="str">
        <f t="shared" si="61"/>
        <v/>
      </c>
      <c r="GM9" s="36" t="str">
        <f t="shared" si="61"/>
        <v/>
      </c>
      <c r="GN9" s="36" t="str">
        <f t="shared" si="62"/>
        <v/>
      </c>
      <c r="GO9" s="36" t="str">
        <f t="shared" si="63"/>
        <v/>
      </c>
      <c r="GP9" s="36" t="str">
        <f t="shared" si="63"/>
        <v/>
      </c>
      <c r="GQ9" s="36" t="str">
        <f t="shared" si="64"/>
        <v/>
      </c>
      <c r="GR9" s="36" t="str">
        <f t="shared" si="65"/>
        <v/>
      </c>
      <c r="GS9" s="16"/>
      <c r="GT9" s="16"/>
      <c r="GU9" s="16"/>
      <c r="GV9" s="16"/>
      <c r="GW9" s="16"/>
      <c r="GX9" s="16"/>
      <c r="GY9" s="16"/>
      <c r="GZ9" s="16"/>
      <c r="HA9" s="16"/>
      <c r="HB9" s="16"/>
      <c r="HC9" s="16"/>
      <c r="HD9" s="16"/>
      <c r="HE9" s="16"/>
      <c r="HF9" s="16"/>
      <c r="HG9" s="16"/>
      <c r="HH9" s="16"/>
      <c r="HI9" s="16"/>
      <c r="HJ9" s="16"/>
      <c r="HK9" s="16"/>
      <c r="HL9" s="16"/>
      <c r="HM9" s="11" t="str">
        <f t="shared" si="66"/>
        <v/>
      </c>
      <c r="HN9" s="11" t="str">
        <f t="shared" si="66"/>
        <v/>
      </c>
      <c r="HO9" s="11" t="str">
        <f t="shared" si="67"/>
        <v/>
      </c>
      <c r="HP9" s="11" t="str">
        <f t="shared" si="68"/>
        <v/>
      </c>
      <c r="HQ9" s="11" t="str">
        <f t="shared" si="68"/>
        <v/>
      </c>
      <c r="HR9" s="11" t="str">
        <f t="shared" si="69"/>
        <v/>
      </c>
      <c r="HS9" s="11" t="str">
        <f t="shared" si="70"/>
        <v/>
      </c>
      <c r="HT9" s="11" t="str">
        <f t="shared" si="71"/>
        <v/>
      </c>
      <c r="HU9" s="11" t="str">
        <f t="shared" si="71"/>
        <v/>
      </c>
      <c r="HV9" s="11" t="str">
        <f t="shared" si="72"/>
        <v/>
      </c>
      <c r="HW9" s="11" t="str">
        <f t="shared" si="73"/>
        <v/>
      </c>
      <c r="HX9" s="11" t="str">
        <f t="shared" si="73"/>
        <v/>
      </c>
      <c r="HY9" s="11" t="str">
        <f t="shared" si="74"/>
        <v/>
      </c>
      <c r="HZ9" s="11" t="str">
        <f t="shared" si="75"/>
        <v/>
      </c>
      <c r="IA9" s="15"/>
      <c r="IB9" s="15"/>
      <c r="IC9" s="15"/>
      <c r="ID9" s="15"/>
      <c r="IE9" s="15"/>
      <c r="IF9" s="15"/>
      <c r="IG9" s="15"/>
      <c r="IH9" s="15"/>
      <c r="II9" s="15"/>
      <c r="IJ9" s="15"/>
      <c r="IK9" s="15"/>
      <c r="IL9" s="15"/>
      <c r="IM9" s="15"/>
      <c r="IN9" s="15"/>
      <c r="IO9" s="15"/>
      <c r="IP9" s="15"/>
      <c r="IQ9" s="15"/>
      <c r="IR9" s="15"/>
      <c r="IS9" s="15"/>
      <c r="IT9" s="15"/>
      <c r="IU9" s="36" t="str">
        <f t="shared" si="76"/>
        <v/>
      </c>
      <c r="IV9" s="36" t="str">
        <f t="shared" si="76"/>
        <v/>
      </c>
      <c r="IW9" s="36" t="str">
        <f t="shared" si="77"/>
        <v/>
      </c>
      <c r="IX9" s="36" t="str">
        <f t="shared" si="78"/>
        <v/>
      </c>
      <c r="IY9" s="36" t="str">
        <f t="shared" si="78"/>
        <v/>
      </c>
      <c r="IZ9" s="36" t="str">
        <f t="shared" si="79"/>
        <v/>
      </c>
      <c r="JA9" s="36" t="str">
        <f t="shared" si="80"/>
        <v/>
      </c>
      <c r="JB9" s="36" t="str">
        <f t="shared" si="81"/>
        <v/>
      </c>
      <c r="JC9" s="36" t="str">
        <f t="shared" si="81"/>
        <v/>
      </c>
      <c r="JD9" s="36" t="str">
        <f t="shared" si="82"/>
        <v/>
      </c>
      <c r="JE9" s="36" t="str">
        <f t="shared" si="83"/>
        <v/>
      </c>
      <c r="JF9" s="36" t="str">
        <f t="shared" si="83"/>
        <v/>
      </c>
      <c r="JG9" s="36" t="str">
        <f t="shared" si="84"/>
        <v/>
      </c>
      <c r="JH9" s="36" t="str">
        <f t="shared" si="85"/>
        <v/>
      </c>
      <c r="JI9" s="16"/>
      <c r="JJ9" s="16"/>
      <c r="JK9" s="16"/>
      <c r="JL9" s="16"/>
      <c r="JM9" s="16"/>
      <c r="JN9" s="16"/>
      <c r="JO9" s="16"/>
      <c r="JP9" s="16"/>
      <c r="JQ9" s="16"/>
      <c r="JR9" s="16"/>
      <c r="JS9" s="16"/>
      <c r="JT9" s="16"/>
      <c r="JU9" s="16"/>
      <c r="JV9" s="16"/>
      <c r="JW9" s="16"/>
      <c r="JX9" s="16"/>
      <c r="JY9" s="16"/>
      <c r="JZ9" s="16"/>
      <c r="KA9" s="16"/>
      <c r="KB9" s="16"/>
      <c r="KC9" s="11" t="str">
        <f t="shared" si="86"/>
        <v/>
      </c>
      <c r="KD9" s="11" t="str">
        <f t="shared" si="86"/>
        <v/>
      </c>
      <c r="KE9" s="11" t="str">
        <f t="shared" si="87"/>
        <v/>
      </c>
      <c r="KF9" s="11" t="str">
        <f t="shared" si="88"/>
        <v/>
      </c>
      <c r="KG9" s="11" t="str">
        <f t="shared" si="88"/>
        <v/>
      </c>
      <c r="KH9" s="11" t="str">
        <f t="shared" si="89"/>
        <v/>
      </c>
      <c r="KI9" s="11" t="str">
        <f t="shared" si="90"/>
        <v/>
      </c>
      <c r="KJ9" s="11" t="str">
        <f t="shared" si="91"/>
        <v/>
      </c>
      <c r="KK9" s="11" t="str">
        <f t="shared" si="91"/>
        <v/>
      </c>
      <c r="KL9" s="11" t="str">
        <f t="shared" si="92"/>
        <v/>
      </c>
      <c r="KM9" s="11" t="str">
        <f t="shared" si="93"/>
        <v/>
      </c>
      <c r="KN9" s="11" t="str">
        <f t="shared" si="93"/>
        <v/>
      </c>
      <c r="KO9" s="11" t="str">
        <f t="shared" si="94"/>
        <v/>
      </c>
      <c r="KP9" s="11" t="str">
        <f t="shared" si="95"/>
        <v/>
      </c>
      <c r="KQ9" s="15"/>
      <c r="KR9" s="15"/>
      <c r="KS9" s="15"/>
      <c r="KT9" s="15"/>
      <c r="KU9" s="15"/>
      <c r="KV9" s="15"/>
      <c r="KW9" s="15"/>
      <c r="KX9" s="15"/>
      <c r="KY9" s="15"/>
      <c r="KZ9" s="15"/>
      <c r="LA9" s="15"/>
      <c r="LB9" s="15"/>
      <c r="LC9" s="15"/>
      <c r="LD9" s="15"/>
      <c r="LE9" s="15"/>
      <c r="LF9" s="15"/>
      <c r="LG9" s="15"/>
      <c r="LH9" s="15"/>
      <c r="LI9" s="15"/>
      <c r="LJ9" s="15"/>
      <c r="LK9" s="36" t="str">
        <f t="shared" si="96"/>
        <v/>
      </c>
      <c r="LL9" s="36" t="str">
        <f t="shared" si="96"/>
        <v/>
      </c>
      <c r="LM9" s="36" t="str">
        <f t="shared" si="97"/>
        <v/>
      </c>
      <c r="LN9" s="36" t="str">
        <f t="shared" si="98"/>
        <v/>
      </c>
      <c r="LO9" s="36" t="str">
        <f t="shared" si="98"/>
        <v/>
      </c>
      <c r="LP9" s="36" t="str">
        <f t="shared" si="99"/>
        <v/>
      </c>
      <c r="LQ9" s="36" t="str">
        <f t="shared" si="100"/>
        <v/>
      </c>
      <c r="LR9" s="36" t="str">
        <f t="shared" si="101"/>
        <v/>
      </c>
      <c r="LS9" s="36" t="str">
        <f t="shared" si="101"/>
        <v/>
      </c>
      <c r="LT9" s="36" t="str">
        <f t="shared" si="102"/>
        <v/>
      </c>
      <c r="LU9" s="36" t="str">
        <f t="shared" si="103"/>
        <v/>
      </c>
      <c r="LV9" s="36" t="str">
        <f t="shared" si="103"/>
        <v/>
      </c>
      <c r="LW9" s="36" t="str">
        <f t="shared" si="104"/>
        <v/>
      </c>
      <c r="LX9" s="36" t="str">
        <f t="shared" si="105"/>
        <v/>
      </c>
      <c r="LY9" s="16"/>
      <c r="LZ9" s="16"/>
      <c r="MA9" s="16"/>
      <c r="MB9" s="16"/>
      <c r="MC9" s="16"/>
      <c r="MD9" s="16"/>
      <c r="ME9" s="16"/>
      <c r="MF9" s="16"/>
      <c r="MG9" s="16"/>
      <c r="MH9" s="16"/>
      <c r="MI9" s="16"/>
      <c r="MJ9" s="16"/>
      <c r="MK9" s="16"/>
      <c r="ML9" s="16"/>
      <c r="MM9" s="16"/>
      <c r="MN9" s="16"/>
      <c r="MO9" s="16"/>
      <c r="MP9" s="16"/>
      <c r="MQ9" s="16"/>
      <c r="MR9" s="16"/>
      <c r="MS9" s="11" t="str">
        <f t="shared" si="106"/>
        <v/>
      </c>
      <c r="MT9" s="11" t="str">
        <f t="shared" si="106"/>
        <v/>
      </c>
      <c r="MU9" s="11" t="str">
        <f t="shared" si="107"/>
        <v/>
      </c>
      <c r="MV9" s="11" t="str">
        <f t="shared" si="108"/>
        <v/>
      </c>
      <c r="MW9" s="11" t="str">
        <f t="shared" si="108"/>
        <v/>
      </c>
      <c r="MX9" s="11" t="str">
        <f t="shared" si="109"/>
        <v/>
      </c>
      <c r="MY9" s="11" t="str">
        <f t="shared" si="110"/>
        <v/>
      </c>
      <c r="MZ9" s="11" t="str">
        <f t="shared" si="111"/>
        <v/>
      </c>
      <c r="NA9" s="11" t="str">
        <f t="shared" si="111"/>
        <v/>
      </c>
      <c r="NB9" s="11" t="str">
        <f t="shared" si="112"/>
        <v/>
      </c>
      <c r="NC9" s="11" t="str">
        <f t="shared" si="113"/>
        <v/>
      </c>
      <c r="ND9" s="11" t="str">
        <f t="shared" si="113"/>
        <v/>
      </c>
      <c r="NE9" s="11" t="str">
        <f t="shared" si="114"/>
        <v/>
      </c>
      <c r="NF9" s="11" t="str">
        <f t="shared" si="115"/>
        <v/>
      </c>
      <c r="NG9" s="15"/>
      <c r="NH9" s="15"/>
      <c r="NI9" s="15"/>
      <c r="NJ9" s="15"/>
      <c r="NK9" s="15"/>
      <c r="NL9" s="15"/>
      <c r="NM9" s="15"/>
      <c r="NN9" s="15"/>
      <c r="NO9" s="15"/>
      <c r="NP9" s="15"/>
      <c r="NQ9" s="15"/>
      <c r="NR9" s="15"/>
      <c r="NS9" s="15"/>
      <c r="NT9" s="15"/>
      <c r="NU9" s="15"/>
      <c r="NV9" s="15"/>
      <c r="NW9" s="15"/>
      <c r="NX9" s="15"/>
      <c r="NY9" s="15"/>
      <c r="NZ9" s="15"/>
      <c r="OA9" s="36" t="str">
        <f t="shared" si="116"/>
        <v/>
      </c>
      <c r="OB9" s="36" t="str">
        <f t="shared" si="116"/>
        <v/>
      </c>
      <c r="OC9" s="36" t="str">
        <f t="shared" si="117"/>
        <v/>
      </c>
      <c r="OD9" s="36" t="str">
        <f t="shared" si="118"/>
        <v/>
      </c>
      <c r="OE9" s="36" t="str">
        <f t="shared" si="118"/>
        <v/>
      </c>
      <c r="OF9" s="36" t="str">
        <f t="shared" si="119"/>
        <v/>
      </c>
      <c r="OG9" s="36" t="str">
        <f t="shared" si="120"/>
        <v/>
      </c>
      <c r="OH9" s="36" t="str">
        <f t="shared" si="121"/>
        <v/>
      </c>
      <c r="OI9" s="36" t="str">
        <f t="shared" si="121"/>
        <v/>
      </c>
      <c r="OJ9" s="36" t="str">
        <f t="shared" si="122"/>
        <v/>
      </c>
      <c r="OK9" s="36" t="str">
        <f t="shared" si="123"/>
        <v/>
      </c>
      <c r="OL9" s="36" t="str">
        <f t="shared" si="123"/>
        <v/>
      </c>
      <c r="OM9" s="36" t="str">
        <f t="shared" si="124"/>
        <v/>
      </c>
      <c r="ON9" s="36" t="str">
        <f t="shared" si="125"/>
        <v/>
      </c>
      <c r="OO9" s="16"/>
      <c r="OP9" s="16"/>
      <c r="OQ9" s="16"/>
      <c r="OR9" s="16"/>
      <c r="OS9" s="16"/>
      <c r="OT9" s="16"/>
      <c r="OU9" s="16"/>
      <c r="OV9" s="16"/>
      <c r="OW9" s="16"/>
      <c r="OX9" s="16"/>
      <c r="OY9" s="16"/>
      <c r="OZ9" s="16"/>
      <c r="PA9" s="16"/>
      <c r="PB9" s="16"/>
      <c r="PC9" s="16"/>
      <c r="PD9" s="16"/>
      <c r="PE9" s="16"/>
      <c r="PF9" s="16"/>
      <c r="PG9" s="16"/>
      <c r="PH9" s="16"/>
      <c r="PI9" s="11" t="str">
        <f t="shared" si="126"/>
        <v/>
      </c>
      <c r="PJ9" s="11" t="str">
        <f t="shared" si="126"/>
        <v/>
      </c>
      <c r="PK9" s="11" t="str">
        <f t="shared" si="127"/>
        <v/>
      </c>
      <c r="PL9" s="11" t="str">
        <f t="shared" si="128"/>
        <v/>
      </c>
      <c r="PM9" s="11" t="str">
        <f t="shared" si="128"/>
        <v/>
      </c>
      <c r="PN9" s="11" t="str">
        <f t="shared" si="129"/>
        <v/>
      </c>
      <c r="PO9" s="11" t="str">
        <f t="shared" si="130"/>
        <v/>
      </c>
      <c r="PP9" s="11" t="str">
        <f t="shared" si="131"/>
        <v/>
      </c>
      <c r="PQ9" s="11" t="str">
        <f t="shared" si="131"/>
        <v/>
      </c>
      <c r="PR9" s="11" t="str">
        <f t="shared" si="132"/>
        <v/>
      </c>
      <c r="PS9" s="11" t="str">
        <f t="shared" si="133"/>
        <v/>
      </c>
      <c r="PT9" s="11" t="str">
        <f t="shared" si="133"/>
        <v/>
      </c>
      <c r="PU9" s="11" t="str">
        <f t="shared" si="134"/>
        <v/>
      </c>
      <c r="PV9" s="11" t="str">
        <f t="shared" si="135"/>
        <v/>
      </c>
      <c r="PW9" s="15"/>
      <c r="PX9" s="15"/>
      <c r="PY9" s="15"/>
      <c r="PZ9" s="15"/>
      <c r="QA9" s="15"/>
      <c r="QB9" s="15"/>
      <c r="QC9" s="15"/>
      <c r="QD9" s="15"/>
      <c r="QE9" s="15"/>
      <c r="QF9" s="15"/>
      <c r="QG9" s="15"/>
      <c r="QH9" s="15"/>
      <c r="QI9" s="15"/>
      <c r="QJ9" s="15"/>
      <c r="QK9" s="15"/>
      <c r="QL9" s="15"/>
      <c r="QM9" s="15"/>
      <c r="QN9" s="15"/>
      <c r="QO9" s="15"/>
      <c r="QP9" s="15"/>
      <c r="QQ9" s="36" t="str">
        <f t="shared" si="136"/>
        <v/>
      </c>
      <c r="QR9" s="36" t="str">
        <f t="shared" si="136"/>
        <v/>
      </c>
      <c r="QS9" s="36" t="str">
        <f t="shared" si="137"/>
        <v/>
      </c>
      <c r="QT9" s="36" t="str">
        <f t="shared" si="138"/>
        <v/>
      </c>
      <c r="QU9" s="36" t="str">
        <f t="shared" si="138"/>
        <v/>
      </c>
      <c r="QV9" s="36" t="str">
        <f t="shared" si="139"/>
        <v/>
      </c>
      <c r="QW9" s="36" t="str">
        <f t="shared" si="140"/>
        <v/>
      </c>
      <c r="QX9" s="36" t="str">
        <f t="shared" si="141"/>
        <v/>
      </c>
      <c r="QY9" s="36" t="str">
        <f t="shared" si="141"/>
        <v/>
      </c>
      <c r="QZ9" s="36" t="str">
        <f t="shared" si="142"/>
        <v/>
      </c>
      <c r="RA9" s="36" t="str">
        <f t="shared" si="143"/>
        <v/>
      </c>
      <c r="RB9" s="36" t="str">
        <f t="shared" si="143"/>
        <v/>
      </c>
      <c r="RC9" s="36" t="str">
        <f t="shared" si="144"/>
        <v/>
      </c>
      <c r="RD9" s="36" t="str">
        <f t="shared" si="145"/>
        <v/>
      </c>
      <c r="RE9" s="16"/>
      <c r="RF9" s="16"/>
      <c r="RG9" s="16"/>
      <c r="RH9" s="16"/>
      <c r="RI9" s="16"/>
      <c r="RJ9" s="16"/>
      <c r="RK9" s="16"/>
      <c r="RL9" s="16"/>
      <c r="RM9" s="16"/>
      <c r="RN9" s="16"/>
      <c r="RO9" s="16"/>
      <c r="RP9" s="16"/>
      <c r="RQ9" s="16"/>
      <c r="RR9" s="16"/>
      <c r="RS9" s="16"/>
      <c r="RT9" s="16"/>
      <c r="RU9" s="16"/>
      <c r="RV9" s="16"/>
      <c r="RW9" s="16"/>
      <c r="RX9" s="16"/>
      <c r="RY9" s="11" t="str">
        <f t="shared" si="146"/>
        <v/>
      </c>
      <c r="RZ9" s="11" t="str">
        <f t="shared" si="146"/>
        <v/>
      </c>
      <c r="SA9" s="11" t="str">
        <f t="shared" si="147"/>
        <v/>
      </c>
      <c r="SB9" s="11" t="str">
        <f t="shared" si="148"/>
        <v/>
      </c>
      <c r="SC9" s="11" t="str">
        <f t="shared" si="148"/>
        <v/>
      </c>
      <c r="SD9" s="11" t="str">
        <f t="shared" si="149"/>
        <v/>
      </c>
      <c r="SE9" s="11" t="str">
        <f t="shared" si="150"/>
        <v/>
      </c>
      <c r="SF9" s="11" t="str">
        <f t="shared" si="151"/>
        <v/>
      </c>
      <c r="SG9" s="11" t="str">
        <f t="shared" si="151"/>
        <v/>
      </c>
      <c r="SH9" s="11" t="str">
        <f t="shared" si="152"/>
        <v/>
      </c>
      <c r="SI9" s="11" t="str">
        <f t="shared" si="153"/>
        <v/>
      </c>
      <c r="SJ9" s="11" t="str">
        <f t="shared" si="153"/>
        <v/>
      </c>
      <c r="SK9" s="11" t="str">
        <f t="shared" si="154"/>
        <v/>
      </c>
      <c r="SL9" s="11" t="str">
        <f t="shared" si="155"/>
        <v/>
      </c>
      <c r="SM9" s="15"/>
      <c r="SN9" s="15"/>
      <c r="SO9" s="15"/>
      <c r="SP9" s="15"/>
      <c r="SQ9" s="15"/>
      <c r="SR9" s="15"/>
      <c r="SS9" s="15"/>
      <c r="ST9" s="15"/>
      <c r="SU9" s="15"/>
      <c r="SV9" s="15"/>
      <c r="SW9" s="15"/>
      <c r="SX9" s="15"/>
      <c r="SY9" s="15"/>
      <c r="SZ9" s="15"/>
      <c r="TA9" s="15"/>
      <c r="TB9" s="15"/>
      <c r="TC9" s="15"/>
      <c r="TD9" s="15"/>
      <c r="TE9" s="15"/>
      <c r="TF9" s="15"/>
      <c r="TG9" s="36" t="str">
        <f t="shared" si="156"/>
        <v/>
      </c>
      <c r="TH9" s="36" t="str">
        <f t="shared" si="156"/>
        <v/>
      </c>
      <c r="TI9" s="36" t="str">
        <f t="shared" si="157"/>
        <v/>
      </c>
      <c r="TJ9" s="36" t="str">
        <f t="shared" si="158"/>
        <v/>
      </c>
      <c r="TK9" s="36" t="str">
        <f t="shared" si="158"/>
        <v/>
      </c>
      <c r="TL9" s="36" t="str">
        <f t="shared" si="159"/>
        <v/>
      </c>
      <c r="TM9" s="36" t="str">
        <f t="shared" si="160"/>
        <v/>
      </c>
      <c r="TN9" s="36" t="str">
        <f t="shared" si="161"/>
        <v/>
      </c>
      <c r="TO9" s="36" t="str">
        <f t="shared" si="161"/>
        <v/>
      </c>
      <c r="TP9" s="36" t="str">
        <f t="shared" si="162"/>
        <v/>
      </c>
      <c r="TQ9" s="36" t="str">
        <f t="shared" si="163"/>
        <v/>
      </c>
      <c r="TR9" s="36" t="str">
        <f t="shared" si="163"/>
        <v/>
      </c>
      <c r="TS9" s="36" t="str">
        <f t="shared" si="164"/>
        <v/>
      </c>
      <c r="TT9" s="36" t="str">
        <f t="shared" si="165"/>
        <v/>
      </c>
      <c r="TU9" s="16"/>
      <c r="TV9" s="16"/>
      <c r="TW9" s="16"/>
      <c r="TX9" s="16"/>
      <c r="TY9" s="16"/>
      <c r="TZ9" s="16"/>
      <c r="UA9" s="16"/>
      <c r="UB9" s="16"/>
      <c r="UC9" s="16"/>
      <c r="UD9" s="16"/>
      <c r="UE9" s="16"/>
      <c r="UF9" s="16"/>
      <c r="UG9" s="16"/>
      <c r="UH9" s="16"/>
      <c r="UI9" s="16"/>
      <c r="UJ9" s="16"/>
      <c r="UK9" s="16"/>
      <c r="UL9" s="16"/>
      <c r="UM9" s="16"/>
      <c r="UN9" s="16"/>
      <c r="UO9" s="11" t="str">
        <f t="shared" si="166"/>
        <v/>
      </c>
      <c r="UP9" s="11" t="str">
        <f t="shared" si="166"/>
        <v/>
      </c>
      <c r="UQ9" s="11" t="str">
        <f t="shared" si="167"/>
        <v/>
      </c>
      <c r="UR9" s="11" t="str">
        <f t="shared" si="168"/>
        <v/>
      </c>
      <c r="US9" s="11" t="str">
        <f t="shared" si="168"/>
        <v/>
      </c>
      <c r="UT9" s="11" t="str">
        <f t="shared" si="169"/>
        <v/>
      </c>
      <c r="UU9" s="11" t="str">
        <f t="shared" si="170"/>
        <v/>
      </c>
      <c r="UV9" s="11" t="str">
        <f t="shared" si="171"/>
        <v/>
      </c>
      <c r="UW9" s="11" t="str">
        <f t="shared" si="171"/>
        <v/>
      </c>
      <c r="UX9" s="11" t="str">
        <f t="shared" si="172"/>
        <v/>
      </c>
      <c r="UY9" s="11" t="str">
        <f t="shared" si="173"/>
        <v/>
      </c>
      <c r="UZ9" s="11" t="str">
        <f t="shared" si="173"/>
        <v/>
      </c>
      <c r="VA9" s="11" t="str">
        <f t="shared" si="174"/>
        <v/>
      </c>
      <c r="VB9" s="11" t="str">
        <f t="shared" si="175"/>
        <v/>
      </c>
      <c r="VC9" s="15"/>
      <c r="VD9" s="15"/>
      <c r="VE9" s="15"/>
      <c r="VF9" s="15"/>
      <c r="VG9" s="15"/>
      <c r="VH9" s="15"/>
      <c r="VI9" s="15"/>
      <c r="VJ9" s="15"/>
      <c r="VK9" s="15"/>
      <c r="VL9" s="15"/>
      <c r="VM9" s="15"/>
      <c r="VN9" s="15"/>
      <c r="VO9" s="15"/>
      <c r="VP9" s="15"/>
      <c r="VQ9" s="15"/>
      <c r="VR9" s="15"/>
      <c r="VS9" s="15"/>
      <c r="VT9" s="15"/>
      <c r="VU9" s="15"/>
      <c r="VV9" s="15"/>
      <c r="VW9" s="36" t="str">
        <f t="shared" si="176"/>
        <v/>
      </c>
      <c r="VX9" s="36" t="str">
        <f t="shared" si="176"/>
        <v/>
      </c>
      <c r="VY9" s="36" t="str">
        <f t="shared" si="177"/>
        <v/>
      </c>
      <c r="VZ9" s="36" t="str">
        <f t="shared" si="178"/>
        <v/>
      </c>
      <c r="WA9" s="36" t="str">
        <f t="shared" si="178"/>
        <v/>
      </c>
      <c r="WB9" s="36" t="str">
        <f t="shared" si="179"/>
        <v/>
      </c>
      <c r="WC9" s="36" t="str">
        <f t="shared" si="180"/>
        <v/>
      </c>
      <c r="WD9" s="36" t="str">
        <f t="shared" si="181"/>
        <v/>
      </c>
      <c r="WE9" s="36" t="str">
        <f t="shared" si="181"/>
        <v/>
      </c>
      <c r="WF9" s="36" t="str">
        <f t="shared" si="182"/>
        <v/>
      </c>
      <c r="WG9" s="36" t="str">
        <f t="shared" si="183"/>
        <v/>
      </c>
      <c r="WH9" s="36" t="str">
        <f t="shared" si="183"/>
        <v/>
      </c>
      <c r="WI9" s="36" t="str">
        <f t="shared" si="184"/>
        <v/>
      </c>
      <c r="WJ9" s="36" t="str">
        <f t="shared" si="185"/>
        <v/>
      </c>
    </row>
    <row r="10" spans="1:608" x14ac:dyDescent="0.2">
      <c r="A10" s="4" cm="1">
        <f t="array" ref="A10">IF(AND(H10&lt;&gt;"",H10&lt;&gt;"No DD"),SUMPRODUCT((H$4:H$12&lt;&gt;"")*(H$4:H$12&lt;&gt;"No DD")*(E$4:E$12&gt;E10))+1,IF(H10="No DD",SUMPRODUCT((H$4:H$12="No DD")*(E$4:E$12&gt;E10))+1+SUMPRODUCT((H$4:H$12&lt;&gt;"")*(H$4:H$12&lt;&gt;"No DD")),""))</f>
        <v>7</v>
      </c>
      <c r="B10" s="5" t="s">
        <v>172</v>
      </c>
      <c r="C10" s="4" t="s">
        <v>171</v>
      </c>
      <c r="D10" s="4" t="s">
        <v>80</v>
      </c>
      <c r="E10" s="9">
        <f t="shared" si="0"/>
        <v>44.150000000000006</v>
      </c>
      <c r="F10" s="3" t="str">
        <f t="shared" si="1"/>
        <v>P</v>
      </c>
      <c r="G10" s="3" t="str">
        <f t="shared" si="2"/>
        <v>P</v>
      </c>
      <c r="H10" s="32" t="str">
        <f t="shared" si="3"/>
        <v>National Team</v>
      </c>
      <c r="I10" s="3" t="str">
        <f t="shared" si="4"/>
        <v/>
      </c>
      <c r="J10" s="8">
        <f t="shared" si="5"/>
        <v>0</v>
      </c>
      <c r="K10" s="8" t="str">
        <f t="shared" si="6"/>
        <v/>
      </c>
      <c r="L10" s="8">
        <f>IFERROR(LARGE((AI10,AL10,AP10,BJ10,BM10,BQ10,CK10,CN10,CR10),2),0)</f>
        <v>0</v>
      </c>
      <c r="M10" s="8" t="str">
        <f t="shared" si="7"/>
        <v/>
      </c>
      <c r="N10" s="8">
        <f t="shared" si="8"/>
        <v>44.150000000000006</v>
      </c>
      <c r="O10" s="11" t="str">
        <f t="shared" si="9"/>
        <v>(Any)</v>
      </c>
      <c r="P10" s="8" t="str">
        <f t="shared" si="10"/>
        <v>2025 World Cup GER (Sept 21)</v>
      </c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23"/>
      <c r="AG10" s="34" t="str">
        <f t="shared" si="11"/>
        <v/>
      </c>
      <c r="AH10" s="34" t="str">
        <f t="shared" si="11"/>
        <v/>
      </c>
      <c r="AI10" s="36" t="str">
        <f t="shared" si="12"/>
        <v/>
      </c>
      <c r="AJ10" s="36" t="str">
        <f t="shared" si="13"/>
        <v/>
      </c>
      <c r="AK10" s="36" t="str">
        <f t="shared" si="13"/>
        <v/>
      </c>
      <c r="AL10" s="36" t="str">
        <f t="shared" si="14"/>
        <v/>
      </c>
      <c r="AM10" s="36" t="str">
        <f t="shared" si="15"/>
        <v/>
      </c>
      <c r="AN10" s="36" t="str">
        <f t="shared" si="16"/>
        <v/>
      </c>
      <c r="AO10" s="36" t="str">
        <f t="shared" si="16"/>
        <v/>
      </c>
      <c r="AP10" s="36" t="str">
        <f t="shared" si="17"/>
        <v/>
      </c>
      <c r="AQ10" s="36" t="str">
        <f t="shared" si="18"/>
        <v/>
      </c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2"/>
      <c r="BG10" s="24"/>
      <c r="BH10" s="35" t="str">
        <f t="shared" si="19"/>
        <v/>
      </c>
      <c r="BI10" s="35" t="str">
        <f t="shared" si="19"/>
        <v/>
      </c>
      <c r="BJ10" s="11" t="str">
        <f t="shared" si="20"/>
        <v/>
      </c>
      <c r="BK10" s="11" t="str">
        <f t="shared" si="21"/>
        <v/>
      </c>
      <c r="BL10" s="11" t="str">
        <f t="shared" si="21"/>
        <v/>
      </c>
      <c r="BM10" s="11" t="str">
        <f t="shared" si="22"/>
        <v/>
      </c>
      <c r="BN10" s="11" t="str">
        <f t="shared" si="23"/>
        <v/>
      </c>
      <c r="BO10" s="11" t="str">
        <f t="shared" si="24"/>
        <v/>
      </c>
      <c r="BP10" s="11" t="str">
        <f t="shared" si="24"/>
        <v/>
      </c>
      <c r="BQ10" s="11" t="str">
        <f t="shared" si="25"/>
        <v/>
      </c>
      <c r="BR10" s="11" t="str">
        <f t="shared" si="26"/>
        <v/>
      </c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23"/>
      <c r="CI10" s="34" t="str">
        <f t="shared" si="27"/>
        <v/>
      </c>
      <c r="CJ10" s="34" t="str">
        <f t="shared" si="27"/>
        <v/>
      </c>
      <c r="CK10" s="36" t="str">
        <f t="shared" si="28"/>
        <v/>
      </c>
      <c r="CL10" s="36" t="str">
        <f t="shared" si="29"/>
        <v/>
      </c>
      <c r="CM10" s="36" t="str">
        <f t="shared" si="29"/>
        <v/>
      </c>
      <c r="CN10" s="36" t="str">
        <f t="shared" si="30"/>
        <v/>
      </c>
      <c r="CO10" s="36" t="str">
        <f t="shared" si="31"/>
        <v/>
      </c>
      <c r="CP10" s="36" t="str">
        <f t="shared" si="32"/>
        <v/>
      </c>
      <c r="CQ10" s="36" t="str">
        <f t="shared" si="32"/>
        <v/>
      </c>
      <c r="CR10" s="36" t="str">
        <f t="shared" si="33"/>
        <v/>
      </c>
      <c r="CS10" s="36" t="str">
        <f t="shared" si="34"/>
        <v/>
      </c>
      <c r="CT10" s="47">
        <f t="shared" si="35"/>
        <v>44.150000000000006</v>
      </c>
      <c r="CU10" s="15"/>
      <c r="CV10" s="15"/>
      <c r="CW10" s="15"/>
      <c r="CX10" s="15"/>
      <c r="CY10" s="15"/>
      <c r="CZ10" s="15"/>
      <c r="DA10" s="15"/>
      <c r="DB10" s="15"/>
      <c r="DC10" s="15"/>
      <c r="DD10" s="15"/>
      <c r="DE10" s="15"/>
      <c r="DF10" s="15"/>
      <c r="DG10" s="15"/>
      <c r="DH10" s="15"/>
      <c r="DI10" s="15"/>
      <c r="DJ10" s="15"/>
      <c r="DK10" s="15"/>
      <c r="DL10" s="15"/>
      <c r="DM10" s="15"/>
      <c r="DN10" s="15"/>
      <c r="DO10" s="36" t="str">
        <f t="shared" si="36"/>
        <v/>
      </c>
      <c r="DP10" s="36" t="str">
        <f t="shared" si="36"/>
        <v/>
      </c>
      <c r="DQ10" s="36" t="str">
        <f t="shared" si="37"/>
        <v/>
      </c>
      <c r="DR10" s="36" t="str">
        <f t="shared" si="38"/>
        <v/>
      </c>
      <c r="DS10" s="36" t="str">
        <f t="shared" si="38"/>
        <v/>
      </c>
      <c r="DT10" s="36" t="str">
        <f t="shared" si="39"/>
        <v/>
      </c>
      <c r="DU10" s="36" t="str">
        <f t="shared" si="40"/>
        <v/>
      </c>
      <c r="DV10" s="36" t="str">
        <f t="shared" si="41"/>
        <v/>
      </c>
      <c r="DW10" s="36" t="str">
        <f t="shared" si="41"/>
        <v/>
      </c>
      <c r="DX10" s="36" t="str">
        <f t="shared" si="42"/>
        <v/>
      </c>
      <c r="DY10" s="36" t="str">
        <f t="shared" si="43"/>
        <v/>
      </c>
      <c r="DZ10" s="36" t="str">
        <f t="shared" si="43"/>
        <v/>
      </c>
      <c r="EA10" s="36" t="str">
        <f t="shared" si="44"/>
        <v/>
      </c>
      <c r="EB10" s="36" t="str">
        <f t="shared" si="45"/>
        <v/>
      </c>
      <c r="EC10" s="16">
        <v>7.1</v>
      </c>
      <c r="ED10" s="16">
        <v>9.25</v>
      </c>
      <c r="EE10" s="16">
        <v>12.6</v>
      </c>
      <c r="EF10" s="16">
        <v>15.2</v>
      </c>
      <c r="EG10" s="16">
        <v>0</v>
      </c>
      <c r="EH10" s="16">
        <v>7.5</v>
      </c>
      <c r="EI10" s="16">
        <v>9.1999999999999993</v>
      </c>
      <c r="EJ10" s="16">
        <v>12.6</v>
      </c>
      <c r="EK10" s="16">
        <v>14.56</v>
      </c>
      <c r="EL10" s="16">
        <v>0</v>
      </c>
      <c r="EM10" s="16"/>
      <c r="EN10" s="16"/>
      <c r="EO10" s="16"/>
      <c r="EP10" s="16"/>
      <c r="EQ10" s="16"/>
      <c r="ER10" s="16"/>
      <c r="ES10" s="16"/>
      <c r="ET10" s="16"/>
      <c r="EU10" s="16"/>
      <c r="EV10" s="16"/>
      <c r="EW10" s="11">
        <f t="shared" si="46"/>
        <v>12.6</v>
      </c>
      <c r="EX10" s="11">
        <f t="shared" si="46"/>
        <v>15.2</v>
      </c>
      <c r="EY10" s="11">
        <f t="shared" si="47"/>
        <v>44.150000000000006</v>
      </c>
      <c r="EZ10" s="11">
        <f t="shared" si="48"/>
        <v>12.6</v>
      </c>
      <c r="FA10" s="11">
        <f t="shared" si="48"/>
        <v>14.56</v>
      </c>
      <c r="FB10" s="11">
        <f t="shared" si="49"/>
        <v>43.86</v>
      </c>
      <c r="FC10" s="11">
        <f t="shared" si="50"/>
        <v>44.150000000000006</v>
      </c>
      <c r="FD10" s="11" t="str">
        <f t="shared" si="51"/>
        <v/>
      </c>
      <c r="FE10" s="11" t="str">
        <f t="shared" si="51"/>
        <v/>
      </c>
      <c r="FF10" s="11" t="str">
        <f t="shared" si="52"/>
        <v/>
      </c>
      <c r="FG10" s="11" t="str">
        <f t="shared" si="53"/>
        <v/>
      </c>
      <c r="FH10" s="11" t="str">
        <f t="shared" si="53"/>
        <v/>
      </c>
      <c r="FI10" s="11" t="str">
        <f t="shared" si="54"/>
        <v/>
      </c>
      <c r="FJ10" s="11">
        <f t="shared" si="55"/>
        <v>44.150000000000006</v>
      </c>
      <c r="FK10" s="15"/>
      <c r="FL10" s="15"/>
      <c r="FM10" s="15"/>
      <c r="FN10" s="15"/>
      <c r="FO10" s="15"/>
      <c r="FP10" s="15"/>
      <c r="FQ10" s="15"/>
      <c r="FR10" s="15"/>
      <c r="FS10" s="15"/>
      <c r="FT10" s="15"/>
      <c r="FU10" s="15"/>
      <c r="FV10" s="15"/>
      <c r="FW10" s="15"/>
      <c r="FX10" s="15"/>
      <c r="FY10" s="15"/>
      <c r="FZ10" s="15"/>
      <c r="GA10" s="15"/>
      <c r="GB10" s="15"/>
      <c r="GC10" s="15"/>
      <c r="GD10" s="15"/>
      <c r="GE10" s="36" t="str">
        <f t="shared" si="56"/>
        <v/>
      </c>
      <c r="GF10" s="36" t="str">
        <f t="shared" si="56"/>
        <v/>
      </c>
      <c r="GG10" s="36" t="str">
        <f t="shared" si="57"/>
        <v/>
      </c>
      <c r="GH10" s="36" t="str">
        <f t="shared" si="58"/>
        <v/>
      </c>
      <c r="GI10" s="36" t="str">
        <f t="shared" si="58"/>
        <v/>
      </c>
      <c r="GJ10" s="36" t="str">
        <f t="shared" si="59"/>
        <v/>
      </c>
      <c r="GK10" s="36" t="str">
        <f t="shared" si="60"/>
        <v/>
      </c>
      <c r="GL10" s="36" t="str">
        <f t="shared" si="61"/>
        <v/>
      </c>
      <c r="GM10" s="36" t="str">
        <f t="shared" si="61"/>
        <v/>
      </c>
      <c r="GN10" s="36" t="str">
        <f t="shared" si="62"/>
        <v/>
      </c>
      <c r="GO10" s="36" t="str">
        <f t="shared" si="63"/>
        <v/>
      </c>
      <c r="GP10" s="36" t="str">
        <f t="shared" si="63"/>
        <v/>
      </c>
      <c r="GQ10" s="36" t="str">
        <f t="shared" si="64"/>
        <v/>
      </c>
      <c r="GR10" s="36" t="str">
        <f t="shared" si="65"/>
        <v/>
      </c>
      <c r="GS10" s="16"/>
      <c r="GT10" s="16"/>
      <c r="GU10" s="16"/>
      <c r="GV10" s="16"/>
      <c r="GW10" s="16"/>
      <c r="GX10" s="16"/>
      <c r="GY10" s="16"/>
      <c r="GZ10" s="16"/>
      <c r="HA10" s="16"/>
      <c r="HB10" s="16"/>
      <c r="HC10" s="16"/>
      <c r="HD10" s="16"/>
      <c r="HE10" s="16"/>
      <c r="HF10" s="16"/>
      <c r="HG10" s="16"/>
      <c r="HH10" s="16"/>
      <c r="HI10" s="16"/>
      <c r="HJ10" s="16"/>
      <c r="HK10" s="16"/>
      <c r="HL10" s="16"/>
      <c r="HM10" s="11" t="str">
        <f t="shared" si="66"/>
        <v/>
      </c>
      <c r="HN10" s="11" t="str">
        <f t="shared" si="66"/>
        <v/>
      </c>
      <c r="HO10" s="11" t="str">
        <f t="shared" si="67"/>
        <v/>
      </c>
      <c r="HP10" s="11" t="str">
        <f t="shared" si="68"/>
        <v/>
      </c>
      <c r="HQ10" s="11" t="str">
        <f t="shared" si="68"/>
        <v/>
      </c>
      <c r="HR10" s="11" t="str">
        <f t="shared" si="69"/>
        <v/>
      </c>
      <c r="HS10" s="11" t="str">
        <f t="shared" si="70"/>
        <v/>
      </c>
      <c r="HT10" s="11" t="str">
        <f t="shared" si="71"/>
        <v/>
      </c>
      <c r="HU10" s="11" t="str">
        <f t="shared" si="71"/>
        <v/>
      </c>
      <c r="HV10" s="11" t="str">
        <f t="shared" si="72"/>
        <v/>
      </c>
      <c r="HW10" s="11" t="str">
        <f t="shared" si="73"/>
        <v/>
      </c>
      <c r="HX10" s="11" t="str">
        <f t="shared" si="73"/>
        <v/>
      </c>
      <c r="HY10" s="11" t="str">
        <f t="shared" si="74"/>
        <v/>
      </c>
      <c r="HZ10" s="11" t="str">
        <f t="shared" si="75"/>
        <v/>
      </c>
      <c r="IA10" s="15"/>
      <c r="IB10" s="15"/>
      <c r="IC10" s="15"/>
      <c r="ID10" s="15"/>
      <c r="IE10" s="15"/>
      <c r="IF10" s="15"/>
      <c r="IG10" s="15"/>
      <c r="IH10" s="15"/>
      <c r="II10" s="15"/>
      <c r="IJ10" s="15"/>
      <c r="IK10" s="15"/>
      <c r="IL10" s="15"/>
      <c r="IM10" s="15"/>
      <c r="IN10" s="15"/>
      <c r="IO10" s="15"/>
      <c r="IP10" s="15"/>
      <c r="IQ10" s="15"/>
      <c r="IR10" s="15"/>
      <c r="IS10" s="15"/>
      <c r="IT10" s="15"/>
      <c r="IU10" s="36" t="str">
        <f t="shared" si="76"/>
        <v/>
      </c>
      <c r="IV10" s="36" t="str">
        <f t="shared" si="76"/>
        <v/>
      </c>
      <c r="IW10" s="36" t="str">
        <f t="shared" si="77"/>
        <v/>
      </c>
      <c r="IX10" s="36" t="str">
        <f t="shared" si="78"/>
        <v/>
      </c>
      <c r="IY10" s="36" t="str">
        <f t="shared" si="78"/>
        <v/>
      </c>
      <c r="IZ10" s="36" t="str">
        <f t="shared" si="79"/>
        <v/>
      </c>
      <c r="JA10" s="36" t="str">
        <f t="shared" si="80"/>
        <v/>
      </c>
      <c r="JB10" s="36" t="str">
        <f t="shared" si="81"/>
        <v/>
      </c>
      <c r="JC10" s="36" t="str">
        <f t="shared" si="81"/>
        <v/>
      </c>
      <c r="JD10" s="36" t="str">
        <f t="shared" si="82"/>
        <v/>
      </c>
      <c r="JE10" s="36" t="str">
        <f t="shared" si="83"/>
        <v/>
      </c>
      <c r="JF10" s="36" t="str">
        <f t="shared" si="83"/>
        <v/>
      </c>
      <c r="JG10" s="36" t="str">
        <f t="shared" si="84"/>
        <v/>
      </c>
      <c r="JH10" s="36" t="str">
        <f t="shared" si="85"/>
        <v/>
      </c>
      <c r="JI10" s="16"/>
      <c r="JJ10" s="16"/>
      <c r="JK10" s="16"/>
      <c r="JL10" s="16"/>
      <c r="JM10" s="16"/>
      <c r="JN10" s="16"/>
      <c r="JO10" s="16"/>
      <c r="JP10" s="16"/>
      <c r="JQ10" s="16"/>
      <c r="JR10" s="16"/>
      <c r="JS10" s="16"/>
      <c r="JT10" s="16"/>
      <c r="JU10" s="16"/>
      <c r="JV10" s="16"/>
      <c r="JW10" s="16"/>
      <c r="JX10" s="16"/>
      <c r="JY10" s="16"/>
      <c r="JZ10" s="16"/>
      <c r="KA10" s="16"/>
      <c r="KB10" s="16"/>
      <c r="KC10" s="11" t="str">
        <f t="shared" si="86"/>
        <v/>
      </c>
      <c r="KD10" s="11" t="str">
        <f t="shared" si="86"/>
        <v/>
      </c>
      <c r="KE10" s="11" t="str">
        <f t="shared" si="87"/>
        <v/>
      </c>
      <c r="KF10" s="11" t="str">
        <f t="shared" si="88"/>
        <v/>
      </c>
      <c r="KG10" s="11" t="str">
        <f t="shared" si="88"/>
        <v/>
      </c>
      <c r="KH10" s="11" t="str">
        <f t="shared" si="89"/>
        <v/>
      </c>
      <c r="KI10" s="11" t="str">
        <f t="shared" si="90"/>
        <v/>
      </c>
      <c r="KJ10" s="11" t="str">
        <f t="shared" si="91"/>
        <v/>
      </c>
      <c r="KK10" s="11" t="str">
        <f t="shared" si="91"/>
        <v/>
      </c>
      <c r="KL10" s="11" t="str">
        <f t="shared" si="92"/>
        <v/>
      </c>
      <c r="KM10" s="11" t="str">
        <f t="shared" si="93"/>
        <v/>
      </c>
      <c r="KN10" s="11" t="str">
        <f t="shared" si="93"/>
        <v/>
      </c>
      <c r="KO10" s="11" t="str">
        <f t="shared" si="94"/>
        <v/>
      </c>
      <c r="KP10" s="11" t="str">
        <f t="shared" si="95"/>
        <v/>
      </c>
      <c r="KQ10" s="15"/>
      <c r="KR10" s="15"/>
      <c r="KS10" s="15"/>
      <c r="KT10" s="15"/>
      <c r="KU10" s="15"/>
      <c r="KV10" s="15"/>
      <c r="KW10" s="15"/>
      <c r="KX10" s="15"/>
      <c r="KY10" s="15"/>
      <c r="KZ10" s="15"/>
      <c r="LA10" s="15"/>
      <c r="LB10" s="15"/>
      <c r="LC10" s="15"/>
      <c r="LD10" s="15"/>
      <c r="LE10" s="15"/>
      <c r="LF10" s="15"/>
      <c r="LG10" s="15"/>
      <c r="LH10" s="15"/>
      <c r="LI10" s="15"/>
      <c r="LJ10" s="15"/>
      <c r="LK10" s="36" t="str">
        <f t="shared" si="96"/>
        <v/>
      </c>
      <c r="LL10" s="36" t="str">
        <f t="shared" si="96"/>
        <v/>
      </c>
      <c r="LM10" s="36" t="str">
        <f t="shared" si="97"/>
        <v/>
      </c>
      <c r="LN10" s="36" t="str">
        <f t="shared" si="98"/>
        <v/>
      </c>
      <c r="LO10" s="36" t="str">
        <f t="shared" si="98"/>
        <v/>
      </c>
      <c r="LP10" s="36" t="str">
        <f t="shared" si="99"/>
        <v/>
      </c>
      <c r="LQ10" s="36" t="str">
        <f t="shared" si="100"/>
        <v/>
      </c>
      <c r="LR10" s="36" t="str">
        <f t="shared" si="101"/>
        <v/>
      </c>
      <c r="LS10" s="36" t="str">
        <f t="shared" si="101"/>
        <v/>
      </c>
      <c r="LT10" s="36" t="str">
        <f t="shared" si="102"/>
        <v/>
      </c>
      <c r="LU10" s="36" t="str">
        <f t="shared" si="103"/>
        <v/>
      </c>
      <c r="LV10" s="36" t="str">
        <f t="shared" si="103"/>
        <v/>
      </c>
      <c r="LW10" s="36" t="str">
        <f t="shared" si="104"/>
        <v/>
      </c>
      <c r="LX10" s="36" t="str">
        <f t="shared" si="105"/>
        <v/>
      </c>
      <c r="LY10" s="16"/>
      <c r="LZ10" s="16"/>
      <c r="MA10" s="16"/>
      <c r="MB10" s="16"/>
      <c r="MC10" s="16"/>
      <c r="MD10" s="16"/>
      <c r="ME10" s="16"/>
      <c r="MF10" s="16"/>
      <c r="MG10" s="16"/>
      <c r="MH10" s="16"/>
      <c r="MI10" s="16"/>
      <c r="MJ10" s="16"/>
      <c r="MK10" s="16"/>
      <c r="ML10" s="16"/>
      <c r="MM10" s="16"/>
      <c r="MN10" s="16"/>
      <c r="MO10" s="16"/>
      <c r="MP10" s="16"/>
      <c r="MQ10" s="16"/>
      <c r="MR10" s="16"/>
      <c r="MS10" s="11" t="str">
        <f t="shared" si="106"/>
        <v/>
      </c>
      <c r="MT10" s="11" t="str">
        <f t="shared" si="106"/>
        <v/>
      </c>
      <c r="MU10" s="11" t="str">
        <f t="shared" si="107"/>
        <v/>
      </c>
      <c r="MV10" s="11" t="str">
        <f t="shared" si="108"/>
        <v/>
      </c>
      <c r="MW10" s="11" t="str">
        <f t="shared" si="108"/>
        <v/>
      </c>
      <c r="MX10" s="11" t="str">
        <f t="shared" si="109"/>
        <v/>
      </c>
      <c r="MY10" s="11" t="str">
        <f t="shared" si="110"/>
        <v/>
      </c>
      <c r="MZ10" s="11" t="str">
        <f t="shared" si="111"/>
        <v/>
      </c>
      <c r="NA10" s="11" t="str">
        <f t="shared" si="111"/>
        <v/>
      </c>
      <c r="NB10" s="11" t="str">
        <f t="shared" si="112"/>
        <v/>
      </c>
      <c r="NC10" s="11" t="str">
        <f t="shared" si="113"/>
        <v/>
      </c>
      <c r="ND10" s="11" t="str">
        <f t="shared" si="113"/>
        <v/>
      </c>
      <c r="NE10" s="11" t="str">
        <f t="shared" si="114"/>
        <v/>
      </c>
      <c r="NF10" s="11" t="str">
        <f t="shared" si="115"/>
        <v/>
      </c>
      <c r="NG10" s="15"/>
      <c r="NH10" s="15"/>
      <c r="NI10" s="15"/>
      <c r="NJ10" s="15"/>
      <c r="NK10" s="15"/>
      <c r="NL10" s="15"/>
      <c r="NM10" s="15"/>
      <c r="NN10" s="15"/>
      <c r="NO10" s="15"/>
      <c r="NP10" s="15"/>
      <c r="NQ10" s="15"/>
      <c r="NR10" s="15"/>
      <c r="NS10" s="15"/>
      <c r="NT10" s="15"/>
      <c r="NU10" s="15"/>
      <c r="NV10" s="15"/>
      <c r="NW10" s="15"/>
      <c r="NX10" s="15"/>
      <c r="NY10" s="15"/>
      <c r="NZ10" s="15"/>
      <c r="OA10" s="36" t="str">
        <f t="shared" si="116"/>
        <v/>
      </c>
      <c r="OB10" s="36" t="str">
        <f t="shared" si="116"/>
        <v/>
      </c>
      <c r="OC10" s="36" t="str">
        <f t="shared" si="117"/>
        <v/>
      </c>
      <c r="OD10" s="36" t="str">
        <f t="shared" si="118"/>
        <v/>
      </c>
      <c r="OE10" s="36" t="str">
        <f t="shared" si="118"/>
        <v/>
      </c>
      <c r="OF10" s="36" t="str">
        <f t="shared" si="119"/>
        <v/>
      </c>
      <c r="OG10" s="36" t="str">
        <f t="shared" si="120"/>
        <v/>
      </c>
      <c r="OH10" s="36" t="str">
        <f t="shared" si="121"/>
        <v/>
      </c>
      <c r="OI10" s="36" t="str">
        <f t="shared" si="121"/>
        <v/>
      </c>
      <c r="OJ10" s="36" t="str">
        <f t="shared" si="122"/>
        <v/>
      </c>
      <c r="OK10" s="36" t="str">
        <f t="shared" si="123"/>
        <v/>
      </c>
      <c r="OL10" s="36" t="str">
        <f t="shared" si="123"/>
        <v/>
      </c>
      <c r="OM10" s="36" t="str">
        <f t="shared" si="124"/>
        <v/>
      </c>
      <c r="ON10" s="36" t="str">
        <f t="shared" si="125"/>
        <v/>
      </c>
      <c r="OO10" s="16"/>
      <c r="OP10" s="16"/>
      <c r="OQ10" s="16"/>
      <c r="OR10" s="16"/>
      <c r="OS10" s="16"/>
      <c r="OT10" s="16"/>
      <c r="OU10" s="16"/>
      <c r="OV10" s="16"/>
      <c r="OW10" s="16"/>
      <c r="OX10" s="16"/>
      <c r="OY10" s="16"/>
      <c r="OZ10" s="16"/>
      <c r="PA10" s="16"/>
      <c r="PB10" s="16"/>
      <c r="PC10" s="16"/>
      <c r="PD10" s="16"/>
      <c r="PE10" s="16"/>
      <c r="PF10" s="16"/>
      <c r="PG10" s="16"/>
      <c r="PH10" s="16"/>
      <c r="PI10" s="11" t="str">
        <f t="shared" si="126"/>
        <v/>
      </c>
      <c r="PJ10" s="11" t="str">
        <f t="shared" si="126"/>
        <v/>
      </c>
      <c r="PK10" s="11" t="str">
        <f t="shared" si="127"/>
        <v/>
      </c>
      <c r="PL10" s="11" t="str">
        <f t="shared" si="128"/>
        <v/>
      </c>
      <c r="PM10" s="11" t="str">
        <f t="shared" si="128"/>
        <v/>
      </c>
      <c r="PN10" s="11" t="str">
        <f t="shared" si="129"/>
        <v/>
      </c>
      <c r="PO10" s="11" t="str">
        <f t="shared" si="130"/>
        <v/>
      </c>
      <c r="PP10" s="11" t="str">
        <f t="shared" si="131"/>
        <v/>
      </c>
      <c r="PQ10" s="11" t="str">
        <f t="shared" si="131"/>
        <v/>
      </c>
      <c r="PR10" s="11" t="str">
        <f t="shared" si="132"/>
        <v/>
      </c>
      <c r="PS10" s="11" t="str">
        <f t="shared" si="133"/>
        <v/>
      </c>
      <c r="PT10" s="11" t="str">
        <f t="shared" si="133"/>
        <v/>
      </c>
      <c r="PU10" s="11" t="str">
        <f t="shared" si="134"/>
        <v/>
      </c>
      <c r="PV10" s="11" t="str">
        <f t="shared" si="135"/>
        <v/>
      </c>
      <c r="PW10" s="15"/>
      <c r="PX10" s="15"/>
      <c r="PY10" s="15"/>
      <c r="PZ10" s="15"/>
      <c r="QA10" s="15"/>
      <c r="QB10" s="15"/>
      <c r="QC10" s="15"/>
      <c r="QD10" s="15"/>
      <c r="QE10" s="15"/>
      <c r="QF10" s="15"/>
      <c r="QG10" s="15"/>
      <c r="QH10" s="15"/>
      <c r="QI10" s="15"/>
      <c r="QJ10" s="15"/>
      <c r="QK10" s="15"/>
      <c r="QL10" s="15"/>
      <c r="QM10" s="15"/>
      <c r="QN10" s="15"/>
      <c r="QO10" s="15"/>
      <c r="QP10" s="15"/>
      <c r="QQ10" s="36" t="str">
        <f t="shared" si="136"/>
        <v/>
      </c>
      <c r="QR10" s="36" t="str">
        <f t="shared" si="136"/>
        <v/>
      </c>
      <c r="QS10" s="36" t="str">
        <f t="shared" si="137"/>
        <v/>
      </c>
      <c r="QT10" s="36" t="str">
        <f t="shared" si="138"/>
        <v/>
      </c>
      <c r="QU10" s="36" t="str">
        <f t="shared" si="138"/>
        <v/>
      </c>
      <c r="QV10" s="36" t="str">
        <f t="shared" si="139"/>
        <v/>
      </c>
      <c r="QW10" s="36" t="str">
        <f t="shared" si="140"/>
        <v/>
      </c>
      <c r="QX10" s="36" t="str">
        <f t="shared" si="141"/>
        <v/>
      </c>
      <c r="QY10" s="36" t="str">
        <f t="shared" si="141"/>
        <v/>
      </c>
      <c r="QZ10" s="36" t="str">
        <f t="shared" si="142"/>
        <v/>
      </c>
      <c r="RA10" s="36" t="str">
        <f t="shared" si="143"/>
        <v/>
      </c>
      <c r="RB10" s="36" t="str">
        <f t="shared" si="143"/>
        <v/>
      </c>
      <c r="RC10" s="36" t="str">
        <f t="shared" si="144"/>
        <v/>
      </c>
      <c r="RD10" s="36" t="str">
        <f t="shared" si="145"/>
        <v/>
      </c>
      <c r="RE10" s="16"/>
      <c r="RF10" s="16"/>
      <c r="RG10" s="16"/>
      <c r="RH10" s="16"/>
      <c r="RI10" s="16"/>
      <c r="RJ10" s="16"/>
      <c r="RK10" s="16"/>
      <c r="RL10" s="16"/>
      <c r="RM10" s="16"/>
      <c r="RN10" s="16"/>
      <c r="RO10" s="16"/>
      <c r="RP10" s="16"/>
      <c r="RQ10" s="16"/>
      <c r="RR10" s="16"/>
      <c r="RS10" s="16"/>
      <c r="RT10" s="16"/>
      <c r="RU10" s="16"/>
      <c r="RV10" s="16"/>
      <c r="RW10" s="16"/>
      <c r="RX10" s="16"/>
      <c r="RY10" s="11" t="str">
        <f t="shared" si="146"/>
        <v/>
      </c>
      <c r="RZ10" s="11" t="str">
        <f t="shared" si="146"/>
        <v/>
      </c>
      <c r="SA10" s="11" t="str">
        <f t="shared" si="147"/>
        <v/>
      </c>
      <c r="SB10" s="11" t="str">
        <f t="shared" si="148"/>
        <v/>
      </c>
      <c r="SC10" s="11" t="str">
        <f t="shared" si="148"/>
        <v/>
      </c>
      <c r="SD10" s="11" t="str">
        <f t="shared" si="149"/>
        <v/>
      </c>
      <c r="SE10" s="11" t="str">
        <f t="shared" si="150"/>
        <v/>
      </c>
      <c r="SF10" s="11" t="str">
        <f t="shared" si="151"/>
        <v/>
      </c>
      <c r="SG10" s="11" t="str">
        <f t="shared" si="151"/>
        <v/>
      </c>
      <c r="SH10" s="11" t="str">
        <f t="shared" si="152"/>
        <v/>
      </c>
      <c r="SI10" s="11" t="str">
        <f t="shared" si="153"/>
        <v/>
      </c>
      <c r="SJ10" s="11" t="str">
        <f t="shared" si="153"/>
        <v/>
      </c>
      <c r="SK10" s="11" t="str">
        <f t="shared" si="154"/>
        <v/>
      </c>
      <c r="SL10" s="11" t="str">
        <f t="shared" si="155"/>
        <v/>
      </c>
      <c r="SM10" s="15"/>
      <c r="SN10" s="15"/>
      <c r="SO10" s="15"/>
      <c r="SP10" s="15"/>
      <c r="SQ10" s="15"/>
      <c r="SR10" s="15"/>
      <c r="SS10" s="15"/>
      <c r="ST10" s="15"/>
      <c r="SU10" s="15"/>
      <c r="SV10" s="15"/>
      <c r="SW10" s="15"/>
      <c r="SX10" s="15"/>
      <c r="SY10" s="15"/>
      <c r="SZ10" s="15"/>
      <c r="TA10" s="15"/>
      <c r="TB10" s="15"/>
      <c r="TC10" s="15"/>
      <c r="TD10" s="15"/>
      <c r="TE10" s="15"/>
      <c r="TF10" s="15"/>
      <c r="TG10" s="36" t="str">
        <f t="shared" si="156"/>
        <v/>
      </c>
      <c r="TH10" s="36" t="str">
        <f t="shared" si="156"/>
        <v/>
      </c>
      <c r="TI10" s="36" t="str">
        <f t="shared" si="157"/>
        <v/>
      </c>
      <c r="TJ10" s="36" t="str">
        <f t="shared" si="158"/>
        <v/>
      </c>
      <c r="TK10" s="36" t="str">
        <f t="shared" si="158"/>
        <v/>
      </c>
      <c r="TL10" s="36" t="str">
        <f t="shared" si="159"/>
        <v/>
      </c>
      <c r="TM10" s="36" t="str">
        <f t="shared" si="160"/>
        <v/>
      </c>
      <c r="TN10" s="36" t="str">
        <f t="shared" si="161"/>
        <v/>
      </c>
      <c r="TO10" s="36" t="str">
        <f t="shared" si="161"/>
        <v/>
      </c>
      <c r="TP10" s="36" t="str">
        <f t="shared" si="162"/>
        <v/>
      </c>
      <c r="TQ10" s="36" t="str">
        <f t="shared" si="163"/>
        <v/>
      </c>
      <c r="TR10" s="36" t="str">
        <f t="shared" si="163"/>
        <v/>
      </c>
      <c r="TS10" s="36" t="str">
        <f t="shared" si="164"/>
        <v/>
      </c>
      <c r="TT10" s="36" t="str">
        <f t="shared" si="165"/>
        <v/>
      </c>
      <c r="TU10" s="16"/>
      <c r="TV10" s="16"/>
      <c r="TW10" s="16"/>
      <c r="TX10" s="16"/>
      <c r="TY10" s="16"/>
      <c r="TZ10" s="16"/>
      <c r="UA10" s="16"/>
      <c r="UB10" s="16"/>
      <c r="UC10" s="16"/>
      <c r="UD10" s="16"/>
      <c r="UE10" s="16"/>
      <c r="UF10" s="16"/>
      <c r="UG10" s="16"/>
      <c r="UH10" s="16"/>
      <c r="UI10" s="16"/>
      <c r="UJ10" s="16"/>
      <c r="UK10" s="16"/>
      <c r="UL10" s="16"/>
      <c r="UM10" s="16"/>
      <c r="UN10" s="16"/>
      <c r="UO10" s="11" t="str">
        <f t="shared" si="166"/>
        <v/>
      </c>
      <c r="UP10" s="11" t="str">
        <f t="shared" si="166"/>
        <v/>
      </c>
      <c r="UQ10" s="11" t="str">
        <f t="shared" si="167"/>
        <v/>
      </c>
      <c r="UR10" s="11" t="str">
        <f t="shared" si="168"/>
        <v/>
      </c>
      <c r="US10" s="11" t="str">
        <f t="shared" si="168"/>
        <v/>
      </c>
      <c r="UT10" s="11" t="str">
        <f t="shared" si="169"/>
        <v/>
      </c>
      <c r="UU10" s="11" t="str">
        <f t="shared" si="170"/>
        <v/>
      </c>
      <c r="UV10" s="11" t="str">
        <f t="shared" si="171"/>
        <v/>
      </c>
      <c r="UW10" s="11" t="str">
        <f t="shared" si="171"/>
        <v/>
      </c>
      <c r="UX10" s="11" t="str">
        <f t="shared" si="172"/>
        <v/>
      </c>
      <c r="UY10" s="11" t="str">
        <f t="shared" si="173"/>
        <v/>
      </c>
      <c r="UZ10" s="11" t="str">
        <f t="shared" si="173"/>
        <v/>
      </c>
      <c r="VA10" s="11" t="str">
        <f t="shared" si="174"/>
        <v/>
      </c>
      <c r="VB10" s="11" t="str">
        <f t="shared" si="175"/>
        <v/>
      </c>
      <c r="VC10" s="15"/>
      <c r="VD10" s="15"/>
      <c r="VE10" s="15"/>
      <c r="VF10" s="15"/>
      <c r="VG10" s="15"/>
      <c r="VH10" s="15"/>
      <c r="VI10" s="15"/>
      <c r="VJ10" s="15"/>
      <c r="VK10" s="15"/>
      <c r="VL10" s="15"/>
      <c r="VM10" s="15"/>
      <c r="VN10" s="15"/>
      <c r="VO10" s="15"/>
      <c r="VP10" s="15"/>
      <c r="VQ10" s="15"/>
      <c r="VR10" s="15"/>
      <c r="VS10" s="15"/>
      <c r="VT10" s="15"/>
      <c r="VU10" s="15"/>
      <c r="VV10" s="15"/>
      <c r="VW10" s="36" t="str">
        <f t="shared" si="176"/>
        <v/>
      </c>
      <c r="VX10" s="36" t="str">
        <f t="shared" si="176"/>
        <v/>
      </c>
      <c r="VY10" s="36" t="str">
        <f t="shared" si="177"/>
        <v/>
      </c>
      <c r="VZ10" s="36" t="str">
        <f t="shared" si="178"/>
        <v/>
      </c>
      <c r="WA10" s="36" t="str">
        <f t="shared" si="178"/>
        <v/>
      </c>
      <c r="WB10" s="36" t="str">
        <f t="shared" si="179"/>
        <v/>
      </c>
      <c r="WC10" s="36" t="str">
        <f t="shared" si="180"/>
        <v/>
      </c>
      <c r="WD10" s="36" t="str">
        <f t="shared" si="181"/>
        <v/>
      </c>
      <c r="WE10" s="36" t="str">
        <f t="shared" si="181"/>
        <v/>
      </c>
      <c r="WF10" s="36" t="str">
        <f t="shared" si="182"/>
        <v/>
      </c>
      <c r="WG10" s="36" t="str">
        <f t="shared" si="183"/>
        <v/>
      </c>
      <c r="WH10" s="36" t="str">
        <f t="shared" si="183"/>
        <v/>
      </c>
      <c r="WI10" s="36" t="str">
        <f t="shared" si="184"/>
        <v/>
      </c>
      <c r="WJ10" s="36" t="str">
        <f t="shared" si="185"/>
        <v/>
      </c>
    </row>
    <row r="11" spans="1:608" x14ac:dyDescent="0.2">
      <c r="A11" s="4" t="str" cm="1">
        <f t="array" ref="A11">IF(AND(H11&lt;&gt;"",H11&lt;&gt;"No DD"),SUMPRODUCT((H$4:H$12&lt;&gt;"")*(H$4:H$12&lt;&gt;"No DD")*(E$4:E$12&gt;E11))+1,IF(H11="No DD",SUMPRODUCT((H$4:H$12="No DD")*(E$4:E$12&gt;E11))+1+SUMPRODUCT((H$4:H$12&lt;&gt;"")*(H$4:H$12&lt;&gt;"No DD")),""))</f>
        <v/>
      </c>
      <c r="B11" s="5" t="s">
        <v>132</v>
      </c>
      <c r="C11" s="4" t="s">
        <v>3</v>
      </c>
      <c r="D11" s="4" t="s">
        <v>126</v>
      </c>
      <c r="E11" s="9">
        <f t="shared" si="0"/>
        <v>27.260002726001726</v>
      </c>
      <c r="F11" s="3" t="str">
        <f t="shared" si="1"/>
        <v/>
      </c>
      <c r="G11" s="3" t="str">
        <f t="shared" si="2"/>
        <v/>
      </c>
      <c r="H11" s="32" t="str">
        <f t="shared" si="3"/>
        <v/>
      </c>
      <c r="I11" s="3" t="str">
        <f t="shared" si="4"/>
        <v/>
      </c>
      <c r="J11" s="8">
        <f t="shared" si="5"/>
        <v>17.27</v>
      </c>
      <c r="K11" s="8" t="str">
        <f t="shared" si="6"/>
        <v>2025 Elite Canada</v>
      </c>
      <c r="L11" s="8">
        <f>IFERROR(LARGE((AI11,AL11,AP11,BJ11,BM11,BQ11,CK11,CN11,CR11),2),0)</f>
        <v>9.99</v>
      </c>
      <c r="M11" s="8" t="str">
        <f t="shared" si="7"/>
        <v>2025 Elite Canada</v>
      </c>
      <c r="N11" s="8">
        <f t="shared" si="8"/>
        <v>0</v>
      </c>
      <c r="O11" s="11" t="str">
        <f t="shared" si="9"/>
        <v/>
      </c>
      <c r="P11" s="8" t="str">
        <f t="shared" si="10"/>
        <v/>
      </c>
      <c r="Q11" s="18">
        <v>3.03</v>
      </c>
      <c r="R11" s="18">
        <v>3.6</v>
      </c>
      <c r="S11" s="18">
        <v>5.8</v>
      </c>
      <c r="T11" s="18">
        <v>4.84</v>
      </c>
      <c r="U11" s="18">
        <v>0</v>
      </c>
      <c r="V11" s="18">
        <v>1.45</v>
      </c>
      <c r="W11" s="18">
        <v>1.8</v>
      </c>
      <c r="X11" s="18">
        <v>3</v>
      </c>
      <c r="Y11" s="18">
        <v>3.74</v>
      </c>
      <c r="Z11" s="18">
        <v>0</v>
      </c>
      <c r="AA11" s="18"/>
      <c r="AB11" s="18"/>
      <c r="AC11" s="18"/>
      <c r="AD11" s="18"/>
      <c r="AE11" s="18"/>
      <c r="AF11" s="23"/>
      <c r="AG11" s="34">
        <f t="shared" si="11"/>
        <v>5.8</v>
      </c>
      <c r="AH11" s="34">
        <f t="shared" si="11"/>
        <v>4.84</v>
      </c>
      <c r="AI11" s="36">
        <f t="shared" si="12"/>
        <v>17.27</v>
      </c>
      <c r="AJ11" s="36">
        <f t="shared" si="13"/>
        <v>3</v>
      </c>
      <c r="AK11" s="36">
        <f t="shared" si="13"/>
        <v>3.74</v>
      </c>
      <c r="AL11" s="36">
        <f t="shared" si="14"/>
        <v>9.99</v>
      </c>
      <c r="AM11" s="36">
        <f t="shared" si="15"/>
        <v>17.27</v>
      </c>
      <c r="AN11" s="36" t="str">
        <f t="shared" si="16"/>
        <v/>
      </c>
      <c r="AO11" s="36" t="str">
        <f t="shared" si="16"/>
        <v/>
      </c>
      <c r="AP11" s="36" t="str">
        <f t="shared" si="17"/>
        <v/>
      </c>
      <c r="AQ11" s="36">
        <f t="shared" si="18"/>
        <v>17.27</v>
      </c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2"/>
      <c r="BF11" s="22"/>
      <c r="BG11" s="24"/>
      <c r="BH11" s="35" t="str">
        <f t="shared" si="19"/>
        <v/>
      </c>
      <c r="BI11" s="35" t="str">
        <f t="shared" si="19"/>
        <v/>
      </c>
      <c r="BJ11" s="11" t="str">
        <f t="shared" si="20"/>
        <v/>
      </c>
      <c r="BK11" s="11" t="str">
        <f t="shared" si="21"/>
        <v/>
      </c>
      <c r="BL11" s="11" t="str">
        <f t="shared" si="21"/>
        <v/>
      </c>
      <c r="BM11" s="11" t="str">
        <f t="shared" si="22"/>
        <v/>
      </c>
      <c r="BN11" s="11" t="str">
        <f t="shared" si="23"/>
        <v/>
      </c>
      <c r="BO11" s="11" t="str">
        <f t="shared" si="24"/>
        <v/>
      </c>
      <c r="BP11" s="11" t="str">
        <f t="shared" si="24"/>
        <v/>
      </c>
      <c r="BQ11" s="11" t="str">
        <f t="shared" si="25"/>
        <v/>
      </c>
      <c r="BR11" s="11" t="str">
        <f t="shared" si="26"/>
        <v/>
      </c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23"/>
      <c r="CI11" s="34" t="str">
        <f t="shared" si="27"/>
        <v/>
      </c>
      <c r="CJ11" s="34" t="str">
        <f t="shared" si="27"/>
        <v/>
      </c>
      <c r="CK11" s="36" t="str">
        <f t="shared" si="28"/>
        <v/>
      </c>
      <c r="CL11" s="36" t="str">
        <f t="shared" si="29"/>
        <v/>
      </c>
      <c r="CM11" s="36" t="str">
        <f t="shared" si="29"/>
        <v/>
      </c>
      <c r="CN11" s="36" t="str">
        <f t="shared" si="30"/>
        <v/>
      </c>
      <c r="CO11" s="36" t="str">
        <f t="shared" si="31"/>
        <v/>
      </c>
      <c r="CP11" s="36" t="str">
        <f t="shared" si="32"/>
        <v/>
      </c>
      <c r="CQ11" s="36" t="str">
        <f t="shared" si="32"/>
        <v/>
      </c>
      <c r="CR11" s="36" t="str">
        <f t="shared" si="33"/>
        <v/>
      </c>
      <c r="CS11" s="36" t="str">
        <f t="shared" si="34"/>
        <v/>
      </c>
      <c r="CT11" s="47" t="str">
        <f t="shared" si="35"/>
        <v/>
      </c>
      <c r="CU11" s="15"/>
      <c r="CV11" s="15"/>
      <c r="CW11" s="15"/>
      <c r="CX11" s="15"/>
      <c r="CY11" s="15"/>
      <c r="CZ11" s="15"/>
      <c r="DA11" s="15"/>
      <c r="DB11" s="15"/>
      <c r="DC11" s="15"/>
      <c r="DD11" s="15"/>
      <c r="DE11" s="15"/>
      <c r="DF11" s="15"/>
      <c r="DG11" s="15"/>
      <c r="DH11" s="15"/>
      <c r="DI11" s="15"/>
      <c r="DJ11" s="15"/>
      <c r="DK11" s="15"/>
      <c r="DL11" s="15"/>
      <c r="DM11" s="15"/>
      <c r="DN11" s="15"/>
      <c r="DO11" s="36" t="str">
        <f t="shared" si="36"/>
        <v/>
      </c>
      <c r="DP11" s="36" t="str">
        <f t="shared" si="36"/>
        <v/>
      </c>
      <c r="DQ11" s="36" t="str">
        <f t="shared" si="37"/>
        <v/>
      </c>
      <c r="DR11" s="36" t="str">
        <f t="shared" si="38"/>
        <v/>
      </c>
      <c r="DS11" s="36" t="str">
        <f t="shared" si="38"/>
        <v/>
      </c>
      <c r="DT11" s="36" t="str">
        <f t="shared" si="39"/>
        <v/>
      </c>
      <c r="DU11" s="36" t="str">
        <f t="shared" si="40"/>
        <v/>
      </c>
      <c r="DV11" s="36" t="str">
        <f t="shared" si="41"/>
        <v/>
      </c>
      <c r="DW11" s="36" t="str">
        <f t="shared" si="41"/>
        <v/>
      </c>
      <c r="DX11" s="36" t="str">
        <f t="shared" si="42"/>
        <v/>
      </c>
      <c r="DY11" s="36" t="str">
        <f t="shared" si="43"/>
        <v/>
      </c>
      <c r="DZ11" s="36" t="str">
        <f t="shared" si="43"/>
        <v/>
      </c>
      <c r="EA11" s="36" t="str">
        <f t="shared" si="44"/>
        <v/>
      </c>
      <c r="EB11" s="36" t="str">
        <f t="shared" si="45"/>
        <v/>
      </c>
      <c r="EC11" s="16"/>
      <c r="ED11" s="16"/>
      <c r="EE11" s="16"/>
      <c r="EF11" s="16"/>
      <c r="EG11" s="16"/>
      <c r="EH11" s="16"/>
      <c r="EI11" s="16"/>
      <c r="EJ11" s="16"/>
      <c r="EK11" s="16"/>
      <c r="EL11" s="16"/>
      <c r="EM11" s="16"/>
      <c r="EN11" s="16"/>
      <c r="EO11" s="16"/>
      <c r="EP11" s="16"/>
      <c r="EQ11" s="16"/>
      <c r="ER11" s="16"/>
      <c r="ES11" s="16"/>
      <c r="ET11" s="16"/>
      <c r="EU11" s="16"/>
      <c r="EV11" s="16"/>
      <c r="EW11" s="11" t="str">
        <f t="shared" si="46"/>
        <v/>
      </c>
      <c r="EX11" s="11" t="str">
        <f t="shared" si="46"/>
        <v/>
      </c>
      <c r="EY11" s="11" t="str">
        <f t="shared" si="47"/>
        <v/>
      </c>
      <c r="EZ11" s="11" t="str">
        <f t="shared" si="48"/>
        <v/>
      </c>
      <c r="FA11" s="11" t="str">
        <f t="shared" si="48"/>
        <v/>
      </c>
      <c r="FB11" s="11" t="str">
        <f t="shared" si="49"/>
        <v/>
      </c>
      <c r="FC11" s="11" t="str">
        <f t="shared" si="50"/>
        <v/>
      </c>
      <c r="FD11" s="11" t="str">
        <f t="shared" si="51"/>
        <v/>
      </c>
      <c r="FE11" s="11" t="str">
        <f t="shared" si="51"/>
        <v/>
      </c>
      <c r="FF11" s="11" t="str">
        <f t="shared" si="52"/>
        <v/>
      </c>
      <c r="FG11" s="11" t="str">
        <f t="shared" si="53"/>
        <v/>
      </c>
      <c r="FH11" s="11" t="str">
        <f t="shared" si="53"/>
        <v/>
      </c>
      <c r="FI11" s="11" t="str">
        <f t="shared" si="54"/>
        <v/>
      </c>
      <c r="FJ11" s="11" t="str">
        <f t="shared" si="55"/>
        <v/>
      </c>
      <c r="FK11" s="15"/>
      <c r="FL11" s="15"/>
      <c r="FM11" s="15"/>
      <c r="FN11" s="15"/>
      <c r="FO11" s="15"/>
      <c r="FP11" s="15"/>
      <c r="FQ11" s="15"/>
      <c r="FR11" s="15"/>
      <c r="FS11" s="15"/>
      <c r="FT11" s="15"/>
      <c r="FU11" s="15"/>
      <c r="FV11" s="15"/>
      <c r="FW11" s="15"/>
      <c r="FX11" s="15"/>
      <c r="FY11" s="15"/>
      <c r="FZ11" s="15"/>
      <c r="GA11" s="15"/>
      <c r="GB11" s="15"/>
      <c r="GC11" s="15"/>
      <c r="GD11" s="15"/>
      <c r="GE11" s="36" t="str">
        <f t="shared" si="56"/>
        <v/>
      </c>
      <c r="GF11" s="36" t="str">
        <f t="shared" si="56"/>
        <v/>
      </c>
      <c r="GG11" s="36" t="str">
        <f t="shared" si="57"/>
        <v/>
      </c>
      <c r="GH11" s="36" t="str">
        <f t="shared" si="58"/>
        <v/>
      </c>
      <c r="GI11" s="36" t="str">
        <f t="shared" si="58"/>
        <v/>
      </c>
      <c r="GJ11" s="36" t="str">
        <f t="shared" si="59"/>
        <v/>
      </c>
      <c r="GK11" s="36" t="str">
        <f t="shared" si="60"/>
        <v/>
      </c>
      <c r="GL11" s="36" t="str">
        <f t="shared" si="61"/>
        <v/>
      </c>
      <c r="GM11" s="36" t="str">
        <f t="shared" si="61"/>
        <v/>
      </c>
      <c r="GN11" s="36" t="str">
        <f t="shared" si="62"/>
        <v/>
      </c>
      <c r="GO11" s="36" t="str">
        <f t="shared" si="63"/>
        <v/>
      </c>
      <c r="GP11" s="36" t="str">
        <f t="shared" si="63"/>
        <v/>
      </c>
      <c r="GQ11" s="36" t="str">
        <f t="shared" si="64"/>
        <v/>
      </c>
      <c r="GR11" s="36" t="str">
        <f t="shared" si="65"/>
        <v/>
      </c>
      <c r="GS11" s="16"/>
      <c r="GT11" s="16"/>
      <c r="GU11" s="16"/>
      <c r="GV11" s="16"/>
      <c r="GW11" s="16"/>
      <c r="GX11" s="16"/>
      <c r="GY11" s="16"/>
      <c r="GZ11" s="16"/>
      <c r="HA11" s="16"/>
      <c r="HB11" s="16"/>
      <c r="HC11" s="16"/>
      <c r="HD11" s="16"/>
      <c r="HE11" s="16"/>
      <c r="HF11" s="16"/>
      <c r="HG11" s="16"/>
      <c r="HH11" s="16"/>
      <c r="HI11" s="16"/>
      <c r="HJ11" s="16"/>
      <c r="HK11" s="16"/>
      <c r="HL11" s="16"/>
      <c r="HM11" s="11" t="str">
        <f t="shared" si="66"/>
        <v/>
      </c>
      <c r="HN11" s="11" t="str">
        <f t="shared" si="66"/>
        <v/>
      </c>
      <c r="HO11" s="11" t="str">
        <f t="shared" si="67"/>
        <v/>
      </c>
      <c r="HP11" s="11" t="str">
        <f t="shared" si="68"/>
        <v/>
      </c>
      <c r="HQ11" s="11" t="str">
        <f t="shared" si="68"/>
        <v/>
      </c>
      <c r="HR11" s="11" t="str">
        <f t="shared" si="69"/>
        <v/>
      </c>
      <c r="HS11" s="11" t="str">
        <f t="shared" si="70"/>
        <v/>
      </c>
      <c r="HT11" s="11" t="str">
        <f t="shared" si="71"/>
        <v/>
      </c>
      <c r="HU11" s="11" t="str">
        <f t="shared" si="71"/>
        <v/>
      </c>
      <c r="HV11" s="11" t="str">
        <f t="shared" si="72"/>
        <v/>
      </c>
      <c r="HW11" s="11" t="str">
        <f t="shared" si="73"/>
        <v/>
      </c>
      <c r="HX11" s="11" t="str">
        <f t="shared" si="73"/>
        <v/>
      </c>
      <c r="HY11" s="11" t="str">
        <f t="shared" si="74"/>
        <v/>
      </c>
      <c r="HZ11" s="11" t="str">
        <f t="shared" si="75"/>
        <v/>
      </c>
      <c r="IA11" s="15"/>
      <c r="IB11" s="15"/>
      <c r="IC11" s="15"/>
      <c r="ID11" s="15"/>
      <c r="IE11" s="15"/>
      <c r="IF11" s="15"/>
      <c r="IG11" s="15"/>
      <c r="IH11" s="15"/>
      <c r="II11" s="15"/>
      <c r="IJ11" s="15"/>
      <c r="IK11" s="15"/>
      <c r="IL11" s="15"/>
      <c r="IM11" s="15"/>
      <c r="IN11" s="15"/>
      <c r="IO11" s="15"/>
      <c r="IP11" s="15"/>
      <c r="IQ11" s="15"/>
      <c r="IR11" s="15"/>
      <c r="IS11" s="15"/>
      <c r="IT11" s="15"/>
      <c r="IU11" s="36" t="str">
        <f t="shared" si="76"/>
        <v/>
      </c>
      <c r="IV11" s="36" t="str">
        <f t="shared" si="76"/>
        <v/>
      </c>
      <c r="IW11" s="36" t="str">
        <f t="shared" si="77"/>
        <v/>
      </c>
      <c r="IX11" s="36" t="str">
        <f t="shared" si="78"/>
        <v/>
      </c>
      <c r="IY11" s="36" t="str">
        <f t="shared" si="78"/>
        <v/>
      </c>
      <c r="IZ11" s="36" t="str">
        <f t="shared" si="79"/>
        <v/>
      </c>
      <c r="JA11" s="36" t="str">
        <f t="shared" si="80"/>
        <v/>
      </c>
      <c r="JB11" s="36" t="str">
        <f t="shared" si="81"/>
        <v/>
      </c>
      <c r="JC11" s="36" t="str">
        <f t="shared" si="81"/>
        <v/>
      </c>
      <c r="JD11" s="36" t="str">
        <f t="shared" si="82"/>
        <v/>
      </c>
      <c r="JE11" s="36" t="str">
        <f t="shared" si="83"/>
        <v/>
      </c>
      <c r="JF11" s="36" t="str">
        <f t="shared" si="83"/>
        <v/>
      </c>
      <c r="JG11" s="36" t="str">
        <f t="shared" si="84"/>
        <v/>
      </c>
      <c r="JH11" s="36" t="str">
        <f t="shared" si="85"/>
        <v/>
      </c>
      <c r="JI11" s="16"/>
      <c r="JJ11" s="16"/>
      <c r="JK11" s="16"/>
      <c r="JL11" s="16"/>
      <c r="JM11" s="16"/>
      <c r="JN11" s="16"/>
      <c r="JO11" s="16"/>
      <c r="JP11" s="16"/>
      <c r="JQ11" s="16"/>
      <c r="JR11" s="16"/>
      <c r="JS11" s="16"/>
      <c r="JT11" s="16"/>
      <c r="JU11" s="16"/>
      <c r="JV11" s="16"/>
      <c r="JW11" s="16"/>
      <c r="JX11" s="16"/>
      <c r="JY11" s="16"/>
      <c r="JZ11" s="16"/>
      <c r="KA11" s="16"/>
      <c r="KB11" s="16"/>
      <c r="KC11" s="11" t="str">
        <f t="shared" si="86"/>
        <v/>
      </c>
      <c r="KD11" s="11" t="str">
        <f t="shared" si="86"/>
        <v/>
      </c>
      <c r="KE11" s="11" t="str">
        <f t="shared" si="87"/>
        <v/>
      </c>
      <c r="KF11" s="11" t="str">
        <f t="shared" si="88"/>
        <v/>
      </c>
      <c r="KG11" s="11" t="str">
        <f t="shared" si="88"/>
        <v/>
      </c>
      <c r="KH11" s="11" t="str">
        <f t="shared" si="89"/>
        <v/>
      </c>
      <c r="KI11" s="11" t="str">
        <f t="shared" si="90"/>
        <v/>
      </c>
      <c r="KJ11" s="11" t="str">
        <f t="shared" si="91"/>
        <v/>
      </c>
      <c r="KK11" s="11" t="str">
        <f t="shared" si="91"/>
        <v/>
      </c>
      <c r="KL11" s="11" t="str">
        <f t="shared" si="92"/>
        <v/>
      </c>
      <c r="KM11" s="11" t="str">
        <f t="shared" si="93"/>
        <v/>
      </c>
      <c r="KN11" s="11" t="str">
        <f t="shared" si="93"/>
        <v/>
      </c>
      <c r="KO11" s="11" t="str">
        <f t="shared" si="94"/>
        <v/>
      </c>
      <c r="KP11" s="11" t="str">
        <f t="shared" si="95"/>
        <v/>
      </c>
      <c r="KQ11" s="15"/>
      <c r="KR11" s="15"/>
      <c r="KS11" s="15"/>
      <c r="KT11" s="15"/>
      <c r="KU11" s="15"/>
      <c r="KV11" s="15"/>
      <c r="KW11" s="15"/>
      <c r="KX11" s="15"/>
      <c r="KY11" s="15"/>
      <c r="KZ11" s="15"/>
      <c r="LA11" s="15"/>
      <c r="LB11" s="15"/>
      <c r="LC11" s="15"/>
      <c r="LD11" s="15"/>
      <c r="LE11" s="15"/>
      <c r="LF11" s="15"/>
      <c r="LG11" s="15"/>
      <c r="LH11" s="15"/>
      <c r="LI11" s="15"/>
      <c r="LJ11" s="15"/>
      <c r="LK11" s="36" t="str">
        <f t="shared" si="96"/>
        <v/>
      </c>
      <c r="LL11" s="36" t="str">
        <f t="shared" si="96"/>
        <v/>
      </c>
      <c r="LM11" s="36" t="str">
        <f t="shared" si="97"/>
        <v/>
      </c>
      <c r="LN11" s="36" t="str">
        <f t="shared" si="98"/>
        <v/>
      </c>
      <c r="LO11" s="36" t="str">
        <f t="shared" si="98"/>
        <v/>
      </c>
      <c r="LP11" s="36" t="str">
        <f t="shared" si="99"/>
        <v/>
      </c>
      <c r="LQ11" s="36" t="str">
        <f t="shared" si="100"/>
        <v/>
      </c>
      <c r="LR11" s="36" t="str">
        <f t="shared" si="101"/>
        <v/>
      </c>
      <c r="LS11" s="36" t="str">
        <f t="shared" si="101"/>
        <v/>
      </c>
      <c r="LT11" s="36" t="str">
        <f t="shared" si="102"/>
        <v/>
      </c>
      <c r="LU11" s="36" t="str">
        <f t="shared" si="103"/>
        <v/>
      </c>
      <c r="LV11" s="36" t="str">
        <f t="shared" si="103"/>
        <v/>
      </c>
      <c r="LW11" s="36" t="str">
        <f t="shared" si="104"/>
        <v/>
      </c>
      <c r="LX11" s="36" t="str">
        <f t="shared" si="105"/>
        <v/>
      </c>
      <c r="LY11" s="16"/>
      <c r="LZ11" s="16"/>
      <c r="MA11" s="16"/>
      <c r="MB11" s="16"/>
      <c r="MC11" s="16"/>
      <c r="MD11" s="16"/>
      <c r="ME11" s="16"/>
      <c r="MF11" s="16"/>
      <c r="MG11" s="16"/>
      <c r="MH11" s="16"/>
      <c r="MI11" s="16"/>
      <c r="MJ11" s="16"/>
      <c r="MK11" s="16"/>
      <c r="ML11" s="16"/>
      <c r="MM11" s="16"/>
      <c r="MN11" s="16"/>
      <c r="MO11" s="16"/>
      <c r="MP11" s="16"/>
      <c r="MQ11" s="16"/>
      <c r="MR11" s="16"/>
      <c r="MS11" s="11" t="str">
        <f t="shared" si="106"/>
        <v/>
      </c>
      <c r="MT11" s="11" t="str">
        <f t="shared" si="106"/>
        <v/>
      </c>
      <c r="MU11" s="11" t="str">
        <f t="shared" si="107"/>
        <v/>
      </c>
      <c r="MV11" s="11" t="str">
        <f t="shared" si="108"/>
        <v/>
      </c>
      <c r="MW11" s="11" t="str">
        <f t="shared" si="108"/>
        <v/>
      </c>
      <c r="MX11" s="11" t="str">
        <f t="shared" si="109"/>
        <v/>
      </c>
      <c r="MY11" s="11" t="str">
        <f t="shared" si="110"/>
        <v/>
      </c>
      <c r="MZ11" s="11" t="str">
        <f t="shared" si="111"/>
        <v/>
      </c>
      <c r="NA11" s="11" t="str">
        <f t="shared" si="111"/>
        <v/>
      </c>
      <c r="NB11" s="11" t="str">
        <f t="shared" si="112"/>
        <v/>
      </c>
      <c r="NC11" s="11" t="str">
        <f t="shared" si="113"/>
        <v/>
      </c>
      <c r="ND11" s="11" t="str">
        <f t="shared" si="113"/>
        <v/>
      </c>
      <c r="NE11" s="11" t="str">
        <f t="shared" si="114"/>
        <v/>
      </c>
      <c r="NF11" s="11" t="str">
        <f t="shared" si="115"/>
        <v/>
      </c>
      <c r="NG11" s="15"/>
      <c r="NH11" s="15"/>
      <c r="NI11" s="15"/>
      <c r="NJ11" s="15"/>
      <c r="NK11" s="15"/>
      <c r="NL11" s="15"/>
      <c r="NM11" s="15"/>
      <c r="NN11" s="15"/>
      <c r="NO11" s="15"/>
      <c r="NP11" s="15"/>
      <c r="NQ11" s="15"/>
      <c r="NR11" s="15"/>
      <c r="NS11" s="15"/>
      <c r="NT11" s="15"/>
      <c r="NU11" s="15"/>
      <c r="NV11" s="15"/>
      <c r="NW11" s="15"/>
      <c r="NX11" s="15"/>
      <c r="NY11" s="15"/>
      <c r="NZ11" s="15"/>
      <c r="OA11" s="36" t="str">
        <f t="shared" si="116"/>
        <v/>
      </c>
      <c r="OB11" s="36" t="str">
        <f t="shared" si="116"/>
        <v/>
      </c>
      <c r="OC11" s="36" t="str">
        <f t="shared" si="117"/>
        <v/>
      </c>
      <c r="OD11" s="36" t="str">
        <f t="shared" si="118"/>
        <v/>
      </c>
      <c r="OE11" s="36" t="str">
        <f t="shared" si="118"/>
        <v/>
      </c>
      <c r="OF11" s="36" t="str">
        <f t="shared" si="119"/>
        <v/>
      </c>
      <c r="OG11" s="36" t="str">
        <f t="shared" si="120"/>
        <v/>
      </c>
      <c r="OH11" s="36" t="str">
        <f t="shared" si="121"/>
        <v/>
      </c>
      <c r="OI11" s="36" t="str">
        <f t="shared" si="121"/>
        <v/>
      </c>
      <c r="OJ11" s="36" t="str">
        <f t="shared" si="122"/>
        <v/>
      </c>
      <c r="OK11" s="36" t="str">
        <f t="shared" si="123"/>
        <v/>
      </c>
      <c r="OL11" s="36" t="str">
        <f t="shared" si="123"/>
        <v/>
      </c>
      <c r="OM11" s="36" t="str">
        <f t="shared" si="124"/>
        <v/>
      </c>
      <c r="ON11" s="36" t="str">
        <f t="shared" si="125"/>
        <v/>
      </c>
      <c r="OO11" s="16"/>
      <c r="OP11" s="16"/>
      <c r="OQ11" s="16"/>
      <c r="OR11" s="16"/>
      <c r="OS11" s="16"/>
      <c r="OT11" s="16"/>
      <c r="OU11" s="16"/>
      <c r="OV11" s="16"/>
      <c r="OW11" s="16"/>
      <c r="OX11" s="16"/>
      <c r="OY11" s="16"/>
      <c r="OZ11" s="16"/>
      <c r="PA11" s="16"/>
      <c r="PB11" s="16"/>
      <c r="PC11" s="16"/>
      <c r="PD11" s="16"/>
      <c r="PE11" s="16"/>
      <c r="PF11" s="16"/>
      <c r="PG11" s="16"/>
      <c r="PH11" s="16"/>
      <c r="PI11" s="11" t="str">
        <f t="shared" si="126"/>
        <v/>
      </c>
      <c r="PJ11" s="11" t="str">
        <f t="shared" si="126"/>
        <v/>
      </c>
      <c r="PK11" s="11" t="str">
        <f t="shared" si="127"/>
        <v/>
      </c>
      <c r="PL11" s="11" t="str">
        <f t="shared" si="128"/>
        <v/>
      </c>
      <c r="PM11" s="11" t="str">
        <f t="shared" si="128"/>
        <v/>
      </c>
      <c r="PN11" s="11" t="str">
        <f t="shared" si="129"/>
        <v/>
      </c>
      <c r="PO11" s="11" t="str">
        <f t="shared" si="130"/>
        <v/>
      </c>
      <c r="PP11" s="11" t="str">
        <f t="shared" si="131"/>
        <v/>
      </c>
      <c r="PQ11" s="11" t="str">
        <f t="shared" si="131"/>
        <v/>
      </c>
      <c r="PR11" s="11" t="str">
        <f t="shared" si="132"/>
        <v/>
      </c>
      <c r="PS11" s="11" t="str">
        <f t="shared" si="133"/>
        <v/>
      </c>
      <c r="PT11" s="11" t="str">
        <f t="shared" si="133"/>
        <v/>
      </c>
      <c r="PU11" s="11" t="str">
        <f t="shared" si="134"/>
        <v/>
      </c>
      <c r="PV11" s="11" t="str">
        <f t="shared" si="135"/>
        <v/>
      </c>
      <c r="PW11" s="15"/>
      <c r="PX11" s="15"/>
      <c r="PY11" s="15"/>
      <c r="PZ11" s="15"/>
      <c r="QA11" s="15"/>
      <c r="QB11" s="15"/>
      <c r="QC11" s="15"/>
      <c r="QD11" s="15"/>
      <c r="QE11" s="15"/>
      <c r="QF11" s="15"/>
      <c r="QG11" s="15"/>
      <c r="QH11" s="15"/>
      <c r="QI11" s="15"/>
      <c r="QJ11" s="15"/>
      <c r="QK11" s="15"/>
      <c r="QL11" s="15"/>
      <c r="QM11" s="15"/>
      <c r="QN11" s="15"/>
      <c r="QO11" s="15"/>
      <c r="QP11" s="15"/>
      <c r="QQ11" s="36" t="str">
        <f t="shared" si="136"/>
        <v/>
      </c>
      <c r="QR11" s="36" t="str">
        <f t="shared" si="136"/>
        <v/>
      </c>
      <c r="QS11" s="36" t="str">
        <f t="shared" si="137"/>
        <v/>
      </c>
      <c r="QT11" s="36" t="str">
        <f t="shared" si="138"/>
        <v/>
      </c>
      <c r="QU11" s="36" t="str">
        <f t="shared" si="138"/>
        <v/>
      </c>
      <c r="QV11" s="36" t="str">
        <f t="shared" si="139"/>
        <v/>
      </c>
      <c r="QW11" s="36" t="str">
        <f t="shared" si="140"/>
        <v/>
      </c>
      <c r="QX11" s="36" t="str">
        <f t="shared" si="141"/>
        <v/>
      </c>
      <c r="QY11" s="36" t="str">
        <f t="shared" si="141"/>
        <v/>
      </c>
      <c r="QZ11" s="36" t="str">
        <f t="shared" si="142"/>
        <v/>
      </c>
      <c r="RA11" s="36" t="str">
        <f t="shared" si="143"/>
        <v/>
      </c>
      <c r="RB11" s="36" t="str">
        <f t="shared" si="143"/>
        <v/>
      </c>
      <c r="RC11" s="36" t="str">
        <f t="shared" si="144"/>
        <v/>
      </c>
      <c r="RD11" s="36" t="str">
        <f t="shared" si="145"/>
        <v/>
      </c>
      <c r="RE11" s="16"/>
      <c r="RF11" s="16"/>
      <c r="RG11" s="16"/>
      <c r="RH11" s="16"/>
      <c r="RI11" s="16"/>
      <c r="RJ11" s="16"/>
      <c r="RK11" s="16"/>
      <c r="RL11" s="16"/>
      <c r="RM11" s="16"/>
      <c r="RN11" s="16"/>
      <c r="RO11" s="16"/>
      <c r="RP11" s="16"/>
      <c r="RQ11" s="16"/>
      <c r="RR11" s="16"/>
      <c r="RS11" s="16"/>
      <c r="RT11" s="16"/>
      <c r="RU11" s="16"/>
      <c r="RV11" s="16"/>
      <c r="RW11" s="16"/>
      <c r="RX11" s="16"/>
      <c r="RY11" s="11" t="str">
        <f t="shared" si="146"/>
        <v/>
      </c>
      <c r="RZ11" s="11" t="str">
        <f t="shared" si="146"/>
        <v/>
      </c>
      <c r="SA11" s="11" t="str">
        <f t="shared" si="147"/>
        <v/>
      </c>
      <c r="SB11" s="11" t="str">
        <f t="shared" si="148"/>
        <v/>
      </c>
      <c r="SC11" s="11" t="str">
        <f t="shared" si="148"/>
        <v/>
      </c>
      <c r="SD11" s="11" t="str">
        <f t="shared" si="149"/>
        <v/>
      </c>
      <c r="SE11" s="11" t="str">
        <f t="shared" si="150"/>
        <v/>
      </c>
      <c r="SF11" s="11" t="str">
        <f t="shared" si="151"/>
        <v/>
      </c>
      <c r="SG11" s="11" t="str">
        <f t="shared" si="151"/>
        <v/>
      </c>
      <c r="SH11" s="11" t="str">
        <f t="shared" si="152"/>
        <v/>
      </c>
      <c r="SI11" s="11" t="str">
        <f t="shared" si="153"/>
        <v/>
      </c>
      <c r="SJ11" s="11" t="str">
        <f t="shared" si="153"/>
        <v/>
      </c>
      <c r="SK11" s="11" t="str">
        <f t="shared" si="154"/>
        <v/>
      </c>
      <c r="SL11" s="11" t="str">
        <f t="shared" si="155"/>
        <v/>
      </c>
      <c r="SM11" s="15"/>
      <c r="SN11" s="15"/>
      <c r="SO11" s="15"/>
      <c r="SP11" s="15"/>
      <c r="SQ11" s="15"/>
      <c r="SR11" s="15"/>
      <c r="SS11" s="15"/>
      <c r="ST11" s="15"/>
      <c r="SU11" s="15"/>
      <c r="SV11" s="15"/>
      <c r="SW11" s="15"/>
      <c r="SX11" s="15"/>
      <c r="SY11" s="15"/>
      <c r="SZ11" s="15"/>
      <c r="TA11" s="15"/>
      <c r="TB11" s="15"/>
      <c r="TC11" s="15"/>
      <c r="TD11" s="15"/>
      <c r="TE11" s="15"/>
      <c r="TF11" s="15"/>
      <c r="TG11" s="36" t="str">
        <f t="shared" si="156"/>
        <v/>
      </c>
      <c r="TH11" s="36" t="str">
        <f t="shared" si="156"/>
        <v/>
      </c>
      <c r="TI11" s="36" t="str">
        <f t="shared" si="157"/>
        <v/>
      </c>
      <c r="TJ11" s="36" t="str">
        <f t="shared" si="158"/>
        <v/>
      </c>
      <c r="TK11" s="36" t="str">
        <f t="shared" si="158"/>
        <v/>
      </c>
      <c r="TL11" s="36" t="str">
        <f t="shared" si="159"/>
        <v/>
      </c>
      <c r="TM11" s="36" t="str">
        <f t="shared" si="160"/>
        <v/>
      </c>
      <c r="TN11" s="36" t="str">
        <f t="shared" si="161"/>
        <v/>
      </c>
      <c r="TO11" s="36" t="str">
        <f t="shared" si="161"/>
        <v/>
      </c>
      <c r="TP11" s="36" t="str">
        <f t="shared" si="162"/>
        <v/>
      </c>
      <c r="TQ11" s="36" t="str">
        <f t="shared" si="163"/>
        <v/>
      </c>
      <c r="TR11" s="36" t="str">
        <f t="shared" si="163"/>
        <v/>
      </c>
      <c r="TS11" s="36" t="str">
        <f t="shared" si="164"/>
        <v/>
      </c>
      <c r="TT11" s="36" t="str">
        <f t="shared" si="165"/>
        <v/>
      </c>
      <c r="TU11" s="16"/>
      <c r="TV11" s="16"/>
      <c r="TW11" s="16"/>
      <c r="TX11" s="16"/>
      <c r="TY11" s="16"/>
      <c r="TZ11" s="16"/>
      <c r="UA11" s="16"/>
      <c r="UB11" s="16"/>
      <c r="UC11" s="16"/>
      <c r="UD11" s="16"/>
      <c r="UE11" s="16"/>
      <c r="UF11" s="16"/>
      <c r="UG11" s="16"/>
      <c r="UH11" s="16"/>
      <c r="UI11" s="16"/>
      <c r="UJ11" s="16"/>
      <c r="UK11" s="16"/>
      <c r="UL11" s="16"/>
      <c r="UM11" s="16"/>
      <c r="UN11" s="16"/>
      <c r="UO11" s="11" t="str">
        <f t="shared" si="166"/>
        <v/>
      </c>
      <c r="UP11" s="11" t="str">
        <f t="shared" si="166"/>
        <v/>
      </c>
      <c r="UQ11" s="11" t="str">
        <f t="shared" si="167"/>
        <v/>
      </c>
      <c r="UR11" s="11" t="str">
        <f t="shared" si="168"/>
        <v/>
      </c>
      <c r="US11" s="11" t="str">
        <f t="shared" si="168"/>
        <v/>
      </c>
      <c r="UT11" s="11" t="str">
        <f t="shared" si="169"/>
        <v/>
      </c>
      <c r="UU11" s="11" t="str">
        <f t="shared" si="170"/>
        <v/>
      </c>
      <c r="UV11" s="11" t="str">
        <f t="shared" si="171"/>
        <v/>
      </c>
      <c r="UW11" s="11" t="str">
        <f t="shared" si="171"/>
        <v/>
      </c>
      <c r="UX11" s="11" t="str">
        <f t="shared" si="172"/>
        <v/>
      </c>
      <c r="UY11" s="11" t="str">
        <f t="shared" si="173"/>
        <v/>
      </c>
      <c r="UZ11" s="11" t="str">
        <f t="shared" si="173"/>
        <v/>
      </c>
      <c r="VA11" s="11" t="str">
        <f t="shared" si="174"/>
        <v/>
      </c>
      <c r="VB11" s="11" t="str">
        <f t="shared" si="175"/>
        <v/>
      </c>
      <c r="VC11" s="15"/>
      <c r="VD11" s="15"/>
      <c r="VE11" s="15"/>
      <c r="VF11" s="15"/>
      <c r="VG11" s="15"/>
      <c r="VH11" s="15"/>
      <c r="VI11" s="15"/>
      <c r="VJ11" s="15"/>
      <c r="VK11" s="15"/>
      <c r="VL11" s="15"/>
      <c r="VM11" s="15"/>
      <c r="VN11" s="15"/>
      <c r="VO11" s="15"/>
      <c r="VP11" s="15"/>
      <c r="VQ11" s="15"/>
      <c r="VR11" s="15"/>
      <c r="VS11" s="15"/>
      <c r="VT11" s="15"/>
      <c r="VU11" s="15"/>
      <c r="VV11" s="15"/>
      <c r="VW11" s="36" t="str">
        <f t="shared" si="176"/>
        <v/>
      </c>
      <c r="VX11" s="36" t="str">
        <f t="shared" si="176"/>
        <v/>
      </c>
      <c r="VY11" s="36" t="str">
        <f t="shared" si="177"/>
        <v/>
      </c>
      <c r="VZ11" s="36" t="str">
        <f t="shared" si="178"/>
        <v/>
      </c>
      <c r="WA11" s="36" t="str">
        <f t="shared" si="178"/>
        <v/>
      </c>
      <c r="WB11" s="36" t="str">
        <f t="shared" si="179"/>
        <v/>
      </c>
      <c r="WC11" s="36" t="str">
        <f t="shared" si="180"/>
        <v/>
      </c>
      <c r="WD11" s="36" t="str">
        <f t="shared" si="181"/>
        <v/>
      </c>
      <c r="WE11" s="36" t="str">
        <f t="shared" si="181"/>
        <v/>
      </c>
      <c r="WF11" s="36" t="str">
        <f t="shared" si="182"/>
        <v/>
      </c>
      <c r="WG11" s="36" t="str">
        <f t="shared" si="183"/>
        <v/>
      </c>
      <c r="WH11" s="36" t="str">
        <f t="shared" si="183"/>
        <v/>
      </c>
      <c r="WI11" s="36" t="str">
        <f t="shared" si="184"/>
        <v/>
      </c>
      <c r="WJ11" s="36" t="str">
        <f t="shared" si="185"/>
        <v/>
      </c>
    </row>
    <row r="12" spans="1:608" x14ac:dyDescent="0.2">
      <c r="B12" s="5"/>
      <c r="D12" s="1"/>
    </row>
    <row r="13" spans="1:608" x14ac:dyDescent="0.2">
      <c r="G13" s="32"/>
      <c r="I13" s="32"/>
    </row>
    <row r="14" spans="1:608" x14ac:dyDescent="0.2">
      <c r="B14" s="19" t="s">
        <v>40</v>
      </c>
      <c r="C14" s="5"/>
      <c r="G14" s="3"/>
      <c r="AJ14" s="37"/>
      <c r="AK14" s="37"/>
      <c r="AL14" s="37"/>
      <c r="AN14" s="28"/>
      <c r="AO14" s="28"/>
      <c r="AQ14" s="38">
        <v>11</v>
      </c>
      <c r="BK14" s="37"/>
      <c r="BL14" s="37"/>
      <c r="BM14" s="37"/>
      <c r="BO14" s="28"/>
      <c r="BP14" s="28"/>
      <c r="BR14" s="38">
        <v>11</v>
      </c>
      <c r="CL14" s="37"/>
      <c r="CM14" s="37"/>
      <c r="CN14" s="37"/>
      <c r="CP14" s="28"/>
      <c r="CQ14" s="28"/>
      <c r="CS14" s="38">
        <v>11</v>
      </c>
      <c r="DO14" s="5"/>
      <c r="DP14" s="5"/>
      <c r="DY14" s="2"/>
      <c r="DZ14" s="2"/>
      <c r="EB14" s="38">
        <v>11</v>
      </c>
      <c r="EW14" s="5"/>
      <c r="EX14" s="5"/>
      <c r="FG14" s="2"/>
      <c r="FH14" s="2"/>
      <c r="FJ14" s="38">
        <v>11</v>
      </c>
      <c r="GE14" s="5"/>
      <c r="GF14" s="5"/>
      <c r="GO14" s="2"/>
      <c r="GP14" s="2"/>
      <c r="GR14" s="38">
        <v>11</v>
      </c>
      <c r="HM14" s="5"/>
      <c r="HN14" s="5"/>
      <c r="HW14" s="2"/>
      <c r="HX14" s="2"/>
      <c r="HZ14" s="38">
        <v>12.8</v>
      </c>
      <c r="IU14" s="5"/>
      <c r="IV14" s="5"/>
      <c r="JE14" s="2"/>
      <c r="JF14" s="2"/>
      <c r="JH14" s="38">
        <v>12.8</v>
      </c>
      <c r="KC14" s="5"/>
      <c r="KD14" s="5"/>
      <c r="KM14" s="2"/>
      <c r="KN14" s="2"/>
      <c r="KP14" s="38">
        <v>12.8</v>
      </c>
      <c r="LK14" s="5"/>
      <c r="LL14" s="5"/>
      <c r="LU14" s="2"/>
      <c r="LV14" s="2"/>
      <c r="LX14" s="38">
        <v>12.8</v>
      </c>
      <c r="MS14" s="5"/>
      <c r="MT14" s="5"/>
      <c r="NC14" s="2"/>
      <c r="ND14" s="2"/>
      <c r="NF14" s="38">
        <v>12.8</v>
      </c>
      <c r="OA14" s="5"/>
      <c r="OB14" s="5"/>
      <c r="OK14" s="2"/>
      <c r="OL14" s="2"/>
      <c r="ON14" s="38">
        <v>12.8</v>
      </c>
      <c r="PI14" s="5"/>
      <c r="PJ14" s="5"/>
      <c r="PS14" s="2"/>
      <c r="PT14" s="2"/>
      <c r="PV14" s="38">
        <v>12.8</v>
      </c>
      <c r="QQ14" s="5"/>
      <c r="QR14" s="5"/>
      <c r="RA14" s="2"/>
      <c r="RB14" s="2"/>
      <c r="RD14" s="38">
        <v>12.8</v>
      </c>
      <c r="RY14" s="5"/>
      <c r="RZ14" s="5"/>
      <c r="SI14" s="2"/>
      <c r="SJ14" s="2"/>
      <c r="SL14" s="38">
        <v>12.8</v>
      </c>
      <c r="TG14" s="5"/>
      <c r="TH14" s="5"/>
      <c r="TQ14" s="2"/>
      <c r="TR14" s="2"/>
      <c r="TT14" s="38">
        <v>12.8</v>
      </c>
      <c r="UO14" s="5"/>
      <c r="UP14" s="5"/>
      <c r="UY14" s="2"/>
      <c r="UZ14" s="2"/>
      <c r="VB14" s="38">
        <v>12.8</v>
      </c>
      <c r="VW14" s="5"/>
      <c r="VX14" s="5"/>
      <c r="WG14" s="2"/>
      <c r="WH14" s="2"/>
      <c r="WJ14" s="38">
        <v>12.8</v>
      </c>
    </row>
    <row r="15" spans="1:608" hidden="1" x14ac:dyDescent="0.2">
      <c r="B15" s="26" t="s">
        <v>39</v>
      </c>
      <c r="C15" s="5"/>
      <c r="P15" s="2"/>
      <c r="AJ15" s="37"/>
      <c r="AK15" s="37"/>
      <c r="AL15" s="37"/>
      <c r="AN15" s="28"/>
      <c r="AO15" s="28"/>
      <c r="AQ15" s="39">
        <v>1000</v>
      </c>
      <c r="BK15" s="37"/>
      <c r="BL15" s="37"/>
      <c r="BM15" s="37"/>
      <c r="BO15" s="28"/>
      <c r="BP15" s="28"/>
      <c r="BR15" s="39">
        <v>1000</v>
      </c>
      <c r="CL15" s="37"/>
      <c r="CM15" s="37"/>
      <c r="CN15" s="37"/>
      <c r="CP15" s="28"/>
      <c r="CQ15" s="28"/>
      <c r="CS15" s="39">
        <v>1000</v>
      </c>
      <c r="DO15" s="5"/>
      <c r="DP15" s="5"/>
      <c r="DY15" s="2"/>
      <c r="DZ15" s="2"/>
      <c r="EB15" s="39">
        <v>1000</v>
      </c>
      <c r="EW15" s="5"/>
      <c r="EX15" s="5"/>
      <c r="FG15" s="2"/>
      <c r="FH15" s="2"/>
      <c r="FJ15" s="39">
        <v>1000</v>
      </c>
      <c r="GE15" s="5"/>
      <c r="GF15" s="5"/>
      <c r="GO15" s="2"/>
      <c r="GP15" s="2"/>
      <c r="GR15" s="39">
        <v>1000</v>
      </c>
      <c r="HM15" s="5"/>
      <c r="HN15" s="5"/>
      <c r="HW15" s="2"/>
      <c r="HX15" s="2"/>
      <c r="HZ15" s="39">
        <v>1000</v>
      </c>
      <c r="IU15" s="5"/>
      <c r="IV15" s="5"/>
      <c r="JE15" s="2"/>
      <c r="JF15" s="2"/>
      <c r="JH15" s="39">
        <v>1000</v>
      </c>
      <c r="KC15" s="5"/>
      <c r="KD15" s="5"/>
      <c r="KM15" s="2"/>
      <c r="KN15" s="2"/>
      <c r="KP15" s="39">
        <v>1000</v>
      </c>
      <c r="LK15" s="5"/>
      <c r="LL15" s="5"/>
      <c r="LU15" s="2"/>
      <c r="LV15" s="2"/>
      <c r="LX15" s="39">
        <v>1000</v>
      </c>
      <c r="MS15" s="5"/>
      <c r="MT15" s="5"/>
      <c r="NC15" s="2"/>
      <c r="ND15" s="2"/>
      <c r="NF15" s="39">
        <v>1000</v>
      </c>
      <c r="OA15" s="5"/>
      <c r="OB15" s="5"/>
      <c r="OK15" s="2"/>
      <c r="OL15" s="2"/>
      <c r="ON15" s="39">
        <v>1000</v>
      </c>
      <c r="PI15" s="5"/>
      <c r="PJ15" s="5"/>
      <c r="PS15" s="2"/>
      <c r="PT15" s="2"/>
      <c r="PV15" s="39">
        <v>1000</v>
      </c>
      <c r="QQ15" s="5"/>
      <c r="QR15" s="5"/>
      <c r="RA15" s="2"/>
      <c r="RB15" s="2"/>
      <c r="RD15" s="39">
        <v>1000</v>
      </c>
      <c r="RY15" s="5"/>
      <c r="RZ15" s="5"/>
      <c r="SI15" s="2"/>
      <c r="SJ15" s="2"/>
      <c r="SL15" s="39">
        <v>1000</v>
      </c>
      <c r="TG15" s="5"/>
      <c r="TH15" s="5"/>
      <c r="TQ15" s="2"/>
      <c r="TR15" s="2"/>
      <c r="TT15" s="39">
        <v>1000</v>
      </c>
      <c r="UO15" s="5"/>
      <c r="UP15" s="5"/>
      <c r="UY15" s="2"/>
      <c r="UZ15" s="2"/>
      <c r="VB15" s="39">
        <v>1000</v>
      </c>
      <c r="VW15" s="5"/>
      <c r="VX15" s="5"/>
      <c r="WG15" s="2"/>
      <c r="WH15" s="2"/>
      <c r="WJ15" s="39">
        <v>1000</v>
      </c>
    </row>
    <row r="16" spans="1:608" hidden="1" x14ac:dyDescent="0.2">
      <c r="A16" s="5"/>
      <c r="B16" s="27" t="s">
        <v>50</v>
      </c>
      <c r="C16" s="5"/>
      <c r="E16" s="2"/>
      <c r="AJ16" s="37"/>
      <c r="AK16" s="37"/>
      <c r="AL16" s="37"/>
      <c r="AM16" s="28"/>
      <c r="AN16" s="28"/>
      <c r="AO16" s="28"/>
      <c r="AP16" s="28"/>
      <c r="AQ16" s="40">
        <v>1000</v>
      </c>
      <c r="BK16" s="37"/>
      <c r="BL16" s="37"/>
      <c r="BM16" s="37"/>
      <c r="BO16" s="28"/>
      <c r="BP16" s="28"/>
      <c r="BR16" s="40">
        <v>1000</v>
      </c>
      <c r="CL16" s="37"/>
      <c r="CM16" s="37"/>
      <c r="CN16" s="37"/>
      <c r="CO16" s="28"/>
      <c r="CP16" s="28"/>
      <c r="CQ16" s="28"/>
      <c r="CR16" s="28"/>
      <c r="CS16" s="40">
        <v>1000</v>
      </c>
      <c r="DO16" s="5"/>
      <c r="DP16" s="5"/>
      <c r="DY16" s="2"/>
      <c r="DZ16" s="2"/>
      <c r="EB16" s="40">
        <v>0</v>
      </c>
      <c r="EW16" s="5"/>
      <c r="EX16" s="5"/>
      <c r="FG16" s="2"/>
      <c r="FH16" s="2"/>
      <c r="FJ16" s="40">
        <v>0</v>
      </c>
      <c r="GE16" s="5"/>
      <c r="GF16" s="5"/>
      <c r="GO16" s="2"/>
      <c r="GP16" s="2"/>
      <c r="GR16" s="40">
        <v>0</v>
      </c>
      <c r="HM16" s="5"/>
      <c r="HN16" s="5"/>
      <c r="HW16" s="2"/>
      <c r="HX16" s="2"/>
      <c r="HZ16" s="40">
        <v>0</v>
      </c>
      <c r="IU16" s="5"/>
      <c r="IV16" s="5"/>
      <c r="JE16" s="2"/>
      <c r="JF16" s="2"/>
      <c r="JH16" s="40">
        <v>0</v>
      </c>
      <c r="KC16" s="5"/>
      <c r="KD16" s="5"/>
      <c r="KM16" s="2"/>
      <c r="KN16" s="2"/>
      <c r="KP16" s="40">
        <v>0</v>
      </c>
      <c r="LK16" s="5"/>
      <c r="LL16" s="5"/>
      <c r="LU16" s="2"/>
      <c r="LV16" s="2"/>
      <c r="LX16" s="40">
        <v>0</v>
      </c>
      <c r="MS16" s="5"/>
      <c r="MT16" s="5"/>
      <c r="NC16" s="2"/>
      <c r="ND16" s="2"/>
      <c r="NF16" s="40">
        <v>0</v>
      </c>
      <c r="OA16" s="5"/>
      <c r="OB16" s="5"/>
      <c r="OK16" s="2"/>
      <c r="OL16" s="2"/>
      <c r="ON16" s="40">
        <v>0</v>
      </c>
      <c r="PI16" s="5"/>
      <c r="PJ16" s="5"/>
      <c r="PS16" s="2"/>
      <c r="PT16" s="2"/>
      <c r="PV16" s="40">
        <v>0</v>
      </c>
      <c r="QQ16" s="5"/>
      <c r="QR16" s="5"/>
      <c r="RA16" s="2"/>
      <c r="RB16" s="2"/>
      <c r="RD16" s="40">
        <v>0</v>
      </c>
      <c r="RY16" s="5"/>
      <c r="RZ16" s="5"/>
      <c r="SI16" s="2"/>
      <c r="SJ16" s="2"/>
      <c r="SL16" s="40">
        <v>0</v>
      </c>
      <c r="TG16" s="5"/>
      <c r="TH16" s="5"/>
      <c r="TQ16" s="2"/>
      <c r="TR16" s="2"/>
      <c r="TT16" s="40">
        <v>0</v>
      </c>
      <c r="UO16" s="5"/>
      <c r="UP16" s="5"/>
      <c r="UY16" s="2"/>
      <c r="UZ16" s="2"/>
      <c r="VB16" s="40">
        <v>0</v>
      </c>
      <c r="VW16" s="5"/>
      <c r="VX16" s="5"/>
      <c r="WG16" s="2"/>
      <c r="WH16" s="2"/>
      <c r="WJ16" s="40">
        <v>0</v>
      </c>
    </row>
    <row r="17" spans="1:644" hidden="1" x14ac:dyDescent="0.2">
      <c r="A17" s="5"/>
      <c r="B17" s="31" t="s">
        <v>57</v>
      </c>
      <c r="C17" s="5"/>
      <c r="E17" s="2"/>
      <c r="AJ17" s="37"/>
      <c r="AK17" s="37"/>
      <c r="AL17" s="37"/>
      <c r="AM17" s="28"/>
      <c r="AN17" s="28"/>
      <c r="AO17" s="28"/>
      <c r="AP17" s="28"/>
      <c r="AQ17" s="41">
        <v>1000</v>
      </c>
      <c r="BK17" s="37"/>
      <c r="BL17" s="37"/>
      <c r="BM17" s="37"/>
      <c r="BO17" s="28"/>
      <c r="BP17" s="28"/>
      <c r="BR17" s="41">
        <v>1000</v>
      </c>
      <c r="CL17" s="37"/>
      <c r="CM17" s="37"/>
      <c r="CN17" s="37"/>
      <c r="CO17" s="28"/>
      <c r="CP17" s="28"/>
      <c r="CQ17" s="28"/>
      <c r="CR17" s="28"/>
      <c r="CS17" s="41">
        <v>1000</v>
      </c>
      <c r="DO17" s="5"/>
      <c r="DP17" s="5"/>
      <c r="DY17" s="2"/>
      <c r="DZ17" s="2"/>
      <c r="EB17" s="41">
        <v>0</v>
      </c>
      <c r="EW17" s="5"/>
      <c r="EX17" s="5"/>
      <c r="FG17" s="2"/>
      <c r="FH17" s="2"/>
      <c r="FJ17" s="41">
        <v>0</v>
      </c>
      <c r="GE17" s="5"/>
      <c r="GF17" s="5"/>
      <c r="GO17" s="2"/>
      <c r="GP17" s="2"/>
      <c r="GR17" s="41">
        <v>0</v>
      </c>
      <c r="HM17" s="5"/>
      <c r="HN17" s="5"/>
      <c r="HW17" s="2"/>
      <c r="HX17" s="2"/>
      <c r="HZ17" s="41">
        <v>0</v>
      </c>
      <c r="IU17" s="5"/>
      <c r="IV17" s="5"/>
      <c r="JE17" s="2"/>
      <c r="JF17" s="2"/>
      <c r="JH17" s="41">
        <v>0</v>
      </c>
      <c r="KC17" s="5"/>
      <c r="KD17" s="5"/>
      <c r="KM17" s="2"/>
      <c r="KN17" s="2"/>
      <c r="KP17" s="41">
        <v>0</v>
      </c>
      <c r="LK17" s="5"/>
      <c r="LL17" s="5"/>
      <c r="LU17" s="2"/>
      <c r="LV17" s="2"/>
      <c r="LX17" s="41">
        <v>0</v>
      </c>
      <c r="MS17" s="5"/>
      <c r="MT17" s="5"/>
      <c r="NC17" s="2"/>
      <c r="ND17" s="2"/>
      <c r="NF17" s="41">
        <v>0</v>
      </c>
      <c r="OA17" s="5"/>
      <c r="OB17" s="5"/>
      <c r="OK17" s="2"/>
      <c r="OL17" s="2"/>
      <c r="ON17" s="41">
        <v>0</v>
      </c>
      <c r="PI17" s="5"/>
      <c r="PJ17" s="5"/>
      <c r="PS17" s="2"/>
      <c r="PT17" s="2"/>
      <c r="PV17" s="41">
        <v>0</v>
      </c>
      <c r="QQ17" s="5"/>
      <c r="QR17" s="5"/>
      <c r="RA17" s="2"/>
      <c r="RB17" s="2"/>
      <c r="RD17" s="41">
        <v>0</v>
      </c>
      <c r="RY17" s="5"/>
      <c r="RZ17" s="5"/>
      <c r="SI17" s="2"/>
      <c r="SJ17" s="2"/>
      <c r="SL17" s="41">
        <v>0</v>
      </c>
      <c r="TG17" s="5"/>
      <c r="TH17" s="5"/>
      <c r="TQ17" s="2"/>
      <c r="TR17" s="2"/>
      <c r="TT17" s="41">
        <v>0</v>
      </c>
      <c r="UO17" s="5"/>
      <c r="UP17" s="5"/>
      <c r="UY17" s="2"/>
      <c r="UZ17" s="2"/>
      <c r="VB17" s="41">
        <v>0</v>
      </c>
      <c r="VW17" s="5"/>
      <c r="VX17" s="5"/>
      <c r="WG17" s="2"/>
      <c r="WH17" s="2"/>
      <c r="WJ17" s="41">
        <v>0</v>
      </c>
    </row>
    <row r="18" spans="1:644" x14ac:dyDescent="0.2">
      <c r="A18" s="5"/>
      <c r="B18" s="30" t="s">
        <v>37</v>
      </c>
      <c r="C18" s="5"/>
      <c r="AJ18" s="37"/>
      <c r="AK18" s="37"/>
      <c r="AL18" s="37"/>
      <c r="AM18" s="28"/>
      <c r="AN18" s="28"/>
      <c r="AO18" s="28"/>
      <c r="AP18" s="28"/>
      <c r="AQ18" s="42">
        <v>43.7</v>
      </c>
      <c r="BK18" s="37"/>
      <c r="BL18" s="37"/>
      <c r="BM18" s="37"/>
      <c r="BO18" s="28"/>
      <c r="BP18" s="28"/>
      <c r="BR18" s="42">
        <v>43.7</v>
      </c>
      <c r="CL18" s="37"/>
      <c r="CM18" s="37"/>
      <c r="CN18" s="37"/>
      <c r="CO18" s="28"/>
      <c r="CP18" s="28"/>
      <c r="CQ18" s="28"/>
      <c r="CR18" s="28"/>
      <c r="CS18" s="42">
        <v>43.7</v>
      </c>
      <c r="DO18" s="5"/>
      <c r="DP18" s="5"/>
      <c r="DY18" s="2"/>
      <c r="DZ18" s="2"/>
      <c r="EB18" s="42">
        <v>43.7</v>
      </c>
      <c r="EW18" s="5"/>
      <c r="EX18" s="5"/>
      <c r="FG18" s="2"/>
      <c r="FH18" s="2"/>
      <c r="FJ18" s="42">
        <v>43.7</v>
      </c>
      <c r="GE18" s="5"/>
      <c r="GF18" s="5"/>
      <c r="GO18" s="2"/>
      <c r="GP18" s="2"/>
      <c r="GR18" s="42">
        <v>43.7</v>
      </c>
      <c r="HM18" s="5"/>
      <c r="HN18" s="5"/>
      <c r="HW18" s="2"/>
      <c r="HX18" s="2"/>
      <c r="HZ18" s="42">
        <v>48.5</v>
      </c>
      <c r="IU18" s="5"/>
      <c r="IV18" s="5"/>
      <c r="JE18" s="2"/>
      <c r="JF18" s="2"/>
      <c r="JH18" s="42">
        <v>48.5</v>
      </c>
      <c r="KC18" s="5"/>
      <c r="KD18" s="5"/>
      <c r="KM18" s="2"/>
      <c r="KN18" s="2"/>
      <c r="KP18" s="42">
        <v>48.5</v>
      </c>
      <c r="LK18" s="5"/>
      <c r="LL18" s="5"/>
      <c r="LU18" s="2"/>
      <c r="LV18" s="2"/>
      <c r="LX18" s="42">
        <v>48.5</v>
      </c>
      <c r="MS18" s="5"/>
      <c r="MT18" s="5"/>
      <c r="NC18" s="2"/>
      <c r="ND18" s="2"/>
      <c r="NF18" s="42">
        <v>48.5</v>
      </c>
      <c r="OA18" s="5"/>
      <c r="OB18" s="5"/>
      <c r="OK18" s="2"/>
      <c r="OL18" s="2"/>
      <c r="ON18" s="42">
        <v>48.5</v>
      </c>
      <c r="PI18" s="5"/>
      <c r="PJ18" s="5"/>
      <c r="PS18" s="2"/>
      <c r="PT18" s="2"/>
      <c r="PV18" s="42">
        <v>48.5</v>
      </c>
      <c r="QQ18" s="5"/>
      <c r="QR18" s="5"/>
      <c r="RA18" s="2"/>
      <c r="RB18" s="2"/>
      <c r="RD18" s="42">
        <v>48.5</v>
      </c>
      <c r="RY18" s="5"/>
      <c r="RZ18" s="5"/>
      <c r="SI18" s="2"/>
      <c r="SJ18" s="2"/>
      <c r="SL18" s="42">
        <v>48.5</v>
      </c>
      <c r="TG18" s="5"/>
      <c r="TH18" s="5"/>
      <c r="TQ18" s="2"/>
      <c r="TR18" s="2"/>
      <c r="TT18" s="42">
        <v>48.5</v>
      </c>
      <c r="UO18" s="5"/>
      <c r="UP18" s="5"/>
      <c r="UY18" s="2"/>
      <c r="UZ18" s="2"/>
      <c r="VB18" s="42">
        <v>48.5</v>
      </c>
      <c r="VW18" s="5"/>
      <c r="VX18" s="5"/>
      <c r="WG18" s="2"/>
      <c r="WH18" s="2"/>
      <c r="WJ18" s="42">
        <v>48.5</v>
      </c>
    </row>
    <row r="19" spans="1:644" hidden="1" x14ac:dyDescent="0.2">
      <c r="A19" s="5"/>
      <c r="B19" s="20" t="s">
        <v>38</v>
      </c>
      <c r="C19" s="5"/>
      <c r="AJ19" s="37"/>
      <c r="AK19" s="37"/>
      <c r="AL19" s="37"/>
      <c r="AM19" s="28"/>
      <c r="AN19" s="28"/>
      <c r="AO19" s="28"/>
      <c r="AP19" s="28"/>
      <c r="AQ19" s="43">
        <v>1000</v>
      </c>
      <c r="BK19" s="37"/>
      <c r="BL19" s="37"/>
      <c r="BM19" s="37"/>
      <c r="BO19" s="28"/>
      <c r="BP19" s="28"/>
      <c r="BR19" s="43">
        <v>1000</v>
      </c>
      <c r="CL19" s="37"/>
      <c r="CM19" s="37"/>
      <c r="CN19" s="37"/>
      <c r="CO19" s="28"/>
      <c r="CP19" s="28"/>
      <c r="CQ19" s="28"/>
      <c r="CR19" s="28"/>
      <c r="CS19" s="43">
        <v>1000</v>
      </c>
      <c r="DO19" s="5"/>
      <c r="DP19" s="5"/>
      <c r="DY19" s="2"/>
      <c r="DZ19" s="2"/>
      <c r="EB19" s="43">
        <v>1000</v>
      </c>
      <c r="EW19" s="5"/>
      <c r="EX19" s="5"/>
      <c r="FG19" s="2"/>
      <c r="FH19" s="2"/>
      <c r="FJ19" s="43">
        <v>1000</v>
      </c>
      <c r="GE19" s="5"/>
      <c r="GF19" s="5"/>
      <c r="GO19" s="2"/>
      <c r="GP19" s="2"/>
      <c r="GR19" s="43">
        <v>1000</v>
      </c>
      <c r="HM19" s="5"/>
      <c r="HN19" s="5"/>
      <c r="HW19" s="2"/>
      <c r="HX19" s="2"/>
      <c r="HZ19" s="43">
        <v>1000</v>
      </c>
      <c r="IU19" s="5"/>
      <c r="IV19" s="5"/>
      <c r="JE19" s="2"/>
      <c r="JF19" s="2"/>
      <c r="JH19" s="43">
        <v>1000</v>
      </c>
      <c r="KC19" s="5"/>
      <c r="KD19" s="5"/>
      <c r="KM19" s="2"/>
      <c r="KN19" s="2"/>
      <c r="KP19" s="43">
        <v>1000</v>
      </c>
      <c r="LK19" s="5"/>
      <c r="LL19" s="5"/>
      <c r="LU19" s="2"/>
      <c r="LV19" s="2"/>
      <c r="LX19" s="43">
        <v>1000</v>
      </c>
      <c r="MS19" s="5"/>
      <c r="MT19" s="5"/>
      <c r="NC19" s="2"/>
      <c r="ND19" s="2"/>
      <c r="NF19" s="43">
        <v>1000</v>
      </c>
      <c r="OA19" s="5"/>
      <c r="OB19" s="5"/>
      <c r="OK19" s="2"/>
      <c r="OL19" s="2"/>
      <c r="ON19" s="43">
        <v>1000</v>
      </c>
      <c r="PI19" s="5"/>
      <c r="PJ19" s="5"/>
      <c r="PS19" s="2"/>
      <c r="PT19" s="2"/>
      <c r="PV19" s="43">
        <v>1000</v>
      </c>
      <c r="QQ19" s="5"/>
      <c r="QR19" s="5"/>
      <c r="RA19" s="2"/>
      <c r="RB19" s="2"/>
      <c r="RD19" s="43">
        <v>1000</v>
      </c>
      <c r="RY19" s="5"/>
      <c r="RZ19" s="5"/>
      <c r="SI19" s="2"/>
      <c r="SJ19" s="2"/>
      <c r="SL19" s="43">
        <v>1000</v>
      </c>
      <c r="TG19" s="5"/>
      <c r="TH19" s="5"/>
      <c r="TQ19" s="2"/>
      <c r="TR19" s="2"/>
      <c r="TT19" s="43">
        <v>1000</v>
      </c>
      <c r="UO19" s="5"/>
      <c r="UP19" s="5"/>
      <c r="UY19" s="2"/>
      <c r="UZ19" s="2"/>
      <c r="VB19" s="43">
        <v>1000</v>
      </c>
      <c r="VW19" s="5"/>
      <c r="VX19" s="5"/>
      <c r="WG19" s="2"/>
      <c r="WH19" s="2"/>
      <c r="WJ19" s="43">
        <v>1000</v>
      </c>
    </row>
    <row r="20" spans="1:644" hidden="1" x14ac:dyDescent="0.2">
      <c r="A20" s="5"/>
      <c r="B20" s="29" t="s">
        <v>49</v>
      </c>
      <c r="C20" s="5"/>
      <c r="AJ20" s="37"/>
      <c r="AK20" s="37"/>
      <c r="AL20" s="37"/>
      <c r="AM20" s="28"/>
      <c r="AN20" s="28"/>
      <c r="AO20" s="28"/>
      <c r="AP20" s="28"/>
      <c r="AQ20" s="44">
        <v>1000</v>
      </c>
      <c r="BK20" s="37"/>
      <c r="BL20" s="37"/>
      <c r="BM20" s="37"/>
      <c r="BO20" s="28"/>
      <c r="BP20" s="28"/>
      <c r="BR20" s="44">
        <v>1000</v>
      </c>
      <c r="CL20" s="37"/>
      <c r="CM20" s="37"/>
      <c r="CN20" s="37"/>
      <c r="CO20" s="28"/>
      <c r="CP20" s="28"/>
      <c r="CQ20" s="28"/>
      <c r="CR20" s="28"/>
      <c r="CS20" s="44">
        <v>1000</v>
      </c>
      <c r="DO20" s="5"/>
      <c r="DP20" s="5"/>
      <c r="DY20" s="2"/>
      <c r="DZ20" s="2"/>
      <c r="EA20" s="33"/>
      <c r="EB20" s="44">
        <v>1000</v>
      </c>
      <c r="EW20" s="5"/>
      <c r="EX20" s="5"/>
      <c r="FG20" s="2"/>
      <c r="FH20" s="2"/>
      <c r="FI20" s="33"/>
      <c r="FJ20" s="44">
        <v>1000</v>
      </c>
      <c r="GE20" s="5"/>
      <c r="GF20" s="5"/>
      <c r="GO20" s="2"/>
      <c r="GP20" s="2"/>
      <c r="GQ20" s="33"/>
      <c r="GR20" s="44">
        <v>1000</v>
      </c>
      <c r="HM20" s="5"/>
      <c r="HN20" s="5"/>
      <c r="HW20" s="2"/>
      <c r="HX20" s="2"/>
      <c r="HY20" s="33"/>
      <c r="HZ20" s="44">
        <v>1000</v>
      </c>
      <c r="IU20" s="5"/>
      <c r="IV20" s="5"/>
      <c r="JE20" s="2"/>
      <c r="JF20" s="2"/>
      <c r="JG20" s="33"/>
      <c r="JH20" s="44">
        <v>1000</v>
      </c>
      <c r="KC20" s="5"/>
      <c r="KD20" s="5"/>
      <c r="KM20" s="2"/>
      <c r="KN20" s="2"/>
      <c r="KO20" s="33"/>
      <c r="KP20" s="44">
        <v>1000</v>
      </c>
      <c r="LK20" s="5"/>
      <c r="LL20" s="5"/>
      <c r="LU20" s="2"/>
      <c r="LV20" s="2"/>
      <c r="LW20" s="33"/>
      <c r="LX20" s="44">
        <v>1000</v>
      </c>
      <c r="MS20" s="5"/>
      <c r="MT20" s="5"/>
      <c r="NC20" s="2"/>
      <c r="ND20" s="2"/>
      <c r="NE20" s="33"/>
      <c r="NF20" s="44">
        <v>1000</v>
      </c>
      <c r="OA20" s="5"/>
      <c r="OB20" s="5"/>
      <c r="OK20" s="2"/>
      <c r="OL20" s="2"/>
      <c r="OM20" s="33"/>
      <c r="ON20" s="44">
        <v>1000</v>
      </c>
      <c r="PI20" s="5"/>
      <c r="PJ20" s="5"/>
      <c r="PS20" s="2"/>
      <c r="PT20" s="2"/>
      <c r="PU20" s="33"/>
      <c r="PV20" s="44">
        <v>1000</v>
      </c>
      <c r="QQ20" s="5"/>
      <c r="QR20" s="5"/>
      <c r="RA20" s="2"/>
      <c r="RB20" s="2"/>
      <c r="RC20" s="33"/>
      <c r="RD20" s="44">
        <v>1000</v>
      </c>
      <c r="RY20" s="5"/>
      <c r="RZ20" s="5"/>
      <c r="SI20" s="2"/>
      <c r="SJ20" s="2"/>
      <c r="SK20" s="33"/>
      <c r="SL20" s="44">
        <v>1000</v>
      </c>
      <c r="TG20" s="5"/>
      <c r="TH20" s="5"/>
      <c r="TQ20" s="2"/>
      <c r="TR20" s="2"/>
      <c r="TS20" s="33"/>
      <c r="TT20" s="44">
        <v>1000</v>
      </c>
      <c r="UO20" s="5"/>
      <c r="UP20" s="5"/>
      <c r="UY20" s="2"/>
      <c r="UZ20" s="2"/>
      <c r="VA20" s="33"/>
      <c r="VB20" s="44">
        <v>1000</v>
      </c>
      <c r="VW20" s="5"/>
      <c r="VX20" s="5"/>
      <c r="WG20" s="2"/>
      <c r="WH20" s="2"/>
      <c r="WI20" s="33"/>
      <c r="WJ20" s="44">
        <v>1000</v>
      </c>
    </row>
    <row r="21" spans="1:644" hidden="1" x14ac:dyDescent="0.2">
      <c r="A21" s="5"/>
      <c r="B21" s="21" t="s">
        <v>30</v>
      </c>
      <c r="C21" s="5"/>
      <c r="AJ21" s="37"/>
      <c r="AK21" s="37"/>
      <c r="AL21" s="37"/>
      <c r="AM21" s="28"/>
      <c r="AN21" s="37"/>
      <c r="AO21" s="37"/>
      <c r="AP21" s="28"/>
      <c r="AQ21" s="45">
        <v>1000</v>
      </c>
      <c r="BK21" s="37"/>
      <c r="BL21" s="37"/>
      <c r="BM21" s="37"/>
      <c r="BO21" s="37"/>
      <c r="BP21" s="28"/>
      <c r="BR21" s="45">
        <v>1000</v>
      </c>
      <c r="CL21" s="37"/>
      <c r="CM21" s="37"/>
      <c r="CN21" s="37"/>
      <c r="CO21" s="28"/>
      <c r="CP21" s="37"/>
      <c r="CQ21" s="28"/>
      <c r="CR21" s="28"/>
      <c r="CS21" s="45">
        <v>1000</v>
      </c>
      <c r="DO21" s="5"/>
      <c r="DP21" s="5"/>
      <c r="DY21" s="37"/>
      <c r="DZ21" s="2"/>
      <c r="EB21" s="45">
        <v>1000</v>
      </c>
      <c r="EW21" s="5"/>
      <c r="EX21" s="5"/>
      <c r="FG21" s="37"/>
      <c r="FH21" s="2"/>
      <c r="FJ21" s="45">
        <v>1000</v>
      </c>
      <c r="GE21" s="5"/>
      <c r="GF21" s="5"/>
      <c r="GO21" s="2"/>
      <c r="GP21" s="2"/>
      <c r="GR21" s="45">
        <v>1000</v>
      </c>
      <c r="HM21" s="5"/>
      <c r="HN21" s="5"/>
      <c r="HW21" s="37"/>
      <c r="HX21" s="2"/>
      <c r="HZ21" s="45">
        <v>1000</v>
      </c>
      <c r="IU21" s="5"/>
      <c r="IV21" s="5"/>
      <c r="JE21" s="2"/>
      <c r="JF21" s="2"/>
      <c r="JH21" s="45">
        <v>1000</v>
      </c>
      <c r="KC21" s="5"/>
      <c r="KD21" s="5"/>
      <c r="KM21" s="2"/>
      <c r="KN21" s="2"/>
      <c r="KP21" s="45">
        <v>1000</v>
      </c>
      <c r="LK21" s="5"/>
      <c r="LL21" s="5"/>
      <c r="LU21" s="2"/>
      <c r="LV21" s="2"/>
      <c r="LX21" s="45">
        <v>1000</v>
      </c>
      <c r="MS21" s="5"/>
      <c r="MT21" s="5"/>
      <c r="NC21" s="2"/>
      <c r="ND21" s="2"/>
      <c r="NF21" s="45">
        <v>1000</v>
      </c>
      <c r="OA21" s="5"/>
      <c r="OB21" s="5"/>
      <c r="OK21" s="2"/>
      <c r="OL21" s="2"/>
      <c r="ON21" s="45">
        <v>1000</v>
      </c>
      <c r="PI21" s="5"/>
      <c r="PJ21" s="5"/>
      <c r="PS21" s="2"/>
      <c r="PT21" s="2"/>
      <c r="PV21" s="45">
        <v>1000</v>
      </c>
      <c r="QQ21" s="5"/>
      <c r="QR21" s="5"/>
      <c r="RA21" s="2"/>
      <c r="RB21" s="2"/>
      <c r="RD21" s="45">
        <v>1000</v>
      </c>
      <c r="RY21" s="5"/>
      <c r="RZ21" s="5"/>
      <c r="SI21" s="2"/>
      <c r="SJ21" s="2"/>
      <c r="SL21" s="45">
        <v>1000</v>
      </c>
      <c r="TG21" s="5"/>
      <c r="TH21" s="5"/>
      <c r="TQ21" s="2"/>
      <c r="TR21" s="2"/>
      <c r="TT21" s="45">
        <v>1000</v>
      </c>
      <c r="UO21" s="5"/>
      <c r="UP21" s="5"/>
      <c r="UY21" s="2"/>
      <c r="UZ21" s="2"/>
      <c r="VB21" s="45">
        <v>1000</v>
      </c>
      <c r="VW21" s="5"/>
      <c r="VX21" s="5"/>
      <c r="WG21" s="2"/>
      <c r="WH21" s="2"/>
      <c r="WJ21" s="45">
        <v>1000</v>
      </c>
    </row>
    <row r="22" spans="1:644" x14ac:dyDescent="0.2">
      <c r="B22" s="25" t="s">
        <v>43</v>
      </c>
      <c r="C22" s="2"/>
      <c r="AM22" s="28"/>
      <c r="AP22" s="28"/>
      <c r="CO22" s="28"/>
      <c r="CR22" s="28"/>
    </row>
    <row r="23" spans="1:644" x14ac:dyDescent="0.2">
      <c r="A23" s="5"/>
      <c r="B23" s="5"/>
      <c r="C23" s="17"/>
      <c r="AI23" s="28"/>
      <c r="AJ23" s="28"/>
      <c r="AK23" s="28"/>
      <c r="AL23" s="28"/>
      <c r="AM23" s="28"/>
      <c r="AP23" s="28"/>
      <c r="CK23" s="28"/>
      <c r="CL23" s="28"/>
      <c r="CM23" s="28"/>
      <c r="CN23" s="28"/>
      <c r="CO23" s="28"/>
      <c r="CR23" s="28"/>
    </row>
    <row r="24" spans="1:644" ht="17" x14ac:dyDescent="0.2">
      <c r="A24" s="5"/>
      <c r="B24" s="5"/>
      <c r="C24" s="17"/>
      <c r="N24" s="10"/>
      <c r="O24" s="10"/>
      <c r="AI24" s="28"/>
      <c r="AJ24" s="28"/>
      <c r="AK24" s="28"/>
      <c r="AL24" s="28"/>
      <c r="AM24" s="28"/>
      <c r="AP24" s="28"/>
      <c r="CK24" s="28"/>
      <c r="CL24" s="28"/>
      <c r="CM24" s="28"/>
      <c r="CN24" s="28"/>
      <c r="CO24" s="28"/>
      <c r="CR24" s="28"/>
    </row>
    <row r="25" spans="1:644" s="32" customFormat="1" ht="17" x14ac:dyDescent="0.2">
      <c r="A25" s="5"/>
      <c r="B25" s="5"/>
      <c r="C25" s="17"/>
      <c r="D25"/>
      <c r="E25"/>
      <c r="F25"/>
      <c r="G25"/>
      <c r="H25"/>
      <c r="I25"/>
      <c r="J25"/>
      <c r="K25"/>
      <c r="L25"/>
      <c r="M25"/>
      <c r="N25" s="10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I25" s="28"/>
      <c r="AJ25" s="28"/>
      <c r="AK25" s="28"/>
      <c r="AL25" s="28"/>
      <c r="AM25" s="28"/>
      <c r="AP25" s="28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K25" s="28"/>
      <c r="CL25" s="28"/>
      <c r="CM25" s="28"/>
      <c r="CN25" s="28"/>
      <c r="CO25" s="28"/>
      <c r="CR25" s="28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</row>
    <row r="26" spans="1:644" s="32" customFormat="1" ht="17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 s="10"/>
      <c r="O26" s="10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I26" s="28"/>
      <c r="AJ26" s="28"/>
      <c r="AK26" s="28"/>
      <c r="AL26" s="28"/>
      <c r="AM26" s="28"/>
      <c r="AP26" s="28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K26" s="28"/>
      <c r="CL26" s="28"/>
      <c r="CM26" s="28"/>
      <c r="CN26" s="28"/>
      <c r="CO26" s="28"/>
      <c r="CR26" s="28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</row>
    <row r="27" spans="1:644" s="32" customFormat="1" ht="17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 s="10"/>
      <c r="O27" s="10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28"/>
      <c r="AJ27" s="28"/>
      <c r="AK27" s="28"/>
      <c r="AL27" s="28"/>
      <c r="AM27" s="28"/>
      <c r="AP27" s="28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28"/>
      <c r="CL27" s="28"/>
      <c r="CM27" s="28"/>
      <c r="CN27" s="28"/>
      <c r="CO27" s="28"/>
      <c r="CR27" s="28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</row>
    <row r="28" spans="1:644" s="32" customFormat="1" ht="17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 s="10"/>
      <c r="O28" s="1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28"/>
      <c r="AJ28" s="28"/>
      <c r="AK28" s="28"/>
      <c r="AL28" s="28"/>
      <c r="AM28" s="28"/>
      <c r="AP28" s="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28"/>
      <c r="CL28" s="28"/>
      <c r="CM28" s="28"/>
      <c r="CN28" s="28"/>
      <c r="CO28" s="28"/>
      <c r="CR28" s="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</row>
    <row r="29" spans="1:644" s="32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 s="10"/>
      <c r="O29" s="10"/>
      <c r="P29" s="10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</row>
    <row r="30" spans="1:644" s="32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 s="1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</row>
    <row r="31" spans="1:644" s="32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 s="10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</row>
    <row r="32" spans="1:644" s="32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 s="10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</row>
    <row r="33" spans="1:644" s="32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</row>
    <row r="34" spans="1:644" s="32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</row>
    <row r="35" spans="1:644" s="32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  <c r="TY35"/>
      <c r="TZ35"/>
      <c r="UA35"/>
      <c r="UB35"/>
      <c r="UC35"/>
      <c r="UD35"/>
      <c r="UE35"/>
      <c r="UF35"/>
      <c r="UG35"/>
      <c r="UH35"/>
      <c r="UI35"/>
      <c r="UJ35"/>
      <c r="UK35"/>
      <c r="UL35"/>
      <c r="UM35"/>
      <c r="UN35"/>
      <c r="UO35"/>
      <c r="UP35"/>
      <c r="UQ35"/>
      <c r="UR35"/>
      <c r="US35"/>
      <c r="UT35"/>
      <c r="UU35"/>
      <c r="UV35"/>
      <c r="UW35"/>
      <c r="UX35"/>
      <c r="UY35"/>
      <c r="UZ35"/>
      <c r="VA35"/>
      <c r="VB35"/>
      <c r="VC35"/>
      <c r="VD35"/>
      <c r="VE35"/>
      <c r="VF35"/>
      <c r="VG35"/>
      <c r="VH35"/>
      <c r="VI35"/>
      <c r="VJ35"/>
      <c r="VK35"/>
      <c r="VL35"/>
      <c r="VM35"/>
      <c r="VN35"/>
      <c r="VO35"/>
      <c r="VP35"/>
      <c r="VQ35"/>
      <c r="VR35"/>
      <c r="VS35"/>
      <c r="VT35"/>
      <c r="VU35"/>
      <c r="VV35"/>
      <c r="VW35"/>
      <c r="VX35"/>
      <c r="VY35"/>
      <c r="VZ35"/>
      <c r="WA35"/>
      <c r="WB35"/>
      <c r="WC35"/>
      <c r="WD35"/>
      <c r="WE35"/>
      <c r="WF35"/>
      <c r="WG35"/>
      <c r="WH35"/>
      <c r="WI35"/>
      <c r="WJ35"/>
      <c r="WK35"/>
      <c r="WL35"/>
      <c r="WM35"/>
      <c r="WN35"/>
      <c r="WO35"/>
      <c r="WP35"/>
      <c r="WQ35"/>
      <c r="WR35"/>
      <c r="WS35"/>
      <c r="WT35"/>
      <c r="WU35"/>
      <c r="WV35"/>
      <c r="WW35"/>
      <c r="WX35"/>
      <c r="WY35"/>
      <c r="WZ35"/>
      <c r="XA35"/>
      <c r="XB35"/>
      <c r="XC35"/>
      <c r="XD35"/>
      <c r="XE35"/>
      <c r="XF35"/>
      <c r="XG35"/>
      <c r="XH35"/>
      <c r="XI35"/>
      <c r="XJ35"/>
      <c r="XK35"/>
      <c r="XL35"/>
      <c r="XM35"/>
      <c r="XN35"/>
      <c r="XO35"/>
      <c r="XP35"/>
      <c r="XQ35"/>
      <c r="XR35"/>
      <c r="XS35"/>
      <c r="XT35"/>
    </row>
    <row r="36" spans="1:644" s="32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  <c r="TY36"/>
      <c r="TZ36"/>
      <c r="UA36"/>
      <c r="UB36"/>
      <c r="UC36"/>
      <c r="UD36"/>
      <c r="UE36"/>
      <c r="UF36"/>
      <c r="UG36"/>
      <c r="UH36"/>
      <c r="UI36"/>
      <c r="UJ36"/>
      <c r="UK36"/>
      <c r="UL36"/>
      <c r="UM36"/>
      <c r="UN36"/>
      <c r="UO36"/>
      <c r="UP36"/>
      <c r="UQ36"/>
      <c r="UR36"/>
      <c r="US36"/>
      <c r="UT36"/>
      <c r="UU36"/>
      <c r="UV36"/>
      <c r="UW36"/>
      <c r="UX36"/>
      <c r="UY36"/>
      <c r="UZ36"/>
      <c r="VA36"/>
      <c r="VB36"/>
      <c r="VC36"/>
      <c r="VD36"/>
      <c r="VE36"/>
      <c r="VF36"/>
      <c r="VG36"/>
      <c r="VH36"/>
      <c r="VI36"/>
      <c r="VJ36"/>
      <c r="VK36"/>
      <c r="VL36"/>
      <c r="VM36"/>
      <c r="VN36"/>
      <c r="VO36"/>
      <c r="VP36"/>
      <c r="VQ36"/>
      <c r="VR36"/>
      <c r="VS36"/>
      <c r="VT36"/>
      <c r="VU36"/>
      <c r="VV36"/>
      <c r="VW36"/>
      <c r="VX36"/>
      <c r="VY36"/>
      <c r="VZ36"/>
      <c r="WA36"/>
      <c r="WB36"/>
      <c r="WC36"/>
      <c r="WD36"/>
      <c r="WE36"/>
      <c r="WF36"/>
      <c r="WG36"/>
      <c r="WH36"/>
      <c r="WI36"/>
      <c r="WJ36"/>
      <c r="WK36"/>
      <c r="WL36"/>
      <c r="WM36"/>
      <c r="WN36"/>
      <c r="WO36"/>
      <c r="WP36"/>
      <c r="WQ36"/>
      <c r="WR36"/>
      <c r="WS36"/>
      <c r="WT36"/>
      <c r="WU36"/>
      <c r="WV36"/>
      <c r="WW36"/>
      <c r="WX36"/>
      <c r="WY36"/>
      <c r="WZ36"/>
      <c r="XA36"/>
      <c r="XB36"/>
      <c r="XC36"/>
      <c r="XD36"/>
      <c r="XE36"/>
      <c r="XF36"/>
      <c r="XG36"/>
      <c r="XH36"/>
      <c r="XI36"/>
      <c r="XJ36"/>
      <c r="XK36"/>
      <c r="XL36"/>
      <c r="XM36"/>
      <c r="XN36"/>
      <c r="XO36"/>
      <c r="XP36"/>
      <c r="XQ36"/>
      <c r="XR36"/>
      <c r="XS36"/>
      <c r="XT36"/>
    </row>
    <row r="37" spans="1:644" s="32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  <c r="TY37"/>
      <c r="TZ37"/>
      <c r="UA37"/>
      <c r="UB37"/>
      <c r="UC37"/>
      <c r="UD37"/>
      <c r="UE37"/>
      <c r="UF37"/>
      <c r="UG37"/>
      <c r="UH37"/>
      <c r="UI37"/>
      <c r="UJ37"/>
      <c r="UK37"/>
      <c r="UL37"/>
      <c r="UM37"/>
      <c r="UN37"/>
      <c r="UO37"/>
      <c r="UP37"/>
      <c r="UQ37"/>
      <c r="UR37"/>
      <c r="US37"/>
      <c r="UT37"/>
      <c r="UU37"/>
      <c r="UV37"/>
      <c r="UW37"/>
      <c r="UX37"/>
      <c r="UY37"/>
      <c r="UZ37"/>
      <c r="VA37"/>
      <c r="VB37"/>
      <c r="VC37"/>
      <c r="VD37"/>
      <c r="VE37"/>
      <c r="VF37"/>
      <c r="VG37"/>
      <c r="VH37"/>
      <c r="VI37"/>
      <c r="VJ37"/>
      <c r="VK37"/>
      <c r="VL37"/>
      <c r="VM37"/>
      <c r="VN37"/>
      <c r="VO37"/>
      <c r="VP37"/>
      <c r="VQ37"/>
      <c r="VR37"/>
      <c r="VS37"/>
      <c r="VT37"/>
      <c r="VU37"/>
      <c r="VV37"/>
      <c r="VW37"/>
      <c r="VX37"/>
      <c r="VY37"/>
      <c r="VZ37"/>
      <c r="WA37"/>
      <c r="WB37"/>
      <c r="WC37"/>
      <c r="WD37"/>
      <c r="WE37"/>
      <c r="WF37"/>
      <c r="WG37"/>
      <c r="WH37"/>
      <c r="WI37"/>
      <c r="WJ37"/>
      <c r="WK37"/>
      <c r="WL37"/>
      <c r="WM37"/>
      <c r="WN37"/>
      <c r="WO37"/>
      <c r="WP37"/>
      <c r="WQ37"/>
      <c r="WR37"/>
      <c r="WS37"/>
      <c r="WT37"/>
      <c r="WU37"/>
      <c r="WV37"/>
      <c r="WW37"/>
      <c r="WX37"/>
      <c r="WY37"/>
      <c r="WZ37"/>
      <c r="XA37"/>
      <c r="XB37"/>
      <c r="XC37"/>
      <c r="XD37"/>
      <c r="XE37"/>
      <c r="XF37"/>
      <c r="XG37"/>
      <c r="XH37"/>
      <c r="XI37"/>
      <c r="XJ37"/>
      <c r="XK37"/>
      <c r="XL37"/>
      <c r="XM37"/>
      <c r="XN37"/>
      <c r="XO37"/>
      <c r="XP37"/>
      <c r="XQ37"/>
      <c r="XR37"/>
      <c r="XS37"/>
      <c r="XT37"/>
    </row>
    <row r="38" spans="1:644" s="32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  <c r="TY38"/>
      <c r="TZ38"/>
      <c r="UA38"/>
      <c r="UB38"/>
      <c r="UC38"/>
      <c r="UD38"/>
      <c r="UE38"/>
      <c r="UF38"/>
      <c r="UG38"/>
      <c r="UH38"/>
      <c r="UI38"/>
      <c r="UJ38"/>
      <c r="UK38"/>
      <c r="UL38"/>
      <c r="UM38"/>
      <c r="UN38"/>
      <c r="UO38"/>
      <c r="UP38"/>
      <c r="UQ38"/>
      <c r="UR38"/>
      <c r="US38"/>
      <c r="UT38"/>
      <c r="UU38"/>
      <c r="UV38"/>
      <c r="UW38"/>
      <c r="UX38"/>
      <c r="UY38"/>
      <c r="UZ38"/>
      <c r="VA38"/>
      <c r="VB38"/>
      <c r="VC38"/>
      <c r="VD38"/>
      <c r="VE38"/>
      <c r="VF38"/>
      <c r="VG38"/>
      <c r="VH38"/>
      <c r="VI38"/>
      <c r="VJ38"/>
      <c r="VK38"/>
      <c r="VL38"/>
      <c r="VM38"/>
      <c r="VN38"/>
      <c r="VO38"/>
      <c r="VP38"/>
      <c r="VQ38"/>
      <c r="VR38"/>
      <c r="VS38"/>
      <c r="VT38"/>
      <c r="VU38"/>
      <c r="VV38"/>
      <c r="VW38"/>
      <c r="VX38"/>
      <c r="VY38"/>
      <c r="VZ38"/>
      <c r="WA38"/>
      <c r="WB38"/>
      <c r="WC38"/>
      <c r="WD38"/>
      <c r="WE38"/>
      <c r="WF38"/>
      <c r="WG38"/>
      <c r="WH38"/>
      <c r="WI38"/>
      <c r="WJ38"/>
      <c r="WK38"/>
      <c r="WL38"/>
      <c r="WM38"/>
      <c r="WN38"/>
      <c r="WO38"/>
      <c r="WP38"/>
      <c r="WQ38"/>
      <c r="WR38"/>
      <c r="WS38"/>
      <c r="WT38"/>
      <c r="WU38"/>
      <c r="WV38"/>
      <c r="WW38"/>
      <c r="WX38"/>
      <c r="WY38"/>
      <c r="WZ38"/>
      <c r="XA38"/>
      <c r="XB38"/>
      <c r="XC38"/>
      <c r="XD38"/>
      <c r="XE38"/>
      <c r="XF38"/>
      <c r="XG38"/>
      <c r="XH38"/>
      <c r="XI38"/>
      <c r="XJ38"/>
      <c r="XK38"/>
      <c r="XL38"/>
      <c r="XM38"/>
      <c r="XN38"/>
      <c r="XO38"/>
      <c r="XP38"/>
      <c r="XQ38"/>
      <c r="XR38"/>
      <c r="XS38"/>
      <c r="XT38"/>
    </row>
    <row r="39" spans="1:644" s="32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  <c r="TY39"/>
      <c r="TZ39"/>
      <c r="UA39"/>
      <c r="UB39"/>
      <c r="UC39"/>
      <c r="UD39"/>
      <c r="UE39"/>
      <c r="UF39"/>
      <c r="UG39"/>
      <c r="UH39"/>
      <c r="UI39"/>
      <c r="UJ39"/>
      <c r="UK39"/>
      <c r="UL39"/>
      <c r="UM39"/>
      <c r="UN39"/>
      <c r="UO39"/>
      <c r="UP39"/>
      <c r="UQ39"/>
      <c r="UR39"/>
      <c r="US39"/>
      <c r="UT39"/>
      <c r="UU39"/>
      <c r="UV39"/>
      <c r="UW39"/>
      <c r="UX39"/>
      <c r="UY39"/>
      <c r="UZ39"/>
      <c r="VA39"/>
      <c r="VB39"/>
      <c r="VC39"/>
      <c r="VD39"/>
      <c r="VE39"/>
      <c r="VF39"/>
      <c r="VG39"/>
      <c r="VH39"/>
      <c r="VI39"/>
      <c r="VJ39"/>
      <c r="VK39"/>
      <c r="VL39"/>
      <c r="VM39"/>
      <c r="VN39"/>
      <c r="VO39"/>
      <c r="VP39"/>
      <c r="VQ39"/>
      <c r="VR39"/>
      <c r="VS39"/>
      <c r="VT39"/>
      <c r="VU39"/>
      <c r="VV39"/>
      <c r="VW39"/>
      <c r="VX39"/>
      <c r="VY39"/>
      <c r="VZ39"/>
      <c r="WA39"/>
      <c r="WB39"/>
      <c r="WC39"/>
      <c r="WD39"/>
      <c r="WE39"/>
      <c r="WF39"/>
      <c r="WG39"/>
      <c r="WH39"/>
      <c r="WI39"/>
      <c r="WJ39"/>
      <c r="WK39"/>
      <c r="WL39"/>
      <c r="WM39"/>
      <c r="WN39"/>
      <c r="WO39"/>
      <c r="WP39"/>
      <c r="WQ39"/>
      <c r="WR39"/>
      <c r="WS39"/>
      <c r="WT39"/>
      <c r="WU39"/>
      <c r="WV39"/>
      <c r="WW39"/>
      <c r="WX39"/>
      <c r="WY39"/>
      <c r="WZ39"/>
      <c r="XA39"/>
      <c r="XB39"/>
      <c r="XC39"/>
      <c r="XD39"/>
      <c r="XE39"/>
      <c r="XF39"/>
      <c r="XG39"/>
      <c r="XH39"/>
      <c r="XI39"/>
      <c r="XJ39"/>
      <c r="XK39"/>
      <c r="XL39"/>
      <c r="XM39"/>
      <c r="XN39"/>
      <c r="XO39"/>
      <c r="XP39"/>
      <c r="XQ39"/>
      <c r="XR39"/>
      <c r="XS39"/>
      <c r="XT39"/>
    </row>
    <row r="40" spans="1:644" s="32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  <c r="TY40"/>
      <c r="TZ40"/>
      <c r="UA40"/>
      <c r="UB40"/>
      <c r="UC40"/>
      <c r="UD40"/>
      <c r="UE40"/>
      <c r="UF40"/>
      <c r="UG40"/>
      <c r="UH40"/>
      <c r="UI40"/>
      <c r="UJ40"/>
      <c r="UK40"/>
      <c r="UL40"/>
      <c r="UM40"/>
      <c r="UN40"/>
      <c r="UO40"/>
      <c r="UP40"/>
      <c r="UQ40"/>
      <c r="UR40"/>
      <c r="US40"/>
      <c r="UT40"/>
      <c r="UU40"/>
      <c r="UV40"/>
      <c r="UW40"/>
      <c r="UX40"/>
      <c r="UY40"/>
      <c r="UZ40"/>
      <c r="VA40"/>
      <c r="VB40"/>
      <c r="VC40"/>
      <c r="VD40"/>
      <c r="VE40"/>
      <c r="VF40"/>
      <c r="VG40"/>
      <c r="VH40"/>
      <c r="VI40"/>
      <c r="VJ40"/>
      <c r="VK40"/>
      <c r="VL40"/>
      <c r="VM40"/>
      <c r="VN40"/>
      <c r="VO40"/>
      <c r="VP40"/>
      <c r="VQ40"/>
      <c r="VR40"/>
      <c r="VS40"/>
      <c r="VT40"/>
      <c r="VU40"/>
      <c r="VV40"/>
      <c r="VW40"/>
      <c r="VX40"/>
      <c r="VY40"/>
      <c r="VZ40"/>
      <c r="WA40"/>
      <c r="WB40"/>
      <c r="WC40"/>
      <c r="WD40"/>
      <c r="WE40"/>
      <c r="WF40"/>
      <c r="WG40"/>
      <c r="WH40"/>
      <c r="WI40"/>
      <c r="WJ40"/>
      <c r="WK40"/>
      <c r="WL40"/>
      <c r="WM40"/>
      <c r="WN40"/>
      <c r="WO40"/>
      <c r="WP40"/>
      <c r="WQ40"/>
      <c r="WR40"/>
      <c r="WS40"/>
      <c r="WT40"/>
      <c r="WU40"/>
      <c r="WV40"/>
      <c r="WW40"/>
      <c r="WX40"/>
      <c r="WY40"/>
      <c r="WZ40"/>
      <c r="XA40"/>
      <c r="XB40"/>
      <c r="XC40"/>
      <c r="XD40"/>
      <c r="XE40"/>
      <c r="XF40"/>
      <c r="XG40"/>
      <c r="XH40"/>
      <c r="XI40"/>
      <c r="XJ40"/>
      <c r="XK40"/>
      <c r="XL40"/>
      <c r="XM40"/>
      <c r="XN40"/>
      <c r="XO40"/>
      <c r="XP40"/>
      <c r="XQ40"/>
      <c r="XR40"/>
      <c r="XS40"/>
      <c r="XT40"/>
    </row>
    <row r="41" spans="1:644" ht="17" x14ac:dyDescent="0.2">
      <c r="N41" s="10"/>
      <c r="O41" s="10"/>
      <c r="P41" s="10"/>
    </row>
    <row r="42" spans="1:644" ht="17" x14ac:dyDescent="0.2">
      <c r="N42" s="10"/>
      <c r="O42" s="10"/>
      <c r="P42" s="10"/>
    </row>
    <row r="43" spans="1:644" ht="17" x14ac:dyDescent="0.2">
      <c r="N43" s="10"/>
      <c r="O43" s="10"/>
      <c r="P43" s="10"/>
    </row>
  </sheetData>
  <sheetProtection sheet="1" formatCells="0" formatColumns="0" formatRows="0"/>
  <autoFilter ref="A1:WJ1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sortState xmlns:xlrd2="http://schemas.microsoft.com/office/spreadsheetml/2017/richdata2" ref="A6:WJ11">
      <sortCondition descending="1" ref="F1:F12"/>
    </sortState>
  </autoFilter>
  <mergeCells count="103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AQ1"/>
    <mergeCell ref="AR1:BR1"/>
    <mergeCell ref="G1:G3"/>
    <mergeCell ref="H1:H3"/>
    <mergeCell ref="I1:I3"/>
    <mergeCell ref="J1:J3"/>
    <mergeCell ref="K1:K3"/>
    <mergeCell ref="L1:L3"/>
    <mergeCell ref="VC1:WJ1"/>
    <mergeCell ref="Q2:U2"/>
    <mergeCell ref="V2:Z2"/>
    <mergeCell ref="AA2:AE2"/>
    <mergeCell ref="AR2:AV2"/>
    <mergeCell ref="AW2:BA2"/>
    <mergeCell ref="BB2:BF2"/>
    <mergeCell ref="JI1:KP1"/>
    <mergeCell ref="KQ1:LX1"/>
    <mergeCell ref="LY1:NF1"/>
    <mergeCell ref="NG1:ON1"/>
    <mergeCell ref="OO1:PV1"/>
    <mergeCell ref="PW1:RD1"/>
    <mergeCell ref="BS1:CS1"/>
    <mergeCell ref="CU1:EB1"/>
    <mergeCell ref="EC1:FJ1"/>
    <mergeCell ref="FK1:GR1"/>
    <mergeCell ref="GS1:HZ1"/>
    <mergeCell ref="IA1:JH1"/>
    <mergeCell ref="BS2:BW2"/>
    <mergeCell ref="BX2:CB2"/>
    <mergeCell ref="CC2:CG2"/>
    <mergeCell ref="CU2:CY2"/>
    <mergeCell ref="CZ2:DD2"/>
    <mergeCell ref="DE2:DI2"/>
    <mergeCell ref="RE1:SL1"/>
    <mergeCell ref="SM1:TT1"/>
    <mergeCell ref="TU1:VB1"/>
    <mergeCell ref="FP2:FT2"/>
    <mergeCell ref="FU2:FY2"/>
    <mergeCell ref="FZ2:GD2"/>
    <mergeCell ref="GS2:GW2"/>
    <mergeCell ref="GX2:HB2"/>
    <mergeCell ref="HC2:HG2"/>
    <mergeCell ref="DJ2:DN2"/>
    <mergeCell ref="EC2:EG2"/>
    <mergeCell ref="EH2:EL2"/>
    <mergeCell ref="EM2:EQ2"/>
    <mergeCell ref="ER2:EV2"/>
    <mergeCell ref="FK2:FO2"/>
    <mergeCell ref="JN2:JR2"/>
    <mergeCell ref="JS2:JW2"/>
    <mergeCell ref="JX2:KB2"/>
    <mergeCell ref="KQ2:KU2"/>
    <mergeCell ref="KV2:KZ2"/>
    <mergeCell ref="LA2:LE2"/>
    <mergeCell ref="HH2:HL2"/>
    <mergeCell ref="IA2:IE2"/>
    <mergeCell ref="IF2:IJ2"/>
    <mergeCell ref="IK2:IO2"/>
    <mergeCell ref="IP2:IT2"/>
    <mergeCell ref="JI2:JM2"/>
    <mergeCell ref="NL2:NP2"/>
    <mergeCell ref="NQ2:NU2"/>
    <mergeCell ref="NV2:NZ2"/>
    <mergeCell ref="OO2:OS2"/>
    <mergeCell ref="OT2:OX2"/>
    <mergeCell ref="OY2:PC2"/>
    <mergeCell ref="LF2:LJ2"/>
    <mergeCell ref="LY2:MC2"/>
    <mergeCell ref="MD2:MH2"/>
    <mergeCell ref="MI2:MM2"/>
    <mergeCell ref="MN2:MR2"/>
    <mergeCell ref="NG2:NK2"/>
    <mergeCell ref="RJ2:RN2"/>
    <mergeCell ref="RO2:RS2"/>
    <mergeCell ref="RT2:RX2"/>
    <mergeCell ref="SM2:SQ2"/>
    <mergeCell ref="SR2:SV2"/>
    <mergeCell ref="SW2:TA2"/>
    <mergeCell ref="PD2:PH2"/>
    <mergeCell ref="PW2:QA2"/>
    <mergeCell ref="QB2:QF2"/>
    <mergeCell ref="QG2:QK2"/>
    <mergeCell ref="QL2:QP2"/>
    <mergeCell ref="RE2:RI2"/>
    <mergeCell ref="VH2:VL2"/>
    <mergeCell ref="VM2:VQ2"/>
    <mergeCell ref="VR2:VV2"/>
    <mergeCell ref="TB2:TF2"/>
    <mergeCell ref="TU2:TY2"/>
    <mergeCell ref="TZ2:UD2"/>
    <mergeCell ref="UE2:UI2"/>
    <mergeCell ref="UJ2:UN2"/>
    <mergeCell ref="VC2:VG2"/>
  </mergeCells>
  <conditionalFormatting sqref="H1:H1048576">
    <cfRule type="containsText" dxfId="132" priority="129" operator="containsText" text="No DD">
      <formula>NOT(ISERROR(SEARCH("No DD",H1)))</formula>
    </cfRule>
    <cfRule type="containsText" dxfId="131" priority="130" operator="containsText" text="Merit">
      <formula>NOT(ISERROR(SEARCH("Merit",H1)))</formula>
    </cfRule>
    <cfRule type="containsText" dxfId="130" priority="131" operator="containsText" text="Excellence">
      <formula>NOT(ISERROR(SEARCH("Excellence",H1)))</formula>
    </cfRule>
    <cfRule type="containsText" dxfId="129" priority="132" operator="containsText" text="Worlds Team">
      <formula>NOT(ISERROR(SEARCH("Worlds Team",H1)))</formula>
    </cfRule>
    <cfRule type="containsText" dxfId="128" priority="133" operator="containsText" text="National Team">
      <formula>NOT(ISERROR(SEARCH("National Team",H1)))</formula>
    </cfRule>
  </conditionalFormatting>
  <conditionalFormatting sqref="Q4:AQ11">
    <cfRule type="expression" dxfId="127" priority="128" stopIfTrue="1">
      <formula>IF($AF4&lt;&gt;"",1,0)</formula>
    </cfRule>
  </conditionalFormatting>
  <conditionalFormatting sqref="AR4:BR11">
    <cfRule type="expression" dxfId="126" priority="127" stopIfTrue="1">
      <formula>IF($BG4&lt;&gt;"",1,0)</formula>
    </cfRule>
  </conditionalFormatting>
  <conditionalFormatting sqref="BS4:CS11">
    <cfRule type="expression" dxfId="125" priority="126" stopIfTrue="1">
      <formula>IF($CH4&lt;&gt;"",1,0)</formula>
    </cfRule>
  </conditionalFormatting>
  <conditionalFormatting sqref="BO22:BO1048576 BH1:BH1048576 BK1:BK1048576 BO1:BO20">
    <cfRule type="cellIs" dxfId="124" priority="122" operator="between">
      <formula>$BR$17</formula>
      <formula>1000</formula>
    </cfRule>
    <cfRule type="cellIs" dxfId="123" priority="123" operator="between">
      <formula>$BR$16</formula>
      <formula>$BR$17</formula>
    </cfRule>
    <cfRule type="cellIs" dxfId="122" priority="124" operator="between">
      <formula>$BR$15</formula>
      <formula>$BR$16</formula>
    </cfRule>
    <cfRule type="cellIs" dxfId="121" priority="125" operator="between">
      <formula>$BR$14</formula>
      <formula>$BR$15</formula>
    </cfRule>
  </conditionalFormatting>
  <conditionalFormatting sqref="CP22:CP1048576 CI1:CI1048576 CL1:CL1048576 CP1:CP20">
    <cfRule type="cellIs" dxfId="120" priority="118" operator="between">
      <formula>$CS$17</formula>
      <formula>1000</formula>
    </cfRule>
    <cfRule type="cellIs" dxfId="119" priority="119" operator="between">
      <formula>$CS$16</formula>
      <formula>$CS$17</formula>
    </cfRule>
    <cfRule type="cellIs" dxfId="118" priority="120" operator="between">
      <formula>$CS$15</formula>
      <formula>$CS$16</formula>
    </cfRule>
    <cfRule type="cellIs" dxfId="117" priority="121" operator="between">
      <formula>$CS$14</formula>
      <formula>$CS$15</formula>
    </cfRule>
  </conditionalFormatting>
  <conditionalFormatting sqref="DY22:DY1048576 DO1:DO1048576 DR1:DR1048576 DV1:DV1048576 DY1:DY20">
    <cfRule type="cellIs" dxfId="116" priority="117" operator="between">
      <formula>$EB$14</formula>
      <formula>$EB$15</formula>
    </cfRule>
  </conditionalFormatting>
  <conditionalFormatting sqref="FG22:FG1048576 EW1:EW1048576 EZ1:EZ1048576 FD1:FD1048576 FG1:FG20">
    <cfRule type="cellIs" dxfId="115" priority="116" operator="between">
      <formula>$FJ$14</formula>
      <formula>$FJ$15</formula>
    </cfRule>
  </conditionalFormatting>
  <conditionalFormatting sqref="HW22:HW1048576 HM1:HM1048576 HP1:HP1048576 HT1:HT1048576 HW1:HW20">
    <cfRule type="cellIs" dxfId="114" priority="115" operator="between">
      <formula>$HZ$14</formula>
      <formula>$HZ$15</formula>
    </cfRule>
  </conditionalFormatting>
  <conditionalFormatting sqref="AO21 AG1:AG1048576 AJ1:AJ1048576 AN1:AN1048576">
    <cfRule type="cellIs" dxfId="113" priority="111" operator="between">
      <formula>$AQ$17</formula>
      <formula>1000</formula>
    </cfRule>
    <cfRule type="cellIs" dxfId="112" priority="112" operator="between">
      <formula>$AQ$16</formula>
      <formula>$AQ$17</formula>
    </cfRule>
    <cfRule type="cellIs" dxfId="111" priority="113" operator="between">
      <formula>$AQ$15</formula>
      <formula>$AQ$16</formula>
    </cfRule>
    <cfRule type="cellIs" dxfId="110" priority="114" operator="between">
      <formula>$AQ$14</formula>
      <formula>$AQ$15</formula>
    </cfRule>
  </conditionalFormatting>
  <conditionalFormatting sqref="BO21">
    <cfRule type="cellIs" dxfId="109" priority="107" operator="between">
      <formula>$AQ$17</formula>
      <formula>1000</formula>
    </cfRule>
    <cfRule type="cellIs" dxfId="108" priority="108" operator="between">
      <formula>$AQ$16</formula>
      <formula>$AQ$17</formula>
    </cfRule>
    <cfRule type="cellIs" dxfId="107" priority="109" operator="between">
      <formula>$AQ$15</formula>
      <formula>$AQ$16</formula>
    </cfRule>
    <cfRule type="cellIs" dxfId="106" priority="110" operator="between">
      <formula>$AQ$14</formula>
      <formula>$AQ$15</formula>
    </cfRule>
  </conditionalFormatting>
  <conditionalFormatting sqref="CP21">
    <cfRule type="cellIs" dxfId="105" priority="103" operator="between">
      <formula>$AQ$17</formula>
      <formula>1000</formula>
    </cfRule>
    <cfRule type="cellIs" dxfId="104" priority="104" operator="between">
      <formula>$AQ$16</formula>
      <formula>$AQ$17</formula>
    </cfRule>
    <cfRule type="cellIs" dxfId="103" priority="105" operator="between">
      <formula>$AQ$15</formula>
      <formula>$AQ$16</formula>
    </cfRule>
    <cfRule type="cellIs" dxfId="102" priority="106" operator="between">
      <formula>$AQ$14</formula>
      <formula>$AQ$15</formula>
    </cfRule>
  </conditionalFormatting>
  <conditionalFormatting sqref="DY21">
    <cfRule type="cellIs" dxfId="101" priority="99" operator="between">
      <formula>$AQ$17</formula>
      <formula>1000</formula>
    </cfRule>
    <cfRule type="cellIs" dxfId="100" priority="100" operator="between">
      <formula>$AQ$16</formula>
      <formula>$AQ$17</formula>
    </cfRule>
    <cfRule type="cellIs" dxfId="99" priority="101" operator="between">
      <formula>$AQ$15</formula>
      <formula>$AQ$16</formula>
    </cfRule>
    <cfRule type="cellIs" dxfId="98" priority="102" operator="between">
      <formula>$AQ$14</formula>
      <formula>$AQ$15</formula>
    </cfRule>
  </conditionalFormatting>
  <conditionalFormatting sqref="FG21">
    <cfRule type="cellIs" dxfId="97" priority="95" operator="between">
      <formula>$AQ$17</formula>
      <formula>1000</formula>
    </cfRule>
    <cfRule type="cellIs" dxfId="96" priority="96" operator="between">
      <formula>$AQ$16</formula>
      <formula>$AQ$17</formula>
    </cfRule>
    <cfRule type="cellIs" dxfId="95" priority="97" operator="between">
      <formula>$AQ$15</formula>
      <formula>$AQ$16</formula>
    </cfRule>
    <cfRule type="cellIs" dxfId="94" priority="98" operator="between">
      <formula>$AQ$14</formula>
      <formula>$AQ$15</formula>
    </cfRule>
  </conditionalFormatting>
  <conditionalFormatting sqref="HW21">
    <cfRule type="cellIs" dxfId="93" priority="91" operator="between">
      <formula>$AQ$17</formula>
      <formula>1000</formula>
    </cfRule>
    <cfRule type="cellIs" dxfId="92" priority="92" operator="between">
      <formula>$AQ$16</formula>
      <formula>$AQ$17</formula>
    </cfRule>
    <cfRule type="cellIs" dxfId="91" priority="93" operator="between">
      <formula>$AQ$15</formula>
      <formula>$AQ$16</formula>
    </cfRule>
    <cfRule type="cellIs" dxfId="90" priority="94" operator="between">
      <formula>$AQ$14</formula>
      <formula>$AQ$15</formula>
    </cfRule>
  </conditionalFormatting>
  <conditionalFormatting sqref="M1:M1048576 K1:K1048576">
    <cfRule type="expression" dxfId="89" priority="88" stopIfTrue="1">
      <formula>IF(K1=$BS$1,1,0)</formula>
    </cfRule>
    <cfRule type="expression" dxfId="88" priority="89">
      <formula>IF(K1=$AR$1,1,0)</formula>
    </cfRule>
    <cfRule type="expression" dxfId="87" priority="90">
      <formula>IF(K1=$Q$1,1,0)</formula>
    </cfRule>
  </conditionalFormatting>
  <conditionalFormatting sqref="A4:A1048576">
    <cfRule type="expression" dxfId="86" priority="86">
      <formula>AND(G4&lt;&gt;"",F4="")</formula>
    </cfRule>
    <cfRule type="expression" dxfId="85" priority="87">
      <formula>IF(A4&gt;2,1,0)</formula>
    </cfRule>
  </conditionalFormatting>
  <conditionalFormatting sqref="CN1:CN1048576 AL1:AL1048576">
    <cfRule type="cellIs" dxfId="84" priority="172037" operator="between">
      <formula>AQ$21</formula>
      <formula>1000</formula>
    </cfRule>
    <cfRule type="cellIs" dxfId="83" priority="172038" operator="between">
      <formula>AQ$20</formula>
      <formula>AQ$21</formula>
    </cfRule>
  </conditionalFormatting>
  <conditionalFormatting sqref="DT1:DT1048576 FB1:FB1048576 GJ1:GJ1048576 HR1:HR1048576 IZ1:IZ1048576 KH1:KH1048576 LP1:LP1048576 MX1:MX1048576 OF1:OF1048576 PN1:PN1048576 QV1:QV1048576 SD1:SD1048576 TL1:TL21 UT1:UT21 WB1:WB21">
    <cfRule type="cellIs" dxfId="82" priority="172049" operator="between">
      <formula>EB$21</formula>
      <formula>1000</formula>
    </cfRule>
    <cfRule type="cellIs" dxfId="81" priority="172050" operator="between">
      <formula>EB$20</formula>
      <formula>EB$21</formula>
    </cfRule>
  </conditionalFormatting>
  <conditionalFormatting sqref="AI1:AI1048576 AL1:AL1048576 AP1:AP1048576">
    <cfRule type="cellIs" dxfId="80" priority="172133" operator="between">
      <formula>$AQ$21</formula>
      <formula>1000</formula>
    </cfRule>
    <cfRule type="cellIs" dxfId="79" priority="172134" operator="between">
      <formula>$AQ$20</formula>
      <formula>$AQ$21</formula>
    </cfRule>
    <cfRule type="cellIs" dxfId="78" priority="172135" operator="between">
      <formula>$AQ$19</formula>
      <formula>$AQ$20</formula>
    </cfRule>
    <cfRule type="cellIs" dxfId="77" priority="172136" operator="between">
      <formula>$AQ$18</formula>
      <formula>$AQ$19</formula>
    </cfRule>
  </conditionalFormatting>
  <conditionalFormatting sqref="BJ1:BJ1048576 BM1:BM1048576 BQ1:BQ1048576">
    <cfRule type="cellIs" dxfId="76" priority="172169" operator="between">
      <formula>$BR$21</formula>
      <formula>1000</formula>
    </cfRule>
    <cfRule type="cellIs" dxfId="75" priority="172170" operator="between">
      <formula>$BR$20</formula>
      <formula>$BR$21</formula>
    </cfRule>
    <cfRule type="cellIs" dxfId="74" priority="172171" operator="between">
      <formula>$BR$19</formula>
      <formula>$BR$20</formula>
    </cfRule>
    <cfRule type="cellIs" dxfId="73" priority="172172" operator="between">
      <formula>$BR$18</formula>
      <formula>$BR$19</formula>
    </cfRule>
  </conditionalFormatting>
  <conditionalFormatting sqref="CK1:CK1048576 CN1:CN1048576 CR1:CR1048576">
    <cfRule type="cellIs" dxfId="72" priority="172205" operator="between">
      <formula>$CS$21</formula>
      <formula>1000</formula>
    </cfRule>
    <cfRule type="cellIs" dxfId="71" priority="172206" operator="between">
      <formula>$CS$20</formula>
      <formula>$CS$21</formula>
    </cfRule>
    <cfRule type="cellIs" dxfId="70" priority="172207" operator="between">
      <formula>$CS$19</formula>
      <formula>$CS$20</formula>
    </cfRule>
    <cfRule type="cellIs" dxfId="69" priority="172208" operator="between">
      <formula>$CS$18</formula>
      <formula>$CS$19</formula>
    </cfRule>
  </conditionalFormatting>
  <conditionalFormatting sqref="MS1:MS1048576 MV1:MV1048576 MZ1:MZ1048576 NC1:NC1048576">
    <cfRule type="cellIs" dxfId="68" priority="172241" operator="between">
      <formula>$NF$14</formula>
      <formula>$NF$15</formula>
    </cfRule>
  </conditionalFormatting>
  <conditionalFormatting sqref="DQ1:DQ1048576 DT1:DT1048576 DX1:DX1048576 EA1:EA1048576">
    <cfRule type="cellIs" dxfId="67" priority="172253" operator="between">
      <formula>$EB$21</formula>
      <formula>1000</formula>
    </cfRule>
    <cfRule type="cellIs" dxfId="66" priority="172254" operator="between">
      <formula>$EB$20</formula>
      <formula>$EB$21</formula>
    </cfRule>
    <cfRule type="cellIs" dxfId="65" priority="172255" operator="between">
      <formula>$EB$19</formula>
      <formula>$EB$20</formula>
    </cfRule>
    <cfRule type="cellIs" dxfId="64" priority="172256" operator="between">
      <formula>$EB$18</formula>
      <formula>$EB$19</formula>
    </cfRule>
  </conditionalFormatting>
  <conditionalFormatting sqref="EY1:EY1048576 FB1:FB1048576 FF1:FF1048576 FI1:FI1048576">
    <cfRule type="cellIs" dxfId="63" priority="172301" operator="between">
      <formula>$FJ$21</formula>
      <formula>1000</formula>
    </cfRule>
    <cfRule type="cellIs" dxfId="62" priority="172302" operator="between">
      <formula>$FJ$20</formula>
      <formula>$FJ$21</formula>
    </cfRule>
    <cfRule type="cellIs" dxfId="61" priority="172303" operator="between">
      <formula>$FJ$19</formula>
      <formula>$FJ$20</formula>
    </cfRule>
    <cfRule type="cellIs" dxfId="60" priority="172304" operator="between">
      <formula>$FJ$18</formula>
      <formula>$FJ$19</formula>
    </cfRule>
  </conditionalFormatting>
  <conditionalFormatting sqref="GE1:GE1048576 GH1:GH1048576 GL1:GL1048576 GO1:GO1048576">
    <cfRule type="cellIs" dxfId="59" priority="172349" stopIfTrue="1" operator="between">
      <formula>$GR$15</formula>
      <formula>1000</formula>
    </cfRule>
    <cfRule type="cellIs" dxfId="58" priority="172350" operator="between">
      <formula>$GR$14</formula>
      <formula>$GR$15</formula>
    </cfRule>
  </conditionalFormatting>
  <conditionalFormatting sqref="GG1:GG1048576 GJ1:GJ1048576 GN1:GN1048576 GQ1:GQ1048576">
    <cfRule type="cellIs" dxfId="57" priority="172373" operator="between">
      <formula>$GR$21</formula>
      <formula>1000</formula>
    </cfRule>
    <cfRule type="cellIs" dxfId="56" priority="172374" operator="between">
      <formula>$GR$20</formula>
      <formula>$GR$21</formula>
    </cfRule>
    <cfRule type="cellIs" dxfId="55" priority="172375" operator="between">
      <formula>$GR$19</formula>
      <formula>$GR$20</formula>
    </cfRule>
    <cfRule type="cellIs" dxfId="54" priority="172376" operator="between">
      <formula>$GR$18</formula>
      <formula>$GR$19</formula>
    </cfRule>
  </conditionalFormatting>
  <conditionalFormatting sqref="HO1:HO1048576 HR1:HR1048576 HV1:HV1048576 HY1:HY1048576">
    <cfRule type="cellIs" dxfId="53" priority="172421" operator="between">
      <formula>$HZ$21</formula>
      <formula>1000</formula>
    </cfRule>
    <cfRule type="cellIs" dxfId="52" priority="172422" operator="between">
      <formula>$HZ$20</formula>
      <formula>$HZ$21</formula>
    </cfRule>
    <cfRule type="cellIs" dxfId="51" priority="172423" operator="between">
      <formula>$HZ$19</formula>
      <formula>$HZ$20</formula>
    </cfRule>
    <cfRule type="cellIs" dxfId="50" priority="172424" operator="between">
      <formula>$HZ$18</formula>
      <formula>$HZ$19</formula>
    </cfRule>
  </conditionalFormatting>
  <conditionalFormatting sqref="IU1:IU1048576 IX1:IX1048576 JB1:JB1048576 JE1:JE1048576">
    <cfRule type="cellIs" dxfId="49" priority="172469" stopIfTrue="1" operator="between">
      <formula>$JH$15</formula>
      <formula>1000</formula>
    </cfRule>
    <cfRule type="cellIs" dxfId="48" priority="172470" operator="between">
      <formula>$JH$14</formula>
      <formula>$JH$15</formula>
    </cfRule>
  </conditionalFormatting>
  <conditionalFormatting sqref="IW1:IW1048576 IZ1:IZ1048576 JD1:JD1048576 JG1:JG1048576">
    <cfRule type="cellIs" dxfId="47" priority="172493" operator="between">
      <formula>$JH$21</formula>
      <formula>1000</formula>
    </cfRule>
    <cfRule type="cellIs" dxfId="46" priority="172494" operator="between">
      <formula>$JH$20</formula>
      <formula>$JH$21</formula>
    </cfRule>
    <cfRule type="cellIs" dxfId="45" priority="172495" operator="between">
      <formula>$JH$19</formula>
      <formula>$JH$20</formula>
    </cfRule>
    <cfRule type="cellIs" dxfId="44" priority="172496" operator="between">
      <formula>$JH$18</formula>
      <formula>$JH$19</formula>
    </cfRule>
  </conditionalFormatting>
  <conditionalFormatting sqref="KC1:KC1048576 KF1:KF1048576 KJ1:KJ1048576 KM1:KM1048576">
    <cfRule type="cellIs" dxfId="43" priority="172541" stopIfTrue="1" operator="between">
      <formula>$KP$15</formula>
      <formula>1000</formula>
    </cfRule>
    <cfRule type="cellIs" dxfId="42" priority="172542" operator="between">
      <formula>$KP$14</formula>
      <formula>$KP$15</formula>
    </cfRule>
  </conditionalFormatting>
  <conditionalFormatting sqref="KE1:KE1048576 KH1:KH1048576 KL1:KL1048576 KO1:KO1048576">
    <cfRule type="cellIs" dxfId="41" priority="172565" operator="between">
      <formula>$KP$21</formula>
      <formula>1000</formula>
    </cfRule>
    <cfRule type="cellIs" dxfId="40" priority="172566" operator="between">
      <formula>$KP$20</formula>
      <formula>$KP$21</formula>
    </cfRule>
    <cfRule type="cellIs" dxfId="39" priority="172567" operator="between">
      <formula>$KP$19</formula>
      <formula>$KP$20</formula>
    </cfRule>
    <cfRule type="cellIs" dxfId="38" priority="172568" operator="between">
      <formula>$KP$18</formula>
      <formula>$KP$19</formula>
    </cfRule>
  </conditionalFormatting>
  <conditionalFormatting sqref="LK1:LK1048576 LN1:LN1048576 LR1:LR1048576 LU1:LU1048576">
    <cfRule type="cellIs" dxfId="37" priority="172613" stopIfTrue="1" operator="between">
      <formula>$LX$15</formula>
      <formula>1000</formula>
    </cfRule>
    <cfRule type="cellIs" dxfId="36" priority="172614" operator="between">
      <formula>$LX$14</formula>
      <formula>$LX$15</formula>
    </cfRule>
  </conditionalFormatting>
  <conditionalFormatting sqref="LM1:LM1048576 LP1:LP1048576 LT1:LT1048576 LW1:LW1048576">
    <cfRule type="cellIs" dxfId="35" priority="172637" operator="between">
      <formula>$LX$21</formula>
      <formula>1000</formula>
    </cfRule>
    <cfRule type="cellIs" dxfId="34" priority="172638" operator="between">
      <formula>$LX$20</formula>
      <formula>$LX$21</formula>
    </cfRule>
    <cfRule type="cellIs" dxfId="33" priority="172639" operator="between">
      <formula>$LX$19</formula>
      <formula>$LX$20</formula>
    </cfRule>
    <cfRule type="cellIs" dxfId="32" priority="172640" operator="between">
      <formula>$LX$18</formula>
      <formula>$LX$19</formula>
    </cfRule>
  </conditionalFormatting>
  <conditionalFormatting sqref="MS1:MS1048576 MV1:MV1048576 MZ1:MZ1048576">
    <cfRule type="cellIs" dxfId="31" priority="172685" operator="between">
      <formula>$NF$15</formula>
      <formula>1000</formula>
    </cfRule>
  </conditionalFormatting>
  <conditionalFormatting sqref="MU1:MU1048576 MX1:MX1048576 NB1:NB1048576 NE1:NE1048576">
    <cfRule type="cellIs" dxfId="30" priority="172694" operator="between">
      <formula>$NF$21</formula>
      <formula>1000</formula>
    </cfRule>
    <cfRule type="cellIs" dxfId="29" priority="172695" operator="between">
      <formula>$NF$20</formula>
      <formula>$NF$21</formula>
    </cfRule>
    <cfRule type="cellIs" dxfId="28" priority="172696" operator="between">
      <formula>$NF$19</formula>
      <formula>$NF$20</formula>
    </cfRule>
    <cfRule type="cellIs" dxfId="27" priority="172697" operator="between">
      <formula>$NF$18</formula>
      <formula>$NF$19</formula>
    </cfRule>
  </conditionalFormatting>
  <conditionalFormatting sqref="OA1:OA1048576 OD1:OD1048576 OH1:OH1048576 OK1:OK1048576">
    <cfRule type="cellIs" dxfId="26" priority="172742" stopIfTrue="1" operator="between">
      <formula>$ON$15</formula>
      <formula>1000</formula>
    </cfRule>
    <cfRule type="cellIs" dxfId="25" priority="172743" operator="between">
      <formula>$ON$14</formula>
      <formula>$ON$15</formula>
    </cfRule>
  </conditionalFormatting>
  <conditionalFormatting sqref="OC1:OC1048576 OF1:OF1048576 OJ1:OJ1048576 OM1:OM1048576">
    <cfRule type="cellIs" dxfId="24" priority="172766" operator="between">
      <formula>$ON$21</formula>
      <formula>1000</formula>
    </cfRule>
    <cfRule type="cellIs" dxfId="23" priority="172767" operator="between">
      <formula>$ON$20</formula>
      <formula>$ON$21</formula>
    </cfRule>
    <cfRule type="cellIs" dxfId="22" priority="172768" operator="between">
      <formula>$ON$19</formula>
      <formula>$ON$20</formula>
    </cfRule>
    <cfRule type="cellIs" dxfId="21" priority="172769" operator="between">
      <formula>$ON$18</formula>
      <formula>$ON$19</formula>
    </cfRule>
  </conditionalFormatting>
  <conditionalFormatting sqref="PI1:PI1048576 PL1:PL1048576 PP1:PP1048576 PS1:PS1048576">
    <cfRule type="cellIs" dxfId="20" priority="172814" stopIfTrue="1" operator="between">
      <formula>$PV$15</formula>
      <formula>1000</formula>
    </cfRule>
    <cfRule type="cellIs" dxfId="19" priority="172815" operator="between">
      <formula>$PV$14</formula>
      <formula>$PV$15</formula>
    </cfRule>
  </conditionalFormatting>
  <conditionalFormatting sqref="PK1:PK1048576 PN1:PN1048576 PR1:PR1048576 PU1:PU1048576">
    <cfRule type="cellIs" dxfId="18" priority="172838" operator="between">
      <formula>$PV$21</formula>
      <formula>1000</formula>
    </cfRule>
    <cfRule type="cellIs" dxfId="17" priority="172839" operator="between">
      <formula>$PV$20</formula>
      <formula>$PV$21</formula>
    </cfRule>
    <cfRule type="cellIs" dxfId="16" priority="172840" operator="between">
      <formula>$PV$19</formula>
      <formula>$PV$20</formula>
    </cfRule>
    <cfRule type="cellIs" dxfId="15" priority="172841" operator="between">
      <formula>$PV$18</formula>
      <formula>$PV$19</formula>
    </cfRule>
  </conditionalFormatting>
  <conditionalFormatting sqref="QQ1:QQ1048576 QT1:QT1048576 QX1:QX1048576 RA1:RA1048576">
    <cfRule type="cellIs" dxfId="14" priority="172886" stopIfTrue="1" operator="between">
      <formula>$RD$15</formula>
      <formula>1000</formula>
    </cfRule>
    <cfRule type="cellIs" dxfId="13" priority="172887" operator="between">
      <formula>$RD$14</formula>
      <formula>$RD$15</formula>
    </cfRule>
  </conditionalFormatting>
  <conditionalFormatting sqref="QS1:QS1048576 QV1:QV1048576 QZ1:QZ1048576 RC1:RC1048576">
    <cfRule type="cellIs" dxfId="12" priority="172910" operator="between">
      <formula>$RD$21</formula>
      <formula>1000</formula>
    </cfRule>
    <cfRule type="cellIs" dxfId="11" priority="172911" operator="between">
      <formula>$RD$20</formula>
      <formula>$RD$21</formula>
    </cfRule>
    <cfRule type="cellIs" dxfId="10" priority="172912" operator="between">
      <formula>$RD$19</formula>
      <formula>$RD$20</formula>
    </cfRule>
    <cfRule type="cellIs" dxfId="9" priority="172913" operator="between">
      <formula>$RD$18</formula>
      <formula>$RD$19</formula>
    </cfRule>
  </conditionalFormatting>
  <conditionalFormatting sqref="RY1:RY1048576 SB1:SB1048576 SF1:SF1048576 SI1:SI1048576 TG1:TG21 TJ1:TJ21 TN1:TN21 TQ1:TQ21 UO1:UO21 UR1:UR21 UV1:UV21 UY1:UY21 VW1:VW21 VZ1:VZ21 WD1:WD21 WG1:WG21">
    <cfRule type="cellIs" dxfId="8" priority="172958" operator="between">
      <formula>$SL$15</formula>
      <formula>1000</formula>
    </cfRule>
    <cfRule type="cellIs" dxfId="7" priority="172959" operator="between">
      <formula>$SL$14</formula>
      <formula>$SL$15</formula>
    </cfRule>
  </conditionalFormatting>
  <conditionalFormatting sqref="SA1:SA1048576 SD1:SD1048576 SH1:SH1048576 SK1:SK1048576 TI1:TI21 TL1:TL21 TP1:TP21 TS1:TS21 UQ1:UQ21 UT1:UT21 UX1:UX21 VA1:VA21 VY1:VY21 WB1:WB21 WF1:WF21 WI1:WI21">
    <cfRule type="cellIs" dxfId="6" priority="173030" operator="between">
      <formula>$SL$21</formula>
      <formula>1000</formula>
    </cfRule>
    <cfRule type="cellIs" dxfId="5" priority="173031" operator="between">
      <formula>$SL$20</formula>
      <formula>$SL$21</formula>
    </cfRule>
    <cfRule type="cellIs" dxfId="4" priority="173032" operator="between">
      <formula>$SL$19</formula>
      <formula>$SL$20</formula>
    </cfRule>
    <cfRule type="cellIs" dxfId="3" priority="173033" operator="between">
      <formula>$SL$18</formula>
      <formula>$SL$19</formula>
    </cfRule>
  </conditionalFormatting>
  <conditionalFormatting sqref="DY1:DY1048576 DO1:DO1048576 DR1:DR1048576 DV1:DV1048576">
    <cfRule type="cellIs" dxfId="2" priority="173174" stopIfTrue="1" operator="between">
      <formula>$EB$15</formula>
      <formula>1000</formula>
    </cfRule>
  </conditionalFormatting>
  <conditionalFormatting sqref="FG1:FG1048576 EW1:EW1048576 EZ1:EZ1048576 FD1:FD1048576">
    <cfRule type="cellIs" dxfId="1" priority="173186" stopIfTrue="1" operator="between">
      <formula>$FJ$15</formula>
      <formula>1000</formula>
    </cfRule>
  </conditionalFormatting>
  <conditionalFormatting sqref="HW1:HW1048576 HM1:HM1048576 HP1:HP1048576 HT1:HT1048576">
    <cfRule type="cellIs" dxfId="0" priority="173198" stopIfTrue="1" operator="between">
      <formula>$HZ$15</formula>
      <formula>1000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Info</vt:lpstr>
      <vt:lpstr>Senior-M</vt:lpstr>
      <vt:lpstr>Senior-W</vt:lpstr>
      <vt:lpstr>Development-M</vt:lpstr>
      <vt:lpstr>Development-W</vt:lpstr>
      <vt:lpstr>Junior-M</vt:lpstr>
      <vt:lpstr>Junior-W</vt:lpstr>
      <vt:lpstr>TRS-M</vt:lpstr>
      <vt:lpstr>TRS-W</vt:lpstr>
      <vt:lpstr>TRS-X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2026-03-14T00:11:02Z</dcterms:modified>
</cp:coreProperties>
</file>